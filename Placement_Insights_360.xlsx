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bout" sheetId="2" state="visible" r:id="rId4"/>
    <sheet name="Analysis" sheetId="3" state="visible" r:id="rId5"/>
    <sheet name="Students" sheetId="4" state="visible" r:id="rId6"/>
    <sheet name="Applications" sheetId="5" state="visible" r:id="rId7"/>
    <sheet name="Companies" sheetId="6" state="visible" r:id="rId8"/>
    <sheet name="Assump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<sst xmlns="http://schemas.openxmlformats.org/spreadsheetml/2006/main" count="20552" uniqueCount="4447">
  <si>
    <t xml:space="preserve">PLACEMENT INSIGHTS 360  |  Campus Placement Analytics</t>
  </si>
  <si>
    <t xml:space="preserve">Select Batch  &gt;</t>
  </si>
  <si>
    <t xml:space="preserve">All</t>
  </si>
  <si>
    <t xml:space="preserve">Synthetic data  |  all numbers are live formulas  |  change the batch to refresh every card and chart</t>
  </si>
  <si>
    <t xml:space="preserve">TOTAL STUDENTS</t>
  </si>
  <si>
    <t xml:space="preserve">PLACED</t>
  </si>
  <si>
    <t xml:space="preserve">PLACEMENT RATE</t>
  </si>
  <si>
    <t xml:space="preserve">AVG CTC</t>
  </si>
  <si>
    <t xml:space="preserve">HIGHEST CTC</t>
  </si>
  <si>
    <t xml:space="preserve">ACTIVE RECRUITERS</t>
  </si>
  <si>
    <t xml:space="preserve">Placement Insights 360</t>
  </si>
  <si>
    <t xml:space="preserve">Purpose</t>
  </si>
  <si>
    <t xml:space="preserve">End-to-end analytics of a campus placement cycle: readiness, hiring funnel, packages and recruiters.</t>
  </si>
  <si>
    <t xml:space="preserve">Data</t>
  </si>
  <si>
    <t xml:space="preserve">100% synthetic (600 students, 30 fictional companies, ~3,100 applications). Generated by scripts/generate_data.py.</t>
  </si>
  <si>
    <t xml:space="preserve">SHEET GUIDE</t>
  </si>
  <si>
    <t xml:space="preserve">Dashboard</t>
  </si>
  <si>
    <t xml:space="preserve">Batch dropdown (C4), KPI cards, auto-insight sentences and 6 charts - all driven by formulas.</t>
  </si>
  <si>
    <t xml:space="preserve">Analysis</t>
  </si>
  <si>
    <t xml:space="preserve">The calculation engine: 9 summary tables that feed the dashboard.</t>
  </si>
  <si>
    <t xml:space="preserve">Students</t>
  </si>
  <si>
    <t xml:space="preserve">Raw student attributes + calculated Readiness Score / Tier, Offers, Placed, CTC, Company.</t>
  </si>
  <si>
    <t xml:space="preserve">Applications</t>
  </si>
  <si>
    <t xml:space="preserve">One row per application. Lookup columns pull Batch, Course, Sector, Tier from other sheets.</t>
  </si>
  <si>
    <t xml:space="preserve">Companies</t>
  </si>
  <si>
    <t xml:space="preserve">Recruiter master + live Applications / Offers / Hires / Avg CTC (respond to the batch selector).</t>
  </si>
  <si>
    <t xml:space="preserve">Assumptions</t>
  </si>
  <si>
    <t xml:space="preserve">Editable weights, tier thresholds, CTC bands, stage order. Blue font = input.</t>
  </si>
  <si>
    <t xml:space="preserve">EXCEL TECHNIQUES USED</t>
  </si>
  <si>
    <t xml:space="preserve">Lookups</t>
  </si>
  <si>
    <t xml:space="preserve">INDEX/MATCH two-way lookups across sheets; approximate-match LOOKUP for tier banding.</t>
  </si>
  <si>
    <t xml:space="preserve">Conditional aggregation</t>
  </si>
  <si>
    <t xml:space="preserve">COUNTIFS / SUMIFS / AVERAGEIFS / MAXIFS with a wildcard criterion so one dropdown means 'All' or one batch.</t>
  </si>
  <si>
    <t xml:space="preserve">Array formula</t>
  </si>
  <si>
    <t xml:space="preserve">Median CTC with MEDIAN(IF(...)) entered as a CSE array formula.</t>
  </si>
  <si>
    <t xml:space="preserve">Top-N ranking</t>
  </si>
  <si>
    <t xml:space="preserve">LARGE + MATCH with a ROW()-based tie-breaker column (Companies!K) - no sorting needed.</t>
  </si>
  <si>
    <t xml:space="preserve">Data model hygiene</t>
  </si>
  <si>
    <t xml:space="preserve">Excel Tables (tblStudents, tblApplications, tblCompanies), data validation, frozen panes, named assumptions.</t>
  </si>
  <si>
    <t xml:space="preserve">Visual analytics</t>
  </si>
  <si>
    <t xml:space="preserve">Data bars, colour scales, icon sets, rule-based formatting, 6 native charts.</t>
  </si>
  <si>
    <t xml:space="preserve">Dynamic text</t>
  </si>
  <si>
    <t xml:space="preserve">Insight sentences built with INDEX/MATCH + TEXT that rewrite themselves per batch.</t>
  </si>
  <si>
    <t xml:space="preserve">NOTE</t>
  </si>
  <si>
    <t xml:space="preserve">Independent portfolio project. Not affiliated with or endorsed by any training company.</t>
  </si>
  <si>
    <t xml:space="preserve">Analysis Engine (feeds the Dashboard)</t>
  </si>
  <si>
    <t xml:space="preserve">Batch criterion (from Dashboard)</t>
  </si>
  <si>
    <t xml:space="preserve">1. Headline KPIs</t>
  </si>
  <si>
    <t xml:space="preserve">Total Students</t>
  </si>
  <si>
    <t xml:space="preserve">Placed Students</t>
  </si>
  <si>
    <t xml:space="preserve">Placement Rate</t>
  </si>
  <si>
    <t xml:space="preserve">Average CTC (LPA)</t>
  </si>
  <si>
    <t xml:space="preserve">Median CTC (LPA)</t>
  </si>
  <si>
    <t xml:space="preserve">Highest CTC (LPA)</t>
  </si>
  <si>
    <t xml:space="preserve">Total Applications</t>
  </si>
  <si>
    <t xml:space="preserve">Offers Made</t>
  </si>
  <si>
    <t xml:space="preserve">Offer-to-Hire Conversion</t>
  </si>
  <si>
    <t xml:space="preserve">Active Recruiters (&gt;=1 hire)</t>
  </si>
  <si>
    <t xml:space="preserve">Avg Applications / Student</t>
  </si>
  <si>
    <t xml:space="preserve">2. Placement by Course</t>
  </si>
  <si>
    <t xml:space="preserve">Course</t>
  </si>
  <si>
    <t xml:space="preserve">Placed</t>
  </si>
  <si>
    <t xml:space="preserve">Avg CTC (LPA)</t>
  </si>
  <si>
    <t xml:space="preserve">Cybersecurity</t>
  </si>
  <si>
    <t xml:space="preserve">DSA with Java</t>
  </si>
  <si>
    <t xml:space="preserve">Data Analytics</t>
  </si>
  <si>
    <t xml:space="preserve">Data Science &amp; ML</t>
  </si>
  <si>
    <t xml:space="preserve">Full Stack Development</t>
  </si>
  <si>
    <t xml:space="preserve">3. Hiring Funnel (applications reaching each stage)</t>
  </si>
  <si>
    <t xml:space="preserve">Stage</t>
  </si>
  <si>
    <t xml:space="preserve">% of Applied</t>
  </si>
  <si>
    <t xml:space="preserve">4. Placed Students by CTC Band</t>
  </si>
  <si>
    <t xml:space="preserve">CTC Band</t>
  </si>
  <si>
    <t xml:space="preserve">% of Placed</t>
  </si>
  <si>
    <t xml:space="preserve">5. Readiness Tier vs Outcome</t>
  </si>
  <si>
    <t xml:space="preserve">Readiness Tier</t>
  </si>
  <si>
    <t xml:space="preserve">6. Accepted Offers by Month (placement season Jul - Jun)</t>
  </si>
  <si>
    <t xml:space="preserve">Month</t>
  </si>
  <si>
    <t xml:space="preserve">Hires</t>
  </si>
  <si>
    <t xml:space="preserve">7. Hires by Sector</t>
  </si>
  <si>
    <t xml:space="preserve">Sector</t>
  </si>
  <si>
    <t xml:space="preserve">Analytics &amp; Consulting</t>
  </si>
  <si>
    <t xml:space="preserve">E-commerce</t>
  </si>
  <si>
    <t xml:space="preserve">EdTech</t>
  </si>
  <si>
    <t xml:space="preserve">Fintech</t>
  </si>
  <si>
    <t xml:space="preserve">Healthtech</t>
  </si>
  <si>
    <t xml:space="preserve">IT Services</t>
  </si>
  <si>
    <t xml:space="preserve">Product</t>
  </si>
  <si>
    <t xml:space="preserve">8. Hires by Company Tier</t>
  </si>
  <si>
    <t xml:space="preserve">Company Tier</t>
  </si>
  <si>
    <t xml:space="preserve">Tier 1</t>
  </si>
  <si>
    <t xml:space="preserve">Tier 2</t>
  </si>
  <si>
    <t xml:space="preserve">Tier 3</t>
  </si>
  <si>
    <t xml:space="preserve">9. Top 10 Recruiters (by hires)</t>
  </si>
  <si>
    <t xml:space="preserve">Rank</t>
  </si>
  <si>
    <t xml:space="preserve">Company</t>
  </si>
  <si>
    <t xml:space="preserve">Tier</t>
  </si>
  <si>
    <t xml:space="preserve">Student ID</t>
  </si>
  <si>
    <t xml:space="preserve">Student Name</t>
  </si>
  <si>
    <t xml:space="preserve">Batch</t>
  </si>
  <si>
    <t xml:space="preserve">City Tier</t>
  </si>
  <si>
    <t xml:space="preserve">CGPA</t>
  </si>
  <si>
    <t xml:space="preserve">DSA Problems Solved</t>
  </si>
  <si>
    <t xml:space="preserve">Projects</t>
  </si>
  <si>
    <t xml:space="preserve">Internship</t>
  </si>
  <si>
    <t xml:space="preserve">Mock Interview Score</t>
  </si>
  <si>
    <t xml:space="preserve">Readiness Score</t>
  </si>
  <si>
    <t xml:space="preserve">Offers</t>
  </si>
  <si>
    <t xml:space="preserve">Placed CTC (LPA)</t>
  </si>
  <si>
    <t xml:space="preserve">Placed Company</t>
  </si>
  <si>
    <t xml:space="preserve">S0001</t>
  </si>
  <si>
    <t xml:space="preserve">Nikhil Das</t>
  </si>
  <si>
    <t xml:space="preserve">Batch 2024</t>
  </si>
  <si>
    <t xml:space="preserve">No</t>
  </si>
  <si>
    <t xml:space="preserve">S0002</t>
  </si>
  <si>
    <t xml:space="preserve">Rahul Banerjee</t>
  </si>
  <si>
    <t xml:space="preserve">S0003</t>
  </si>
  <si>
    <t xml:space="preserve">Ayush Pandey</t>
  </si>
  <si>
    <t xml:space="preserve">S0004</t>
  </si>
  <si>
    <t xml:space="preserve">Aman Das</t>
  </si>
  <si>
    <t xml:space="preserve">Yes</t>
  </si>
  <si>
    <t xml:space="preserve">S0005</t>
  </si>
  <si>
    <t xml:space="preserve">Tushar Tiwari</t>
  </si>
  <si>
    <t xml:space="preserve">S0006</t>
  </si>
  <si>
    <t xml:space="preserve">Arjun Jain</t>
  </si>
  <si>
    <t xml:space="preserve">S0007</t>
  </si>
  <si>
    <t xml:space="preserve">Mohit Malhotra</t>
  </si>
  <si>
    <t xml:space="preserve">S0008</t>
  </si>
  <si>
    <t xml:space="preserve">Yash Banerjee</t>
  </si>
  <si>
    <t xml:space="preserve">S0009</t>
  </si>
  <si>
    <t xml:space="preserve">Meera Menon</t>
  </si>
  <si>
    <t xml:space="preserve">S0010</t>
  </si>
  <si>
    <t xml:space="preserve">Dev Iyer</t>
  </si>
  <si>
    <t xml:space="preserve">S0011</t>
  </si>
  <si>
    <t xml:space="preserve">Rohan Nair</t>
  </si>
  <si>
    <t xml:space="preserve">S0012</t>
  </si>
  <si>
    <t xml:space="preserve">Aditya Gupta</t>
  </si>
  <si>
    <t xml:space="preserve">S0013</t>
  </si>
  <si>
    <t xml:space="preserve">Aarav Bhatt</t>
  </si>
  <si>
    <t xml:space="preserve">S0014</t>
  </si>
  <si>
    <t xml:space="preserve">Reyansh Chauhan</t>
  </si>
  <si>
    <t xml:space="preserve">S0015</t>
  </si>
  <si>
    <t xml:space="preserve">Aisha Das</t>
  </si>
  <si>
    <t xml:space="preserve">S0016</t>
  </si>
  <si>
    <t xml:space="preserve">Aarav Rao</t>
  </si>
  <si>
    <t xml:space="preserve">S0017</t>
  </si>
  <si>
    <t xml:space="preserve">Sneha Kulkarni</t>
  </si>
  <si>
    <t xml:space="preserve">S0018</t>
  </si>
  <si>
    <t xml:space="preserve">Aarav Pandey</t>
  </si>
  <si>
    <t xml:space="preserve">S0019</t>
  </si>
  <si>
    <t xml:space="preserve">Dev Singh</t>
  </si>
  <si>
    <t xml:space="preserve">S0020</t>
  </si>
  <si>
    <t xml:space="preserve">Pooja Mehta</t>
  </si>
  <si>
    <t xml:space="preserve">S0021</t>
  </si>
  <si>
    <t xml:space="preserve">Varun Gupta</t>
  </si>
  <si>
    <t xml:space="preserve">S0022</t>
  </si>
  <si>
    <t xml:space="preserve">Rahul Sharma</t>
  </si>
  <si>
    <t xml:space="preserve">S0023</t>
  </si>
  <si>
    <t xml:space="preserve">Nikhil Yadav</t>
  </si>
  <si>
    <t xml:space="preserve">S0024</t>
  </si>
  <si>
    <t xml:space="preserve">Meera Kapoor</t>
  </si>
  <si>
    <t xml:space="preserve">S0025</t>
  </si>
  <si>
    <t xml:space="preserve">Kabir Das</t>
  </si>
  <si>
    <t xml:space="preserve">S0026</t>
  </si>
  <si>
    <t xml:space="preserve">Sneha Tiwari</t>
  </si>
  <si>
    <t xml:space="preserve">S0027</t>
  </si>
  <si>
    <t xml:space="preserve">Siddharth Gupta</t>
  </si>
  <si>
    <t xml:space="preserve">S0028</t>
  </si>
  <si>
    <t xml:space="preserve">Aarav Yadav</t>
  </si>
  <si>
    <t xml:space="preserve">S0029</t>
  </si>
  <si>
    <t xml:space="preserve">Dev Das</t>
  </si>
  <si>
    <t xml:space="preserve">S0030</t>
  </si>
  <si>
    <t xml:space="preserve">Karan Das</t>
  </si>
  <si>
    <t xml:space="preserve">S0031</t>
  </si>
  <si>
    <t xml:space="preserve">Sneha Yadav</t>
  </si>
  <si>
    <t xml:space="preserve">S0032</t>
  </si>
  <si>
    <t xml:space="preserve">Riya Menon</t>
  </si>
  <si>
    <t xml:space="preserve">S0033</t>
  </si>
  <si>
    <t xml:space="preserve">Naina Jain</t>
  </si>
  <si>
    <t xml:space="preserve">S0034</t>
  </si>
  <si>
    <t xml:space="preserve">Varun Mehta</t>
  </si>
  <si>
    <t xml:space="preserve">S0035</t>
  </si>
  <si>
    <t xml:space="preserve">Arjun Malhotra</t>
  </si>
  <si>
    <t xml:space="preserve">S0036</t>
  </si>
  <si>
    <t xml:space="preserve">Pooja Pandey</t>
  </si>
  <si>
    <t xml:space="preserve">S0037</t>
  </si>
  <si>
    <t xml:space="preserve">Rahul Pandey</t>
  </si>
  <si>
    <t xml:space="preserve">S0038</t>
  </si>
  <si>
    <t xml:space="preserve">Manish Das</t>
  </si>
  <si>
    <t xml:space="preserve">S0039</t>
  </si>
  <si>
    <t xml:space="preserve">Arjun Yadav</t>
  </si>
  <si>
    <t xml:space="preserve">S0040</t>
  </si>
  <si>
    <t xml:space="preserve">Ishaan Rao</t>
  </si>
  <si>
    <t xml:space="preserve">S0041</t>
  </si>
  <si>
    <t xml:space="preserve">Karan Nair</t>
  </si>
  <si>
    <t xml:space="preserve">S0042</t>
  </si>
  <si>
    <t xml:space="preserve">Aditya Menon</t>
  </si>
  <si>
    <t xml:space="preserve">S0043</t>
  </si>
  <si>
    <t xml:space="preserve">Dev Patel</t>
  </si>
  <si>
    <t xml:space="preserve">S0044</t>
  </si>
  <si>
    <t xml:space="preserve">Sneha Banerjee</t>
  </si>
  <si>
    <t xml:space="preserve">S0045</t>
  </si>
  <si>
    <t xml:space="preserve">Saanvi Joshi</t>
  </si>
  <si>
    <t xml:space="preserve">S0046</t>
  </si>
  <si>
    <t xml:space="preserve">Meera Kulkarni</t>
  </si>
  <si>
    <t xml:space="preserve">S0047</t>
  </si>
  <si>
    <t xml:space="preserve">Riya Patel</t>
  </si>
  <si>
    <t xml:space="preserve">S0048</t>
  </si>
  <si>
    <t xml:space="preserve">Dev Menon</t>
  </si>
  <si>
    <t xml:space="preserve">S0049</t>
  </si>
  <si>
    <t xml:space="preserve">Ishaan Menon</t>
  </si>
  <si>
    <t xml:space="preserve">S0050</t>
  </si>
  <si>
    <t xml:space="preserve">Neha Kapoor</t>
  </si>
  <si>
    <t xml:space="preserve">S0051</t>
  </si>
  <si>
    <t xml:space="preserve">Neha Sharma</t>
  </si>
  <si>
    <t xml:space="preserve">S0052</t>
  </si>
  <si>
    <t xml:space="preserve">Ishaan Joshi</t>
  </si>
  <si>
    <t xml:space="preserve">S0053</t>
  </si>
  <si>
    <t xml:space="preserve">Sneha Bhatt</t>
  </si>
  <si>
    <t xml:space="preserve">S0054</t>
  </si>
  <si>
    <t xml:space="preserve">Pooja Das</t>
  </si>
  <si>
    <t xml:space="preserve">S0055</t>
  </si>
  <si>
    <t xml:space="preserve">Aarav Iyer</t>
  </si>
  <si>
    <t xml:space="preserve">S0056</t>
  </si>
  <si>
    <t xml:space="preserve">Harsh Bhatt</t>
  </si>
  <si>
    <t xml:space="preserve">S0057</t>
  </si>
  <si>
    <t xml:space="preserve">Vivaan Joshi</t>
  </si>
  <si>
    <t xml:space="preserve">S0058</t>
  </si>
  <si>
    <t xml:space="preserve">S0059</t>
  </si>
  <si>
    <t xml:space="preserve">Kavya Das</t>
  </si>
  <si>
    <t xml:space="preserve">S0060</t>
  </si>
  <si>
    <t xml:space="preserve">S0061</t>
  </si>
  <si>
    <t xml:space="preserve">Yash Mishra</t>
  </si>
  <si>
    <t xml:space="preserve">S0062</t>
  </si>
  <si>
    <t xml:space="preserve">Simran Jain</t>
  </si>
  <si>
    <t xml:space="preserve">S0063</t>
  </si>
  <si>
    <t xml:space="preserve">Isha Verma</t>
  </si>
  <si>
    <t xml:space="preserve">S0064</t>
  </si>
  <si>
    <t xml:space="preserve">Shreya Kulkarni</t>
  </si>
  <si>
    <t xml:space="preserve">S0065</t>
  </si>
  <si>
    <t xml:space="preserve">Neha Yadav</t>
  </si>
  <si>
    <t xml:space="preserve">S0066</t>
  </si>
  <si>
    <t xml:space="preserve">Ayush Tiwari</t>
  </si>
  <si>
    <t xml:space="preserve">S0067</t>
  </si>
  <si>
    <t xml:space="preserve">Aman Gupta</t>
  </si>
  <si>
    <t xml:space="preserve">S0068</t>
  </si>
  <si>
    <t xml:space="preserve">Priya Banerjee</t>
  </si>
  <si>
    <t xml:space="preserve">S0069</t>
  </si>
  <si>
    <t xml:space="preserve">Tanvi Gupta</t>
  </si>
  <si>
    <t xml:space="preserve">S0070</t>
  </si>
  <si>
    <t xml:space="preserve">Aarav Mishra</t>
  </si>
  <si>
    <t xml:space="preserve">S0071</t>
  </si>
  <si>
    <t xml:space="preserve">Dev Joshi</t>
  </si>
  <si>
    <t xml:space="preserve">S0072</t>
  </si>
  <si>
    <t xml:space="preserve">Aarav Kulkarni</t>
  </si>
  <si>
    <t xml:space="preserve">S0073</t>
  </si>
  <si>
    <t xml:space="preserve">Neha Gupta</t>
  </si>
  <si>
    <t xml:space="preserve">S0074</t>
  </si>
  <si>
    <t xml:space="preserve">Naina Reddy</t>
  </si>
  <si>
    <t xml:space="preserve">S0075</t>
  </si>
  <si>
    <t xml:space="preserve">S0076</t>
  </si>
  <si>
    <t xml:space="preserve">Aarav Jain</t>
  </si>
  <si>
    <t xml:space="preserve">S0077</t>
  </si>
  <si>
    <t xml:space="preserve">Reyansh Patel</t>
  </si>
  <si>
    <t xml:space="preserve">S0078</t>
  </si>
  <si>
    <t xml:space="preserve">Rahul Chauhan</t>
  </si>
  <si>
    <t xml:space="preserve">S0079</t>
  </si>
  <si>
    <t xml:space="preserve">Nikhil Mishra</t>
  </si>
  <si>
    <t xml:space="preserve">S0080</t>
  </si>
  <si>
    <t xml:space="preserve">Kavya Banerjee</t>
  </si>
  <si>
    <t xml:space="preserve">S0081</t>
  </si>
  <si>
    <t xml:space="preserve">Arjun Tiwari</t>
  </si>
  <si>
    <t xml:space="preserve">S0082</t>
  </si>
  <si>
    <t xml:space="preserve">Reyansh Pandey</t>
  </si>
  <si>
    <t xml:space="preserve">S0083</t>
  </si>
  <si>
    <t xml:space="preserve">Dev Tiwari</t>
  </si>
  <si>
    <t xml:space="preserve">S0084</t>
  </si>
  <si>
    <t xml:space="preserve">Saanvi Tiwari</t>
  </si>
  <si>
    <t xml:space="preserve">S0085</t>
  </si>
  <si>
    <t xml:space="preserve">S0086</t>
  </si>
  <si>
    <t xml:space="preserve">Meera Malhotra</t>
  </si>
  <si>
    <t xml:space="preserve">S0087</t>
  </si>
  <si>
    <t xml:space="preserve">Priya Das</t>
  </si>
  <si>
    <t xml:space="preserve">S0088</t>
  </si>
  <si>
    <t xml:space="preserve">Ananya Singh</t>
  </si>
  <si>
    <t xml:space="preserve">S0089</t>
  </si>
  <si>
    <t xml:space="preserve">Aisha Menon</t>
  </si>
  <si>
    <t xml:space="preserve">S0090</t>
  </si>
  <si>
    <t xml:space="preserve">Aisha Pandey</t>
  </si>
  <si>
    <t xml:space="preserve">S0091</t>
  </si>
  <si>
    <t xml:space="preserve">Harsh Kapoor</t>
  </si>
  <si>
    <t xml:space="preserve">S0092</t>
  </si>
  <si>
    <t xml:space="preserve">Tanvi Verma</t>
  </si>
  <si>
    <t xml:space="preserve">S0093</t>
  </si>
  <si>
    <t xml:space="preserve">Pooja Kapoor</t>
  </si>
  <si>
    <t xml:space="preserve">S0094</t>
  </si>
  <si>
    <t xml:space="preserve">Ayush Gupta</t>
  </si>
  <si>
    <t xml:space="preserve">S0095</t>
  </si>
  <si>
    <t xml:space="preserve">Pooja Patel</t>
  </si>
  <si>
    <t xml:space="preserve">S0096</t>
  </si>
  <si>
    <t xml:space="preserve">Manish Joshi</t>
  </si>
  <si>
    <t xml:space="preserve">S0097</t>
  </si>
  <si>
    <t xml:space="preserve">Priya Sharma</t>
  </si>
  <si>
    <t xml:space="preserve">S0098</t>
  </si>
  <si>
    <t xml:space="preserve">Aisha Tiwari</t>
  </si>
  <si>
    <t xml:space="preserve">S0099</t>
  </si>
  <si>
    <t xml:space="preserve">Diya Verma</t>
  </si>
  <si>
    <t xml:space="preserve">S0100</t>
  </si>
  <si>
    <t xml:space="preserve">Rohan Malhotra</t>
  </si>
  <si>
    <t xml:space="preserve">S0101</t>
  </si>
  <si>
    <t xml:space="preserve">Simran Kapoor</t>
  </si>
  <si>
    <t xml:space="preserve">S0102</t>
  </si>
  <si>
    <t xml:space="preserve">Shreya Malhotra</t>
  </si>
  <si>
    <t xml:space="preserve">S0103</t>
  </si>
  <si>
    <t xml:space="preserve">Priya Chauhan</t>
  </si>
  <si>
    <t xml:space="preserve">S0104</t>
  </si>
  <si>
    <t xml:space="preserve">Tanvi Kapoor</t>
  </si>
  <si>
    <t xml:space="preserve">S0105</t>
  </si>
  <si>
    <t xml:space="preserve">Arjun Sharma</t>
  </si>
  <si>
    <t xml:space="preserve">S0106</t>
  </si>
  <si>
    <t xml:space="preserve">Mohit Reddy</t>
  </si>
  <si>
    <t xml:space="preserve">S0107</t>
  </si>
  <si>
    <t xml:space="preserve">Tanvi Kulkarni</t>
  </si>
  <si>
    <t xml:space="preserve">S0108</t>
  </si>
  <si>
    <t xml:space="preserve">Yash Iyer</t>
  </si>
  <si>
    <t xml:space="preserve">S0109</t>
  </si>
  <si>
    <t xml:space="preserve">Varun Chauhan</t>
  </si>
  <si>
    <t xml:space="preserve">S0110</t>
  </si>
  <si>
    <t xml:space="preserve">S0111</t>
  </si>
  <si>
    <t xml:space="preserve">Riya Verma</t>
  </si>
  <si>
    <t xml:space="preserve">S0112</t>
  </si>
  <si>
    <t xml:space="preserve">Saanvi Iyer</t>
  </si>
  <si>
    <t xml:space="preserve">S0113</t>
  </si>
  <si>
    <t xml:space="preserve">Neha Pandey</t>
  </si>
  <si>
    <t xml:space="preserve">S0114</t>
  </si>
  <si>
    <t xml:space="preserve">Rohan Rao</t>
  </si>
  <si>
    <t xml:space="preserve">S0115</t>
  </si>
  <si>
    <t xml:space="preserve">S0116</t>
  </si>
  <si>
    <t xml:space="preserve">Manish Rao</t>
  </si>
  <si>
    <t xml:space="preserve">S0117</t>
  </si>
  <si>
    <t xml:space="preserve">Ayush Patel</t>
  </si>
  <si>
    <t xml:space="preserve">S0118</t>
  </si>
  <si>
    <t xml:space="preserve">Manish Verma</t>
  </si>
  <si>
    <t xml:space="preserve">S0119</t>
  </si>
  <si>
    <t xml:space="preserve">S0120</t>
  </si>
  <si>
    <t xml:space="preserve">S0121</t>
  </si>
  <si>
    <t xml:space="preserve">Rohan Bhatt</t>
  </si>
  <si>
    <t xml:space="preserve">S0122</t>
  </si>
  <si>
    <t xml:space="preserve">Isha Pandey</t>
  </si>
  <si>
    <t xml:space="preserve">S0123</t>
  </si>
  <si>
    <t xml:space="preserve">S0124</t>
  </si>
  <si>
    <t xml:space="preserve">Manish Tiwari</t>
  </si>
  <si>
    <t xml:space="preserve">S0125</t>
  </si>
  <si>
    <t xml:space="preserve">Pooja Yadav</t>
  </si>
  <si>
    <t xml:space="preserve">S0126</t>
  </si>
  <si>
    <t xml:space="preserve">Mohit Chauhan</t>
  </si>
  <si>
    <t xml:space="preserve">S0127</t>
  </si>
  <si>
    <t xml:space="preserve">Tushar Singh</t>
  </si>
  <si>
    <t xml:space="preserve">S0128</t>
  </si>
  <si>
    <t xml:space="preserve">Ayush Kapoor</t>
  </si>
  <si>
    <t xml:space="preserve">S0129</t>
  </si>
  <si>
    <t xml:space="preserve">Reyansh Reddy</t>
  </si>
  <si>
    <t xml:space="preserve">S0130</t>
  </si>
  <si>
    <t xml:space="preserve">Mohit Agarwal</t>
  </si>
  <si>
    <t xml:space="preserve">S0131</t>
  </si>
  <si>
    <t xml:space="preserve">Nikhil Joshi</t>
  </si>
  <si>
    <t xml:space="preserve">S0132</t>
  </si>
  <si>
    <t xml:space="preserve">Neha Jain</t>
  </si>
  <si>
    <t xml:space="preserve">S0133</t>
  </si>
  <si>
    <t xml:space="preserve">Rahul Agarwal</t>
  </si>
  <si>
    <t xml:space="preserve">S0134</t>
  </si>
  <si>
    <t xml:space="preserve">Harsh Kulkarni</t>
  </si>
  <si>
    <t xml:space="preserve">S0135</t>
  </si>
  <si>
    <t xml:space="preserve">Shreya Bhatt</t>
  </si>
  <si>
    <t xml:space="preserve">S0136</t>
  </si>
  <si>
    <t xml:space="preserve">Manish Menon</t>
  </si>
  <si>
    <t xml:space="preserve">S0137</t>
  </si>
  <si>
    <t xml:space="preserve">Manish Kulkarni</t>
  </si>
  <si>
    <t xml:space="preserve">S0138</t>
  </si>
  <si>
    <t xml:space="preserve">Ananya Agarwal</t>
  </si>
  <si>
    <t xml:space="preserve">S0139</t>
  </si>
  <si>
    <t xml:space="preserve">Riya Agarwal</t>
  </si>
  <si>
    <t xml:space="preserve">S0140</t>
  </si>
  <si>
    <t xml:space="preserve">Harsh Rao</t>
  </si>
  <si>
    <t xml:space="preserve">S0141</t>
  </si>
  <si>
    <t xml:space="preserve">Rahul Kapoor</t>
  </si>
  <si>
    <t xml:space="preserve">S0142</t>
  </si>
  <si>
    <t xml:space="preserve">Tushar Joshi</t>
  </si>
  <si>
    <t xml:space="preserve">S0143</t>
  </si>
  <si>
    <t xml:space="preserve">Nikhil Bhatt</t>
  </si>
  <si>
    <t xml:space="preserve">S0144</t>
  </si>
  <si>
    <t xml:space="preserve">S0145</t>
  </si>
  <si>
    <t xml:space="preserve">Arjun Mishra</t>
  </si>
  <si>
    <t xml:space="preserve">S0146</t>
  </si>
  <si>
    <t xml:space="preserve">Karan Banerjee</t>
  </si>
  <si>
    <t xml:space="preserve">S0147</t>
  </si>
  <si>
    <t xml:space="preserve">Yash Sharma</t>
  </si>
  <si>
    <t xml:space="preserve">S0148</t>
  </si>
  <si>
    <t xml:space="preserve">Sneha Malhotra</t>
  </si>
  <si>
    <t xml:space="preserve">S0149</t>
  </si>
  <si>
    <t xml:space="preserve">S0150</t>
  </si>
  <si>
    <t xml:space="preserve">Harsh Agarwal</t>
  </si>
  <si>
    <t xml:space="preserve">S0151</t>
  </si>
  <si>
    <t xml:space="preserve">Diya Tiwari</t>
  </si>
  <si>
    <t xml:space="preserve">S0152</t>
  </si>
  <si>
    <t xml:space="preserve">Ananya Banerjee</t>
  </si>
  <si>
    <t xml:space="preserve">S0153</t>
  </si>
  <si>
    <t xml:space="preserve">Harsh Singh</t>
  </si>
  <si>
    <t xml:space="preserve">S0154</t>
  </si>
  <si>
    <t xml:space="preserve">Sneha Pandey</t>
  </si>
  <si>
    <t xml:space="preserve">S0155</t>
  </si>
  <si>
    <t xml:space="preserve">Naina Mehta</t>
  </si>
  <si>
    <t xml:space="preserve">S0156</t>
  </si>
  <si>
    <t xml:space="preserve">Divya Jain</t>
  </si>
  <si>
    <t xml:space="preserve">S0157</t>
  </si>
  <si>
    <t xml:space="preserve">S0158</t>
  </si>
  <si>
    <t xml:space="preserve">Tanvi Agarwal</t>
  </si>
  <si>
    <t xml:space="preserve">S0159</t>
  </si>
  <si>
    <t xml:space="preserve">Pooja Gupta</t>
  </si>
  <si>
    <t xml:space="preserve">S0160</t>
  </si>
  <si>
    <t xml:space="preserve">S0161</t>
  </si>
  <si>
    <t xml:space="preserve">Yash Das</t>
  </si>
  <si>
    <t xml:space="preserve">S0162</t>
  </si>
  <si>
    <t xml:space="preserve">Meera Reddy</t>
  </si>
  <si>
    <t xml:space="preserve">S0163</t>
  </si>
  <si>
    <t xml:space="preserve">S0164</t>
  </si>
  <si>
    <t xml:space="preserve">Shreya Nair</t>
  </si>
  <si>
    <t xml:space="preserve">S0165</t>
  </si>
  <si>
    <t xml:space="preserve">Tushar Kulkarni</t>
  </si>
  <si>
    <t xml:space="preserve">S0166</t>
  </si>
  <si>
    <t xml:space="preserve">Simran Menon</t>
  </si>
  <si>
    <t xml:space="preserve">S0167</t>
  </si>
  <si>
    <t xml:space="preserve">Kavya Nair</t>
  </si>
  <si>
    <t xml:space="preserve">S0168</t>
  </si>
  <si>
    <t xml:space="preserve">S0169</t>
  </si>
  <si>
    <t xml:space="preserve">Pooja Mishra</t>
  </si>
  <si>
    <t xml:space="preserve">S0170</t>
  </si>
  <si>
    <t xml:space="preserve">Simran Reddy</t>
  </si>
  <si>
    <t xml:space="preserve">S0171</t>
  </si>
  <si>
    <t xml:space="preserve">Priya Rao</t>
  </si>
  <si>
    <t xml:space="preserve">S0172</t>
  </si>
  <si>
    <t xml:space="preserve">S0173</t>
  </si>
  <si>
    <t xml:space="preserve">Pooja Joshi</t>
  </si>
  <si>
    <t xml:space="preserve">S0174</t>
  </si>
  <si>
    <t xml:space="preserve">Tushar Nair</t>
  </si>
  <si>
    <t xml:space="preserve">S0175</t>
  </si>
  <si>
    <t xml:space="preserve">Kabir Rao</t>
  </si>
  <si>
    <t xml:space="preserve">S0176</t>
  </si>
  <si>
    <t xml:space="preserve">Riya Gupta</t>
  </si>
  <si>
    <t xml:space="preserve">S0177</t>
  </si>
  <si>
    <t xml:space="preserve">Tushar Rao</t>
  </si>
  <si>
    <t xml:space="preserve">S0178</t>
  </si>
  <si>
    <t xml:space="preserve">S0179</t>
  </si>
  <si>
    <t xml:space="preserve">Pooja Iyer</t>
  </si>
  <si>
    <t xml:space="preserve">S0180</t>
  </si>
  <si>
    <t xml:space="preserve">Mohit Jain</t>
  </si>
  <si>
    <t xml:space="preserve">S0181</t>
  </si>
  <si>
    <t xml:space="preserve">Aarav Gupta</t>
  </si>
  <si>
    <t xml:space="preserve">Batch 2025</t>
  </si>
  <si>
    <t xml:space="preserve">S0182</t>
  </si>
  <si>
    <t xml:space="preserve">S0183</t>
  </si>
  <si>
    <t xml:space="preserve">S0184</t>
  </si>
  <si>
    <t xml:space="preserve">Varun Agarwal</t>
  </si>
  <si>
    <t xml:space="preserve">S0185</t>
  </si>
  <si>
    <t xml:space="preserve">S0186</t>
  </si>
  <si>
    <t xml:space="preserve">Aisha Joshi</t>
  </si>
  <si>
    <t xml:space="preserve">S0187</t>
  </si>
  <si>
    <t xml:space="preserve">Isha Reddy</t>
  </si>
  <si>
    <t xml:space="preserve">S0188</t>
  </si>
  <si>
    <t xml:space="preserve">Aisha Sharma</t>
  </si>
  <si>
    <t xml:space="preserve">S0189</t>
  </si>
  <si>
    <t xml:space="preserve">Arjun Bhatt</t>
  </si>
  <si>
    <t xml:space="preserve">S0190</t>
  </si>
  <si>
    <t xml:space="preserve">Vivaan Singh</t>
  </si>
  <si>
    <t xml:space="preserve">S0191</t>
  </si>
  <si>
    <t xml:space="preserve">Kabir Menon</t>
  </si>
  <si>
    <t xml:space="preserve">S0192</t>
  </si>
  <si>
    <t xml:space="preserve">Kavya Patel</t>
  </si>
  <si>
    <t xml:space="preserve">S0193</t>
  </si>
  <si>
    <t xml:space="preserve">S0194</t>
  </si>
  <si>
    <t xml:space="preserve">Ayush Jain</t>
  </si>
  <si>
    <t xml:space="preserve">S0195</t>
  </si>
  <si>
    <t xml:space="preserve">S0196</t>
  </si>
  <si>
    <t xml:space="preserve">Priya Tiwari</t>
  </si>
  <si>
    <t xml:space="preserve">S0197</t>
  </si>
  <si>
    <t xml:space="preserve">Karan Tiwari</t>
  </si>
  <si>
    <t xml:space="preserve">S0198</t>
  </si>
  <si>
    <t xml:space="preserve">S0199</t>
  </si>
  <si>
    <t xml:space="preserve">Isha Jain</t>
  </si>
  <si>
    <t xml:space="preserve">S0200</t>
  </si>
  <si>
    <t xml:space="preserve">Sneha Kapoor</t>
  </si>
  <si>
    <t xml:space="preserve">S0201</t>
  </si>
  <si>
    <t xml:space="preserve">Priya Singh</t>
  </si>
  <si>
    <t xml:space="preserve">S0202</t>
  </si>
  <si>
    <t xml:space="preserve">Diya Mishra</t>
  </si>
  <si>
    <t xml:space="preserve">S0203</t>
  </si>
  <si>
    <t xml:space="preserve">Tanvi Nair</t>
  </si>
  <si>
    <t xml:space="preserve">S0204</t>
  </si>
  <si>
    <t xml:space="preserve">Ayush Rao</t>
  </si>
  <si>
    <t xml:space="preserve">S0205</t>
  </si>
  <si>
    <t xml:space="preserve">Diya Kulkarni</t>
  </si>
  <si>
    <t xml:space="preserve">S0206</t>
  </si>
  <si>
    <t xml:space="preserve">Riya Chauhan</t>
  </si>
  <si>
    <t xml:space="preserve">S0207</t>
  </si>
  <si>
    <t xml:space="preserve">S0208</t>
  </si>
  <si>
    <t xml:space="preserve">Riya Das</t>
  </si>
  <si>
    <t xml:space="preserve">S0209</t>
  </si>
  <si>
    <t xml:space="preserve">S0210</t>
  </si>
  <si>
    <t xml:space="preserve">Priya Malhotra</t>
  </si>
  <si>
    <t xml:space="preserve">S0211</t>
  </si>
  <si>
    <t xml:space="preserve">Isha Bhatt</t>
  </si>
  <si>
    <t xml:space="preserve">S0212</t>
  </si>
  <si>
    <t xml:space="preserve">Saanvi Malhotra</t>
  </si>
  <si>
    <t xml:space="preserve">S0213</t>
  </si>
  <si>
    <t xml:space="preserve">Aisha Malhotra</t>
  </si>
  <si>
    <t xml:space="preserve">S0214</t>
  </si>
  <si>
    <t xml:space="preserve">Saanvi Reddy</t>
  </si>
  <si>
    <t xml:space="preserve">S0215</t>
  </si>
  <si>
    <t xml:space="preserve">Priya Mehta</t>
  </si>
  <si>
    <t xml:space="preserve">S0216</t>
  </si>
  <si>
    <t xml:space="preserve">Harsh Chauhan</t>
  </si>
  <si>
    <t xml:space="preserve">S0217</t>
  </si>
  <si>
    <t xml:space="preserve">S0218</t>
  </si>
  <si>
    <t xml:space="preserve">Diya Nair</t>
  </si>
  <si>
    <t xml:space="preserve">S0219</t>
  </si>
  <si>
    <t xml:space="preserve">Rahul Joshi</t>
  </si>
  <si>
    <t xml:space="preserve">S0220</t>
  </si>
  <si>
    <t xml:space="preserve">Kabir Mehta</t>
  </si>
  <si>
    <t xml:space="preserve">S0221</t>
  </si>
  <si>
    <t xml:space="preserve">Karan Chauhan</t>
  </si>
  <si>
    <t xml:space="preserve">S0222</t>
  </si>
  <si>
    <t xml:space="preserve">Saanvi Patel</t>
  </si>
  <si>
    <t xml:space="preserve">S0223</t>
  </si>
  <si>
    <t xml:space="preserve">S0224</t>
  </si>
  <si>
    <t xml:space="preserve">S0225</t>
  </si>
  <si>
    <t xml:space="preserve">Nikhil Nair</t>
  </si>
  <si>
    <t xml:space="preserve">S0226</t>
  </si>
  <si>
    <t xml:space="preserve">Tushar Yadav</t>
  </si>
  <si>
    <t xml:space="preserve">S0227</t>
  </si>
  <si>
    <t xml:space="preserve">Ishaan Mehta</t>
  </si>
  <si>
    <t xml:space="preserve">S0228</t>
  </si>
  <si>
    <t xml:space="preserve">Ayush Joshi</t>
  </si>
  <si>
    <t xml:space="preserve">S0229</t>
  </si>
  <si>
    <t xml:space="preserve">Varun Das</t>
  </si>
  <si>
    <t xml:space="preserve">S0230</t>
  </si>
  <si>
    <t xml:space="preserve">Nikhil Chauhan</t>
  </si>
  <si>
    <t xml:space="preserve">S0231</t>
  </si>
  <si>
    <t xml:space="preserve">S0232</t>
  </si>
  <si>
    <t xml:space="preserve">Sneha Rao</t>
  </si>
  <si>
    <t xml:space="preserve">S0233</t>
  </si>
  <si>
    <t xml:space="preserve">S0234</t>
  </si>
  <si>
    <t xml:space="preserve">Divya Singh</t>
  </si>
  <si>
    <t xml:space="preserve">S0235</t>
  </si>
  <si>
    <t xml:space="preserve">Divya Patel</t>
  </si>
  <si>
    <t xml:space="preserve">S0236</t>
  </si>
  <si>
    <t xml:space="preserve">Tushar Banerjee</t>
  </si>
  <si>
    <t xml:space="preserve">S0237</t>
  </si>
  <si>
    <t xml:space="preserve">Rahul Jain</t>
  </si>
  <si>
    <t xml:space="preserve">S0238</t>
  </si>
  <si>
    <t xml:space="preserve">S0239</t>
  </si>
  <si>
    <t xml:space="preserve">Rohan Tiwari</t>
  </si>
  <si>
    <t xml:space="preserve">S0240</t>
  </si>
  <si>
    <t xml:space="preserve">Sneha Verma</t>
  </si>
  <si>
    <t xml:space="preserve">S0241</t>
  </si>
  <si>
    <t xml:space="preserve">Manish Kapoor</t>
  </si>
  <si>
    <t xml:space="preserve">S0242</t>
  </si>
  <si>
    <t xml:space="preserve">Sneha Jain</t>
  </si>
  <si>
    <t xml:space="preserve">S0243</t>
  </si>
  <si>
    <t xml:space="preserve">Siddharth Banerjee</t>
  </si>
  <si>
    <t xml:space="preserve">S0244</t>
  </si>
  <si>
    <t xml:space="preserve">Ishaan Pandey</t>
  </si>
  <si>
    <t xml:space="preserve">S0245</t>
  </si>
  <si>
    <t xml:space="preserve">Sneha Gupta</t>
  </si>
  <si>
    <t xml:space="preserve">S0246</t>
  </si>
  <si>
    <t xml:space="preserve">Reyansh Joshi</t>
  </si>
  <si>
    <t xml:space="preserve">S0247</t>
  </si>
  <si>
    <t xml:space="preserve">S0248</t>
  </si>
  <si>
    <t xml:space="preserve">Rahul Iyer</t>
  </si>
  <si>
    <t xml:space="preserve">S0249</t>
  </si>
  <si>
    <t xml:space="preserve">Kabir Patel</t>
  </si>
  <si>
    <t xml:space="preserve">S0250</t>
  </si>
  <si>
    <t xml:space="preserve">Riya Pandey</t>
  </si>
  <si>
    <t xml:space="preserve">S0251</t>
  </si>
  <si>
    <t xml:space="preserve">Aditya Patel</t>
  </si>
  <si>
    <t xml:space="preserve">S0252</t>
  </si>
  <si>
    <t xml:space="preserve">Karan Malhotra</t>
  </si>
  <si>
    <t xml:space="preserve">S0253</t>
  </si>
  <si>
    <t xml:space="preserve">Aditya Pandey</t>
  </si>
  <si>
    <t xml:space="preserve">S0254</t>
  </si>
  <si>
    <t xml:space="preserve">Tushar Bhatt</t>
  </si>
  <si>
    <t xml:space="preserve">S0255</t>
  </si>
  <si>
    <t xml:space="preserve">S0256</t>
  </si>
  <si>
    <t xml:space="preserve">S0257</t>
  </si>
  <si>
    <t xml:space="preserve">Diya Chauhan</t>
  </si>
  <si>
    <t xml:space="preserve">S0258</t>
  </si>
  <si>
    <t xml:space="preserve">S0259</t>
  </si>
  <si>
    <t xml:space="preserve">Varun Jain</t>
  </si>
  <si>
    <t xml:space="preserve">S0260</t>
  </si>
  <si>
    <t xml:space="preserve">Rohan Singh</t>
  </si>
  <si>
    <t xml:space="preserve">S0261</t>
  </si>
  <si>
    <t xml:space="preserve">Aarav Singh</t>
  </si>
  <si>
    <t xml:space="preserve">S0262</t>
  </si>
  <si>
    <t xml:space="preserve">Manish Malhotra</t>
  </si>
  <si>
    <t xml:space="preserve">S0263</t>
  </si>
  <si>
    <t xml:space="preserve">Saanvi Yadav</t>
  </si>
  <si>
    <t xml:space="preserve">S0264</t>
  </si>
  <si>
    <t xml:space="preserve">Meera Singh</t>
  </si>
  <si>
    <t xml:space="preserve">S0265</t>
  </si>
  <si>
    <t xml:space="preserve">Arjun Gupta</t>
  </si>
  <si>
    <t xml:space="preserve">S0266</t>
  </si>
  <si>
    <t xml:space="preserve">S0267</t>
  </si>
  <si>
    <t xml:space="preserve">Divya Menon</t>
  </si>
  <si>
    <t xml:space="preserve">S0268</t>
  </si>
  <si>
    <t xml:space="preserve">Rohan Agarwal</t>
  </si>
  <si>
    <t xml:space="preserve">S0269</t>
  </si>
  <si>
    <t xml:space="preserve">S0270</t>
  </si>
  <si>
    <t xml:space="preserve">S0271</t>
  </si>
  <si>
    <t xml:space="preserve">Karan Yadav</t>
  </si>
  <si>
    <t xml:space="preserve">S0272</t>
  </si>
  <si>
    <t xml:space="preserve">Riya Banerjee</t>
  </si>
  <si>
    <t xml:space="preserve">S0273</t>
  </si>
  <si>
    <t xml:space="preserve">Vivaan Iyer</t>
  </si>
  <si>
    <t xml:space="preserve">S0274</t>
  </si>
  <si>
    <t xml:space="preserve">Diya Agarwal</t>
  </si>
  <si>
    <t xml:space="preserve">S0275</t>
  </si>
  <si>
    <t xml:space="preserve">Kavya Kulkarni</t>
  </si>
  <si>
    <t xml:space="preserve">S0276</t>
  </si>
  <si>
    <t xml:space="preserve">Aditya Jain</t>
  </si>
  <si>
    <t xml:space="preserve">S0277</t>
  </si>
  <si>
    <t xml:space="preserve">S0278</t>
  </si>
  <si>
    <t xml:space="preserve">S0279</t>
  </si>
  <si>
    <t xml:space="preserve">S0280</t>
  </si>
  <si>
    <t xml:space="preserve">Aditya Mishra</t>
  </si>
  <si>
    <t xml:space="preserve">S0281</t>
  </si>
  <si>
    <t xml:space="preserve">Aisha Yadav</t>
  </si>
  <si>
    <t xml:space="preserve">S0282</t>
  </si>
  <si>
    <t xml:space="preserve">Rahul Mishra</t>
  </si>
  <si>
    <t xml:space="preserve">S0283</t>
  </si>
  <si>
    <t xml:space="preserve">Ayush Kulkarni</t>
  </si>
  <si>
    <t xml:space="preserve">S0284</t>
  </si>
  <si>
    <t xml:space="preserve">Isha Gupta</t>
  </si>
  <si>
    <t xml:space="preserve">S0285</t>
  </si>
  <si>
    <t xml:space="preserve">Manish Pandey</t>
  </si>
  <si>
    <t xml:space="preserve">S0286</t>
  </si>
  <si>
    <t xml:space="preserve">Mohit Menon</t>
  </si>
  <si>
    <t xml:space="preserve">S0287</t>
  </si>
  <si>
    <t xml:space="preserve">Tanvi Pandey</t>
  </si>
  <si>
    <t xml:space="preserve">S0288</t>
  </si>
  <si>
    <t xml:space="preserve">Siddharth Reddy</t>
  </si>
  <si>
    <t xml:space="preserve">S0289</t>
  </si>
  <si>
    <t xml:space="preserve">Aditya Nair</t>
  </si>
  <si>
    <t xml:space="preserve">S0290</t>
  </si>
  <si>
    <t xml:space="preserve">Tushar Sharma</t>
  </si>
  <si>
    <t xml:space="preserve">S0291</t>
  </si>
  <si>
    <t xml:space="preserve">Tanvi Mishra</t>
  </si>
  <si>
    <t xml:space="preserve">S0292</t>
  </si>
  <si>
    <t xml:space="preserve">S0293</t>
  </si>
  <si>
    <t xml:space="preserve">S0294</t>
  </si>
  <si>
    <t xml:space="preserve">Tanvi Singh</t>
  </si>
  <si>
    <t xml:space="preserve">S0295</t>
  </si>
  <si>
    <t xml:space="preserve">Divya Nair</t>
  </si>
  <si>
    <t xml:space="preserve">S0296</t>
  </si>
  <si>
    <t xml:space="preserve">Dev Kulkarni</t>
  </si>
  <si>
    <t xml:space="preserve">S0297</t>
  </si>
  <si>
    <t xml:space="preserve">Mohit Das</t>
  </si>
  <si>
    <t xml:space="preserve">S0298</t>
  </si>
  <si>
    <t xml:space="preserve">Shreya Das</t>
  </si>
  <si>
    <t xml:space="preserve">S0299</t>
  </si>
  <si>
    <t xml:space="preserve">S0300</t>
  </si>
  <si>
    <t xml:space="preserve">Nikhil Mehta</t>
  </si>
  <si>
    <t xml:space="preserve">S0301</t>
  </si>
  <si>
    <t xml:space="preserve">Kabir Agarwal</t>
  </si>
  <si>
    <t xml:space="preserve">S0302</t>
  </si>
  <si>
    <t xml:space="preserve">Isha Kulkarni</t>
  </si>
  <si>
    <t xml:space="preserve">S0303</t>
  </si>
  <si>
    <t xml:space="preserve">S0304</t>
  </si>
  <si>
    <t xml:space="preserve">Isha Singh</t>
  </si>
  <si>
    <t xml:space="preserve">S0305</t>
  </si>
  <si>
    <t xml:space="preserve">Saanvi Sharma</t>
  </si>
  <si>
    <t xml:space="preserve">S0306</t>
  </si>
  <si>
    <t xml:space="preserve">S0307</t>
  </si>
  <si>
    <t xml:space="preserve">Ishaan Nair</t>
  </si>
  <si>
    <t xml:space="preserve">S0308</t>
  </si>
  <si>
    <t xml:space="preserve">Neha Iyer</t>
  </si>
  <si>
    <t xml:space="preserve">S0309</t>
  </si>
  <si>
    <t xml:space="preserve">S0310</t>
  </si>
  <si>
    <t xml:space="preserve">Ananya Rao</t>
  </si>
  <si>
    <t xml:space="preserve">S0311</t>
  </si>
  <si>
    <t xml:space="preserve">S0312</t>
  </si>
  <si>
    <t xml:space="preserve">Neha Joshi</t>
  </si>
  <si>
    <t xml:space="preserve">S0313</t>
  </si>
  <si>
    <t xml:space="preserve">S0314</t>
  </si>
  <si>
    <t xml:space="preserve">Simran Chauhan</t>
  </si>
  <si>
    <t xml:space="preserve">S0315</t>
  </si>
  <si>
    <t xml:space="preserve">S0316</t>
  </si>
  <si>
    <t xml:space="preserve">Isha Patel</t>
  </si>
  <si>
    <t xml:space="preserve">S0317</t>
  </si>
  <si>
    <t xml:space="preserve">S0318</t>
  </si>
  <si>
    <t xml:space="preserve">Aman Nair</t>
  </si>
  <si>
    <t xml:space="preserve">S0319</t>
  </si>
  <si>
    <t xml:space="preserve">Nikhil Singh</t>
  </si>
  <si>
    <t xml:space="preserve">S0320</t>
  </si>
  <si>
    <t xml:space="preserve">Pooja Menon</t>
  </si>
  <si>
    <t xml:space="preserve">S0321</t>
  </si>
  <si>
    <t xml:space="preserve">S0322</t>
  </si>
  <si>
    <t xml:space="preserve">Mohit Patel</t>
  </si>
  <si>
    <t xml:space="preserve">S0323</t>
  </si>
  <si>
    <t xml:space="preserve">Kavya Iyer</t>
  </si>
  <si>
    <t xml:space="preserve">S0324</t>
  </si>
  <si>
    <t xml:space="preserve">Isha Malhotra</t>
  </si>
  <si>
    <t xml:space="preserve">S0325</t>
  </si>
  <si>
    <t xml:space="preserve">Neha Rao</t>
  </si>
  <si>
    <t xml:space="preserve">S0326</t>
  </si>
  <si>
    <t xml:space="preserve">Nikhil Iyer</t>
  </si>
  <si>
    <t xml:space="preserve">S0327</t>
  </si>
  <si>
    <t xml:space="preserve">Aditya Singh</t>
  </si>
  <si>
    <t xml:space="preserve">S0328</t>
  </si>
  <si>
    <t xml:space="preserve">Karan Kapoor</t>
  </si>
  <si>
    <t xml:space="preserve">S0329</t>
  </si>
  <si>
    <t xml:space="preserve">Vivaan Agarwal</t>
  </si>
  <si>
    <t xml:space="preserve">S0330</t>
  </si>
  <si>
    <t xml:space="preserve">Siddharth Bhatt</t>
  </si>
  <si>
    <t xml:space="preserve">S0331</t>
  </si>
  <si>
    <t xml:space="preserve">Aditya Malhotra</t>
  </si>
  <si>
    <t xml:space="preserve">S0332</t>
  </si>
  <si>
    <t xml:space="preserve">Aditya Sharma</t>
  </si>
  <si>
    <t xml:space="preserve">S0333</t>
  </si>
  <si>
    <t xml:space="preserve">Ananya Mehta</t>
  </si>
  <si>
    <t xml:space="preserve">S0334</t>
  </si>
  <si>
    <t xml:space="preserve">S0335</t>
  </si>
  <si>
    <t xml:space="preserve">Varun Kapoor</t>
  </si>
  <si>
    <t xml:space="preserve">S0336</t>
  </si>
  <si>
    <t xml:space="preserve">S0337</t>
  </si>
  <si>
    <t xml:space="preserve">Ayush Mehta</t>
  </si>
  <si>
    <t xml:space="preserve">S0338</t>
  </si>
  <si>
    <t xml:space="preserve">S0339</t>
  </si>
  <si>
    <t xml:space="preserve">Kavya Jain</t>
  </si>
  <si>
    <t xml:space="preserve">S0340</t>
  </si>
  <si>
    <t xml:space="preserve">Siddharth Kapoor</t>
  </si>
  <si>
    <t xml:space="preserve">S0341</t>
  </si>
  <si>
    <t xml:space="preserve">Siddharth Rao</t>
  </si>
  <si>
    <t xml:space="preserve">S0342</t>
  </si>
  <si>
    <t xml:space="preserve">Aman Malhotra</t>
  </si>
  <si>
    <t xml:space="preserve">S0343</t>
  </si>
  <si>
    <t xml:space="preserve">Simran Mishra</t>
  </si>
  <si>
    <t xml:space="preserve">S0344</t>
  </si>
  <si>
    <t xml:space="preserve">Meera Nair</t>
  </si>
  <si>
    <t xml:space="preserve">S0345</t>
  </si>
  <si>
    <t xml:space="preserve">Aarav Malhotra</t>
  </si>
  <si>
    <t xml:space="preserve">S0346</t>
  </si>
  <si>
    <t xml:space="preserve">Riya Malhotra</t>
  </si>
  <si>
    <t xml:space="preserve">S0347</t>
  </si>
  <si>
    <t xml:space="preserve">S0348</t>
  </si>
  <si>
    <t xml:space="preserve">Diya Pandey</t>
  </si>
  <si>
    <t xml:space="preserve">S0349</t>
  </si>
  <si>
    <t xml:space="preserve">S0350</t>
  </si>
  <si>
    <t xml:space="preserve">S0351</t>
  </si>
  <si>
    <t xml:space="preserve">Manish Patel</t>
  </si>
  <si>
    <t xml:space="preserve">S0352</t>
  </si>
  <si>
    <t xml:space="preserve">Rahul Bhatt</t>
  </si>
  <si>
    <t xml:space="preserve">S0353</t>
  </si>
  <si>
    <t xml:space="preserve">S0354</t>
  </si>
  <si>
    <t xml:space="preserve">Varun Iyer</t>
  </si>
  <si>
    <t xml:space="preserve">S0355</t>
  </si>
  <si>
    <t xml:space="preserve">Reyansh Malhotra</t>
  </si>
  <si>
    <t xml:space="preserve">S0356</t>
  </si>
  <si>
    <t xml:space="preserve">Simran Tiwari</t>
  </si>
  <si>
    <t xml:space="preserve">S0357</t>
  </si>
  <si>
    <t xml:space="preserve">Harsh Patel</t>
  </si>
  <si>
    <t xml:space="preserve">S0358</t>
  </si>
  <si>
    <t xml:space="preserve">Simran Mehta</t>
  </si>
  <si>
    <t xml:space="preserve">S0359</t>
  </si>
  <si>
    <t xml:space="preserve">S0360</t>
  </si>
  <si>
    <t xml:space="preserve">S0361</t>
  </si>
  <si>
    <t xml:space="preserve">Naina Iyer</t>
  </si>
  <si>
    <t xml:space="preserve">S0362</t>
  </si>
  <si>
    <t xml:space="preserve">S0363</t>
  </si>
  <si>
    <t xml:space="preserve">Reyansh Nair</t>
  </si>
  <si>
    <t xml:space="preserve">S0364</t>
  </si>
  <si>
    <t xml:space="preserve">Priya Joshi</t>
  </si>
  <si>
    <t xml:space="preserve">S0365</t>
  </si>
  <si>
    <t xml:space="preserve">S0366</t>
  </si>
  <si>
    <t xml:space="preserve">Harsh Jain</t>
  </si>
  <si>
    <t xml:space="preserve">S0367</t>
  </si>
  <si>
    <t xml:space="preserve">Reyansh Menon</t>
  </si>
  <si>
    <t xml:space="preserve">S0368</t>
  </si>
  <si>
    <t xml:space="preserve">S0369</t>
  </si>
  <si>
    <t xml:space="preserve">Ayush Mishra</t>
  </si>
  <si>
    <t xml:space="preserve">S0370</t>
  </si>
  <si>
    <t xml:space="preserve">Varun Verma</t>
  </si>
  <si>
    <t xml:space="preserve">S0371</t>
  </si>
  <si>
    <t xml:space="preserve">Karan Menon</t>
  </si>
  <si>
    <t xml:space="preserve">S0372</t>
  </si>
  <si>
    <t xml:space="preserve">Ishaan Gupta</t>
  </si>
  <si>
    <t xml:space="preserve">S0373</t>
  </si>
  <si>
    <t xml:space="preserve">S0374</t>
  </si>
  <si>
    <t xml:space="preserve">Tushar Malhotra</t>
  </si>
  <si>
    <t xml:space="preserve">S0375</t>
  </si>
  <si>
    <t xml:space="preserve">S0376</t>
  </si>
  <si>
    <t xml:space="preserve">Tanvi Das</t>
  </si>
  <si>
    <t xml:space="preserve">S0377</t>
  </si>
  <si>
    <t xml:space="preserve">Rohan Chauhan</t>
  </si>
  <si>
    <t xml:space="preserve">S0378</t>
  </si>
  <si>
    <t xml:space="preserve">Divya Bhatt</t>
  </si>
  <si>
    <t xml:space="preserve">S0379</t>
  </si>
  <si>
    <t xml:space="preserve">Ananya Sharma</t>
  </si>
  <si>
    <t xml:space="preserve">S0380</t>
  </si>
  <si>
    <t xml:space="preserve">Nikhil Menon</t>
  </si>
  <si>
    <t xml:space="preserve">S0381</t>
  </si>
  <si>
    <t xml:space="preserve">Vivaan Tiwari</t>
  </si>
  <si>
    <t xml:space="preserve">Batch 2026</t>
  </si>
  <si>
    <t xml:space="preserve">S0382</t>
  </si>
  <si>
    <t xml:space="preserve">S0383</t>
  </si>
  <si>
    <t xml:space="preserve">S0384</t>
  </si>
  <si>
    <t xml:space="preserve">S0385</t>
  </si>
  <si>
    <t xml:space="preserve">S0386</t>
  </si>
  <si>
    <t xml:space="preserve">Rohan Yadav</t>
  </si>
  <si>
    <t xml:space="preserve">S0387</t>
  </si>
  <si>
    <t xml:space="preserve">Neha Das</t>
  </si>
  <si>
    <t xml:space="preserve">S0388</t>
  </si>
  <si>
    <t xml:space="preserve">Aditya Kapoor</t>
  </si>
  <si>
    <t xml:space="preserve">S0389</t>
  </si>
  <si>
    <t xml:space="preserve">S0390</t>
  </si>
  <si>
    <t xml:space="preserve">Yash Kulkarni</t>
  </si>
  <si>
    <t xml:space="preserve">S0391</t>
  </si>
  <si>
    <t xml:space="preserve">Ishaan Malhotra</t>
  </si>
  <si>
    <t xml:space="preserve">S0392</t>
  </si>
  <si>
    <t xml:space="preserve">Aditya Mehta</t>
  </si>
  <si>
    <t xml:space="preserve">S0393</t>
  </si>
  <si>
    <t xml:space="preserve">S0394</t>
  </si>
  <si>
    <t xml:space="preserve">Harsh Banerjee</t>
  </si>
  <si>
    <t xml:space="preserve">S0395</t>
  </si>
  <si>
    <t xml:space="preserve">Divya Agarwal</t>
  </si>
  <si>
    <t xml:space="preserve">S0396</t>
  </si>
  <si>
    <t xml:space="preserve">Manish Mehta</t>
  </si>
  <si>
    <t xml:space="preserve">S0397</t>
  </si>
  <si>
    <t xml:space="preserve">S0398</t>
  </si>
  <si>
    <t xml:space="preserve">Aditya Banerjee</t>
  </si>
  <si>
    <t xml:space="preserve">S0399</t>
  </si>
  <si>
    <t xml:space="preserve">Karan Patel</t>
  </si>
  <si>
    <t xml:space="preserve">S0400</t>
  </si>
  <si>
    <t xml:space="preserve">Karan Mishra</t>
  </si>
  <si>
    <t xml:space="preserve">S0401</t>
  </si>
  <si>
    <t xml:space="preserve">S0402</t>
  </si>
  <si>
    <t xml:space="preserve">S0403</t>
  </si>
  <si>
    <t xml:space="preserve">Tushar Chauhan</t>
  </si>
  <si>
    <t xml:space="preserve">S0404</t>
  </si>
  <si>
    <t xml:space="preserve">S0405</t>
  </si>
  <si>
    <t xml:space="preserve">Yash Chauhan</t>
  </si>
  <si>
    <t xml:space="preserve">S0406</t>
  </si>
  <si>
    <t xml:space="preserve">S0407</t>
  </si>
  <si>
    <t xml:space="preserve">Kavya Yadav</t>
  </si>
  <si>
    <t xml:space="preserve">S0408</t>
  </si>
  <si>
    <t xml:space="preserve">S0409</t>
  </si>
  <si>
    <t xml:space="preserve">Naina Patel</t>
  </si>
  <si>
    <t xml:space="preserve">S0410</t>
  </si>
  <si>
    <t xml:space="preserve">S0411</t>
  </si>
  <si>
    <t xml:space="preserve">Kabir Iyer</t>
  </si>
  <si>
    <t xml:space="preserve">S0412</t>
  </si>
  <si>
    <t xml:space="preserve">Dev Mishra</t>
  </si>
  <si>
    <t xml:space="preserve">S0413</t>
  </si>
  <si>
    <t xml:space="preserve">S0414</t>
  </si>
  <si>
    <t xml:space="preserve">Diya Singh</t>
  </si>
  <si>
    <t xml:space="preserve">S0415</t>
  </si>
  <si>
    <t xml:space="preserve">S0416</t>
  </si>
  <si>
    <t xml:space="preserve">Pooja Bhatt</t>
  </si>
  <si>
    <t xml:space="preserve">S0417</t>
  </si>
  <si>
    <t xml:space="preserve">Aisha Banerjee</t>
  </si>
  <si>
    <t xml:space="preserve">S0418</t>
  </si>
  <si>
    <t xml:space="preserve">Ayush Bhatt</t>
  </si>
  <si>
    <t xml:space="preserve">S0419</t>
  </si>
  <si>
    <t xml:space="preserve">S0420</t>
  </si>
  <si>
    <t xml:space="preserve">S0421</t>
  </si>
  <si>
    <t xml:space="preserve">Naina Tiwari</t>
  </si>
  <si>
    <t xml:space="preserve">S0422</t>
  </si>
  <si>
    <t xml:space="preserve">Siddharth Malhotra</t>
  </si>
  <si>
    <t xml:space="preserve">S0423</t>
  </si>
  <si>
    <t xml:space="preserve">Ishaan Bhatt</t>
  </si>
  <si>
    <t xml:space="preserve">S0424</t>
  </si>
  <si>
    <t xml:space="preserve">Varun Menon</t>
  </si>
  <si>
    <t xml:space="preserve">S0425</t>
  </si>
  <si>
    <t xml:space="preserve">Aman Jain</t>
  </si>
  <si>
    <t xml:space="preserve">S0426</t>
  </si>
  <si>
    <t xml:space="preserve">Priya Mishra</t>
  </si>
  <si>
    <t xml:space="preserve">S0427</t>
  </si>
  <si>
    <t xml:space="preserve">Aditya Bhatt</t>
  </si>
  <si>
    <t xml:space="preserve">S0428</t>
  </si>
  <si>
    <t xml:space="preserve">Diya Rao</t>
  </si>
  <si>
    <t xml:space="preserve">S0429</t>
  </si>
  <si>
    <t xml:space="preserve">Saanvi Kapoor</t>
  </si>
  <si>
    <t xml:space="preserve">S0430</t>
  </si>
  <si>
    <t xml:space="preserve">Tushar Mehta</t>
  </si>
  <si>
    <t xml:space="preserve">S0431</t>
  </si>
  <si>
    <t xml:space="preserve">S0432</t>
  </si>
  <si>
    <t xml:space="preserve">S0433</t>
  </si>
  <si>
    <t xml:space="preserve">S0434</t>
  </si>
  <si>
    <t xml:space="preserve">S0435</t>
  </si>
  <si>
    <t xml:space="preserve">Yash Nair</t>
  </si>
  <si>
    <t xml:space="preserve">S0436</t>
  </si>
  <si>
    <t xml:space="preserve">Aman Rao</t>
  </si>
  <si>
    <t xml:space="preserve">S0437</t>
  </si>
  <si>
    <t xml:space="preserve">Sneha Mehta</t>
  </si>
  <si>
    <t xml:space="preserve">S0438</t>
  </si>
  <si>
    <t xml:space="preserve">S0439</t>
  </si>
  <si>
    <t xml:space="preserve">Ayush Agarwal</t>
  </si>
  <si>
    <t xml:space="preserve">S0440</t>
  </si>
  <si>
    <t xml:space="preserve">Simran Pandey</t>
  </si>
  <si>
    <t xml:space="preserve">S0441</t>
  </si>
  <si>
    <t xml:space="preserve">Vivaan Bhatt</t>
  </si>
  <si>
    <t xml:space="preserve">S0442</t>
  </si>
  <si>
    <t xml:space="preserve">S0443</t>
  </si>
  <si>
    <t xml:space="preserve">Sneha Das</t>
  </si>
  <si>
    <t xml:space="preserve">S0444</t>
  </si>
  <si>
    <t xml:space="preserve">Neha Singh</t>
  </si>
  <si>
    <t xml:space="preserve">S0445</t>
  </si>
  <si>
    <t xml:space="preserve">S0446</t>
  </si>
  <si>
    <t xml:space="preserve">S0447</t>
  </si>
  <si>
    <t xml:space="preserve">S0448</t>
  </si>
  <si>
    <t xml:space="preserve">S0449</t>
  </si>
  <si>
    <t xml:space="preserve">S0450</t>
  </si>
  <si>
    <t xml:space="preserve">S0451</t>
  </si>
  <si>
    <t xml:space="preserve">S0452</t>
  </si>
  <si>
    <t xml:space="preserve">Neha Mishra</t>
  </si>
  <si>
    <t xml:space="preserve">S0453</t>
  </si>
  <si>
    <t xml:space="preserve">Aman Sharma</t>
  </si>
  <si>
    <t xml:space="preserve">S0454</t>
  </si>
  <si>
    <t xml:space="preserve">Kavya Tiwari</t>
  </si>
  <si>
    <t xml:space="preserve">S0455</t>
  </si>
  <si>
    <t xml:space="preserve">S0456</t>
  </si>
  <si>
    <t xml:space="preserve">Aisha Chauhan</t>
  </si>
  <si>
    <t xml:space="preserve">S0457</t>
  </si>
  <si>
    <t xml:space="preserve">Saanvi Agarwal</t>
  </si>
  <si>
    <t xml:space="preserve">S0458</t>
  </si>
  <si>
    <t xml:space="preserve">S0459</t>
  </si>
  <si>
    <t xml:space="preserve">Priya Kapoor</t>
  </si>
  <si>
    <t xml:space="preserve">S0460</t>
  </si>
  <si>
    <t xml:space="preserve">S0461</t>
  </si>
  <si>
    <t xml:space="preserve">S0462</t>
  </si>
  <si>
    <t xml:space="preserve">S0463</t>
  </si>
  <si>
    <t xml:space="preserve">S0464</t>
  </si>
  <si>
    <t xml:space="preserve">Priya Agarwal</t>
  </si>
  <si>
    <t xml:space="preserve">S0465</t>
  </si>
  <si>
    <t xml:space="preserve">Yash Pandey</t>
  </si>
  <si>
    <t xml:space="preserve">S0466</t>
  </si>
  <si>
    <t xml:space="preserve">Kabir Gupta</t>
  </si>
  <si>
    <t xml:space="preserve">S0467</t>
  </si>
  <si>
    <t xml:space="preserve">Tushar Kapoor</t>
  </si>
  <si>
    <t xml:space="preserve">S0468</t>
  </si>
  <si>
    <t xml:space="preserve">S0469</t>
  </si>
  <si>
    <t xml:space="preserve">Ananya Gupta</t>
  </si>
  <si>
    <t xml:space="preserve">S0470</t>
  </si>
  <si>
    <t xml:space="preserve">Yash Rao</t>
  </si>
  <si>
    <t xml:space="preserve">S0471</t>
  </si>
  <si>
    <t xml:space="preserve">Isha Yadav</t>
  </si>
  <si>
    <t xml:space="preserve">S0472</t>
  </si>
  <si>
    <t xml:space="preserve">Siddharth Nair</t>
  </si>
  <si>
    <t xml:space="preserve">S0473</t>
  </si>
  <si>
    <t xml:space="preserve">S0474</t>
  </si>
  <si>
    <t xml:space="preserve">S0475</t>
  </si>
  <si>
    <t xml:space="preserve">Pooja Chauhan</t>
  </si>
  <si>
    <t xml:space="preserve">S0476</t>
  </si>
  <si>
    <t xml:space="preserve">S0477</t>
  </si>
  <si>
    <t xml:space="preserve">Sneha Patel</t>
  </si>
  <si>
    <t xml:space="preserve">S0478</t>
  </si>
  <si>
    <t xml:space="preserve">Karan Reddy</t>
  </si>
  <si>
    <t xml:space="preserve">S0479</t>
  </si>
  <si>
    <t xml:space="preserve">Rahul Reddy</t>
  </si>
  <si>
    <t xml:space="preserve">S0480</t>
  </si>
  <si>
    <t xml:space="preserve">Neha Tiwari</t>
  </si>
  <si>
    <t xml:space="preserve">S0481</t>
  </si>
  <si>
    <t xml:space="preserve">S0482</t>
  </si>
  <si>
    <t xml:space="preserve">Manish Nair</t>
  </si>
  <si>
    <t xml:space="preserve">S0483</t>
  </si>
  <si>
    <t xml:space="preserve">Arjun Reddy</t>
  </si>
  <si>
    <t xml:space="preserve">S0484</t>
  </si>
  <si>
    <t xml:space="preserve">S0485</t>
  </si>
  <si>
    <t xml:space="preserve">Mohit Singh</t>
  </si>
  <si>
    <t xml:space="preserve">S0486</t>
  </si>
  <si>
    <t xml:space="preserve">Neha Reddy</t>
  </si>
  <si>
    <t xml:space="preserve">S0487</t>
  </si>
  <si>
    <t xml:space="preserve">Isha Menon</t>
  </si>
  <si>
    <t xml:space="preserve">S0488</t>
  </si>
  <si>
    <t xml:space="preserve">S0489</t>
  </si>
  <si>
    <t xml:space="preserve">Shreya Mehta</t>
  </si>
  <si>
    <t xml:space="preserve">S0490</t>
  </si>
  <si>
    <t xml:space="preserve">S0491</t>
  </si>
  <si>
    <t xml:space="preserve">Yash Kapoor</t>
  </si>
  <si>
    <t xml:space="preserve">S0492</t>
  </si>
  <si>
    <t xml:space="preserve">Dev Reddy</t>
  </si>
  <si>
    <t xml:space="preserve">S0493</t>
  </si>
  <si>
    <t xml:space="preserve">Vivaan Reddy</t>
  </si>
  <si>
    <t xml:space="preserve">S0494</t>
  </si>
  <si>
    <t xml:space="preserve">Tanvi Reddy</t>
  </si>
  <si>
    <t xml:space="preserve">S0495</t>
  </si>
  <si>
    <t xml:space="preserve">Meera Tiwari</t>
  </si>
  <si>
    <t xml:space="preserve">S0496</t>
  </si>
  <si>
    <t xml:space="preserve">Tushar Gupta</t>
  </si>
  <si>
    <t xml:space="preserve">S0497</t>
  </si>
  <si>
    <t xml:space="preserve">S0498</t>
  </si>
  <si>
    <t xml:space="preserve">S0499</t>
  </si>
  <si>
    <t xml:space="preserve">Yash Patel</t>
  </si>
  <si>
    <t xml:space="preserve">S0500</t>
  </si>
  <si>
    <t xml:space="preserve">Pooja Jain</t>
  </si>
  <si>
    <t xml:space="preserve">S0501</t>
  </si>
  <si>
    <t xml:space="preserve">S0502</t>
  </si>
  <si>
    <t xml:space="preserve">S0503</t>
  </si>
  <si>
    <t xml:space="preserve">Arjun Verma</t>
  </si>
  <si>
    <t xml:space="preserve">S0504</t>
  </si>
  <si>
    <t xml:space="preserve">S0505</t>
  </si>
  <si>
    <t xml:space="preserve">S0506</t>
  </si>
  <si>
    <t xml:space="preserve">Pooja Sharma</t>
  </si>
  <si>
    <t xml:space="preserve">S0507</t>
  </si>
  <si>
    <t xml:space="preserve">Nikhil Tiwari</t>
  </si>
  <si>
    <t xml:space="preserve">S0508</t>
  </si>
  <si>
    <t xml:space="preserve">Ananya Menon</t>
  </si>
  <si>
    <t xml:space="preserve">S0509</t>
  </si>
  <si>
    <t xml:space="preserve">Naina Chauhan</t>
  </si>
  <si>
    <t xml:space="preserve">S0510</t>
  </si>
  <si>
    <t xml:space="preserve">S0511</t>
  </si>
  <si>
    <t xml:space="preserve">Ayush Yadav</t>
  </si>
  <si>
    <t xml:space="preserve">S0512</t>
  </si>
  <si>
    <t xml:space="preserve">S0513</t>
  </si>
  <si>
    <t xml:space="preserve">Arjun Kulkarni</t>
  </si>
  <si>
    <t xml:space="preserve">S0514</t>
  </si>
  <si>
    <t xml:space="preserve">S0515</t>
  </si>
  <si>
    <t xml:space="preserve">S0516</t>
  </si>
  <si>
    <t xml:space="preserve">S0517</t>
  </si>
  <si>
    <t xml:space="preserve">Ishaan Agarwal</t>
  </si>
  <si>
    <t xml:space="preserve">S0518</t>
  </si>
  <si>
    <t xml:space="preserve">Tanvi Chauhan</t>
  </si>
  <si>
    <t xml:space="preserve">S0519</t>
  </si>
  <si>
    <t xml:space="preserve">Ishaan Banerjee</t>
  </si>
  <si>
    <t xml:space="preserve">S0520</t>
  </si>
  <si>
    <t xml:space="preserve">Yash Bhatt</t>
  </si>
  <si>
    <t xml:space="preserve">S0521</t>
  </si>
  <si>
    <t xml:space="preserve">S0522</t>
  </si>
  <si>
    <t xml:space="preserve">Naina Agarwal</t>
  </si>
  <si>
    <t xml:space="preserve">S0523</t>
  </si>
  <si>
    <t xml:space="preserve">Neha Nair</t>
  </si>
  <si>
    <t xml:space="preserve">S0524</t>
  </si>
  <si>
    <t xml:space="preserve">S0525</t>
  </si>
  <si>
    <t xml:space="preserve">Rohan Verma</t>
  </si>
  <si>
    <t xml:space="preserve">S0526</t>
  </si>
  <si>
    <t xml:space="preserve">Nikhil Agarwal</t>
  </si>
  <si>
    <t xml:space="preserve">S0527</t>
  </si>
  <si>
    <t xml:space="preserve">Rohan Iyer</t>
  </si>
  <si>
    <t xml:space="preserve">S0528</t>
  </si>
  <si>
    <t xml:space="preserve">Aman Yadav</t>
  </si>
  <si>
    <t xml:space="preserve">S0529</t>
  </si>
  <si>
    <t xml:space="preserve">S0530</t>
  </si>
  <si>
    <t xml:space="preserve">Rahul Rao</t>
  </si>
  <si>
    <t xml:space="preserve">S0531</t>
  </si>
  <si>
    <t xml:space="preserve">Kavya Menon</t>
  </si>
  <si>
    <t xml:space="preserve">S0532</t>
  </si>
  <si>
    <t xml:space="preserve">S0533</t>
  </si>
  <si>
    <t xml:space="preserve">Naina Gupta</t>
  </si>
  <si>
    <t xml:space="preserve">S0534</t>
  </si>
  <si>
    <t xml:space="preserve">Neha Kulkarni</t>
  </si>
  <si>
    <t xml:space="preserve">S0535</t>
  </si>
  <si>
    <t xml:space="preserve">S0536</t>
  </si>
  <si>
    <t xml:space="preserve">Sneha Singh</t>
  </si>
  <si>
    <t xml:space="preserve">S0537</t>
  </si>
  <si>
    <t xml:space="preserve">Aman Bhatt</t>
  </si>
  <si>
    <t xml:space="preserve">S0538</t>
  </si>
  <si>
    <t xml:space="preserve">S0539</t>
  </si>
  <si>
    <t xml:space="preserve">S0540</t>
  </si>
  <si>
    <t xml:space="preserve">Pooja Banerjee</t>
  </si>
  <si>
    <t xml:space="preserve">S0541</t>
  </si>
  <si>
    <t xml:space="preserve">Aisha Mishra</t>
  </si>
  <si>
    <t xml:space="preserve">S0542</t>
  </si>
  <si>
    <t xml:space="preserve">S0543</t>
  </si>
  <si>
    <t xml:space="preserve">Diya Joshi</t>
  </si>
  <si>
    <t xml:space="preserve">S0544</t>
  </si>
  <si>
    <t xml:space="preserve">S0545</t>
  </si>
  <si>
    <t xml:space="preserve">S0546</t>
  </si>
  <si>
    <t xml:space="preserve">Harsh Iyer</t>
  </si>
  <si>
    <t xml:space="preserve">S0547</t>
  </si>
  <si>
    <t xml:space="preserve">Aditya Chauhan</t>
  </si>
  <si>
    <t xml:space="preserve">S0548</t>
  </si>
  <si>
    <t xml:space="preserve">Dev Agarwal</t>
  </si>
  <si>
    <t xml:space="preserve">S0549</t>
  </si>
  <si>
    <t xml:space="preserve">Aisha Kulkarni</t>
  </si>
  <si>
    <t xml:space="preserve">S0550</t>
  </si>
  <si>
    <t xml:space="preserve">S0551</t>
  </si>
  <si>
    <t xml:space="preserve">Nikhil Malhotra</t>
  </si>
  <si>
    <t xml:space="preserve">S0552</t>
  </si>
  <si>
    <t xml:space="preserve">S0553</t>
  </si>
  <si>
    <t xml:space="preserve">Priya Menon</t>
  </si>
  <si>
    <t xml:space="preserve">S0554</t>
  </si>
  <si>
    <t xml:space="preserve">S0555</t>
  </si>
  <si>
    <t xml:space="preserve">Riya Yadav</t>
  </si>
  <si>
    <t xml:space="preserve">S0556</t>
  </si>
  <si>
    <t xml:space="preserve">S0557</t>
  </si>
  <si>
    <t xml:space="preserve">S0558</t>
  </si>
  <si>
    <t xml:space="preserve">Shreya Menon</t>
  </si>
  <si>
    <t xml:space="preserve">S0559</t>
  </si>
  <si>
    <t xml:space="preserve">Siddharth Das</t>
  </si>
  <si>
    <t xml:space="preserve">S0560</t>
  </si>
  <si>
    <t xml:space="preserve">S0561</t>
  </si>
  <si>
    <t xml:space="preserve">Mohit Yadav</t>
  </si>
  <si>
    <t xml:space="preserve">S0562</t>
  </si>
  <si>
    <t xml:space="preserve">S0563</t>
  </si>
  <si>
    <t xml:space="preserve">Isha Sharma</t>
  </si>
  <si>
    <t xml:space="preserve">S0564</t>
  </si>
  <si>
    <t xml:space="preserve">Aman Singh</t>
  </si>
  <si>
    <t xml:space="preserve">S0565</t>
  </si>
  <si>
    <t xml:space="preserve">Ishaan Verma</t>
  </si>
  <si>
    <t xml:space="preserve">S0566</t>
  </si>
  <si>
    <t xml:space="preserve">S0567</t>
  </si>
  <si>
    <t xml:space="preserve">Harsh Mishra</t>
  </si>
  <si>
    <t xml:space="preserve">S0568</t>
  </si>
  <si>
    <t xml:space="preserve">Diya Bhatt</t>
  </si>
  <si>
    <t xml:space="preserve">S0569</t>
  </si>
  <si>
    <t xml:space="preserve">Meera Mehta</t>
  </si>
  <si>
    <t xml:space="preserve">S0570</t>
  </si>
  <si>
    <t xml:space="preserve">Reyansh Verma</t>
  </si>
  <si>
    <t xml:space="preserve">S0571</t>
  </si>
  <si>
    <t xml:space="preserve">S0572</t>
  </si>
  <si>
    <t xml:space="preserve">Dev Yadav</t>
  </si>
  <si>
    <t xml:space="preserve">S0573</t>
  </si>
  <si>
    <t xml:space="preserve">Naina Verma</t>
  </si>
  <si>
    <t xml:space="preserve">S0574</t>
  </si>
  <si>
    <t xml:space="preserve">S0575</t>
  </si>
  <si>
    <t xml:space="preserve">S0576</t>
  </si>
  <si>
    <t xml:space="preserve">S0577</t>
  </si>
  <si>
    <t xml:space="preserve">S0578</t>
  </si>
  <si>
    <t xml:space="preserve">S0579</t>
  </si>
  <si>
    <t xml:space="preserve">S0580</t>
  </si>
  <si>
    <t xml:space="preserve">Vivaan Das</t>
  </si>
  <si>
    <t xml:space="preserve">S0581</t>
  </si>
  <si>
    <t xml:space="preserve">S0582</t>
  </si>
  <si>
    <t xml:space="preserve">S0583</t>
  </si>
  <si>
    <t xml:space="preserve">Shreya Singh</t>
  </si>
  <si>
    <t xml:space="preserve">S0584</t>
  </si>
  <si>
    <t xml:space="preserve">Siddharth Jain</t>
  </si>
  <si>
    <t xml:space="preserve">S0585</t>
  </si>
  <si>
    <t xml:space="preserve">S0586</t>
  </si>
  <si>
    <t xml:space="preserve">Rohan Sharma</t>
  </si>
  <si>
    <t xml:space="preserve">S0587</t>
  </si>
  <si>
    <t xml:space="preserve">S0588</t>
  </si>
  <si>
    <t xml:space="preserve">Priya Jain</t>
  </si>
  <si>
    <t xml:space="preserve">S0589</t>
  </si>
  <si>
    <t xml:space="preserve">Vivaan Verma</t>
  </si>
  <si>
    <t xml:space="preserve">S0590</t>
  </si>
  <si>
    <t xml:space="preserve">Ananya Reddy</t>
  </si>
  <si>
    <t xml:space="preserve">S0591</t>
  </si>
  <si>
    <t xml:space="preserve">Varun Rao</t>
  </si>
  <si>
    <t xml:space="preserve">S0592</t>
  </si>
  <si>
    <t xml:space="preserve">S0593</t>
  </si>
  <si>
    <t xml:space="preserve">Dev Banerjee</t>
  </si>
  <si>
    <t xml:space="preserve">S0594</t>
  </si>
  <si>
    <t xml:space="preserve">Dev Jain</t>
  </si>
  <si>
    <t xml:space="preserve">S0595</t>
  </si>
  <si>
    <t xml:space="preserve">S0596</t>
  </si>
  <si>
    <t xml:space="preserve">S0597</t>
  </si>
  <si>
    <t xml:space="preserve">S0598</t>
  </si>
  <si>
    <t xml:space="preserve">Neha Mehta</t>
  </si>
  <si>
    <t xml:space="preserve">S0599</t>
  </si>
  <si>
    <t xml:space="preserve">Rahul Patel</t>
  </si>
  <si>
    <t xml:space="preserve">S0600</t>
  </si>
  <si>
    <t xml:space="preserve">Arjun Mehta</t>
  </si>
  <si>
    <t xml:space="preserve">Application ID</t>
  </si>
  <si>
    <t xml:space="preserve">Company ID</t>
  </si>
  <si>
    <t xml:space="preserve">Role Applied</t>
  </si>
  <si>
    <t xml:space="preserve">Applied Date</t>
  </si>
  <si>
    <t xml:space="preserve">Stage Reached</t>
  </si>
  <si>
    <t xml:space="preserve">Offer CTC (LPA)</t>
  </si>
  <si>
    <t xml:space="preserve">Offer Accepted</t>
  </si>
  <si>
    <t xml:space="preserve">Offer Date</t>
  </si>
  <si>
    <t xml:space="preserve">Stage No</t>
  </si>
  <si>
    <t xml:space="preserve">Offer Month</t>
  </si>
  <si>
    <t xml:space="preserve">Hire Key</t>
  </si>
  <si>
    <t xml:space="preserve">A00001</t>
  </si>
  <si>
    <t xml:space="preserve">C06</t>
  </si>
  <si>
    <t xml:space="preserve">Software Engineer</t>
  </si>
  <si>
    <t xml:space="preserve">Applied</t>
  </si>
  <si>
    <t xml:space="preserve">A00002</t>
  </si>
  <si>
    <t xml:space="preserve">C20</t>
  </si>
  <si>
    <t xml:space="preserve">Online Test</t>
  </si>
  <si>
    <t xml:space="preserve">A00003</t>
  </si>
  <si>
    <t xml:space="preserve">C25</t>
  </si>
  <si>
    <t xml:space="preserve">Full Stack Developer</t>
  </si>
  <si>
    <t xml:space="preserve">A00004</t>
  </si>
  <si>
    <t xml:space="preserve">C14</t>
  </si>
  <si>
    <t xml:space="preserve">Backend Engineer</t>
  </si>
  <si>
    <t xml:space="preserve">Offered</t>
  </si>
  <si>
    <t xml:space="preserve">A00005</t>
  </si>
  <si>
    <t xml:space="preserve">C01</t>
  </si>
  <si>
    <t xml:space="preserve">BI Analyst</t>
  </si>
  <si>
    <t xml:space="preserve">A00006</t>
  </si>
  <si>
    <t xml:space="preserve">C05</t>
  </si>
  <si>
    <t xml:space="preserve">Software Development Engineer</t>
  </si>
  <si>
    <t xml:space="preserve">A00007</t>
  </si>
  <si>
    <t xml:space="preserve">C18</t>
  </si>
  <si>
    <t xml:space="preserve">ML Engineer</t>
  </si>
  <si>
    <t xml:space="preserve">A00008</t>
  </si>
  <si>
    <t xml:space="preserve">C22</t>
  </si>
  <si>
    <t xml:space="preserve">Technical Interview</t>
  </si>
  <si>
    <t xml:space="preserve">A00009</t>
  </si>
  <si>
    <t xml:space="preserve">C07</t>
  </si>
  <si>
    <t xml:space="preserve">A00010</t>
  </si>
  <si>
    <t xml:space="preserve">C23</t>
  </si>
  <si>
    <t xml:space="preserve">A00011</t>
  </si>
  <si>
    <t xml:space="preserve">C09</t>
  </si>
  <si>
    <t xml:space="preserve">A00012</t>
  </si>
  <si>
    <t xml:space="preserve">C28</t>
  </si>
  <si>
    <t xml:space="preserve">A00013</t>
  </si>
  <si>
    <t xml:space="preserve">A00014</t>
  </si>
  <si>
    <t xml:space="preserve">C04</t>
  </si>
  <si>
    <t xml:space="preserve">Data Analyst</t>
  </si>
  <si>
    <t xml:space="preserve">A00015</t>
  </si>
  <si>
    <t xml:space="preserve">C30</t>
  </si>
  <si>
    <t xml:space="preserve">A00016</t>
  </si>
  <si>
    <t xml:space="preserve">A00017</t>
  </si>
  <si>
    <t xml:space="preserve">C02</t>
  </si>
  <si>
    <t xml:space="preserve">A00018</t>
  </si>
  <si>
    <t xml:space="preserve">C19</t>
  </si>
  <si>
    <t xml:space="preserve">A00019</t>
  </si>
  <si>
    <t xml:space="preserve">HR Interview</t>
  </si>
  <si>
    <t xml:space="preserve">A00020</t>
  </si>
  <si>
    <t xml:space="preserve">A00021</t>
  </si>
  <si>
    <t xml:space="preserve">A00022</t>
  </si>
  <si>
    <t xml:space="preserve">C12</t>
  </si>
  <si>
    <t xml:space="preserve">A00023</t>
  </si>
  <si>
    <t xml:space="preserve">A00024</t>
  </si>
  <si>
    <t xml:space="preserve">C08</t>
  </si>
  <si>
    <t xml:space="preserve">SOC Analyst</t>
  </si>
  <si>
    <t xml:space="preserve">A00025</t>
  </si>
  <si>
    <t xml:space="preserve">C03</t>
  </si>
  <si>
    <t xml:space="preserve">A00026</t>
  </si>
  <si>
    <t xml:space="preserve">C26</t>
  </si>
  <si>
    <t xml:space="preserve">A00027</t>
  </si>
  <si>
    <t xml:space="preserve">A00028</t>
  </si>
  <si>
    <t xml:space="preserve">A00029</t>
  </si>
  <si>
    <t xml:space="preserve">C27</t>
  </si>
  <si>
    <t xml:space="preserve">A00030</t>
  </si>
  <si>
    <t xml:space="preserve">A00031</t>
  </si>
  <si>
    <t xml:space="preserve">A00032</t>
  </si>
  <si>
    <t xml:space="preserve">A00033</t>
  </si>
  <si>
    <t xml:space="preserve">C29</t>
  </si>
  <si>
    <t xml:space="preserve">Security Analyst</t>
  </si>
  <si>
    <t xml:space="preserve">A00034</t>
  </si>
  <si>
    <t xml:space="preserve">A00035</t>
  </si>
  <si>
    <t xml:space="preserve">Data Scientist</t>
  </si>
  <si>
    <t xml:space="preserve">A00036</t>
  </si>
  <si>
    <t xml:space="preserve">A00037</t>
  </si>
  <si>
    <t xml:space="preserve">A00038</t>
  </si>
  <si>
    <t xml:space="preserve">A00039</t>
  </si>
  <si>
    <t xml:space="preserve">A00040</t>
  </si>
  <si>
    <t xml:space="preserve">A00041</t>
  </si>
  <si>
    <t xml:space="preserve">A00042</t>
  </si>
  <si>
    <t xml:space="preserve">A00043</t>
  </si>
  <si>
    <t xml:space="preserve">A00044</t>
  </si>
  <si>
    <t xml:space="preserve">A00045</t>
  </si>
  <si>
    <t xml:space="preserve">A00046</t>
  </si>
  <si>
    <t xml:space="preserve">C24</t>
  </si>
  <si>
    <t xml:space="preserve">A00047</t>
  </si>
  <si>
    <t xml:space="preserve">A00048</t>
  </si>
  <si>
    <t xml:space="preserve">A00049</t>
  </si>
  <si>
    <t xml:space="preserve">A00050</t>
  </si>
  <si>
    <t xml:space="preserve">A00051</t>
  </si>
  <si>
    <t xml:space="preserve">A00052</t>
  </si>
  <si>
    <t xml:space="preserve">A00053</t>
  </si>
  <si>
    <t xml:space="preserve">C11</t>
  </si>
  <si>
    <t xml:space="preserve">A00054</t>
  </si>
  <si>
    <t xml:space="preserve">A00055</t>
  </si>
  <si>
    <t xml:space="preserve">C21</t>
  </si>
  <si>
    <t xml:space="preserve">A00056</t>
  </si>
  <si>
    <t xml:space="preserve">A00057</t>
  </si>
  <si>
    <t xml:space="preserve">A00058</t>
  </si>
  <si>
    <t xml:space="preserve">A00059</t>
  </si>
  <si>
    <t xml:space="preserve">A00060</t>
  </si>
  <si>
    <t xml:space="preserve">A00061</t>
  </si>
  <si>
    <t xml:space="preserve">A00062</t>
  </si>
  <si>
    <t xml:space="preserve">A00063</t>
  </si>
  <si>
    <t xml:space="preserve">C16</t>
  </si>
  <si>
    <t xml:space="preserve">A00064</t>
  </si>
  <si>
    <t xml:space="preserve">A00065</t>
  </si>
  <si>
    <t xml:space="preserve">A00066</t>
  </si>
  <si>
    <t xml:space="preserve">A00067</t>
  </si>
  <si>
    <t xml:space="preserve">A00068</t>
  </si>
  <si>
    <t xml:space="preserve">A00069</t>
  </si>
  <si>
    <t xml:space="preserve">A00070</t>
  </si>
  <si>
    <t xml:space="preserve">A00071</t>
  </si>
  <si>
    <t xml:space="preserve">A00072</t>
  </si>
  <si>
    <t xml:space="preserve">A00073</t>
  </si>
  <si>
    <t xml:space="preserve">A00074</t>
  </si>
  <si>
    <t xml:space="preserve">A00075</t>
  </si>
  <si>
    <t xml:space="preserve">A00076</t>
  </si>
  <si>
    <t xml:space="preserve">A00077</t>
  </si>
  <si>
    <t xml:space="preserve">C10</t>
  </si>
  <si>
    <t xml:space="preserve">A00078</t>
  </si>
  <si>
    <t xml:space="preserve">A00079</t>
  </si>
  <si>
    <t xml:space="preserve">A00080</t>
  </si>
  <si>
    <t xml:space="preserve">A00081</t>
  </si>
  <si>
    <t xml:space="preserve">A00082</t>
  </si>
  <si>
    <t xml:space="preserve">A00083</t>
  </si>
  <si>
    <t xml:space="preserve">A00084</t>
  </si>
  <si>
    <t xml:space="preserve">C13</t>
  </si>
  <si>
    <t xml:space="preserve">A00085</t>
  </si>
  <si>
    <t xml:space="preserve">A00086</t>
  </si>
  <si>
    <t xml:space="preserve">A00087</t>
  </si>
  <si>
    <t xml:space="preserve">A00088</t>
  </si>
  <si>
    <t xml:space="preserve">A00089</t>
  </si>
  <si>
    <t xml:space="preserve">A00090</t>
  </si>
  <si>
    <t xml:space="preserve">A00091</t>
  </si>
  <si>
    <t xml:space="preserve">A00092</t>
  </si>
  <si>
    <t xml:space="preserve">A00093</t>
  </si>
  <si>
    <t xml:space="preserve">A00094</t>
  </si>
  <si>
    <t xml:space="preserve">C15</t>
  </si>
  <si>
    <t xml:space="preserve">A00095</t>
  </si>
  <si>
    <t xml:space="preserve">A00096</t>
  </si>
  <si>
    <t xml:space="preserve">A00097</t>
  </si>
  <si>
    <t xml:space="preserve">A00098</t>
  </si>
  <si>
    <t xml:space="preserve">A00099</t>
  </si>
  <si>
    <t xml:space="preserve">A00100</t>
  </si>
  <si>
    <t xml:space="preserve">A00101</t>
  </si>
  <si>
    <t xml:space="preserve">A00102</t>
  </si>
  <si>
    <t xml:space="preserve">A00103</t>
  </si>
  <si>
    <t xml:space="preserve">A00104</t>
  </si>
  <si>
    <t xml:space="preserve">A00105</t>
  </si>
  <si>
    <t xml:space="preserve">A00106</t>
  </si>
  <si>
    <t xml:space="preserve">C17</t>
  </si>
  <si>
    <t xml:space="preserve">A00107</t>
  </si>
  <si>
    <t xml:space="preserve">A00108</t>
  </si>
  <si>
    <t xml:space="preserve">A00109</t>
  </si>
  <si>
    <t xml:space="preserve">A00110</t>
  </si>
  <si>
    <t xml:space="preserve">A00111</t>
  </si>
  <si>
    <t xml:space="preserve">A00112</t>
  </si>
  <si>
    <t xml:space="preserve">A00113</t>
  </si>
  <si>
    <t xml:space="preserve">A00114</t>
  </si>
  <si>
    <t xml:space="preserve">A00115</t>
  </si>
  <si>
    <t xml:space="preserve">A00116</t>
  </si>
  <si>
    <t xml:space="preserve">A00117</t>
  </si>
  <si>
    <t xml:space="preserve">A00118</t>
  </si>
  <si>
    <t xml:space="preserve">A00119</t>
  </si>
  <si>
    <t xml:space="preserve">A00120</t>
  </si>
  <si>
    <t xml:space="preserve">A00121</t>
  </si>
  <si>
    <t xml:space="preserve">A00122</t>
  </si>
  <si>
    <t xml:space="preserve">A00123</t>
  </si>
  <si>
    <t xml:space="preserve">A00124</t>
  </si>
  <si>
    <t xml:space="preserve">A00125</t>
  </si>
  <si>
    <t xml:space="preserve">A00126</t>
  </si>
  <si>
    <t xml:space="preserve">A00127</t>
  </si>
  <si>
    <t xml:space="preserve">A00128</t>
  </si>
  <si>
    <t xml:space="preserve">A00129</t>
  </si>
  <si>
    <t xml:space="preserve">A00130</t>
  </si>
  <si>
    <t xml:space="preserve">A00131</t>
  </si>
  <si>
    <t xml:space="preserve">A00132</t>
  </si>
  <si>
    <t xml:space="preserve">A00133</t>
  </si>
  <si>
    <t xml:space="preserve">A00134</t>
  </si>
  <si>
    <t xml:space="preserve">A00135</t>
  </si>
  <si>
    <t xml:space="preserve">A00136</t>
  </si>
  <si>
    <t xml:space="preserve">A00137</t>
  </si>
  <si>
    <t xml:space="preserve">A00138</t>
  </si>
  <si>
    <t xml:space="preserve">A00139</t>
  </si>
  <si>
    <t xml:space="preserve">A00140</t>
  </si>
  <si>
    <t xml:space="preserve">A00141</t>
  </si>
  <si>
    <t xml:space="preserve">A00142</t>
  </si>
  <si>
    <t xml:space="preserve">A00143</t>
  </si>
  <si>
    <t xml:space="preserve">A00144</t>
  </si>
  <si>
    <t xml:space="preserve">A00145</t>
  </si>
  <si>
    <t xml:space="preserve">A00146</t>
  </si>
  <si>
    <t xml:space="preserve">A00147</t>
  </si>
  <si>
    <t xml:space="preserve">A00148</t>
  </si>
  <si>
    <t xml:space="preserve">A00149</t>
  </si>
  <si>
    <t xml:space="preserve">A00150</t>
  </si>
  <si>
    <t xml:space="preserve">A00151</t>
  </si>
  <si>
    <t xml:space="preserve">A00152</t>
  </si>
  <si>
    <t xml:space="preserve">A00153</t>
  </si>
  <si>
    <t xml:space="preserve">A00154</t>
  </si>
  <si>
    <t xml:space="preserve">A00155</t>
  </si>
  <si>
    <t xml:space="preserve">A00156</t>
  </si>
  <si>
    <t xml:space="preserve">A00157</t>
  </si>
  <si>
    <t xml:space="preserve">A00158</t>
  </si>
  <si>
    <t xml:space="preserve">A00159</t>
  </si>
  <si>
    <t xml:space="preserve">A00160</t>
  </si>
  <si>
    <t xml:space="preserve">A00161</t>
  </si>
  <si>
    <t xml:space="preserve">A00162</t>
  </si>
  <si>
    <t xml:space="preserve">A00163</t>
  </si>
  <si>
    <t xml:space="preserve">A00164</t>
  </si>
  <si>
    <t xml:space="preserve">A00165</t>
  </si>
  <si>
    <t xml:space="preserve">A00166</t>
  </si>
  <si>
    <t xml:space="preserve">A00167</t>
  </si>
  <si>
    <t xml:space="preserve">A00168</t>
  </si>
  <si>
    <t xml:space="preserve">A00169</t>
  </si>
  <si>
    <t xml:space="preserve">A00170</t>
  </si>
  <si>
    <t xml:space="preserve">A00171</t>
  </si>
  <si>
    <t xml:space="preserve">A00172</t>
  </si>
  <si>
    <t xml:space="preserve">A00173</t>
  </si>
  <si>
    <t xml:space="preserve">A00174</t>
  </si>
  <si>
    <t xml:space="preserve">A00175</t>
  </si>
  <si>
    <t xml:space="preserve">A00176</t>
  </si>
  <si>
    <t xml:space="preserve">A00177</t>
  </si>
  <si>
    <t xml:space="preserve">A00178</t>
  </si>
  <si>
    <t xml:space="preserve">A00179</t>
  </si>
  <si>
    <t xml:space="preserve">A00180</t>
  </si>
  <si>
    <t xml:space="preserve">A00181</t>
  </si>
  <si>
    <t xml:space="preserve">A00182</t>
  </si>
  <si>
    <t xml:space="preserve">A00183</t>
  </si>
  <si>
    <t xml:space="preserve">A00184</t>
  </si>
  <si>
    <t xml:space="preserve">A00185</t>
  </si>
  <si>
    <t xml:space="preserve">A00186</t>
  </si>
  <si>
    <t xml:space="preserve">A00187</t>
  </si>
  <si>
    <t xml:space="preserve">A00188</t>
  </si>
  <si>
    <t xml:space="preserve">A00189</t>
  </si>
  <si>
    <t xml:space="preserve">A00190</t>
  </si>
  <si>
    <t xml:space="preserve">A00191</t>
  </si>
  <si>
    <t xml:space="preserve">A00192</t>
  </si>
  <si>
    <t xml:space="preserve">A00193</t>
  </si>
  <si>
    <t xml:space="preserve">A00194</t>
  </si>
  <si>
    <t xml:space="preserve">A00195</t>
  </si>
  <si>
    <t xml:space="preserve">A00196</t>
  </si>
  <si>
    <t xml:space="preserve">A00197</t>
  </si>
  <si>
    <t xml:space="preserve">A00198</t>
  </si>
  <si>
    <t xml:space="preserve">A00199</t>
  </si>
  <si>
    <t xml:space="preserve">A00200</t>
  </si>
  <si>
    <t xml:space="preserve">A00201</t>
  </si>
  <si>
    <t xml:space="preserve">A00202</t>
  </si>
  <si>
    <t xml:space="preserve">A00203</t>
  </si>
  <si>
    <t xml:space="preserve">A00204</t>
  </si>
  <si>
    <t xml:space="preserve">A00205</t>
  </si>
  <si>
    <t xml:space="preserve">A00206</t>
  </si>
  <si>
    <t xml:space="preserve">A00207</t>
  </si>
  <si>
    <t xml:space="preserve">A00208</t>
  </si>
  <si>
    <t xml:space="preserve">A00209</t>
  </si>
  <si>
    <t xml:space="preserve">A00210</t>
  </si>
  <si>
    <t xml:space="preserve">A00211</t>
  </si>
  <si>
    <t xml:space="preserve">A00212</t>
  </si>
  <si>
    <t xml:space="preserve">A00213</t>
  </si>
  <si>
    <t xml:space="preserve">A00214</t>
  </si>
  <si>
    <t xml:space="preserve">A00215</t>
  </si>
  <si>
    <t xml:space="preserve">A00216</t>
  </si>
  <si>
    <t xml:space="preserve">A00217</t>
  </si>
  <si>
    <t xml:space="preserve">A00218</t>
  </si>
  <si>
    <t xml:space="preserve">A00219</t>
  </si>
  <si>
    <t xml:space="preserve">A00220</t>
  </si>
  <si>
    <t xml:space="preserve">A00221</t>
  </si>
  <si>
    <t xml:space="preserve">A00222</t>
  </si>
  <si>
    <t xml:space="preserve">A00223</t>
  </si>
  <si>
    <t xml:space="preserve">A00224</t>
  </si>
  <si>
    <t xml:space="preserve">A00225</t>
  </si>
  <si>
    <t xml:space="preserve">A00226</t>
  </si>
  <si>
    <t xml:space="preserve">A00227</t>
  </si>
  <si>
    <t xml:space="preserve">A00228</t>
  </si>
  <si>
    <t xml:space="preserve">A00229</t>
  </si>
  <si>
    <t xml:space="preserve">A00230</t>
  </si>
  <si>
    <t xml:space="preserve">A00231</t>
  </si>
  <si>
    <t xml:space="preserve">A00232</t>
  </si>
  <si>
    <t xml:space="preserve">A00233</t>
  </si>
  <si>
    <t xml:space="preserve">A00234</t>
  </si>
  <si>
    <t xml:space="preserve">A00235</t>
  </si>
  <si>
    <t xml:space="preserve">A00236</t>
  </si>
  <si>
    <t xml:space="preserve">A00237</t>
  </si>
  <si>
    <t xml:space="preserve">A00238</t>
  </si>
  <si>
    <t xml:space="preserve">A00239</t>
  </si>
  <si>
    <t xml:space="preserve">A00240</t>
  </si>
  <si>
    <t xml:space="preserve">A00241</t>
  </si>
  <si>
    <t xml:space="preserve">A00242</t>
  </si>
  <si>
    <t xml:space="preserve">A00243</t>
  </si>
  <si>
    <t xml:space="preserve">A00244</t>
  </si>
  <si>
    <t xml:space="preserve">A00245</t>
  </si>
  <si>
    <t xml:space="preserve">A00246</t>
  </si>
  <si>
    <t xml:space="preserve">A00247</t>
  </si>
  <si>
    <t xml:space="preserve">A00248</t>
  </si>
  <si>
    <t xml:space="preserve">A00249</t>
  </si>
  <si>
    <t xml:space="preserve">A00250</t>
  </si>
  <si>
    <t xml:space="preserve">A00251</t>
  </si>
  <si>
    <t xml:space="preserve">A00252</t>
  </si>
  <si>
    <t xml:space="preserve">A00253</t>
  </si>
  <si>
    <t xml:space="preserve">A00254</t>
  </si>
  <si>
    <t xml:space="preserve">A00255</t>
  </si>
  <si>
    <t xml:space="preserve">A00256</t>
  </si>
  <si>
    <t xml:space="preserve">A00257</t>
  </si>
  <si>
    <t xml:space="preserve">A00258</t>
  </si>
  <si>
    <t xml:space="preserve">A00259</t>
  </si>
  <si>
    <t xml:space="preserve">A00260</t>
  </si>
  <si>
    <t xml:space="preserve">A00261</t>
  </si>
  <si>
    <t xml:space="preserve">A00262</t>
  </si>
  <si>
    <t xml:space="preserve">A00263</t>
  </si>
  <si>
    <t xml:space="preserve">A00264</t>
  </si>
  <si>
    <t xml:space="preserve">A00265</t>
  </si>
  <si>
    <t xml:space="preserve">A00266</t>
  </si>
  <si>
    <t xml:space="preserve">A00267</t>
  </si>
  <si>
    <t xml:space="preserve">A00268</t>
  </si>
  <si>
    <t xml:space="preserve">A00269</t>
  </si>
  <si>
    <t xml:space="preserve">A00270</t>
  </si>
  <si>
    <t xml:space="preserve">A00271</t>
  </si>
  <si>
    <t xml:space="preserve">A00272</t>
  </si>
  <si>
    <t xml:space="preserve">A00273</t>
  </si>
  <si>
    <t xml:space="preserve">A00274</t>
  </si>
  <si>
    <t xml:space="preserve">A00275</t>
  </si>
  <si>
    <t xml:space="preserve">A00276</t>
  </si>
  <si>
    <t xml:space="preserve">A00277</t>
  </si>
  <si>
    <t xml:space="preserve">A00278</t>
  </si>
  <si>
    <t xml:space="preserve">A00279</t>
  </si>
  <si>
    <t xml:space="preserve">A00280</t>
  </si>
  <si>
    <t xml:space="preserve">A00281</t>
  </si>
  <si>
    <t xml:space="preserve">A00282</t>
  </si>
  <si>
    <t xml:space="preserve">A00283</t>
  </si>
  <si>
    <t xml:space="preserve">A00284</t>
  </si>
  <si>
    <t xml:space="preserve">A00285</t>
  </si>
  <si>
    <t xml:space="preserve">A00286</t>
  </si>
  <si>
    <t xml:space="preserve">A00287</t>
  </si>
  <si>
    <t xml:space="preserve">A00288</t>
  </si>
  <si>
    <t xml:space="preserve">A00289</t>
  </si>
  <si>
    <t xml:space="preserve">A00290</t>
  </si>
  <si>
    <t xml:space="preserve">A00291</t>
  </si>
  <si>
    <t xml:space="preserve">A00292</t>
  </si>
  <si>
    <t xml:space="preserve">A00293</t>
  </si>
  <si>
    <t xml:space="preserve">A00294</t>
  </si>
  <si>
    <t xml:space="preserve">A00295</t>
  </si>
  <si>
    <t xml:space="preserve">A00296</t>
  </si>
  <si>
    <t xml:space="preserve">A00297</t>
  </si>
  <si>
    <t xml:space="preserve">A00298</t>
  </si>
  <si>
    <t xml:space="preserve">A00299</t>
  </si>
  <si>
    <t xml:space="preserve">A00300</t>
  </si>
  <si>
    <t xml:space="preserve">A00301</t>
  </si>
  <si>
    <t xml:space="preserve">A00302</t>
  </si>
  <si>
    <t xml:space="preserve">A00303</t>
  </si>
  <si>
    <t xml:space="preserve">A00304</t>
  </si>
  <si>
    <t xml:space="preserve">A00305</t>
  </si>
  <si>
    <t xml:space="preserve">A00306</t>
  </si>
  <si>
    <t xml:space="preserve">A00307</t>
  </si>
  <si>
    <t xml:space="preserve">A00308</t>
  </si>
  <si>
    <t xml:space="preserve">A00309</t>
  </si>
  <si>
    <t xml:space="preserve">A00310</t>
  </si>
  <si>
    <t xml:space="preserve">A00311</t>
  </si>
  <si>
    <t xml:space="preserve">A00312</t>
  </si>
  <si>
    <t xml:space="preserve">A00313</t>
  </si>
  <si>
    <t xml:space="preserve">A00314</t>
  </si>
  <si>
    <t xml:space="preserve">A00315</t>
  </si>
  <si>
    <t xml:space="preserve">A00316</t>
  </si>
  <si>
    <t xml:space="preserve">A00317</t>
  </si>
  <si>
    <t xml:space="preserve">A00318</t>
  </si>
  <si>
    <t xml:space="preserve">A00319</t>
  </si>
  <si>
    <t xml:space="preserve">A00320</t>
  </si>
  <si>
    <t xml:space="preserve">A00321</t>
  </si>
  <si>
    <t xml:space="preserve">A00322</t>
  </si>
  <si>
    <t xml:space="preserve">A00323</t>
  </si>
  <si>
    <t xml:space="preserve">A00324</t>
  </si>
  <si>
    <t xml:space="preserve">A00325</t>
  </si>
  <si>
    <t xml:space="preserve">A00326</t>
  </si>
  <si>
    <t xml:space="preserve">A00327</t>
  </si>
  <si>
    <t xml:space="preserve">A00328</t>
  </si>
  <si>
    <t xml:space="preserve">A00329</t>
  </si>
  <si>
    <t xml:space="preserve">A00330</t>
  </si>
  <si>
    <t xml:space="preserve">A00331</t>
  </si>
  <si>
    <t xml:space="preserve">A00332</t>
  </si>
  <si>
    <t xml:space="preserve">A00333</t>
  </si>
  <si>
    <t xml:space="preserve">A00334</t>
  </si>
  <si>
    <t xml:space="preserve">A00335</t>
  </si>
  <si>
    <t xml:space="preserve">A00336</t>
  </si>
  <si>
    <t xml:space="preserve">A00337</t>
  </si>
  <si>
    <t xml:space="preserve">A00338</t>
  </si>
  <si>
    <t xml:space="preserve">A00339</t>
  </si>
  <si>
    <t xml:space="preserve">A00340</t>
  </si>
  <si>
    <t xml:space="preserve">A00341</t>
  </si>
  <si>
    <t xml:space="preserve">A00342</t>
  </si>
  <si>
    <t xml:space="preserve">A00343</t>
  </si>
  <si>
    <t xml:space="preserve">A00344</t>
  </si>
  <si>
    <t xml:space="preserve">A00345</t>
  </si>
  <si>
    <t xml:space="preserve">A00346</t>
  </si>
  <si>
    <t xml:space="preserve">A00347</t>
  </si>
  <si>
    <t xml:space="preserve">A00348</t>
  </si>
  <si>
    <t xml:space="preserve">A00349</t>
  </si>
  <si>
    <t xml:space="preserve">A00350</t>
  </si>
  <si>
    <t xml:space="preserve">A00351</t>
  </si>
  <si>
    <t xml:space="preserve">A00352</t>
  </si>
  <si>
    <t xml:space="preserve">A00353</t>
  </si>
  <si>
    <t xml:space="preserve">A00354</t>
  </si>
  <si>
    <t xml:space="preserve">A00355</t>
  </si>
  <si>
    <t xml:space="preserve">A00356</t>
  </si>
  <si>
    <t xml:space="preserve">A00357</t>
  </si>
  <si>
    <t xml:space="preserve">A00358</t>
  </si>
  <si>
    <t xml:space="preserve">A00359</t>
  </si>
  <si>
    <t xml:space="preserve">A00360</t>
  </si>
  <si>
    <t xml:space="preserve">A00361</t>
  </si>
  <si>
    <t xml:space="preserve">A00362</t>
  </si>
  <si>
    <t xml:space="preserve">A00363</t>
  </si>
  <si>
    <t xml:space="preserve">A00364</t>
  </si>
  <si>
    <t xml:space="preserve">A00365</t>
  </si>
  <si>
    <t xml:space="preserve">A00366</t>
  </si>
  <si>
    <t xml:space="preserve">A00367</t>
  </si>
  <si>
    <t xml:space="preserve">A00368</t>
  </si>
  <si>
    <t xml:space="preserve">A00369</t>
  </si>
  <si>
    <t xml:space="preserve">A00370</t>
  </si>
  <si>
    <t xml:space="preserve">A00371</t>
  </si>
  <si>
    <t xml:space="preserve">A00372</t>
  </si>
  <si>
    <t xml:space="preserve">A00373</t>
  </si>
  <si>
    <t xml:space="preserve">A00374</t>
  </si>
  <si>
    <t xml:space="preserve">A00375</t>
  </si>
  <si>
    <t xml:space="preserve">A00376</t>
  </si>
  <si>
    <t xml:space="preserve">A00377</t>
  </si>
  <si>
    <t xml:space="preserve">A00378</t>
  </si>
  <si>
    <t xml:space="preserve">A00379</t>
  </si>
  <si>
    <t xml:space="preserve">A00380</t>
  </si>
  <si>
    <t xml:space="preserve">A00381</t>
  </si>
  <si>
    <t xml:space="preserve">A00382</t>
  </si>
  <si>
    <t xml:space="preserve">A00383</t>
  </si>
  <si>
    <t xml:space="preserve">A00384</t>
  </si>
  <si>
    <t xml:space="preserve">A00385</t>
  </si>
  <si>
    <t xml:space="preserve">A00386</t>
  </si>
  <si>
    <t xml:space="preserve">A00387</t>
  </si>
  <si>
    <t xml:space="preserve">A00388</t>
  </si>
  <si>
    <t xml:space="preserve">A00389</t>
  </si>
  <si>
    <t xml:space="preserve">A00390</t>
  </si>
  <si>
    <t xml:space="preserve">A00391</t>
  </si>
  <si>
    <t xml:space="preserve">A00392</t>
  </si>
  <si>
    <t xml:space="preserve">A00393</t>
  </si>
  <si>
    <t xml:space="preserve">A00394</t>
  </si>
  <si>
    <t xml:space="preserve">A00395</t>
  </si>
  <si>
    <t xml:space="preserve">A00396</t>
  </si>
  <si>
    <t xml:space="preserve">A00397</t>
  </si>
  <si>
    <t xml:space="preserve">A00398</t>
  </si>
  <si>
    <t xml:space="preserve">A00399</t>
  </si>
  <si>
    <t xml:space="preserve">A00400</t>
  </si>
  <si>
    <t xml:space="preserve">A00401</t>
  </si>
  <si>
    <t xml:space="preserve">A00402</t>
  </si>
  <si>
    <t xml:space="preserve">A00403</t>
  </si>
  <si>
    <t xml:space="preserve">A00404</t>
  </si>
  <si>
    <t xml:space="preserve">A00405</t>
  </si>
  <si>
    <t xml:space="preserve">A00406</t>
  </si>
  <si>
    <t xml:space="preserve">A00407</t>
  </si>
  <si>
    <t xml:space="preserve">A00408</t>
  </si>
  <si>
    <t xml:space="preserve">A00409</t>
  </si>
  <si>
    <t xml:space="preserve">A00410</t>
  </si>
  <si>
    <t xml:space="preserve">A00411</t>
  </si>
  <si>
    <t xml:space="preserve">A00412</t>
  </si>
  <si>
    <t xml:space="preserve">A00413</t>
  </si>
  <si>
    <t xml:space="preserve">A00414</t>
  </si>
  <si>
    <t xml:space="preserve">A00415</t>
  </si>
  <si>
    <t xml:space="preserve">A00416</t>
  </si>
  <si>
    <t xml:space="preserve">A00417</t>
  </si>
  <si>
    <t xml:space="preserve">A00418</t>
  </si>
  <si>
    <t xml:space="preserve">A00419</t>
  </si>
  <si>
    <t xml:space="preserve">A00420</t>
  </si>
  <si>
    <t xml:space="preserve">A00421</t>
  </si>
  <si>
    <t xml:space="preserve">A00422</t>
  </si>
  <si>
    <t xml:space="preserve">A00423</t>
  </si>
  <si>
    <t xml:space="preserve">A00424</t>
  </si>
  <si>
    <t xml:space="preserve">A00425</t>
  </si>
  <si>
    <t xml:space="preserve">A00426</t>
  </si>
  <si>
    <t xml:space="preserve">A00427</t>
  </si>
  <si>
    <t xml:space="preserve">A00428</t>
  </si>
  <si>
    <t xml:space="preserve">A00429</t>
  </si>
  <si>
    <t xml:space="preserve">A00430</t>
  </si>
  <si>
    <t xml:space="preserve">A00431</t>
  </si>
  <si>
    <t xml:space="preserve">A00432</t>
  </si>
  <si>
    <t xml:space="preserve">A00433</t>
  </si>
  <si>
    <t xml:space="preserve">A00434</t>
  </si>
  <si>
    <t xml:space="preserve">A00435</t>
  </si>
  <si>
    <t xml:space="preserve">A00436</t>
  </si>
  <si>
    <t xml:space="preserve">A00437</t>
  </si>
  <si>
    <t xml:space="preserve">A00438</t>
  </si>
  <si>
    <t xml:space="preserve">A00439</t>
  </si>
  <si>
    <t xml:space="preserve">A00440</t>
  </si>
  <si>
    <t xml:space="preserve">A00441</t>
  </si>
  <si>
    <t xml:space="preserve">A00442</t>
  </si>
  <si>
    <t xml:space="preserve">A00443</t>
  </si>
  <si>
    <t xml:space="preserve">A00444</t>
  </si>
  <si>
    <t xml:space="preserve">A00445</t>
  </si>
  <si>
    <t xml:space="preserve">A00446</t>
  </si>
  <si>
    <t xml:space="preserve">A00447</t>
  </si>
  <si>
    <t xml:space="preserve">A00448</t>
  </si>
  <si>
    <t xml:space="preserve">A00449</t>
  </si>
  <si>
    <t xml:space="preserve">A00450</t>
  </si>
  <si>
    <t xml:space="preserve">A00451</t>
  </si>
  <si>
    <t xml:space="preserve">A00452</t>
  </si>
  <si>
    <t xml:space="preserve">A00453</t>
  </si>
  <si>
    <t xml:space="preserve">A00454</t>
  </si>
  <si>
    <t xml:space="preserve">A00455</t>
  </si>
  <si>
    <t xml:space="preserve">A00456</t>
  </si>
  <si>
    <t xml:space="preserve">A00457</t>
  </si>
  <si>
    <t xml:space="preserve">A00458</t>
  </si>
  <si>
    <t xml:space="preserve">A00459</t>
  </si>
  <si>
    <t xml:space="preserve">A00460</t>
  </si>
  <si>
    <t xml:space="preserve">A00461</t>
  </si>
  <si>
    <t xml:space="preserve">A00462</t>
  </si>
  <si>
    <t xml:space="preserve">A00463</t>
  </si>
  <si>
    <t xml:space="preserve">A00464</t>
  </si>
  <si>
    <t xml:space="preserve">A00465</t>
  </si>
  <si>
    <t xml:space="preserve">A00466</t>
  </si>
  <si>
    <t xml:space="preserve">A00467</t>
  </si>
  <si>
    <t xml:space="preserve">A00468</t>
  </si>
  <si>
    <t xml:space="preserve">A00469</t>
  </si>
  <si>
    <t xml:space="preserve">A00470</t>
  </si>
  <si>
    <t xml:space="preserve">A00471</t>
  </si>
  <si>
    <t xml:space="preserve">A00472</t>
  </si>
  <si>
    <t xml:space="preserve">A00473</t>
  </si>
  <si>
    <t xml:space="preserve">A00474</t>
  </si>
  <si>
    <t xml:space="preserve">A00475</t>
  </si>
  <si>
    <t xml:space="preserve">A00476</t>
  </si>
  <si>
    <t xml:space="preserve">A00477</t>
  </si>
  <si>
    <t xml:space="preserve">A00478</t>
  </si>
  <si>
    <t xml:space="preserve">A00479</t>
  </si>
  <si>
    <t xml:space="preserve">A00480</t>
  </si>
  <si>
    <t xml:space="preserve">A00481</t>
  </si>
  <si>
    <t xml:space="preserve">A00482</t>
  </si>
  <si>
    <t xml:space="preserve">A00483</t>
  </si>
  <si>
    <t xml:space="preserve">A00484</t>
  </si>
  <si>
    <t xml:space="preserve">A00485</t>
  </si>
  <si>
    <t xml:space="preserve">A00486</t>
  </si>
  <si>
    <t xml:space="preserve">A00487</t>
  </si>
  <si>
    <t xml:space="preserve">A00488</t>
  </si>
  <si>
    <t xml:space="preserve">A00489</t>
  </si>
  <si>
    <t xml:space="preserve">A00490</t>
  </si>
  <si>
    <t xml:space="preserve">A00491</t>
  </si>
  <si>
    <t xml:space="preserve">A00492</t>
  </si>
  <si>
    <t xml:space="preserve">A00493</t>
  </si>
  <si>
    <t xml:space="preserve">A00494</t>
  </si>
  <si>
    <t xml:space="preserve">A00495</t>
  </si>
  <si>
    <t xml:space="preserve">A00496</t>
  </si>
  <si>
    <t xml:space="preserve">A00497</t>
  </si>
  <si>
    <t xml:space="preserve">A00498</t>
  </si>
  <si>
    <t xml:space="preserve">A00499</t>
  </si>
  <si>
    <t xml:space="preserve">A00500</t>
  </si>
  <si>
    <t xml:space="preserve">A00501</t>
  </si>
  <si>
    <t xml:space="preserve">A00502</t>
  </si>
  <si>
    <t xml:space="preserve">A00503</t>
  </si>
  <si>
    <t xml:space="preserve">A00504</t>
  </si>
  <si>
    <t xml:space="preserve">A00505</t>
  </si>
  <si>
    <t xml:space="preserve">A00506</t>
  </si>
  <si>
    <t xml:space="preserve">A00507</t>
  </si>
  <si>
    <t xml:space="preserve">A00508</t>
  </si>
  <si>
    <t xml:space="preserve">A00509</t>
  </si>
  <si>
    <t xml:space="preserve">A00510</t>
  </si>
  <si>
    <t xml:space="preserve">A00511</t>
  </si>
  <si>
    <t xml:space="preserve">A00512</t>
  </si>
  <si>
    <t xml:space="preserve">A00513</t>
  </si>
  <si>
    <t xml:space="preserve">A00514</t>
  </si>
  <si>
    <t xml:space="preserve">A00515</t>
  </si>
  <si>
    <t xml:space="preserve">A00516</t>
  </si>
  <si>
    <t xml:space="preserve">A00517</t>
  </si>
  <si>
    <t xml:space="preserve">A00518</t>
  </si>
  <si>
    <t xml:space="preserve">A00519</t>
  </si>
  <si>
    <t xml:space="preserve">A00520</t>
  </si>
  <si>
    <t xml:space="preserve">A00521</t>
  </si>
  <si>
    <t xml:space="preserve">A00522</t>
  </si>
  <si>
    <t xml:space="preserve">A00523</t>
  </si>
  <si>
    <t xml:space="preserve">A00524</t>
  </si>
  <si>
    <t xml:space="preserve">A00525</t>
  </si>
  <si>
    <t xml:space="preserve">A00526</t>
  </si>
  <si>
    <t xml:space="preserve">A00527</t>
  </si>
  <si>
    <t xml:space="preserve">A00528</t>
  </si>
  <si>
    <t xml:space="preserve">A00529</t>
  </si>
  <si>
    <t xml:space="preserve">A00530</t>
  </si>
  <si>
    <t xml:space="preserve">A00531</t>
  </si>
  <si>
    <t xml:space="preserve">A00532</t>
  </si>
  <si>
    <t xml:space="preserve">A00533</t>
  </si>
  <si>
    <t xml:space="preserve">A00534</t>
  </si>
  <si>
    <t xml:space="preserve">A00535</t>
  </si>
  <si>
    <t xml:space="preserve">A00536</t>
  </si>
  <si>
    <t xml:space="preserve">A00537</t>
  </si>
  <si>
    <t xml:space="preserve">A00538</t>
  </si>
  <si>
    <t xml:space="preserve">A00539</t>
  </si>
  <si>
    <t xml:space="preserve">A00540</t>
  </si>
  <si>
    <t xml:space="preserve">A00541</t>
  </si>
  <si>
    <t xml:space="preserve">A00542</t>
  </si>
  <si>
    <t xml:space="preserve">A00543</t>
  </si>
  <si>
    <t xml:space="preserve">A00544</t>
  </si>
  <si>
    <t xml:space="preserve">A00545</t>
  </si>
  <si>
    <t xml:space="preserve">A00546</t>
  </si>
  <si>
    <t xml:space="preserve">A00547</t>
  </si>
  <si>
    <t xml:space="preserve">A00548</t>
  </si>
  <si>
    <t xml:space="preserve">A00549</t>
  </si>
  <si>
    <t xml:space="preserve">A00550</t>
  </si>
  <si>
    <t xml:space="preserve">A00551</t>
  </si>
  <si>
    <t xml:space="preserve">A00552</t>
  </si>
  <si>
    <t xml:space="preserve">A00553</t>
  </si>
  <si>
    <t xml:space="preserve">A00554</t>
  </si>
  <si>
    <t xml:space="preserve">A00555</t>
  </si>
  <si>
    <t xml:space="preserve">A00556</t>
  </si>
  <si>
    <t xml:space="preserve">A00557</t>
  </si>
  <si>
    <t xml:space="preserve">A00558</t>
  </si>
  <si>
    <t xml:space="preserve">A00559</t>
  </si>
  <si>
    <t xml:space="preserve">A00560</t>
  </si>
  <si>
    <t xml:space="preserve">A00561</t>
  </si>
  <si>
    <t xml:space="preserve">A00562</t>
  </si>
  <si>
    <t xml:space="preserve">A00563</t>
  </si>
  <si>
    <t xml:space="preserve">A00564</t>
  </si>
  <si>
    <t xml:space="preserve">A00565</t>
  </si>
  <si>
    <t xml:space="preserve">A00566</t>
  </si>
  <si>
    <t xml:space="preserve">A00567</t>
  </si>
  <si>
    <t xml:space="preserve">A00568</t>
  </si>
  <si>
    <t xml:space="preserve">A00569</t>
  </si>
  <si>
    <t xml:space="preserve">A00570</t>
  </si>
  <si>
    <t xml:space="preserve">A00571</t>
  </si>
  <si>
    <t xml:space="preserve">A00572</t>
  </si>
  <si>
    <t xml:space="preserve">A00573</t>
  </si>
  <si>
    <t xml:space="preserve">A00574</t>
  </si>
  <si>
    <t xml:space="preserve">A00575</t>
  </si>
  <si>
    <t xml:space="preserve">A00576</t>
  </si>
  <si>
    <t xml:space="preserve">A00577</t>
  </si>
  <si>
    <t xml:space="preserve">A00578</t>
  </si>
  <si>
    <t xml:space="preserve">A00579</t>
  </si>
  <si>
    <t xml:space="preserve">A00580</t>
  </si>
  <si>
    <t xml:space="preserve">A00581</t>
  </si>
  <si>
    <t xml:space="preserve">A00582</t>
  </si>
  <si>
    <t xml:space="preserve">A00583</t>
  </si>
  <si>
    <t xml:space="preserve">A00584</t>
  </si>
  <si>
    <t xml:space="preserve">A00585</t>
  </si>
  <si>
    <t xml:space="preserve">A00586</t>
  </si>
  <si>
    <t xml:space="preserve">A00587</t>
  </si>
  <si>
    <t xml:space="preserve">A00588</t>
  </si>
  <si>
    <t xml:space="preserve">A00589</t>
  </si>
  <si>
    <t xml:space="preserve">A00590</t>
  </si>
  <si>
    <t xml:space="preserve">A00591</t>
  </si>
  <si>
    <t xml:space="preserve">A00592</t>
  </si>
  <si>
    <t xml:space="preserve">A00593</t>
  </si>
  <si>
    <t xml:space="preserve">A00594</t>
  </si>
  <si>
    <t xml:space="preserve">A00595</t>
  </si>
  <si>
    <t xml:space="preserve">A00596</t>
  </si>
  <si>
    <t xml:space="preserve">A00597</t>
  </si>
  <si>
    <t xml:space="preserve">A00598</t>
  </si>
  <si>
    <t xml:space="preserve">A00599</t>
  </si>
  <si>
    <t xml:space="preserve">A00600</t>
  </si>
  <si>
    <t xml:space="preserve">A00601</t>
  </si>
  <si>
    <t xml:space="preserve">A00602</t>
  </si>
  <si>
    <t xml:space="preserve">A00603</t>
  </si>
  <si>
    <t xml:space="preserve">A00604</t>
  </si>
  <si>
    <t xml:space="preserve">A00605</t>
  </si>
  <si>
    <t xml:space="preserve">A00606</t>
  </si>
  <si>
    <t xml:space="preserve">A00607</t>
  </si>
  <si>
    <t xml:space="preserve">A00608</t>
  </si>
  <si>
    <t xml:space="preserve">A00609</t>
  </si>
  <si>
    <t xml:space="preserve">A00610</t>
  </si>
  <si>
    <t xml:space="preserve">A00611</t>
  </si>
  <si>
    <t xml:space="preserve">A00612</t>
  </si>
  <si>
    <t xml:space="preserve">A00613</t>
  </si>
  <si>
    <t xml:space="preserve">A00614</t>
  </si>
  <si>
    <t xml:space="preserve">A00615</t>
  </si>
  <si>
    <t xml:space="preserve">A00616</t>
  </si>
  <si>
    <t xml:space="preserve">A00617</t>
  </si>
  <si>
    <t xml:space="preserve">A00618</t>
  </si>
  <si>
    <t xml:space="preserve">A00619</t>
  </si>
  <si>
    <t xml:space="preserve">A00620</t>
  </si>
  <si>
    <t xml:space="preserve">A00621</t>
  </si>
  <si>
    <t xml:space="preserve">A00622</t>
  </si>
  <si>
    <t xml:space="preserve">A00623</t>
  </si>
  <si>
    <t xml:space="preserve">A00624</t>
  </si>
  <si>
    <t xml:space="preserve">A00625</t>
  </si>
  <si>
    <t xml:space="preserve">A00626</t>
  </si>
  <si>
    <t xml:space="preserve">A00627</t>
  </si>
  <si>
    <t xml:space="preserve">A00628</t>
  </si>
  <si>
    <t xml:space="preserve">A00629</t>
  </si>
  <si>
    <t xml:space="preserve">A00630</t>
  </si>
  <si>
    <t xml:space="preserve">A00631</t>
  </si>
  <si>
    <t xml:space="preserve">A00632</t>
  </si>
  <si>
    <t xml:space="preserve">A00633</t>
  </si>
  <si>
    <t xml:space="preserve">A00634</t>
  </si>
  <si>
    <t xml:space="preserve">A00635</t>
  </si>
  <si>
    <t xml:space="preserve">A00636</t>
  </si>
  <si>
    <t xml:space="preserve">A00637</t>
  </si>
  <si>
    <t xml:space="preserve">A00638</t>
  </si>
  <si>
    <t xml:space="preserve">A00639</t>
  </si>
  <si>
    <t xml:space="preserve">A00640</t>
  </si>
  <si>
    <t xml:space="preserve">A00641</t>
  </si>
  <si>
    <t xml:space="preserve">A00642</t>
  </si>
  <si>
    <t xml:space="preserve">A00643</t>
  </si>
  <si>
    <t xml:space="preserve">A00644</t>
  </si>
  <si>
    <t xml:space="preserve">A00645</t>
  </si>
  <si>
    <t xml:space="preserve">A00646</t>
  </si>
  <si>
    <t xml:space="preserve">A00647</t>
  </si>
  <si>
    <t xml:space="preserve">A00648</t>
  </si>
  <si>
    <t xml:space="preserve">A00649</t>
  </si>
  <si>
    <t xml:space="preserve">A00650</t>
  </si>
  <si>
    <t xml:space="preserve">A00651</t>
  </si>
  <si>
    <t xml:space="preserve">A00652</t>
  </si>
  <si>
    <t xml:space="preserve">A00653</t>
  </si>
  <si>
    <t xml:space="preserve">A00654</t>
  </si>
  <si>
    <t xml:space="preserve">A00655</t>
  </si>
  <si>
    <t xml:space="preserve">A00656</t>
  </si>
  <si>
    <t xml:space="preserve">A00657</t>
  </si>
  <si>
    <t xml:space="preserve">A00658</t>
  </si>
  <si>
    <t xml:space="preserve">A00659</t>
  </si>
  <si>
    <t xml:space="preserve">A00660</t>
  </si>
  <si>
    <t xml:space="preserve">A00661</t>
  </si>
  <si>
    <t xml:space="preserve">A00662</t>
  </si>
  <si>
    <t xml:space="preserve">A00663</t>
  </si>
  <si>
    <t xml:space="preserve">A00664</t>
  </si>
  <si>
    <t xml:space="preserve">A00665</t>
  </si>
  <si>
    <t xml:space="preserve">A00666</t>
  </si>
  <si>
    <t xml:space="preserve">A00667</t>
  </si>
  <si>
    <t xml:space="preserve">A00668</t>
  </si>
  <si>
    <t xml:space="preserve">A00669</t>
  </si>
  <si>
    <t xml:space="preserve">A00670</t>
  </si>
  <si>
    <t xml:space="preserve">A00671</t>
  </si>
  <si>
    <t xml:space="preserve">A00672</t>
  </si>
  <si>
    <t xml:space="preserve">A00673</t>
  </si>
  <si>
    <t xml:space="preserve">A00674</t>
  </si>
  <si>
    <t xml:space="preserve">A00675</t>
  </si>
  <si>
    <t xml:space="preserve">A00676</t>
  </si>
  <si>
    <t xml:space="preserve">A00677</t>
  </si>
  <si>
    <t xml:space="preserve">A00678</t>
  </si>
  <si>
    <t xml:space="preserve">A00679</t>
  </si>
  <si>
    <t xml:space="preserve">A00680</t>
  </si>
  <si>
    <t xml:space="preserve">A00681</t>
  </si>
  <si>
    <t xml:space="preserve">A00682</t>
  </si>
  <si>
    <t xml:space="preserve">A00683</t>
  </si>
  <si>
    <t xml:space="preserve">A00684</t>
  </si>
  <si>
    <t xml:space="preserve">A00685</t>
  </si>
  <si>
    <t xml:space="preserve">A00686</t>
  </si>
  <si>
    <t xml:space="preserve">A00687</t>
  </si>
  <si>
    <t xml:space="preserve">A00688</t>
  </si>
  <si>
    <t xml:space="preserve">A00689</t>
  </si>
  <si>
    <t xml:space="preserve">A00690</t>
  </si>
  <si>
    <t xml:space="preserve">A00691</t>
  </si>
  <si>
    <t xml:space="preserve">A00692</t>
  </si>
  <si>
    <t xml:space="preserve">A00693</t>
  </si>
  <si>
    <t xml:space="preserve">A00694</t>
  </si>
  <si>
    <t xml:space="preserve">A00695</t>
  </si>
  <si>
    <t xml:space="preserve">A00696</t>
  </si>
  <si>
    <t xml:space="preserve">A00697</t>
  </si>
  <si>
    <t xml:space="preserve">A00698</t>
  </si>
  <si>
    <t xml:space="preserve">A00699</t>
  </si>
  <si>
    <t xml:space="preserve">A00700</t>
  </si>
  <si>
    <t xml:space="preserve">A00701</t>
  </si>
  <si>
    <t xml:space="preserve">A00702</t>
  </si>
  <si>
    <t xml:space="preserve">A00703</t>
  </si>
  <si>
    <t xml:space="preserve">A00704</t>
  </si>
  <si>
    <t xml:space="preserve">A00705</t>
  </si>
  <si>
    <t xml:space="preserve">A00706</t>
  </si>
  <si>
    <t xml:space="preserve">A00707</t>
  </si>
  <si>
    <t xml:space="preserve">A00708</t>
  </si>
  <si>
    <t xml:space="preserve">A00709</t>
  </si>
  <si>
    <t xml:space="preserve">A00710</t>
  </si>
  <si>
    <t xml:space="preserve">A00711</t>
  </si>
  <si>
    <t xml:space="preserve">A00712</t>
  </si>
  <si>
    <t xml:space="preserve">A00713</t>
  </si>
  <si>
    <t xml:space="preserve">A00714</t>
  </si>
  <si>
    <t xml:space="preserve">A00715</t>
  </si>
  <si>
    <t xml:space="preserve">A00716</t>
  </si>
  <si>
    <t xml:space="preserve">A00717</t>
  </si>
  <si>
    <t xml:space="preserve">A00718</t>
  </si>
  <si>
    <t xml:space="preserve">A00719</t>
  </si>
  <si>
    <t xml:space="preserve">A00720</t>
  </si>
  <si>
    <t xml:space="preserve">A00721</t>
  </si>
  <si>
    <t xml:space="preserve">A00722</t>
  </si>
  <si>
    <t xml:space="preserve">A00723</t>
  </si>
  <si>
    <t xml:space="preserve">A00724</t>
  </si>
  <si>
    <t xml:space="preserve">A00725</t>
  </si>
  <si>
    <t xml:space="preserve">A00726</t>
  </si>
  <si>
    <t xml:space="preserve">A00727</t>
  </si>
  <si>
    <t xml:space="preserve">A00728</t>
  </si>
  <si>
    <t xml:space="preserve">A00729</t>
  </si>
  <si>
    <t xml:space="preserve">A00730</t>
  </si>
  <si>
    <t xml:space="preserve">A00731</t>
  </si>
  <si>
    <t xml:space="preserve">A00732</t>
  </si>
  <si>
    <t xml:space="preserve">A00733</t>
  </si>
  <si>
    <t xml:space="preserve">A00734</t>
  </si>
  <si>
    <t xml:space="preserve">A00735</t>
  </si>
  <si>
    <t xml:space="preserve">A00736</t>
  </si>
  <si>
    <t xml:space="preserve">A00737</t>
  </si>
  <si>
    <t xml:space="preserve">A00738</t>
  </si>
  <si>
    <t xml:space="preserve">A00739</t>
  </si>
  <si>
    <t xml:space="preserve">A00740</t>
  </si>
  <si>
    <t xml:space="preserve">A00741</t>
  </si>
  <si>
    <t xml:space="preserve">A00742</t>
  </si>
  <si>
    <t xml:space="preserve">A00743</t>
  </si>
  <si>
    <t xml:space="preserve">A00744</t>
  </si>
  <si>
    <t xml:space="preserve">A00745</t>
  </si>
  <si>
    <t xml:space="preserve">A00746</t>
  </si>
  <si>
    <t xml:space="preserve">A00747</t>
  </si>
  <si>
    <t xml:space="preserve">A00748</t>
  </si>
  <si>
    <t xml:space="preserve">A00749</t>
  </si>
  <si>
    <t xml:space="preserve">A00750</t>
  </si>
  <si>
    <t xml:space="preserve">A00751</t>
  </si>
  <si>
    <t xml:space="preserve">A00752</t>
  </si>
  <si>
    <t xml:space="preserve">A00753</t>
  </si>
  <si>
    <t xml:space="preserve">A00754</t>
  </si>
  <si>
    <t xml:space="preserve">A00755</t>
  </si>
  <si>
    <t xml:space="preserve">A00756</t>
  </si>
  <si>
    <t xml:space="preserve">A00757</t>
  </si>
  <si>
    <t xml:space="preserve">A00758</t>
  </si>
  <si>
    <t xml:space="preserve">A00759</t>
  </si>
  <si>
    <t xml:space="preserve">A00760</t>
  </si>
  <si>
    <t xml:space="preserve">A00761</t>
  </si>
  <si>
    <t xml:space="preserve">A00762</t>
  </si>
  <si>
    <t xml:space="preserve">A00763</t>
  </si>
  <si>
    <t xml:space="preserve">A00764</t>
  </si>
  <si>
    <t xml:space="preserve">A00765</t>
  </si>
  <si>
    <t xml:space="preserve">A00766</t>
  </si>
  <si>
    <t xml:space="preserve">A00767</t>
  </si>
  <si>
    <t xml:space="preserve">A00768</t>
  </si>
  <si>
    <t xml:space="preserve">A00769</t>
  </si>
  <si>
    <t xml:space="preserve">A00770</t>
  </si>
  <si>
    <t xml:space="preserve">A00771</t>
  </si>
  <si>
    <t xml:space="preserve">A00772</t>
  </si>
  <si>
    <t xml:space="preserve">A00773</t>
  </si>
  <si>
    <t xml:space="preserve">A00774</t>
  </si>
  <si>
    <t xml:space="preserve">A00775</t>
  </si>
  <si>
    <t xml:space="preserve">A00776</t>
  </si>
  <si>
    <t xml:space="preserve">A00777</t>
  </si>
  <si>
    <t xml:space="preserve">A00778</t>
  </si>
  <si>
    <t xml:space="preserve">A00779</t>
  </si>
  <si>
    <t xml:space="preserve">A00780</t>
  </si>
  <si>
    <t xml:space="preserve">A00781</t>
  </si>
  <si>
    <t xml:space="preserve">A00782</t>
  </si>
  <si>
    <t xml:space="preserve">A00783</t>
  </si>
  <si>
    <t xml:space="preserve">A00784</t>
  </si>
  <si>
    <t xml:space="preserve">A00785</t>
  </si>
  <si>
    <t xml:space="preserve">A00786</t>
  </si>
  <si>
    <t xml:space="preserve">A00787</t>
  </si>
  <si>
    <t xml:space="preserve">A00788</t>
  </si>
  <si>
    <t xml:space="preserve">A00789</t>
  </si>
  <si>
    <t xml:space="preserve">A00790</t>
  </si>
  <si>
    <t xml:space="preserve">A00791</t>
  </si>
  <si>
    <t xml:space="preserve">A00792</t>
  </si>
  <si>
    <t xml:space="preserve">A00793</t>
  </si>
  <si>
    <t xml:space="preserve">A00794</t>
  </si>
  <si>
    <t xml:space="preserve">A00795</t>
  </si>
  <si>
    <t xml:space="preserve">A00796</t>
  </si>
  <si>
    <t xml:space="preserve">A00797</t>
  </si>
  <si>
    <t xml:space="preserve">A00798</t>
  </si>
  <si>
    <t xml:space="preserve">A00799</t>
  </si>
  <si>
    <t xml:space="preserve">A00800</t>
  </si>
  <si>
    <t xml:space="preserve">A00801</t>
  </si>
  <si>
    <t xml:space="preserve">A00802</t>
  </si>
  <si>
    <t xml:space="preserve">A00803</t>
  </si>
  <si>
    <t xml:space="preserve">A00804</t>
  </si>
  <si>
    <t xml:space="preserve">A00805</t>
  </si>
  <si>
    <t xml:space="preserve">A00806</t>
  </si>
  <si>
    <t xml:space="preserve">A00807</t>
  </si>
  <si>
    <t xml:space="preserve">A00808</t>
  </si>
  <si>
    <t xml:space="preserve">A00809</t>
  </si>
  <si>
    <t xml:space="preserve">A00810</t>
  </si>
  <si>
    <t xml:space="preserve">A00811</t>
  </si>
  <si>
    <t xml:space="preserve">A00812</t>
  </si>
  <si>
    <t xml:space="preserve">A00813</t>
  </si>
  <si>
    <t xml:space="preserve">A00814</t>
  </si>
  <si>
    <t xml:space="preserve">A00815</t>
  </si>
  <si>
    <t xml:space="preserve">A00816</t>
  </si>
  <si>
    <t xml:space="preserve">A00817</t>
  </si>
  <si>
    <t xml:space="preserve">A00818</t>
  </si>
  <si>
    <t xml:space="preserve">A00819</t>
  </si>
  <si>
    <t xml:space="preserve">A00820</t>
  </si>
  <si>
    <t xml:space="preserve">A00821</t>
  </si>
  <si>
    <t xml:space="preserve">A00822</t>
  </si>
  <si>
    <t xml:space="preserve">A00823</t>
  </si>
  <si>
    <t xml:space="preserve">A00824</t>
  </si>
  <si>
    <t xml:space="preserve">A00825</t>
  </si>
  <si>
    <t xml:space="preserve">A00826</t>
  </si>
  <si>
    <t xml:space="preserve">A00827</t>
  </si>
  <si>
    <t xml:space="preserve">A00828</t>
  </si>
  <si>
    <t xml:space="preserve">A00829</t>
  </si>
  <si>
    <t xml:space="preserve">A00830</t>
  </si>
  <si>
    <t xml:space="preserve">A00831</t>
  </si>
  <si>
    <t xml:space="preserve">A00832</t>
  </si>
  <si>
    <t xml:space="preserve">A00833</t>
  </si>
  <si>
    <t xml:space="preserve">A00834</t>
  </si>
  <si>
    <t xml:space="preserve">A00835</t>
  </si>
  <si>
    <t xml:space="preserve">A00836</t>
  </si>
  <si>
    <t xml:space="preserve">A00837</t>
  </si>
  <si>
    <t xml:space="preserve">A00838</t>
  </si>
  <si>
    <t xml:space="preserve">A00839</t>
  </si>
  <si>
    <t xml:space="preserve">A00840</t>
  </si>
  <si>
    <t xml:space="preserve">A00841</t>
  </si>
  <si>
    <t xml:space="preserve">A00842</t>
  </si>
  <si>
    <t xml:space="preserve">A00843</t>
  </si>
  <si>
    <t xml:space="preserve">A00844</t>
  </si>
  <si>
    <t xml:space="preserve">A00845</t>
  </si>
  <si>
    <t xml:space="preserve">A00846</t>
  </si>
  <si>
    <t xml:space="preserve">A00847</t>
  </si>
  <si>
    <t xml:space="preserve">A00848</t>
  </si>
  <si>
    <t xml:space="preserve">A00849</t>
  </si>
  <si>
    <t xml:space="preserve">A00850</t>
  </si>
  <si>
    <t xml:space="preserve">A00851</t>
  </si>
  <si>
    <t xml:space="preserve">A00852</t>
  </si>
  <si>
    <t xml:space="preserve">A00853</t>
  </si>
  <si>
    <t xml:space="preserve">A00854</t>
  </si>
  <si>
    <t xml:space="preserve">A00855</t>
  </si>
  <si>
    <t xml:space="preserve">A00856</t>
  </si>
  <si>
    <t xml:space="preserve">A00857</t>
  </si>
  <si>
    <t xml:space="preserve">A00858</t>
  </si>
  <si>
    <t xml:space="preserve">A00859</t>
  </si>
  <si>
    <t xml:space="preserve">A00860</t>
  </si>
  <si>
    <t xml:space="preserve">A00861</t>
  </si>
  <si>
    <t xml:space="preserve">A00862</t>
  </si>
  <si>
    <t xml:space="preserve">A00863</t>
  </si>
  <si>
    <t xml:space="preserve">A00864</t>
  </si>
  <si>
    <t xml:space="preserve">A00865</t>
  </si>
  <si>
    <t xml:space="preserve">A00866</t>
  </si>
  <si>
    <t xml:space="preserve">A00867</t>
  </si>
  <si>
    <t xml:space="preserve">A00868</t>
  </si>
  <si>
    <t xml:space="preserve">A00869</t>
  </si>
  <si>
    <t xml:space="preserve">A00870</t>
  </si>
  <si>
    <t xml:space="preserve">A00871</t>
  </si>
  <si>
    <t xml:space="preserve">A00872</t>
  </si>
  <si>
    <t xml:space="preserve">A00873</t>
  </si>
  <si>
    <t xml:space="preserve">A00874</t>
  </si>
  <si>
    <t xml:space="preserve">A00875</t>
  </si>
  <si>
    <t xml:space="preserve">A00876</t>
  </si>
  <si>
    <t xml:space="preserve">A00877</t>
  </si>
  <si>
    <t xml:space="preserve">A00878</t>
  </si>
  <si>
    <t xml:space="preserve">A00879</t>
  </si>
  <si>
    <t xml:space="preserve">A00880</t>
  </si>
  <si>
    <t xml:space="preserve">A00881</t>
  </si>
  <si>
    <t xml:space="preserve">A00882</t>
  </si>
  <si>
    <t xml:space="preserve">A00883</t>
  </si>
  <si>
    <t xml:space="preserve">A00884</t>
  </si>
  <si>
    <t xml:space="preserve">A00885</t>
  </si>
  <si>
    <t xml:space="preserve">A00886</t>
  </si>
  <si>
    <t xml:space="preserve">A00887</t>
  </si>
  <si>
    <t xml:space="preserve">A00888</t>
  </si>
  <si>
    <t xml:space="preserve">A00889</t>
  </si>
  <si>
    <t xml:space="preserve">A00890</t>
  </si>
  <si>
    <t xml:space="preserve">A00891</t>
  </si>
  <si>
    <t xml:space="preserve">A00892</t>
  </si>
  <si>
    <t xml:space="preserve">A00893</t>
  </si>
  <si>
    <t xml:space="preserve">A00894</t>
  </si>
  <si>
    <t xml:space="preserve">A00895</t>
  </si>
  <si>
    <t xml:space="preserve">A00896</t>
  </si>
  <si>
    <t xml:space="preserve">A00897</t>
  </si>
  <si>
    <t xml:space="preserve">A00898</t>
  </si>
  <si>
    <t xml:space="preserve">A00899</t>
  </si>
  <si>
    <t xml:space="preserve">A00900</t>
  </si>
  <si>
    <t xml:space="preserve">A00901</t>
  </si>
  <si>
    <t xml:space="preserve">A00902</t>
  </si>
  <si>
    <t xml:space="preserve">A00903</t>
  </si>
  <si>
    <t xml:space="preserve">A00904</t>
  </si>
  <si>
    <t xml:space="preserve">A00905</t>
  </si>
  <si>
    <t xml:space="preserve">A00906</t>
  </si>
  <si>
    <t xml:space="preserve">A00907</t>
  </si>
  <si>
    <t xml:space="preserve">A00908</t>
  </si>
  <si>
    <t xml:space="preserve">A00909</t>
  </si>
  <si>
    <t xml:space="preserve">A00910</t>
  </si>
  <si>
    <t xml:space="preserve">A00911</t>
  </si>
  <si>
    <t xml:space="preserve">A00912</t>
  </si>
  <si>
    <t xml:space="preserve">A00913</t>
  </si>
  <si>
    <t xml:space="preserve">A00914</t>
  </si>
  <si>
    <t xml:space="preserve">A00915</t>
  </si>
  <si>
    <t xml:space="preserve">A00916</t>
  </si>
  <si>
    <t xml:space="preserve">A00917</t>
  </si>
  <si>
    <t xml:space="preserve">A00918</t>
  </si>
  <si>
    <t xml:space="preserve">A00919</t>
  </si>
  <si>
    <t xml:space="preserve">A00920</t>
  </si>
  <si>
    <t xml:space="preserve">A00921</t>
  </si>
  <si>
    <t xml:space="preserve">A00922</t>
  </si>
  <si>
    <t xml:space="preserve">A00923</t>
  </si>
  <si>
    <t xml:space="preserve">A00924</t>
  </si>
  <si>
    <t xml:space="preserve">A00925</t>
  </si>
  <si>
    <t xml:space="preserve">A00926</t>
  </si>
  <si>
    <t xml:space="preserve">A00927</t>
  </si>
  <si>
    <t xml:space="preserve">A00928</t>
  </si>
  <si>
    <t xml:space="preserve">A00929</t>
  </si>
  <si>
    <t xml:space="preserve">A00930</t>
  </si>
  <si>
    <t xml:space="preserve">A00931</t>
  </si>
  <si>
    <t xml:space="preserve">A00932</t>
  </si>
  <si>
    <t xml:space="preserve">A00933</t>
  </si>
  <si>
    <t xml:space="preserve">A00934</t>
  </si>
  <si>
    <t xml:space="preserve">A00935</t>
  </si>
  <si>
    <t xml:space="preserve">A00936</t>
  </si>
  <si>
    <t xml:space="preserve">A00937</t>
  </si>
  <si>
    <t xml:space="preserve">A00938</t>
  </si>
  <si>
    <t xml:space="preserve">A00939</t>
  </si>
  <si>
    <t xml:space="preserve">A00940</t>
  </si>
  <si>
    <t xml:space="preserve">A00941</t>
  </si>
  <si>
    <t xml:space="preserve">A00942</t>
  </si>
  <si>
    <t xml:space="preserve">A00943</t>
  </si>
  <si>
    <t xml:space="preserve">A00944</t>
  </si>
  <si>
    <t xml:space="preserve">A00945</t>
  </si>
  <si>
    <t xml:space="preserve">A00946</t>
  </si>
  <si>
    <t xml:space="preserve">A00947</t>
  </si>
  <si>
    <t xml:space="preserve">A00948</t>
  </si>
  <si>
    <t xml:space="preserve">A00949</t>
  </si>
  <si>
    <t xml:space="preserve">A00950</t>
  </si>
  <si>
    <t xml:space="preserve">A00951</t>
  </si>
  <si>
    <t xml:space="preserve">A00952</t>
  </si>
  <si>
    <t xml:space="preserve">A00953</t>
  </si>
  <si>
    <t xml:space="preserve">A00954</t>
  </si>
  <si>
    <t xml:space="preserve">A00955</t>
  </si>
  <si>
    <t xml:space="preserve">A00956</t>
  </si>
  <si>
    <t xml:space="preserve">A00957</t>
  </si>
  <si>
    <t xml:space="preserve">A00958</t>
  </si>
  <si>
    <t xml:space="preserve">A00959</t>
  </si>
  <si>
    <t xml:space="preserve">A00960</t>
  </si>
  <si>
    <t xml:space="preserve">A00961</t>
  </si>
  <si>
    <t xml:space="preserve">A00962</t>
  </si>
  <si>
    <t xml:space="preserve">A00963</t>
  </si>
  <si>
    <t xml:space="preserve">A00964</t>
  </si>
  <si>
    <t xml:space="preserve">A00965</t>
  </si>
  <si>
    <t xml:space="preserve">A00966</t>
  </si>
  <si>
    <t xml:space="preserve">A00967</t>
  </si>
  <si>
    <t xml:space="preserve">A00968</t>
  </si>
  <si>
    <t xml:space="preserve">A00969</t>
  </si>
  <si>
    <t xml:space="preserve">A00970</t>
  </si>
  <si>
    <t xml:space="preserve">A00971</t>
  </si>
  <si>
    <t xml:space="preserve">A00972</t>
  </si>
  <si>
    <t xml:space="preserve">A00973</t>
  </si>
  <si>
    <t xml:space="preserve">A00974</t>
  </si>
  <si>
    <t xml:space="preserve">A00975</t>
  </si>
  <si>
    <t xml:space="preserve">A00976</t>
  </si>
  <si>
    <t xml:space="preserve">A00977</t>
  </si>
  <si>
    <t xml:space="preserve">A00978</t>
  </si>
  <si>
    <t xml:space="preserve">A00979</t>
  </si>
  <si>
    <t xml:space="preserve">A00980</t>
  </si>
  <si>
    <t xml:space="preserve">A00981</t>
  </si>
  <si>
    <t xml:space="preserve">A00982</t>
  </si>
  <si>
    <t xml:space="preserve">A00983</t>
  </si>
  <si>
    <t xml:space="preserve">A00984</t>
  </si>
  <si>
    <t xml:space="preserve">A00985</t>
  </si>
  <si>
    <t xml:space="preserve">A00986</t>
  </si>
  <si>
    <t xml:space="preserve">A00987</t>
  </si>
  <si>
    <t xml:space="preserve">A00988</t>
  </si>
  <si>
    <t xml:space="preserve">A00989</t>
  </si>
  <si>
    <t xml:space="preserve">A00990</t>
  </si>
  <si>
    <t xml:space="preserve">A00991</t>
  </si>
  <si>
    <t xml:space="preserve">A00992</t>
  </si>
  <si>
    <t xml:space="preserve">A00993</t>
  </si>
  <si>
    <t xml:space="preserve">A00994</t>
  </si>
  <si>
    <t xml:space="preserve">A00995</t>
  </si>
  <si>
    <t xml:space="preserve">A00996</t>
  </si>
  <si>
    <t xml:space="preserve">A00997</t>
  </si>
  <si>
    <t xml:space="preserve">A00998</t>
  </si>
  <si>
    <t xml:space="preserve">A00999</t>
  </si>
  <si>
    <t xml:space="preserve">A01000</t>
  </si>
  <si>
    <t xml:space="preserve">A01001</t>
  </si>
  <si>
    <t xml:space="preserve">A01002</t>
  </si>
  <si>
    <t xml:space="preserve">A01003</t>
  </si>
  <si>
    <t xml:space="preserve">A01004</t>
  </si>
  <si>
    <t xml:space="preserve">A01005</t>
  </si>
  <si>
    <t xml:space="preserve">A01006</t>
  </si>
  <si>
    <t xml:space="preserve">A01007</t>
  </si>
  <si>
    <t xml:space="preserve">A01008</t>
  </si>
  <si>
    <t xml:space="preserve">A01009</t>
  </si>
  <si>
    <t xml:space="preserve">A01010</t>
  </si>
  <si>
    <t xml:space="preserve">A01011</t>
  </si>
  <si>
    <t xml:space="preserve">A01012</t>
  </si>
  <si>
    <t xml:space="preserve">A01013</t>
  </si>
  <si>
    <t xml:space="preserve">A01014</t>
  </si>
  <si>
    <t xml:space="preserve">A01015</t>
  </si>
  <si>
    <t xml:space="preserve">A01016</t>
  </si>
  <si>
    <t xml:space="preserve">A01017</t>
  </si>
  <si>
    <t xml:space="preserve">A01018</t>
  </si>
  <si>
    <t xml:space="preserve">A01019</t>
  </si>
  <si>
    <t xml:space="preserve">A01020</t>
  </si>
  <si>
    <t xml:space="preserve">A01021</t>
  </si>
  <si>
    <t xml:space="preserve">A01022</t>
  </si>
  <si>
    <t xml:space="preserve">A01023</t>
  </si>
  <si>
    <t xml:space="preserve">A01024</t>
  </si>
  <si>
    <t xml:space="preserve">A01025</t>
  </si>
  <si>
    <t xml:space="preserve">A01026</t>
  </si>
  <si>
    <t xml:space="preserve">A01027</t>
  </si>
  <si>
    <t xml:space="preserve">A01028</t>
  </si>
  <si>
    <t xml:space="preserve">A01029</t>
  </si>
  <si>
    <t xml:space="preserve">A01030</t>
  </si>
  <si>
    <t xml:space="preserve">A01031</t>
  </si>
  <si>
    <t xml:space="preserve">A01032</t>
  </si>
  <si>
    <t xml:space="preserve">A01033</t>
  </si>
  <si>
    <t xml:space="preserve">A01034</t>
  </si>
  <si>
    <t xml:space="preserve">A01035</t>
  </si>
  <si>
    <t xml:space="preserve">A01036</t>
  </si>
  <si>
    <t xml:space="preserve">A01037</t>
  </si>
  <si>
    <t xml:space="preserve">A01038</t>
  </si>
  <si>
    <t xml:space="preserve">A01039</t>
  </si>
  <si>
    <t xml:space="preserve">A01040</t>
  </si>
  <si>
    <t xml:space="preserve">A01041</t>
  </si>
  <si>
    <t xml:space="preserve">A01042</t>
  </si>
  <si>
    <t xml:space="preserve">A01043</t>
  </si>
  <si>
    <t xml:space="preserve">A01044</t>
  </si>
  <si>
    <t xml:space="preserve">A01045</t>
  </si>
  <si>
    <t xml:space="preserve">A01046</t>
  </si>
  <si>
    <t xml:space="preserve">A01047</t>
  </si>
  <si>
    <t xml:space="preserve">A01048</t>
  </si>
  <si>
    <t xml:space="preserve">A01049</t>
  </si>
  <si>
    <t xml:space="preserve">A01050</t>
  </si>
  <si>
    <t xml:space="preserve">A01051</t>
  </si>
  <si>
    <t xml:space="preserve">A01052</t>
  </si>
  <si>
    <t xml:space="preserve">A01053</t>
  </si>
  <si>
    <t xml:space="preserve">A01054</t>
  </si>
  <si>
    <t xml:space="preserve">A01055</t>
  </si>
  <si>
    <t xml:space="preserve">A01056</t>
  </si>
  <si>
    <t xml:space="preserve">A01057</t>
  </si>
  <si>
    <t xml:space="preserve">A01058</t>
  </si>
  <si>
    <t xml:space="preserve">A01059</t>
  </si>
  <si>
    <t xml:space="preserve">A01060</t>
  </si>
  <si>
    <t xml:space="preserve">A01061</t>
  </si>
  <si>
    <t xml:space="preserve">A01062</t>
  </si>
  <si>
    <t xml:space="preserve">A01063</t>
  </si>
  <si>
    <t xml:space="preserve">A01064</t>
  </si>
  <si>
    <t xml:space="preserve">A01065</t>
  </si>
  <si>
    <t xml:space="preserve">A01066</t>
  </si>
  <si>
    <t xml:space="preserve">A01067</t>
  </si>
  <si>
    <t xml:space="preserve">A01068</t>
  </si>
  <si>
    <t xml:space="preserve">A01069</t>
  </si>
  <si>
    <t xml:space="preserve">A01070</t>
  </si>
  <si>
    <t xml:space="preserve">A01071</t>
  </si>
  <si>
    <t xml:space="preserve">A01072</t>
  </si>
  <si>
    <t xml:space="preserve">A01073</t>
  </si>
  <si>
    <t xml:space="preserve">A01074</t>
  </si>
  <si>
    <t xml:space="preserve">A01075</t>
  </si>
  <si>
    <t xml:space="preserve">A01076</t>
  </si>
  <si>
    <t xml:space="preserve">A01077</t>
  </si>
  <si>
    <t xml:space="preserve">A01078</t>
  </si>
  <si>
    <t xml:space="preserve">A01079</t>
  </si>
  <si>
    <t xml:space="preserve">A01080</t>
  </si>
  <si>
    <t xml:space="preserve">A01081</t>
  </si>
  <si>
    <t xml:space="preserve">A01082</t>
  </si>
  <si>
    <t xml:space="preserve">A01083</t>
  </si>
  <si>
    <t xml:space="preserve">A01084</t>
  </si>
  <si>
    <t xml:space="preserve">A01085</t>
  </si>
  <si>
    <t xml:space="preserve">A01086</t>
  </si>
  <si>
    <t xml:space="preserve">A01087</t>
  </si>
  <si>
    <t xml:space="preserve">A01088</t>
  </si>
  <si>
    <t xml:space="preserve">A01089</t>
  </si>
  <si>
    <t xml:space="preserve">A01090</t>
  </si>
  <si>
    <t xml:space="preserve">A01091</t>
  </si>
  <si>
    <t xml:space="preserve">A01092</t>
  </si>
  <si>
    <t xml:space="preserve">A01093</t>
  </si>
  <si>
    <t xml:space="preserve">A01094</t>
  </si>
  <si>
    <t xml:space="preserve">A01095</t>
  </si>
  <si>
    <t xml:space="preserve">A01096</t>
  </si>
  <si>
    <t xml:space="preserve">A01097</t>
  </si>
  <si>
    <t xml:space="preserve">A01098</t>
  </si>
  <si>
    <t xml:space="preserve">A01099</t>
  </si>
  <si>
    <t xml:space="preserve">A01100</t>
  </si>
  <si>
    <t xml:space="preserve">A01101</t>
  </si>
  <si>
    <t xml:space="preserve">A01102</t>
  </si>
  <si>
    <t xml:space="preserve">A01103</t>
  </si>
  <si>
    <t xml:space="preserve">A01104</t>
  </si>
  <si>
    <t xml:space="preserve">A01105</t>
  </si>
  <si>
    <t xml:space="preserve">A01106</t>
  </si>
  <si>
    <t xml:space="preserve">A01107</t>
  </si>
  <si>
    <t xml:space="preserve">A01108</t>
  </si>
  <si>
    <t xml:space="preserve">A01109</t>
  </si>
  <si>
    <t xml:space="preserve">A01110</t>
  </si>
  <si>
    <t xml:space="preserve">A01111</t>
  </si>
  <si>
    <t xml:space="preserve">A01112</t>
  </si>
  <si>
    <t xml:space="preserve">A01113</t>
  </si>
  <si>
    <t xml:space="preserve">A01114</t>
  </si>
  <si>
    <t xml:space="preserve">A01115</t>
  </si>
  <si>
    <t xml:space="preserve">A01116</t>
  </si>
  <si>
    <t xml:space="preserve">A01117</t>
  </si>
  <si>
    <t xml:space="preserve">A01118</t>
  </si>
  <si>
    <t xml:space="preserve">A01119</t>
  </si>
  <si>
    <t xml:space="preserve">A01120</t>
  </si>
  <si>
    <t xml:space="preserve">A01121</t>
  </si>
  <si>
    <t xml:space="preserve">A01122</t>
  </si>
  <si>
    <t xml:space="preserve">A01123</t>
  </si>
  <si>
    <t xml:space="preserve">A01124</t>
  </si>
  <si>
    <t xml:space="preserve">A01125</t>
  </si>
  <si>
    <t xml:space="preserve">A01126</t>
  </si>
  <si>
    <t xml:space="preserve">A01127</t>
  </si>
  <si>
    <t xml:space="preserve">A01128</t>
  </si>
  <si>
    <t xml:space="preserve">A01129</t>
  </si>
  <si>
    <t xml:space="preserve">A01130</t>
  </si>
  <si>
    <t xml:space="preserve">A01131</t>
  </si>
  <si>
    <t xml:space="preserve">A01132</t>
  </si>
  <si>
    <t xml:space="preserve">A01133</t>
  </si>
  <si>
    <t xml:space="preserve">A01134</t>
  </si>
  <si>
    <t xml:space="preserve">A01135</t>
  </si>
  <si>
    <t xml:space="preserve">A01136</t>
  </si>
  <si>
    <t xml:space="preserve">A01137</t>
  </si>
  <si>
    <t xml:space="preserve">A01138</t>
  </si>
  <si>
    <t xml:space="preserve">A01139</t>
  </si>
  <si>
    <t xml:space="preserve">A01140</t>
  </si>
  <si>
    <t xml:space="preserve">A01141</t>
  </si>
  <si>
    <t xml:space="preserve">A01142</t>
  </si>
  <si>
    <t xml:space="preserve">A01143</t>
  </si>
  <si>
    <t xml:space="preserve">A01144</t>
  </si>
  <si>
    <t xml:space="preserve">A01145</t>
  </si>
  <si>
    <t xml:space="preserve">A01146</t>
  </si>
  <si>
    <t xml:space="preserve">A01147</t>
  </si>
  <si>
    <t xml:space="preserve">A01148</t>
  </si>
  <si>
    <t xml:space="preserve">A01149</t>
  </si>
  <si>
    <t xml:space="preserve">A01150</t>
  </si>
  <si>
    <t xml:space="preserve">A01151</t>
  </si>
  <si>
    <t xml:space="preserve">A01152</t>
  </si>
  <si>
    <t xml:space="preserve">A01153</t>
  </si>
  <si>
    <t xml:space="preserve">A01154</t>
  </si>
  <si>
    <t xml:space="preserve">A01155</t>
  </si>
  <si>
    <t xml:space="preserve">A01156</t>
  </si>
  <si>
    <t xml:space="preserve">A01157</t>
  </si>
  <si>
    <t xml:space="preserve">A01158</t>
  </si>
  <si>
    <t xml:space="preserve">A01159</t>
  </si>
  <si>
    <t xml:space="preserve">A01160</t>
  </si>
  <si>
    <t xml:space="preserve">A01161</t>
  </si>
  <si>
    <t xml:space="preserve">A01162</t>
  </si>
  <si>
    <t xml:space="preserve">A01163</t>
  </si>
  <si>
    <t xml:space="preserve">A01164</t>
  </si>
  <si>
    <t xml:space="preserve">A01165</t>
  </si>
  <si>
    <t xml:space="preserve">A01166</t>
  </si>
  <si>
    <t xml:space="preserve">A01167</t>
  </si>
  <si>
    <t xml:space="preserve">A01168</t>
  </si>
  <si>
    <t xml:space="preserve">A01169</t>
  </si>
  <si>
    <t xml:space="preserve">A01170</t>
  </si>
  <si>
    <t xml:space="preserve">A01171</t>
  </si>
  <si>
    <t xml:space="preserve">A01172</t>
  </si>
  <si>
    <t xml:space="preserve">A01173</t>
  </si>
  <si>
    <t xml:space="preserve">A01174</t>
  </si>
  <si>
    <t xml:space="preserve">A01175</t>
  </si>
  <si>
    <t xml:space="preserve">A01176</t>
  </si>
  <si>
    <t xml:space="preserve">A01177</t>
  </si>
  <si>
    <t xml:space="preserve">A01178</t>
  </si>
  <si>
    <t xml:space="preserve">A01179</t>
  </si>
  <si>
    <t xml:space="preserve">A01180</t>
  </si>
  <si>
    <t xml:space="preserve">A01181</t>
  </si>
  <si>
    <t xml:space="preserve">A01182</t>
  </si>
  <si>
    <t xml:space="preserve">A01183</t>
  </si>
  <si>
    <t xml:space="preserve">A01184</t>
  </si>
  <si>
    <t xml:space="preserve">A01185</t>
  </si>
  <si>
    <t xml:space="preserve">A01186</t>
  </si>
  <si>
    <t xml:space="preserve">A01187</t>
  </si>
  <si>
    <t xml:space="preserve">A01188</t>
  </si>
  <si>
    <t xml:space="preserve">A01189</t>
  </si>
  <si>
    <t xml:space="preserve">A01190</t>
  </si>
  <si>
    <t xml:space="preserve">A01191</t>
  </si>
  <si>
    <t xml:space="preserve">A01192</t>
  </si>
  <si>
    <t xml:space="preserve">A01193</t>
  </si>
  <si>
    <t xml:space="preserve">A01194</t>
  </si>
  <si>
    <t xml:space="preserve">A01195</t>
  </si>
  <si>
    <t xml:space="preserve">A01196</t>
  </si>
  <si>
    <t xml:space="preserve">A01197</t>
  </si>
  <si>
    <t xml:space="preserve">A01198</t>
  </si>
  <si>
    <t xml:space="preserve">A01199</t>
  </si>
  <si>
    <t xml:space="preserve">A01200</t>
  </si>
  <si>
    <t xml:space="preserve">A01201</t>
  </si>
  <si>
    <t xml:space="preserve">A01202</t>
  </si>
  <si>
    <t xml:space="preserve">A01203</t>
  </si>
  <si>
    <t xml:space="preserve">A01204</t>
  </si>
  <si>
    <t xml:space="preserve">A01205</t>
  </si>
  <si>
    <t xml:space="preserve">A01206</t>
  </si>
  <si>
    <t xml:space="preserve">A01207</t>
  </si>
  <si>
    <t xml:space="preserve">A01208</t>
  </si>
  <si>
    <t xml:space="preserve">A01209</t>
  </si>
  <si>
    <t xml:space="preserve">A01210</t>
  </si>
  <si>
    <t xml:space="preserve">A01211</t>
  </si>
  <si>
    <t xml:space="preserve">A01212</t>
  </si>
  <si>
    <t xml:space="preserve">A01213</t>
  </si>
  <si>
    <t xml:space="preserve">A01214</t>
  </si>
  <si>
    <t xml:space="preserve">A01215</t>
  </si>
  <si>
    <t xml:space="preserve">A01216</t>
  </si>
  <si>
    <t xml:space="preserve">A01217</t>
  </si>
  <si>
    <t xml:space="preserve">A01218</t>
  </si>
  <si>
    <t xml:space="preserve">A01219</t>
  </si>
  <si>
    <t xml:space="preserve">A01220</t>
  </si>
  <si>
    <t xml:space="preserve">A01221</t>
  </si>
  <si>
    <t xml:space="preserve">A01222</t>
  </si>
  <si>
    <t xml:space="preserve">A01223</t>
  </si>
  <si>
    <t xml:space="preserve">A01224</t>
  </si>
  <si>
    <t xml:space="preserve">A01225</t>
  </si>
  <si>
    <t xml:space="preserve">A01226</t>
  </si>
  <si>
    <t xml:space="preserve">A01227</t>
  </si>
  <si>
    <t xml:space="preserve">A01228</t>
  </si>
  <si>
    <t xml:space="preserve">A01229</t>
  </si>
  <si>
    <t xml:space="preserve">A01230</t>
  </si>
  <si>
    <t xml:space="preserve">A01231</t>
  </si>
  <si>
    <t xml:space="preserve">A01232</t>
  </si>
  <si>
    <t xml:space="preserve">A01233</t>
  </si>
  <si>
    <t xml:space="preserve">A01234</t>
  </si>
  <si>
    <t xml:space="preserve">A01235</t>
  </si>
  <si>
    <t xml:space="preserve">A01236</t>
  </si>
  <si>
    <t xml:space="preserve">A01237</t>
  </si>
  <si>
    <t xml:space="preserve">A01238</t>
  </si>
  <si>
    <t xml:space="preserve">A01239</t>
  </si>
  <si>
    <t xml:space="preserve">A01240</t>
  </si>
  <si>
    <t xml:space="preserve">A01241</t>
  </si>
  <si>
    <t xml:space="preserve">A01242</t>
  </si>
  <si>
    <t xml:space="preserve">A01243</t>
  </si>
  <si>
    <t xml:space="preserve">A01244</t>
  </si>
  <si>
    <t xml:space="preserve">A01245</t>
  </si>
  <si>
    <t xml:space="preserve">A01246</t>
  </si>
  <si>
    <t xml:space="preserve">A01247</t>
  </si>
  <si>
    <t xml:space="preserve">A01248</t>
  </si>
  <si>
    <t xml:space="preserve">A01249</t>
  </si>
  <si>
    <t xml:space="preserve">A01250</t>
  </si>
  <si>
    <t xml:space="preserve">A01251</t>
  </si>
  <si>
    <t xml:space="preserve">A01252</t>
  </si>
  <si>
    <t xml:space="preserve">A01253</t>
  </si>
  <si>
    <t xml:space="preserve">A01254</t>
  </si>
  <si>
    <t xml:space="preserve">A01255</t>
  </si>
  <si>
    <t xml:space="preserve">A01256</t>
  </si>
  <si>
    <t xml:space="preserve">A01257</t>
  </si>
  <si>
    <t xml:space="preserve">A01258</t>
  </si>
  <si>
    <t xml:space="preserve">A01259</t>
  </si>
  <si>
    <t xml:space="preserve">A01260</t>
  </si>
  <si>
    <t xml:space="preserve">A01261</t>
  </si>
  <si>
    <t xml:space="preserve">A01262</t>
  </si>
  <si>
    <t xml:space="preserve">A01263</t>
  </si>
  <si>
    <t xml:space="preserve">A01264</t>
  </si>
  <si>
    <t xml:space="preserve">A01265</t>
  </si>
  <si>
    <t xml:space="preserve">A01266</t>
  </si>
  <si>
    <t xml:space="preserve">A01267</t>
  </si>
  <si>
    <t xml:space="preserve">A01268</t>
  </si>
  <si>
    <t xml:space="preserve">A01269</t>
  </si>
  <si>
    <t xml:space="preserve">A01270</t>
  </si>
  <si>
    <t xml:space="preserve">A01271</t>
  </si>
  <si>
    <t xml:space="preserve">A01272</t>
  </si>
  <si>
    <t xml:space="preserve">A01273</t>
  </si>
  <si>
    <t xml:space="preserve">A01274</t>
  </si>
  <si>
    <t xml:space="preserve">A01275</t>
  </si>
  <si>
    <t xml:space="preserve">A01276</t>
  </si>
  <si>
    <t xml:space="preserve">A01277</t>
  </si>
  <si>
    <t xml:space="preserve">A01278</t>
  </si>
  <si>
    <t xml:space="preserve">A01279</t>
  </si>
  <si>
    <t xml:space="preserve">A01280</t>
  </si>
  <si>
    <t xml:space="preserve">A01281</t>
  </si>
  <si>
    <t xml:space="preserve">A01282</t>
  </si>
  <si>
    <t xml:space="preserve">A01283</t>
  </si>
  <si>
    <t xml:space="preserve">A01284</t>
  </si>
  <si>
    <t xml:space="preserve">A01285</t>
  </si>
  <si>
    <t xml:space="preserve">A01286</t>
  </si>
  <si>
    <t xml:space="preserve">A01287</t>
  </si>
  <si>
    <t xml:space="preserve">A01288</t>
  </si>
  <si>
    <t xml:space="preserve">A01289</t>
  </si>
  <si>
    <t xml:space="preserve">A01290</t>
  </si>
  <si>
    <t xml:space="preserve">A01291</t>
  </si>
  <si>
    <t xml:space="preserve">A01292</t>
  </si>
  <si>
    <t xml:space="preserve">A01293</t>
  </si>
  <si>
    <t xml:space="preserve">A01294</t>
  </si>
  <si>
    <t xml:space="preserve">A01295</t>
  </si>
  <si>
    <t xml:space="preserve">A01296</t>
  </si>
  <si>
    <t xml:space="preserve">A01297</t>
  </si>
  <si>
    <t xml:space="preserve">A01298</t>
  </si>
  <si>
    <t xml:space="preserve">A01299</t>
  </si>
  <si>
    <t xml:space="preserve">A01300</t>
  </si>
  <si>
    <t xml:space="preserve">A01301</t>
  </si>
  <si>
    <t xml:space="preserve">A01302</t>
  </si>
  <si>
    <t xml:space="preserve">A01303</t>
  </si>
  <si>
    <t xml:space="preserve">A01304</t>
  </si>
  <si>
    <t xml:space="preserve">A01305</t>
  </si>
  <si>
    <t xml:space="preserve">A01306</t>
  </si>
  <si>
    <t xml:space="preserve">A01307</t>
  </si>
  <si>
    <t xml:space="preserve">A01308</t>
  </si>
  <si>
    <t xml:space="preserve">A01309</t>
  </si>
  <si>
    <t xml:space="preserve">A01310</t>
  </si>
  <si>
    <t xml:space="preserve">A01311</t>
  </si>
  <si>
    <t xml:space="preserve">A01312</t>
  </si>
  <si>
    <t xml:space="preserve">A01313</t>
  </si>
  <si>
    <t xml:space="preserve">A01314</t>
  </si>
  <si>
    <t xml:space="preserve">A01315</t>
  </si>
  <si>
    <t xml:space="preserve">A01316</t>
  </si>
  <si>
    <t xml:space="preserve">A01317</t>
  </si>
  <si>
    <t xml:space="preserve">A01318</t>
  </si>
  <si>
    <t xml:space="preserve">A01319</t>
  </si>
  <si>
    <t xml:space="preserve">A01320</t>
  </si>
  <si>
    <t xml:space="preserve">A01321</t>
  </si>
  <si>
    <t xml:space="preserve">A01322</t>
  </si>
  <si>
    <t xml:space="preserve">A01323</t>
  </si>
  <si>
    <t xml:space="preserve">A01324</t>
  </si>
  <si>
    <t xml:space="preserve">A01325</t>
  </si>
  <si>
    <t xml:space="preserve">A01326</t>
  </si>
  <si>
    <t xml:space="preserve">A01327</t>
  </si>
  <si>
    <t xml:space="preserve">A01328</t>
  </si>
  <si>
    <t xml:space="preserve">A01329</t>
  </si>
  <si>
    <t xml:space="preserve">A01330</t>
  </si>
  <si>
    <t xml:space="preserve">A01331</t>
  </si>
  <si>
    <t xml:space="preserve">A01332</t>
  </si>
  <si>
    <t xml:space="preserve">A01333</t>
  </si>
  <si>
    <t xml:space="preserve">A01334</t>
  </si>
  <si>
    <t xml:space="preserve">A01335</t>
  </si>
  <si>
    <t xml:space="preserve">A01336</t>
  </si>
  <si>
    <t xml:space="preserve">A01337</t>
  </si>
  <si>
    <t xml:space="preserve">A01338</t>
  </si>
  <si>
    <t xml:space="preserve">A01339</t>
  </si>
  <si>
    <t xml:space="preserve">A01340</t>
  </si>
  <si>
    <t xml:space="preserve">A01341</t>
  </si>
  <si>
    <t xml:space="preserve">A01342</t>
  </si>
  <si>
    <t xml:space="preserve">A01343</t>
  </si>
  <si>
    <t xml:space="preserve">A01344</t>
  </si>
  <si>
    <t xml:space="preserve">A01345</t>
  </si>
  <si>
    <t xml:space="preserve">A01346</t>
  </si>
  <si>
    <t xml:space="preserve">A01347</t>
  </si>
  <si>
    <t xml:space="preserve">A01348</t>
  </si>
  <si>
    <t xml:space="preserve">A01349</t>
  </si>
  <si>
    <t xml:space="preserve">A01350</t>
  </si>
  <si>
    <t xml:space="preserve">A01351</t>
  </si>
  <si>
    <t xml:space="preserve">A01352</t>
  </si>
  <si>
    <t xml:space="preserve">A01353</t>
  </si>
  <si>
    <t xml:space="preserve">A01354</t>
  </si>
  <si>
    <t xml:space="preserve">A01355</t>
  </si>
  <si>
    <t xml:space="preserve">A01356</t>
  </si>
  <si>
    <t xml:space="preserve">A01357</t>
  </si>
  <si>
    <t xml:space="preserve">A01358</t>
  </si>
  <si>
    <t xml:space="preserve">A01359</t>
  </si>
  <si>
    <t xml:space="preserve">A01360</t>
  </si>
  <si>
    <t xml:space="preserve">A01361</t>
  </si>
  <si>
    <t xml:space="preserve">A01362</t>
  </si>
  <si>
    <t xml:space="preserve">A01363</t>
  </si>
  <si>
    <t xml:space="preserve">A01364</t>
  </si>
  <si>
    <t xml:space="preserve">A01365</t>
  </si>
  <si>
    <t xml:space="preserve">A01366</t>
  </si>
  <si>
    <t xml:space="preserve">A01367</t>
  </si>
  <si>
    <t xml:space="preserve">A01368</t>
  </si>
  <si>
    <t xml:space="preserve">A01369</t>
  </si>
  <si>
    <t xml:space="preserve">A01370</t>
  </si>
  <si>
    <t xml:space="preserve">A01371</t>
  </si>
  <si>
    <t xml:space="preserve">A01372</t>
  </si>
  <si>
    <t xml:space="preserve">A01373</t>
  </si>
  <si>
    <t xml:space="preserve">A01374</t>
  </si>
  <si>
    <t xml:space="preserve">A01375</t>
  </si>
  <si>
    <t xml:space="preserve">A01376</t>
  </si>
  <si>
    <t xml:space="preserve">A01377</t>
  </si>
  <si>
    <t xml:space="preserve">A01378</t>
  </si>
  <si>
    <t xml:space="preserve">A01379</t>
  </si>
  <si>
    <t xml:space="preserve">A01380</t>
  </si>
  <si>
    <t xml:space="preserve">A01381</t>
  </si>
  <si>
    <t xml:space="preserve">A01382</t>
  </si>
  <si>
    <t xml:space="preserve">A01383</t>
  </si>
  <si>
    <t xml:space="preserve">A01384</t>
  </si>
  <si>
    <t xml:space="preserve">A01385</t>
  </si>
  <si>
    <t xml:space="preserve">A01386</t>
  </si>
  <si>
    <t xml:space="preserve">A01387</t>
  </si>
  <si>
    <t xml:space="preserve">A01388</t>
  </si>
  <si>
    <t xml:space="preserve">A01389</t>
  </si>
  <si>
    <t xml:space="preserve">A01390</t>
  </si>
  <si>
    <t xml:space="preserve">A01391</t>
  </si>
  <si>
    <t xml:space="preserve">A01392</t>
  </si>
  <si>
    <t xml:space="preserve">A01393</t>
  </si>
  <si>
    <t xml:space="preserve">A01394</t>
  </si>
  <si>
    <t xml:space="preserve">A01395</t>
  </si>
  <si>
    <t xml:space="preserve">A01396</t>
  </si>
  <si>
    <t xml:space="preserve">A01397</t>
  </si>
  <si>
    <t xml:space="preserve">A01398</t>
  </si>
  <si>
    <t xml:space="preserve">A01399</t>
  </si>
  <si>
    <t xml:space="preserve">A01400</t>
  </si>
  <si>
    <t xml:space="preserve">A01401</t>
  </si>
  <si>
    <t xml:space="preserve">A01402</t>
  </si>
  <si>
    <t xml:space="preserve">A01403</t>
  </si>
  <si>
    <t xml:space="preserve">A01404</t>
  </si>
  <si>
    <t xml:space="preserve">A01405</t>
  </si>
  <si>
    <t xml:space="preserve">A01406</t>
  </si>
  <si>
    <t xml:space="preserve">A01407</t>
  </si>
  <si>
    <t xml:space="preserve">A01408</t>
  </si>
  <si>
    <t xml:space="preserve">A01409</t>
  </si>
  <si>
    <t xml:space="preserve">A01410</t>
  </si>
  <si>
    <t xml:space="preserve">A01411</t>
  </si>
  <si>
    <t xml:space="preserve">A01412</t>
  </si>
  <si>
    <t xml:space="preserve">A01413</t>
  </si>
  <si>
    <t xml:space="preserve">A01414</t>
  </si>
  <si>
    <t xml:space="preserve">A01415</t>
  </si>
  <si>
    <t xml:space="preserve">A01416</t>
  </si>
  <si>
    <t xml:space="preserve">A01417</t>
  </si>
  <si>
    <t xml:space="preserve">A01418</t>
  </si>
  <si>
    <t xml:space="preserve">A01419</t>
  </si>
  <si>
    <t xml:space="preserve">A01420</t>
  </si>
  <si>
    <t xml:space="preserve">A01421</t>
  </si>
  <si>
    <t xml:space="preserve">A01422</t>
  </si>
  <si>
    <t xml:space="preserve">A01423</t>
  </si>
  <si>
    <t xml:space="preserve">A01424</t>
  </si>
  <si>
    <t xml:space="preserve">A01425</t>
  </si>
  <si>
    <t xml:space="preserve">A01426</t>
  </si>
  <si>
    <t xml:space="preserve">A01427</t>
  </si>
  <si>
    <t xml:space="preserve">A01428</t>
  </si>
  <si>
    <t xml:space="preserve">A01429</t>
  </si>
  <si>
    <t xml:space="preserve">A01430</t>
  </si>
  <si>
    <t xml:space="preserve">A01431</t>
  </si>
  <si>
    <t xml:space="preserve">A01432</t>
  </si>
  <si>
    <t xml:space="preserve">A01433</t>
  </si>
  <si>
    <t xml:space="preserve">A01434</t>
  </si>
  <si>
    <t xml:space="preserve">A01435</t>
  </si>
  <si>
    <t xml:space="preserve">A01436</t>
  </si>
  <si>
    <t xml:space="preserve">A01437</t>
  </si>
  <si>
    <t xml:space="preserve">A01438</t>
  </si>
  <si>
    <t xml:space="preserve">A01439</t>
  </si>
  <si>
    <t xml:space="preserve">A01440</t>
  </si>
  <si>
    <t xml:space="preserve">A01441</t>
  </si>
  <si>
    <t xml:space="preserve">A01442</t>
  </si>
  <si>
    <t xml:space="preserve">A01443</t>
  </si>
  <si>
    <t xml:space="preserve">A01444</t>
  </si>
  <si>
    <t xml:space="preserve">A01445</t>
  </si>
  <si>
    <t xml:space="preserve">A01446</t>
  </si>
  <si>
    <t xml:space="preserve">A01447</t>
  </si>
  <si>
    <t xml:space="preserve">A01448</t>
  </si>
  <si>
    <t xml:space="preserve">A01449</t>
  </si>
  <si>
    <t xml:space="preserve">A01450</t>
  </si>
  <si>
    <t xml:space="preserve">A01451</t>
  </si>
  <si>
    <t xml:space="preserve">A01452</t>
  </si>
  <si>
    <t xml:space="preserve">A01453</t>
  </si>
  <si>
    <t xml:space="preserve">A01454</t>
  </si>
  <si>
    <t xml:space="preserve">A01455</t>
  </si>
  <si>
    <t xml:space="preserve">A01456</t>
  </si>
  <si>
    <t xml:space="preserve">A01457</t>
  </si>
  <si>
    <t xml:space="preserve">A01458</t>
  </si>
  <si>
    <t xml:space="preserve">A01459</t>
  </si>
  <si>
    <t xml:space="preserve">A01460</t>
  </si>
  <si>
    <t xml:space="preserve">A01461</t>
  </si>
  <si>
    <t xml:space="preserve">A01462</t>
  </si>
  <si>
    <t xml:space="preserve">A01463</t>
  </si>
  <si>
    <t xml:space="preserve">A01464</t>
  </si>
  <si>
    <t xml:space="preserve">A01465</t>
  </si>
  <si>
    <t xml:space="preserve">A01466</t>
  </si>
  <si>
    <t xml:space="preserve">A01467</t>
  </si>
  <si>
    <t xml:space="preserve">A01468</t>
  </si>
  <si>
    <t xml:space="preserve">A01469</t>
  </si>
  <si>
    <t xml:space="preserve">A01470</t>
  </si>
  <si>
    <t xml:space="preserve">A01471</t>
  </si>
  <si>
    <t xml:space="preserve">A01472</t>
  </si>
  <si>
    <t xml:space="preserve">A01473</t>
  </si>
  <si>
    <t xml:space="preserve">A01474</t>
  </si>
  <si>
    <t xml:space="preserve">A01475</t>
  </si>
  <si>
    <t xml:space="preserve">A01476</t>
  </si>
  <si>
    <t xml:space="preserve">A01477</t>
  </si>
  <si>
    <t xml:space="preserve">A01478</t>
  </si>
  <si>
    <t xml:space="preserve">A01479</t>
  </si>
  <si>
    <t xml:space="preserve">A01480</t>
  </si>
  <si>
    <t xml:space="preserve">A01481</t>
  </si>
  <si>
    <t xml:space="preserve">A01482</t>
  </si>
  <si>
    <t xml:space="preserve">A01483</t>
  </si>
  <si>
    <t xml:space="preserve">A01484</t>
  </si>
  <si>
    <t xml:space="preserve">A01485</t>
  </si>
  <si>
    <t xml:space="preserve">A01486</t>
  </si>
  <si>
    <t xml:space="preserve">A01487</t>
  </si>
  <si>
    <t xml:space="preserve">A01488</t>
  </si>
  <si>
    <t xml:space="preserve">A01489</t>
  </si>
  <si>
    <t xml:space="preserve">A01490</t>
  </si>
  <si>
    <t xml:space="preserve">A01491</t>
  </si>
  <si>
    <t xml:space="preserve">A01492</t>
  </si>
  <si>
    <t xml:space="preserve">A01493</t>
  </si>
  <si>
    <t xml:space="preserve">A01494</t>
  </si>
  <si>
    <t xml:space="preserve">A01495</t>
  </si>
  <si>
    <t xml:space="preserve">A01496</t>
  </si>
  <si>
    <t xml:space="preserve">A01497</t>
  </si>
  <si>
    <t xml:space="preserve">A01498</t>
  </si>
  <si>
    <t xml:space="preserve">A01499</t>
  </si>
  <si>
    <t xml:space="preserve">A01500</t>
  </si>
  <si>
    <t xml:space="preserve">A01501</t>
  </si>
  <si>
    <t xml:space="preserve">A01502</t>
  </si>
  <si>
    <t xml:space="preserve">A01503</t>
  </si>
  <si>
    <t xml:space="preserve">A01504</t>
  </si>
  <si>
    <t xml:space="preserve">A01505</t>
  </si>
  <si>
    <t xml:space="preserve">A01506</t>
  </si>
  <si>
    <t xml:space="preserve">A01507</t>
  </si>
  <si>
    <t xml:space="preserve">A01508</t>
  </si>
  <si>
    <t xml:space="preserve">A01509</t>
  </si>
  <si>
    <t xml:space="preserve">A01510</t>
  </si>
  <si>
    <t xml:space="preserve">A01511</t>
  </si>
  <si>
    <t xml:space="preserve">A01512</t>
  </si>
  <si>
    <t xml:space="preserve">A01513</t>
  </si>
  <si>
    <t xml:space="preserve">A01514</t>
  </si>
  <si>
    <t xml:space="preserve">A01515</t>
  </si>
  <si>
    <t xml:space="preserve">A01516</t>
  </si>
  <si>
    <t xml:space="preserve">A01517</t>
  </si>
  <si>
    <t xml:space="preserve">A01518</t>
  </si>
  <si>
    <t xml:space="preserve">A01519</t>
  </si>
  <si>
    <t xml:space="preserve">A01520</t>
  </si>
  <si>
    <t xml:space="preserve">A01521</t>
  </si>
  <si>
    <t xml:space="preserve">A01522</t>
  </si>
  <si>
    <t xml:space="preserve">A01523</t>
  </si>
  <si>
    <t xml:space="preserve">A01524</t>
  </si>
  <si>
    <t xml:space="preserve">A01525</t>
  </si>
  <si>
    <t xml:space="preserve">A01526</t>
  </si>
  <si>
    <t xml:space="preserve">A01527</t>
  </si>
  <si>
    <t xml:space="preserve">A01528</t>
  </si>
  <si>
    <t xml:space="preserve">A01529</t>
  </si>
  <si>
    <t xml:space="preserve">A01530</t>
  </si>
  <si>
    <t xml:space="preserve">A01531</t>
  </si>
  <si>
    <t xml:space="preserve">A01532</t>
  </si>
  <si>
    <t xml:space="preserve">A01533</t>
  </si>
  <si>
    <t xml:space="preserve">A01534</t>
  </si>
  <si>
    <t xml:space="preserve">A01535</t>
  </si>
  <si>
    <t xml:space="preserve">A01536</t>
  </si>
  <si>
    <t xml:space="preserve">A01537</t>
  </si>
  <si>
    <t xml:space="preserve">A01538</t>
  </si>
  <si>
    <t xml:space="preserve">A01539</t>
  </si>
  <si>
    <t xml:space="preserve">A01540</t>
  </si>
  <si>
    <t xml:space="preserve">A01541</t>
  </si>
  <si>
    <t xml:space="preserve">A01542</t>
  </si>
  <si>
    <t xml:space="preserve">A01543</t>
  </si>
  <si>
    <t xml:space="preserve">A01544</t>
  </si>
  <si>
    <t xml:space="preserve">A01545</t>
  </si>
  <si>
    <t xml:space="preserve">A01546</t>
  </si>
  <si>
    <t xml:space="preserve">A01547</t>
  </si>
  <si>
    <t xml:space="preserve">A01548</t>
  </si>
  <si>
    <t xml:space="preserve">A01549</t>
  </si>
  <si>
    <t xml:space="preserve">A01550</t>
  </si>
  <si>
    <t xml:space="preserve">A01551</t>
  </si>
  <si>
    <t xml:space="preserve">A01552</t>
  </si>
  <si>
    <t xml:space="preserve">A01553</t>
  </si>
  <si>
    <t xml:space="preserve">A01554</t>
  </si>
  <si>
    <t xml:space="preserve">A01555</t>
  </si>
  <si>
    <t xml:space="preserve">A01556</t>
  </si>
  <si>
    <t xml:space="preserve">A01557</t>
  </si>
  <si>
    <t xml:space="preserve">A01558</t>
  </si>
  <si>
    <t xml:space="preserve">A01559</t>
  </si>
  <si>
    <t xml:space="preserve">A01560</t>
  </si>
  <si>
    <t xml:space="preserve">A01561</t>
  </si>
  <si>
    <t xml:space="preserve">A01562</t>
  </si>
  <si>
    <t xml:space="preserve">A01563</t>
  </si>
  <si>
    <t xml:space="preserve">A01564</t>
  </si>
  <si>
    <t xml:space="preserve">A01565</t>
  </si>
  <si>
    <t xml:space="preserve">A01566</t>
  </si>
  <si>
    <t xml:space="preserve">A01567</t>
  </si>
  <si>
    <t xml:space="preserve">A01568</t>
  </si>
  <si>
    <t xml:space="preserve">A01569</t>
  </si>
  <si>
    <t xml:space="preserve">A01570</t>
  </si>
  <si>
    <t xml:space="preserve">A01571</t>
  </si>
  <si>
    <t xml:space="preserve">A01572</t>
  </si>
  <si>
    <t xml:space="preserve">A01573</t>
  </si>
  <si>
    <t xml:space="preserve">A01574</t>
  </si>
  <si>
    <t xml:space="preserve">A01575</t>
  </si>
  <si>
    <t xml:space="preserve">A01576</t>
  </si>
  <si>
    <t xml:space="preserve">A01577</t>
  </si>
  <si>
    <t xml:space="preserve">A01578</t>
  </si>
  <si>
    <t xml:space="preserve">A01579</t>
  </si>
  <si>
    <t xml:space="preserve">A01580</t>
  </si>
  <si>
    <t xml:space="preserve">A01581</t>
  </si>
  <si>
    <t xml:space="preserve">A01582</t>
  </si>
  <si>
    <t xml:space="preserve">A01583</t>
  </si>
  <si>
    <t xml:space="preserve">A01584</t>
  </si>
  <si>
    <t xml:space="preserve">A01585</t>
  </si>
  <si>
    <t xml:space="preserve">A01586</t>
  </si>
  <si>
    <t xml:space="preserve">A01587</t>
  </si>
  <si>
    <t xml:space="preserve">A01588</t>
  </si>
  <si>
    <t xml:space="preserve">A01589</t>
  </si>
  <si>
    <t xml:space="preserve">A01590</t>
  </si>
  <si>
    <t xml:space="preserve">A01591</t>
  </si>
  <si>
    <t xml:space="preserve">A01592</t>
  </si>
  <si>
    <t xml:space="preserve">A01593</t>
  </si>
  <si>
    <t xml:space="preserve">A01594</t>
  </si>
  <si>
    <t xml:space="preserve">A01595</t>
  </si>
  <si>
    <t xml:space="preserve">A01596</t>
  </si>
  <si>
    <t xml:space="preserve">A01597</t>
  </si>
  <si>
    <t xml:space="preserve">A01598</t>
  </si>
  <si>
    <t xml:space="preserve">A01599</t>
  </si>
  <si>
    <t xml:space="preserve">A01600</t>
  </si>
  <si>
    <t xml:space="preserve">A01601</t>
  </si>
  <si>
    <t xml:space="preserve">A01602</t>
  </si>
  <si>
    <t xml:space="preserve">A01603</t>
  </si>
  <si>
    <t xml:space="preserve">A01604</t>
  </si>
  <si>
    <t xml:space="preserve">A01605</t>
  </si>
  <si>
    <t xml:space="preserve">A01606</t>
  </si>
  <si>
    <t xml:space="preserve">A01607</t>
  </si>
  <si>
    <t xml:space="preserve">A01608</t>
  </si>
  <si>
    <t xml:space="preserve">A01609</t>
  </si>
  <si>
    <t xml:space="preserve">A01610</t>
  </si>
  <si>
    <t xml:space="preserve">A01611</t>
  </si>
  <si>
    <t xml:space="preserve">A01612</t>
  </si>
  <si>
    <t xml:space="preserve">A01613</t>
  </si>
  <si>
    <t xml:space="preserve">A01614</t>
  </si>
  <si>
    <t xml:space="preserve">A01615</t>
  </si>
  <si>
    <t xml:space="preserve">A01616</t>
  </si>
  <si>
    <t xml:space="preserve">A01617</t>
  </si>
  <si>
    <t xml:space="preserve">A01618</t>
  </si>
  <si>
    <t xml:space="preserve">A01619</t>
  </si>
  <si>
    <t xml:space="preserve">A01620</t>
  </si>
  <si>
    <t xml:space="preserve">A01621</t>
  </si>
  <si>
    <t xml:space="preserve">A01622</t>
  </si>
  <si>
    <t xml:space="preserve">A01623</t>
  </si>
  <si>
    <t xml:space="preserve">A01624</t>
  </si>
  <si>
    <t xml:space="preserve">A01625</t>
  </si>
  <si>
    <t xml:space="preserve">A01626</t>
  </si>
  <si>
    <t xml:space="preserve">A01627</t>
  </si>
  <si>
    <t xml:space="preserve">A01628</t>
  </si>
  <si>
    <t xml:space="preserve">A01629</t>
  </si>
  <si>
    <t xml:space="preserve">A01630</t>
  </si>
  <si>
    <t xml:space="preserve">A01631</t>
  </si>
  <si>
    <t xml:space="preserve">A01632</t>
  </si>
  <si>
    <t xml:space="preserve">A01633</t>
  </si>
  <si>
    <t xml:space="preserve">A01634</t>
  </si>
  <si>
    <t xml:space="preserve">A01635</t>
  </si>
  <si>
    <t xml:space="preserve">A01636</t>
  </si>
  <si>
    <t xml:space="preserve">A01637</t>
  </si>
  <si>
    <t xml:space="preserve">A01638</t>
  </si>
  <si>
    <t xml:space="preserve">A01639</t>
  </si>
  <si>
    <t xml:space="preserve">A01640</t>
  </si>
  <si>
    <t xml:space="preserve">A01641</t>
  </si>
  <si>
    <t xml:space="preserve">A01642</t>
  </si>
  <si>
    <t xml:space="preserve">A01643</t>
  </si>
  <si>
    <t xml:space="preserve">A01644</t>
  </si>
  <si>
    <t xml:space="preserve">A01645</t>
  </si>
  <si>
    <t xml:space="preserve">A01646</t>
  </si>
  <si>
    <t xml:space="preserve">A01647</t>
  </si>
  <si>
    <t xml:space="preserve">A01648</t>
  </si>
  <si>
    <t xml:space="preserve">A01649</t>
  </si>
  <si>
    <t xml:space="preserve">A01650</t>
  </si>
  <si>
    <t xml:space="preserve">A01651</t>
  </si>
  <si>
    <t xml:space="preserve">A01652</t>
  </si>
  <si>
    <t xml:space="preserve">A01653</t>
  </si>
  <si>
    <t xml:space="preserve">A01654</t>
  </si>
  <si>
    <t xml:space="preserve">A01655</t>
  </si>
  <si>
    <t xml:space="preserve">A01656</t>
  </si>
  <si>
    <t xml:space="preserve">A01657</t>
  </si>
  <si>
    <t xml:space="preserve">A01658</t>
  </si>
  <si>
    <t xml:space="preserve">A01659</t>
  </si>
  <si>
    <t xml:space="preserve">A01660</t>
  </si>
  <si>
    <t xml:space="preserve">A01661</t>
  </si>
  <si>
    <t xml:space="preserve">A01662</t>
  </si>
  <si>
    <t xml:space="preserve">A01663</t>
  </si>
  <si>
    <t xml:space="preserve">A01664</t>
  </si>
  <si>
    <t xml:space="preserve">A01665</t>
  </si>
  <si>
    <t xml:space="preserve">A01666</t>
  </si>
  <si>
    <t xml:space="preserve">A01667</t>
  </si>
  <si>
    <t xml:space="preserve">A01668</t>
  </si>
  <si>
    <t xml:space="preserve">A01669</t>
  </si>
  <si>
    <t xml:space="preserve">A01670</t>
  </si>
  <si>
    <t xml:space="preserve">A01671</t>
  </si>
  <si>
    <t xml:space="preserve">A01672</t>
  </si>
  <si>
    <t xml:space="preserve">A01673</t>
  </si>
  <si>
    <t xml:space="preserve">A01674</t>
  </si>
  <si>
    <t xml:space="preserve">A01675</t>
  </si>
  <si>
    <t xml:space="preserve">A01676</t>
  </si>
  <si>
    <t xml:space="preserve">A01677</t>
  </si>
  <si>
    <t xml:space="preserve">A01678</t>
  </si>
  <si>
    <t xml:space="preserve">A01679</t>
  </si>
  <si>
    <t xml:space="preserve">A01680</t>
  </si>
  <si>
    <t xml:space="preserve">A01681</t>
  </si>
  <si>
    <t xml:space="preserve">A01682</t>
  </si>
  <si>
    <t xml:space="preserve">A01683</t>
  </si>
  <si>
    <t xml:space="preserve">A01684</t>
  </si>
  <si>
    <t xml:space="preserve">A01685</t>
  </si>
  <si>
    <t xml:space="preserve">A01686</t>
  </si>
  <si>
    <t xml:space="preserve">A01687</t>
  </si>
  <si>
    <t xml:space="preserve">A01688</t>
  </si>
  <si>
    <t xml:space="preserve">A01689</t>
  </si>
  <si>
    <t xml:space="preserve">A01690</t>
  </si>
  <si>
    <t xml:space="preserve">A01691</t>
  </si>
  <si>
    <t xml:space="preserve">A01692</t>
  </si>
  <si>
    <t xml:space="preserve">A01693</t>
  </si>
  <si>
    <t xml:space="preserve">A01694</t>
  </si>
  <si>
    <t xml:space="preserve">A01695</t>
  </si>
  <si>
    <t xml:space="preserve">A01696</t>
  </si>
  <si>
    <t xml:space="preserve">A01697</t>
  </si>
  <si>
    <t xml:space="preserve">A01698</t>
  </si>
  <si>
    <t xml:space="preserve">A01699</t>
  </si>
  <si>
    <t xml:space="preserve">A01700</t>
  </si>
  <si>
    <t xml:space="preserve">A01701</t>
  </si>
  <si>
    <t xml:space="preserve">A01702</t>
  </si>
  <si>
    <t xml:space="preserve">A01703</t>
  </si>
  <si>
    <t xml:space="preserve">A01704</t>
  </si>
  <si>
    <t xml:space="preserve">A01705</t>
  </si>
  <si>
    <t xml:space="preserve">A01706</t>
  </si>
  <si>
    <t xml:space="preserve">A01707</t>
  </si>
  <si>
    <t xml:space="preserve">A01708</t>
  </si>
  <si>
    <t xml:space="preserve">A01709</t>
  </si>
  <si>
    <t xml:space="preserve">A01710</t>
  </si>
  <si>
    <t xml:space="preserve">A01711</t>
  </si>
  <si>
    <t xml:space="preserve">A01712</t>
  </si>
  <si>
    <t xml:space="preserve">A01713</t>
  </si>
  <si>
    <t xml:space="preserve">A01714</t>
  </si>
  <si>
    <t xml:space="preserve">A01715</t>
  </si>
  <si>
    <t xml:space="preserve">A01716</t>
  </si>
  <si>
    <t xml:space="preserve">A01717</t>
  </si>
  <si>
    <t xml:space="preserve">A01718</t>
  </si>
  <si>
    <t xml:space="preserve">A01719</t>
  </si>
  <si>
    <t xml:space="preserve">A01720</t>
  </si>
  <si>
    <t xml:space="preserve">A01721</t>
  </si>
  <si>
    <t xml:space="preserve">A01722</t>
  </si>
  <si>
    <t xml:space="preserve">A01723</t>
  </si>
  <si>
    <t xml:space="preserve">A01724</t>
  </si>
  <si>
    <t xml:space="preserve">A01725</t>
  </si>
  <si>
    <t xml:space="preserve">A01726</t>
  </si>
  <si>
    <t xml:space="preserve">A01727</t>
  </si>
  <si>
    <t xml:space="preserve">A01728</t>
  </si>
  <si>
    <t xml:space="preserve">A01729</t>
  </si>
  <si>
    <t xml:space="preserve">A01730</t>
  </si>
  <si>
    <t xml:space="preserve">A01731</t>
  </si>
  <si>
    <t xml:space="preserve">A01732</t>
  </si>
  <si>
    <t xml:space="preserve">A01733</t>
  </si>
  <si>
    <t xml:space="preserve">A01734</t>
  </si>
  <si>
    <t xml:space="preserve">A01735</t>
  </si>
  <si>
    <t xml:space="preserve">A01736</t>
  </si>
  <si>
    <t xml:space="preserve">A01737</t>
  </si>
  <si>
    <t xml:space="preserve">A01738</t>
  </si>
  <si>
    <t xml:space="preserve">A01739</t>
  </si>
  <si>
    <t xml:space="preserve">A01740</t>
  </si>
  <si>
    <t xml:space="preserve">A01741</t>
  </si>
  <si>
    <t xml:space="preserve">A01742</t>
  </si>
  <si>
    <t xml:space="preserve">A01743</t>
  </si>
  <si>
    <t xml:space="preserve">A01744</t>
  </si>
  <si>
    <t xml:space="preserve">A01745</t>
  </si>
  <si>
    <t xml:space="preserve">A01746</t>
  </si>
  <si>
    <t xml:space="preserve">A01747</t>
  </si>
  <si>
    <t xml:space="preserve">A01748</t>
  </si>
  <si>
    <t xml:space="preserve">A01749</t>
  </si>
  <si>
    <t xml:space="preserve">A01750</t>
  </si>
  <si>
    <t xml:space="preserve">A01751</t>
  </si>
  <si>
    <t xml:space="preserve">A01752</t>
  </si>
  <si>
    <t xml:space="preserve">A01753</t>
  </si>
  <si>
    <t xml:space="preserve">A01754</t>
  </si>
  <si>
    <t xml:space="preserve">A01755</t>
  </si>
  <si>
    <t xml:space="preserve">A01756</t>
  </si>
  <si>
    <t xml:space="preserve">A01757</t>
  </si>
  <si>
    <t xml:space="preserve">A01758</t>
  </si>
  <si>
    <t xml:space="preserve">A01759</t>
  </si>
  <si>
    <t xml:space="preserve">A01760</t>
  </si>
  <si>
    <t xml:space="preserve">A01761</t>
  </si>
  <si>
    <t xml:space="preserve">A01762</t>
  </si>
  <si>
    <t xml:space="preserve">A01763</t>
  </si>
  <si>
    <t xml:space="preserve">A01764</t>
  </si>
  <si>
    <t xml:space="preserve">A01765</t>
  </si>
  <si>
    <t xml:space="preserve">A01766</t>
  </si>
  <si>
    <t xml:space="preserve">A01767</t>
  </si>
  <si>
    <t xml:space="preserve">A01768</t>
  </si>
  <si>
    <t xml:space="preserve">A01769</t>
  </si>
  <si>
    <t xml:space="preserve">A01770</t>
  </si>
  <si>
    <t xml:space="preserve">A01771</t>
  </si>
  <si>
    <t xml:space="preserve">A01772</t>
  </si>
  <si>
    <t xml:space="preserve">A01773</t>
  </si>
  <si>
    <t xml:space="preserve">A01774</t>
  </si>
  <si>
    <t xml:space="preserve">A01775</t>
  </si>
  <si>
    <t xml:space="preserve">A01776</t>
  </si>
  <si>
    <t xml:space="preserve">A01777</t>
  </si>
  <si>
    <t xml:space="preserve">A01778</t>
  </si>
  <si>
    <t xml:space="preserve">A01779</t>
  </si>
  <si>
    <t xml:space="preserve">A01780</t>
  </si>
  <si>
    <t xml:space="preserve">A01781</t>
  </si>
  <si>
    <t xml:space="preserve">A01782</t>
  </si>
  <si>
    <t xml:space="preserve">A01783</t>
  </si>
  <si>
    <t xml:space="preserve">A01784</t>
  </si>
  <si>
    <t xml:space="preserve">A01785</t>
  </si>
  <si>
    <t xml:space="preserve">A01786</t>
  </si>
  <si>
    <t xml:space="preserve">A01787</t>
  </si>
  <si>
    <t xml:space="preserve">A01788</t>
  </si>
  <si>
    <t xml:space="preserve">A01789</t>
  </si>
  <si>
    <t xml:space="preserve">A01790</t>
  </si>
  <si>
    <t xml:space="preserve">A01791</t>
  </si>
  <si>
    <t xml:space="preserve">A01792</t>
  </si>
  <si>
    <t xml:space="preserve">A01793</t>
  </si>
  <si>
    <t xml:space="preserve">A01794</t>
  </si>
  <si>
    <t xml:space="preserve">A01795</t>
  </si>
  <si>
    <t xml:space="preserve">A01796</t>
  </si>
  <si>
    <t xml:space="preserve">A01797</t>
  </si>
  <si>
    <t xml:space="preserve">A01798</t>
  </si>
  <si>
    <t xml:space="preserve">A01799</t>
  </si>
  <si>
    <t xml:space="preserve">A01800</t>
  </si>
  <si>
    <t xml:space="preserve">A01801</t>
  </si>
  <si>
    <t xml:space="preserve">A01802</t>
  </si>
  <si>
    <t xml:space="preserve">A01803</t>
  </si>
  <si>
    <t xml:space="preserve">A01804</t>
  </si>
  <si>
    <t xml:space="preserve">A01805</t>
  </si>
  <si>
    <t xml:space="preserve">A01806</t>
  </si>
  <si>
    <t xml:space="preserve">A01807</t>
  </si>
  <si>
    <t xml:space="preserve">A01808</t>
  </si>
  <si>
    <t xml:space="preserve">A01809</t>
  </si>
  <si>
    <t xml:space="preserve">A01810</t>
  </si>
  <si>
    <t xml:space="preserve">A01811</t>
  </si>
  <si>
    <t xml:space="preserve">A01812</t>
  </si>
  <si>
    <t xml:space="preserve">A01813</t>
  </si>
  <si>
    <t xml:space="preserve">A01814</t>
  </si>
  <si>
    <t xml:space="preserve">A01815</t>
  </si>
  <si>
    <t xml:space="preserve">A01816</t>
  </si>
  <si>
    <t xml:space="preserve">A01817</t>
  </si>
  <si>
    <t xml:space="preserve">A01818</t>
  </si>
  <si>
    <t xml:space="preserve">A01819</t>
  </si>
  <si>
    <t xml:space="preserve">A01820</t>
  </si>
  <si>
    <t xml:space="preserve">A01821</t>
  </si>
  <si>
    <t xml:space="preserve">A01822</t>
  </si>
  <si>
    <t xml:space="preserve">A01823</t>
  </si>
  <si>
    <t xml:space="preserve">A01824</t>
  </si>
  <si>
    <t xml:space="preserve">A01825</t>
  </si>
  <si>
    <t xml:space="preserve">A01826</t>
  </si>
  <si>
    <t xml:space="preserve">A01827</t>
  </si>
  <si>
    <t xml:space="preserve">A01828</t>
  </si>
  <si>
    <t xml:space="preserve">A01829</t>
  </si>
  <si>
    <t xml:space="preserve">A01830</t>
  </si>
  <si>
    <t xml:space="preserve">A01831</t>
  </si>
  <si>
    <t xml:space="preserve">A01832</t>
  </si>
  <si>
    <t xml:space="preserve">A01833</t>
  </si>
  <si>
    <t xml:space="preserve">A01834</t>
  </si>
  <si>
    <t xml:space="preserve">A01835</t>
  </si>
  <si>
    <t xml:space="preserve">A01836</t>
  </si>
  <si>
    <t xml:space="preserve">A01837</t>
  </si>
  <si>
    <t xml:space="preserve">A01838</t>
  </si>
  <si>
    <t xml:space="preserve">A01839</t>
  </si>
  <si>
    <t xml:space="preserve">A01840</t>
  </si>
  <si>
    <t xml:space="preserve">A01841</t>
  </si>
  <si>
    <t xml:space="preserve">A01842</t>
  </si>
  <si>
    <t xml:space="preserve">A01843</t>
  </si>
  <si>
    <t xml:space="preserve">A01844</t>
  </si>
  <si>
    <t xml:space="preserve">A01845</t>
  </si>
  <si>
    <t xml:space="preserve">A01846</t>
  </si>
  <si>
    <t xml:space="preserve">A01847</t>
  </si>
  <si>
    <t xml:space="preserve">A01848</t>
  </si>
  <si>
    <t xml:space="preserve">A01849</t>
  </si>
  <si>
    <t xml:space="preserve">A01850</t>
  </si>
  <si>
    <t xml:space="preserve">A01851</t>
  </si>
  <si>
    <t xml:space="preserve">A01852</t>
  </si>
  <si>
    <t xml:space="preserve">A01853</t>
  </si>
  <si>
    <t xml:space="preserve">A01854</t>
  </si>
  <si>
    <t xml:space="preserve">A01855</t>
  </si>
  <si>
    <t xml:space="preserve">A01856</t>
  </si>
  <si>
    <t xml:space="preserve">A01857</t>
  </si>
  <si>
    <t xml:space="preserve">A01858</t>
  </si>
  <si>
    <t xml:space="preserve">A01859</t>
  </si>
  <si>
    <t xml:space="preserve">A01860</t>
  </si>
  <si>
    <t xml:space="preserve">A01861</t>
  </si>
  <si>
    <t xml:space="preserve">A01862</t>
  </si>
  <si>
    <t xml:space="preserve">A01863</t>
  </si>
  <si>
    <t xml:space="preserve">A01864</t>
  </si>
  <si>
    <t xml:space="preserve">A01865</t>
  </si>
  <si>
    <t xml:space="preserve">A01866</t>
  </si>
  <si>
    <t xml:space="preserve">A01867</t>
  </si>
  <si>
    <t xml:space="preserve">A01868</t>
  </si>
  <si>
    <t xml:space="preserve">A01869</t>
  </si>
  <si>
    <t xml:space="preserve">A01870</t>
  </si>
  <si>
    <t xml:space="preserve">A01871</t>
  </si>
  <si>
    <t xml:space="preserve">A01872</t>
  </si>
  <si>
    <t xml:space="preserve">A01873</t>
  </si>
  <si>
    <t xml:space="preserve">A01874</t>
  </si>
  <si>
    <t xml:space="preserve">A01875</t>
  </si>
  <si>
    <t xml:space="preserve">A01876</t>
  </si>
  <si>
    <t xml:space="preserve">A01877</t>
  </si>
  <si>
    <t xml:space="preserve">A01878</t>
  </si>
  <si>
    <t xml:space="preserve">A01879</t>
  </si>
  <si>
    <t xml:space="preserve">A01880</t>
  </si>
  <si>
    <t xml:space="preserve">A01881</t>
  </si>
  <si>
    <t xml:space="preserve">A01882</t>
  </si>
  <si>
    <t xml:space="preserve">A01883</t>
  </si>
  <si>
    <t xml:space="preserve">A01884</t>
  </si>
  <si>
    <t xml:space="preserve">A01885</t>
  </si>
  <si>
    <t xml:space="preserve">A01886</t>
  </si>
  <si>
    <t xml:space="preserve">A01887</t>
  </si>
  <si>
    <t xml:space="preserve">A01888</t>
  </si>
  <si>
    <t xml:space="preserve">A01889</t>
  </si>
  <si>
    <t xml:space="preserve">A01890</t>
  </si>
  <si>
    <t xml:space="preserve">A01891</t>
  </si>
  <si>
    <t xml:space="preserve">A01892</t>
  </si>
  <si>
    <t xml:space="preserve">A01893</t>
  </si>
  <si>
    <t xml:space="preserve">A01894</t>
  </si>
  <si>
    <t xml:space="preserve">A01895</t>
  </si>
  <si>
    <t xml:space="preserve">A01896</t>
  </si>
  <si>
    <t xml:space="preserve">A01897</t>
  </si>
  <si>
    <t xml:space="preserve">A01898</t>
  </si>
  <si>
    <t xml:space="preserve">A01899</t>
  </si>
  <si>
    <t xml:space="preserve">A01900</t>
  </si>
  <si>
    <t xml:space="preserve">A01901</t>
  </si>
  <si>
    <t xml:space="preserve">A01902</t>
  </si>
  <si>
    <t xml:space="preserve">A01903</t>
  </si>
  <si>
    <t xml:space="preserve">A01904</t>
  </si>
  <si>
    <t xml:space="preserve">A01905</t>
  </si>
  <si>
    <t xml:space="preserve">A01906</t>
  </si>
  <si>
    <t xml:space="preserve">A01907</t>
  </si>
  <si>
    <t xml:space="preserve">A01908</t>
  </si>
  <si>
    <t xml:space="preserve">A01909</t>
  </si>
  <si>
    <t xml:space="preserve">A01910</t>
  </si>
  <si>
    <t xml:space="preserve">A01911</t>
  </si>
  <si>
    <t xml:space="preserve">A01912</t>
  </si>
  <si>
    <t xml:space="preserve">A01913</t>
  </si>
  <si>
    <t xml:space="preserve">A01914</t>
  </si>
  <si>
    <t xml:space="preserve">A01915</t>
  </si>
  <si>
    <t xml:space="preserve">A01916</t>
  </si>
  <si>
    <t xml:space="preserve">A01917</t>
  </si>
  <si>
    <t xml:space="preserve">A01918</t>
  </si>
  <si>
    <t xml:space="preserve">A01919</t>
  </si>
  <si>
    <t xml:space="preserve">A01920</t>
  </si>
  <si>
    <t xml:space="preserve">A01921</t>
  </si>
  <si>
    <t xml:space="preserve">A01922</t>
  </si>
  <si>
    <t xml:space="preserve">A01923</t>
  </si>
  <si>
    <t xml:space="preserve">A01924</t>
  </si>
  <si>
    <t xml:space="preserve">A01925</t>
  </si>
  <si>
    <t xml:space="preserve">A01926</t>
  </si>
  <si>
    <t xml:space="preserve">A01927</t>
  </si>
  <si>
    <t xml:space="preserve">A01928</t>
  </si>
  <si>
    <t xml:space="preserve">A01929</t>
  </si>
  <si>
    <t xml:space="preserve">A01930</t>
  </si>
  <si>
    <t xml:space="preserve">A01931</t>
  </si>
  <si>
    <t xml:space="preserve">A01932</t>
  </si>
  <si>
    <t xml:space="preserve">A01933</t>
  </si>
  <si>
    <t xml:space="preserve">A01934</t>
  </si>
  <si>
    <t xml:space="preserve">A01935</t>
  </si>
  <si>
    <t xml:space="preserve">A01936</t>
  </si>
  <si>
    <t xml:space="preserve">A01937</t>
  </si>
  <si>
    <t xml:space="preserve">A01938</t>
  </si>
  <si>
    <t xml:space="preserve">A01939</t>
  </si>
  <si>
    <t xml:space="preserve">A01940</t>
  </si>
  <si>
    <t xml:space="preserve">A01941</t>
  </si>
  <si>
    <t xml:space="preserve">A01942</t>
  </si>
  <si>
    <t xml:space="preserve">A01943</t>
  </si>
  <si>
    <t xml:space="preserve">A01944</t>
  </si>
  <si>
    <t xml:space="preserve">A01945</t>
  </si>
  <si>
    <t xml:space="preserve">A01946</t>
  </si>
  <si>
    <t xml:space="preserve">A01947</t>
  </si>
  <si>
    <t xml:space="preserve">A01948</t>
  </si>
  <si>
    <t xml:space="preserve">A01949</t>
  </si>
  <si>
    <t xml:space="preserve">A01950</t>
  </si>
  <si>
    <t xml:space="preserve">A01951</t>
  </si>
  <si>
    <t xml:space="preserve">A01952</t>
  </si>
  <si>
    <t xml:space="preserve">A01953</t>
  </si>
  <si>
    <t xml:space="preserve">A01954</t>
  </si>
  <si>
    <t xml:space="preserve">A01955</t>
  </si>
  <si>
    <t xml:space="preserve">A01956</t>
  </si>
  <si>
    <t xml:space="preserve">A01957</t>
  </si>
  <si>
    <t xml:space="preserve">A01958</t>
  </si>
  <si>
    <t xml:space="preserve">A01959</t>
  </si>
  <si>
    <t xml:space="preserve">A01960</t>
  </si>
  <si>
    <t xml:space="preserve">A01961</t>
  </si>
  <si>
    <t xml:space="preserve">A01962</t>
  </si>
  <si>
    <t xml:space="preserve">A01963</t>
  </si>
  <si>
    <t xml:space="preserve">A01964</t>
  </si>
  <si>
    <t xml:space="preserve">A01965</t>
  </si>
  <si>
    <t xml:space="preserve">A01966</t>
  </si>
  <si>
    <t xml:space="preserve">A01967</t>
  </si>
  <si>
    <t xml:space="preserve">A01968</t>
  </si>
  <si>
    <t xml:space="preserve">A01969</t>
  </si>
  <si>
    <t xml:space="preserve">A01970</t>
  </si>
  <si>
    <t xml:space="preserve">A01971</t>
  </si>
  <si>
    <t xml:space="preserve">A01972</t>
  </si>
  <si>
    <t xml:space="preserve">A01973</t>
  </si>
  <si>
    <t xml:space="preserve">A01974</t>
  </si>
  <si>
    <t xml:space="preserve">A01975</t>
  </si>
  <si>
    <t xml:space="preserve">A01976</t>
  </si>
  <si>
    <t xml:space="preserve">A01977</t>
  </si>
  <si>
    <t xml:space="preserve">A01978</t>
  </si>
  <si>
    <t xml:space="preserve">A01979</t>
  </si>
  <si>
    <t xml:space="preserve">A01980</t>
  </si>
  <si>
    <t xml:space="preserve">A01981</t>
  </si>
  <si>
    <t xml:space="preserve">A01982</t>
  </si>
  <si>
    <t xml:space="preserve">A01983</t>
  </si>
  <si>
    <t xml:space="preserve">A01984</t>
  </si>
  <si>
    <t xml:space="preserve">A01985</t>
  </si>
  <si>
    <t xml:space="preserve">A01986</t>
  </si>
  <si>
    <t xml:space="preserve">A01987</t>
  </si>
  <si>
    <t xml:space="preserve">A01988</t>
  </si>
  <si>
    <t xml:space="preserve">A01989</t>
  </si>
  <si>
    <t xml:space="preserve">A01990</t>
  </si>
  <si>
    <t xml:space="preserve">A01991</t>
  </si>
  <si>
    <t xml:space="preserve">A01992</t>
  </si>
  <si>
    <t xml:space="preserve">A01993</t>
  </si>
  <si>
    <t xml:space="preserve">A01994</t>
  </si>
  <si>
    <t xml:space="preserve">A01995</t>
  </si>
  <si>
    <t xml:space="preserve">A01996</t>
  </si>
  <si>
    <t xml:space="preserve">A01997</t>
  </si>
  <si>
    <t xml:space="preserve">A01998</t>
  </si>
  <si>
    <t xml:space="preserve">A01999</t>
  </si>
  <si>
    <t xml:space="preserve">A02000</t>
  </si>
  <si>
    <t xml:space="preserve">A02001</t>
  </si>
  <si>
    <t xml:space="preserve">A02002</t>
  </si>
  <si>
    <t xml:space="preserve">A02003</t>
  </si>
  <si>
    <t xml:space="preserve">A02004</t>
  </si>
  <si>
    <t xml:space="preserve">A02005</t>
  </si>
  <si>
    <t xml:space="preserve">A02006</t>
  </si>
  <si>
    <t xml:space="preserve">A02007</t>
  </si>
  <si>
    <t xml:space="preserve">A02008</t>
  </si>
  <si>
    <t xml:space="preserve">A02009</t>
  </si>
  <si>
    <t xml:space="preserve">A02010</t>
  </si>
  <si>
    <t xml:space="preserve">A02011</t>
  </si>
  <si>
    <t xml:space="preserve">A02012</t>
  </si>
  <si>
    <t xml:space="preserve">A02013</t>
  </si>
  <si>
    <t xml:space="preserve">A02014</t>
  </si>
  <si>
    <t xml:space="preserve">A02015</t>
  </si>
  <si>
    <t xml:space="preserve">A02016</t>
  </si>
  <si>
    <t xml:space="preserve">A02017</t>
  </si>
  <si>
    <t xml:space="preserve">A02018</t>
  </si>
  <si>
    <t xml:space="preserve">A02019</t>
  </si>
  <si>
    <t xml:space="preserve">A02020</t>
  </si>
  <si>
    <t xml:space="preserve">A02021</t>
  </si>
  <si>
    <t xml:space="preserve">A02022</t>
  </si>
  <si>
    <t xml:space="preserve">A02023</t>
  </si>
  <si>
    <t xml:space="preserve">A02024</t>
  </si>
  <si>
    <t xml:space="preserve">A02025</t>
  </si>
  <si>
    <t xml:space="preserve">A02026</t>
  </si>
  <si>
    <t xml:space="preserve">A02027</t>
  </si>
  <si>
    <t xml:space="preserve">A02028</t>
  </si>
  <si>
    <t xml:space="preserve">A02029</t>
  </si>
  <si>
    <t xml:space="preserve">A02030</t>
  </si>
  <si>
    <t xml:space="preserve">A02031</t>
  </si>
  <si>
    <t xml:space="preserve">A02032</t>
  </si>
  <si>
    <t xml:space="preserve">A02033</t>
  </si>
  <si>
    <t xml:space="preserve">A02034</t>
  </si>
  <si>
    <t xml:space="preserve">A02035</t>
  </si>
  <si>
    <t xml:space="preserve">A02036</t>
  </si>
  <si>
    <t xml:space="preserve">A02037</t>
  </si>
  <si>
    <t xml:space="preserve">A02038</t>
  </si>
  <si>
    <t xml:space="preserve">A02039</t>
  </si>
  <si>
    <t xml:space="preserve">A02040</t>
  </si>
  <si>
    <t xml:space="preserve">A02041</t>
  </si>
  <si>
    <t xml:space="preserve">A02042</t>
  </si>
  <si>
    <t xml:space="preserve">A02043</t>
  </si>
  <si>
    <t xml:space="preserve">A02044</t>
  </si>
  <si>
    <t xml:space="preserve">A02045</t>
  </si>
  <si>
    <t xml:space="preserve">A02046</t>
  </si>
  <si>
    <t xml:space="preserve">A02047</t>
  </si>
  <si>
    <t xml:space="preserve">A02048</t>
  </si>
  <si>
    <t xml:space="preserve">A02049</t>
  </si>
  <si>
    <t xml:space="preserve">A02050</t>
  </si>
  <si>
    <t xml:space="preserve">A02051</t>
  </si>
  <si>
    <t xml:space="preserve">A02052</t>
  </si>
  <si>
    <t xml:space="preserve">A02053</t>
  </si>
  <si>
    <t xml:space="preserve">A02054</t>
  </si>
  <si>
    <t xml:space="preserve">A02055</t>
  </si>
  <si>
    <t xml:space="preserve">A02056</t>
  </si>
  <si>
    <t xml:space="preserve">A02057</t>
  </si>
  <si>
    <t xml:space="preserve">A02058</t>
  </si>
  <si>
    <t xml:space="preserve">A02059</t>
  </si>
  <si>
    <t xml:space="preserve">A02060</t>
  </si>
  <si>
    <t xml:space="preserve">A02061</t>
  </si>
  <si>
    <t xml:space="preserve">A02062</t>
  </si>
  <si>
    <t xml:space="preserve">A02063</t>
  </si>
  <si>
    <t xml:space="preserve">A02064</t>
  </si>
  <si>
    <t xml:space="preserve">A02065</t>
  </si>
  <si>
    <t xml:space="preserve">A02066</t>
  </si>
  <si>
    <t xml:space="preserve">A02067</t>
  </si>
  <si>
    <t xml:space="preserve">A02068</t>
  </si>
  <si>
    <t xml:space="preserve">A02069</t>
  </si>
  <si>
    <t xml:space="preserve">A02070</t>
  </si>
  <si>
    <t xml:space="preserve">A02071</t>
  </si>
  <si>
    <t xml:space="preserve">A02072</t>
  </si>
  <si>
    <t xml:space="preserve">A02073</t>
  </si>
  <si>
    <t xml:space="preserve">A02074</t>
  </si>
  <si>
    <t xml:space="preserve">A02075</t>
  </si>
  <si>
    <t xml:space="preserve">A02076</t>
  </si>
  <si>
    <t xml:space="preserve">A02077</t>
  </si>
  <si>
    <t xml:space="preserve">A02078</t>
  </si>
  <si>
    <t xml:space="preserve">A02079</t>
  </si>
  <si>
    <t xml:space="preserve">A02080</t>
  </si>
  <si>
    <t xml:space="preserve">A02081</t>
  </si>
  <si>
    <t xml:space="preserve">A02082</t>
  </si>
  <si>
    <t xml:space="preserve">A02083</t>
  </si>
  <si>
    <t xml:space="preserve">A02084</t>
  </si>
  <si>
    <t xml:space="preserve">A02085</t>
  </si>
  <si>
    <t xml:space="preserve">A02086</t>
  </si>
  <si>
    <t xml:space="preserve">A02087</t>
  </si>
  <si>
    <t xml:space="preserve">A02088</t>
  </si>
  <si>
    <t xml:space="preserve">A02089</t>
  </si>
  <si>
    <t xml:space="preserve">A02090</t>
  </si>
  <si>
    <t xml:space="preserve">A02091</t>
  </si>
  <si>
    <t xml:space="preserve">A02092</t>
  </si>
  <si>
    <t xml:space="preserve">A02093</t>
  </si>
  <si>
    <t xml:space="preserve">A02094</t>
  </si>
  <si>
    <t xml:space="preserve">A02095</t>
  </si>
  <si>
    <t xml:space="preserve">A02096</t>
  </si>
  <si>
    <t xml:space="preserve">A02097</t>
  </si>
  <si>
    <t xml:space="preserve">A02098</t>
  </si>
  <si>
    <t xml:space="preserve">A02099</t>
  </si>
  <si>
    <t xml:space="preserve">A02100</t>
  </si>
  <si>
    <t xml:space="preserve">A02101</t>
  </si>
  <si>
    <t xml:space="preserve">A02102</t>
  </si>
  <si>
    <t xml:space="preserve">A02103</t>
  </si>
  <si>
    <t xml:space="preserve">A02104</t>
  </si>
  <si>
    <t xml:space="preserve">A02105</t>
  </si>
  <si>
    <t xml:space="preserve">A02106</t>
  </si>
  <si>
    <t xml:space="preserve">A02107</t>
  </si>
  <si>
    <t xml:space="preserve">A02108</t>
  </si>
  <si>
    <t xml:space="preserve">A02109</t>
  </si>
  <si>
    <t xml:space="preserve">A02110</t>
  </si>
  <si>
    <t xml:space="preserve">A02111</t>
  </si>
  <si>
    <t xml:space="preserve">A02112</t>
  </si>
  <si>
    <t xml:space="preserve">A02113</t>
  </si>
  <si>
    <t xml:space="preserve">A02114</t>
  </si>
  <si>
    <t xml:space="preserve">A02115</t>
  </si>
  <si>
    <t xml:space="preserve">A02116</t>
  </si>
  <si>
    <t xml:space="preserve">A02117</t>
  </si>
  <si>
    <t xml:space="preserve">A02118</t>
  </si>
  <si>
    <t xml:space="preserve">A02119</t>
  </si>
  <si>
    <t xml:space="preserve">A02120</t>
  </si>
  <si>
    <t xml:space="preserve">A02121</t>
  </si>
  <si>
    <t xml:space="preserve">A02122</t>
  </si>
  <si>
    <t xml:space="preserve">A02123</t>
  </si>
  <si>
    <t xml:space="preserve">A02124</t>
  </si>
  <si>
    <t xml:space="preserve">A02125</t>
  </si>
  <si>
    <t xml:space="preserve">A02126</t>
  </si>
  <si>
    <t xml:space="preserve">A02127</t>
  </si>
  <si>
    <t xml:space="preserve">A02128</t>
  </si>
  <si>
    <t xml:space="preserve">A02129</t>
  </si>
  <si>
    <t xml:space="preserve">A02130</t>
  </si>
  <si>
    <t xml:space="preserve">A02131</t>
  </si>
  <si>
    <t xml:space="preserve">A02132</t>
  </si>
  <si>
    <t xml:space="preserve">A02133</t>
  </si>
  <si>
    <t xml:space="preserve">A02134</t>
  </si>
  <si>
    <t xml:space="preserve">A02135</t>
  </si>
  <si>
    <t xml:space="preserve">A02136</t>
  </si>
  <si>
    <t xml:space="preserve">A02137</t>
  </si>
  <si>
    <t xml:space="preserve">A02138</t>
  </si>
  <si>
    <t xml:space="preserve">A02139</t>
  </si>
  <si>
    <t xml:space="preserve">A02140</t>
  </si>
  <si>
    <t xml:space="preserve">A02141</t>
  </si>
  <si>
    <t xml:space="preserve">A02142</t>
  </si>
  <si>
    <t xml:space="preserve">A02143</t>
  </si>
  <si>
    <t xml:space="preserve">A02144</t>
  </si>
  <si>
    <t xml:space="preserve">A02145</t>
  </si>
  <si>
    <t xml:space="preserve">A02146</t>
  </si>
  <si>
    <t xml:space="preserve">A02147</t>
  </si>
  <si>
    <t xml:space="preserve">A02148</t>
  </si>
  <si>
    <t xml:space="preserve">A02149</t>
  </si>
  <si>
    <t xml:space="preserve">A02150</t>
  </si>
  <si>
    <t xml:space="preserve">A02151</t>
  </si>
  <si>
    <t xml:space="preserve">A02152</t>
  </si>
  <si>
    <t xml:space="preserve">A02153</t>
  </si>
  <si>
    <t xml:space="preserve">A02154</t>
  </si>
  <si>
    <t xml:space="preserve">A02155</t>
  </si>
  <si>
    <t xml:space="preserve">A02156</t>
  </si>
  <si>
    <t xml:space="preserve">A02157</t>
  </si>
  <si>
    <t xml:space="preserve">A02158</t>
  </si>
  <si>
    <t xml:space="preserve">A02159</t>
  </si>
  <si>
    <t xml:space="preserve">A02160</t>
  </si>
  <si>
    <t xml:space="preserve">A02161</t>
  </si>
  <si>
    <t xml:space="preserve">A02162</t>
  </si>
  <si>
    <t xml:space="preserve">A02163</t>
  </si>
  <si>
    <t xml:space="preserve">A02164</t>
  </si>
  <si>
    <t xml:space="preserve">A02165</t>
  </si>
  <si>
    <t xml:space="preserve">A02166</t>
  </si>
  <si>
    <t xml:space="preserve">A02167</t>
  </si>
  <si>
    <t xml:space="preserve">A02168</t>
  </si>
  <si>
    <t xml:space="preserve">A02169</t>
  </si>
  <si>
    <t xml:space="preserve">A02170</t>
  </si>
  <si>
    <t xml:space="preserve">A02171</t>
  </si>
  <si>
    <t xml:space="preserve">A02172</t>
  </si>
  <si>
    <t xml:space="preserve">A02173</t>
  </si>
  <si>
    <t xml:space="preserve">A02174</t>
  </si>
  <si>
    <t xml:space="preserve">A02175</t>
  </si>
  <si>
    <t xml:space="preserve">A02176</t>
  </si>
  <si>
    <t xml:space="preserve">A02177</t>
  </si>
  <si>
    <t xml:space="preserve">A02178</t>
  </si>
  <si>
    <t xml:space="preserve">A02179</t>
  </si>
  <si>
    <t xml:space="preserve">A02180</t>
  </si>
  <si>
    <t xml:space="preserve">A02181</t>
  </si>
  <si>
    <t xml:space="preserve">A02182</t>
  </si>
  <si>
    <t xml:space="preserve">A02183</t>
  </si>
  <si>
    <t xml:space="preserve">A02184</t>
  </si>
  <si>
    <t xml:space="preserve">A02185</t>
  </si>
  <si>
    <t xml:space="preserve">A02186</t>
  </si>
  <si>
    <t xml:space="preserve">A02187</t>
  </si>
  <si>
    <t xml:space="preserve">A02188</t>
  </si>
  <si>
    <t xml:space="preserve">A02189</t>
  </si>
  <si>
    <t xml:space="preserve">A02190</t>
  </si>
  <si>
    <t xml:space="preserve">A02191</t>
  </si>
  <si>
    <t xml:space="preserve">A02192</t>
  </si>
  <si>
    <t xml:space="preserve">A02193</t>
  </si>
  <si>
    <t xml:space="preserve">A02194</t>
  </si>
  <si>
    <t xml:space="preserve">A02195</t>
  </si>
  <si>
    <t xml:space="preserve">A02196</t>
  </si>
  <si>
    <t xml:space="preserve">A02197</t>
  </si>
  <si>
    <t xml:space="preserve">A02198</t>
  </si>
  <si>
    <t xml:space="preserve">A02199</t>
  </si>
  <si>
    <t xml:space="preserve">A02200</t>
  </si>
  <si>
    <t xml:space="preserve">A02201</t>
  </si>
  <si>
    <t xml:space="preserve">A02202</t>
  </si>
  <si>
    <t xml:space="preserve">A02203</t>
  </si>
  <si>
    <t xml:space="preserve">A02204</t>
  </si>
  <si>
    <t xml:space="preserve">A02205</t>
  </si>
  <si>
    <t xml:space="preserve">A02206</t>
  </si>
  <si>
    <t xml:space="preserve">A02207</t>
  </si>
  <si>
    <t xml:space="preserve">A02208</t>
  </si>
  <si>
    <t xml:space="preserve">A02209</t>
  </si>
  <si>
    <t xml:space="preserve">A02210</t>
  </si>
  <si>
    <t xml:space="preserve">A02211</t>
  </si>
  <si>
    <t xml:space="preserve">A02212</t>
  </si>
  <si>
    <t xml:space="preserve">A02213</t>
  </si>
  <si>
    <t xml:space="preserve">A02214</t>
  </si>
  <si>
    <t xml:space="preserve">A02215</t>
  </si>
  <si>
    <t xml:space="preserve">A02216</t>
  </si>
  <si>
    <t xml:space="preserve">A02217</t>
  </si>
  <si>
    <t xml:space="preserve">A02218</t>
  </si>
  <si>
    <t xml:space="preserve">A02219</t>
  </si>
  <si>
    <t xml:space="preserve">A02220</t>
  </si>
  <si>
    <t xml:space="preserve">A02221</t>
  </si>
  <si>
    <t xml:space="preserve">A02222</t>
  </si>
  <si>
    <t xml:space="preserve">A02223</t>
  </si>
  <si>
    <t xml:space="preserve">A02224</t>
  </si>
  <si>
    <t xml:space="preserve">A02225</t>
  </si>
  <si>
    <t xml:space="preserve">A02226</t>
  </si>
  <si>
    <t xml:space="preserve">A02227</t>
  </si>
  <si>
    <t xml:space="preserve">A02228</t>
  </si>
  <si>
    <t xml:space="preserve">A02229</t>
  </si>
  <si>
    <t xml:space="preserve">A02230</t>
  </si>
  <si>
    <t xml:space="preserve">A02231</t>
  </si>
  <si>
    <t xml:space="preserve">A02232</t>
  </si>
  <si>
    <t xml:space="preserve">A02233</t>
  </si>
  <si>
    <t xml:space="preserve">A02234</t>
  </si>
  <si>
    <t xml:space="preserve">A02235</t>
  </si>
  <si>
    <t xml:space="preserve">A02236</t>
  </si>
  <si>
    <t xml:space="preserve">A02237</t>
  </si>
  <si>
    <t xml:space="preserve">A02238</t>
  </si>
  <si>
    <t xml:space="preserve">A02239</t>
  </si>
  <si>
    <t xml:space="preserve">A02240</t>
  </si>
  <si>
    <t xml:space="preserve">A02241</t>
  </si>
  <si>
    <t xml:space="preserve">A02242</t>
  </si>
  <si>
    <t xml:space="preserve">A02243</t>
  </si>
  <si>
    <t xml:space="preserve">A02244</t>
  </si>
  <si>
    <t xml:space="preserve">A02245</t>
  </si>
  <si>
    <t xml:space="preserve">A02246</t>
  </si>
  <si>
    <t xml:space="preserve">A02247</t>
  </si>
  <si>
    <t xml:space="preserve">A02248</t>
  </si>
  <si>
    <t xml:space="preserve">A02249</t>
  </si>
  <si>
    <t xml:space="preserve">A02250</t>
  </si>
  <si>
    <t xml:space="preserve">A02251</t>
  </si>
  <si>
    <t xml:space="preserve">A02252</t>
  </si>
  <si>
    <t xml:space="preserve">A02253</t>
  </si>
  <si>
    <t xml:space="preserve">A02254</t>
  </si>
  <si>
    <t xml:space="preserve">A02255</t>
  </si>
  <si>
    <t xml:space="preserve">A02256</t>
  </si>
  <si>
    <t xml:space="preserve">A02257</t>
  </si>
  <si>
    <t xml:space="preserve">A02258</t>
  </si>
  <si>
    <t xml:space="preserve">A02259</t>
  </si>
  <si>
    <t xml:space="preserve">A02260</t>
  </si>
  <si>
    <t xml:space="preserve">A02261</t>
  </si>
  <si>
    <t xml:space="preserve">A02262</t>
  </si>
  <si>
    <t xml:space="preserve">A02263</t>
  </si>
  <si>
    <t xml:space="preserve">A02264</t>
  </si>
  <si>
    <t xml:space="preserve">A02265</t>
  </si>
  <si>
    <t xml:space="preserve">A02266</t>
  </si>
  <si>
    <t xml:space="preserve">A02267</t>
  </si>
  <si>
    <t xml:space="preserve">A02268</t>
  </si>
  <si>
    <t xml:space="preserve">A02269</t>
  </si>
  <si>
    <t xml:space="preserve">A02270</t>
  </si>
  <si>
    <t xml:space="preserve">A02271</t>
  </si>
  <si>
    <t xml:space="preserve">A02272</t>
  </si>
  <si>
    <t xml:space="preserve">A02273</t>
  </si>
  <si>
    <t xml:space="preserve">A02274</t>
  </si>
  <si>
    <t xml:space="preserve">A02275</t>
  </si>
  <si>
    <t xml:space="preserve">A02276</t>
  </si>
  <si>
    <t xml:space="preserve">A02277</t>
  </si>
  <si>
    <t xml:space="preserve">A02278</t>
  </si>
  <si>
    <t xml:space="preserve">A02279</t>
  </si>
  <si>
    <t xml:space="preserve">A02280</t>
  </si>
  <si>
    <t xml:space="preserve">A02281</t>
  </si>
  <si>
    <t xml:space="preserve">A02282</t>
  </si>
  <si>
    <t xml:space="preserve">A02283</t>
  </si>
  <si>
    <t xml:space="preserve">A02284</t>
  </si>
  <si>
    <t xml:space="preserve">A02285</t>
  </si>
  <si>
    <t xml:space="preserve">A02286</t>
  </si>
  <si>
    <t xml:space="preserve">A02287</t>
  </si>
  <si>
    <t xml:space="preserve">A02288</t>
  </si>
  <si>
    <t xml:space="preserve">A02289</t>
  </si>
  <si>
    <t xml:space="preserve">A02290</t>
  </si>
  <si>
    <t xml:space="preserve">A02291</t>
  </si>
  <si>
    <t xml:space="preserve">A02292</t>
  </si>
  <si>
    <t xml:space="preserve">A02293</t>
  </si>
  <si>
    <t xml:space="preserve">A02294</t>
  </si>
  <si>
    <t xml:space="preserve">A02295</t>
  </si>
  <si>
    <t xml:space="preserve">A02296</t>
  </si>
  <si>
    <t xml:space="preserve">A02297</t>
  </si>
  <si>
    <t xml:space="preserve">A02298</t>
  </si>
  <si>
    <t xml:space="preserve">A02299</t>
  </si>
  <si>
    <t xml:space="preserve">A02300</t>
  </si>
  <si>
    <t xml:space="preserve">A02301</t>
  </si>
  <si>
    <t xml:space="preserve">A02302</t>
  </si>
  <si>
    <t xml:space="preserve">A02303</t>
  </si>
  <si>
    <t xml:space="preserve">A02304</t>
  </si>
  <si>
    <t xml:space="preserve">A02305</t>
  </si>
  <si>
    <t xml:space="preserve">A02306</t>
  </si>
  <si>
    <t xml:space="preserve">A02307</t>
  </si>
  <si>
    <t xml:space="preserve">A02308</t>
  </si>
  <si>
    <t xml:space="preserve">A02309</t>
  </si>
  <si>
    <t xml:space="preserve">A02310</t>
  </si>
  <si>
    <t xml:space="preserve">A02311</t>
  </si>
  <si>
    <t xml:space="preserve">A02312</t>
  </si>
  <si>
    <t xml:space="preserve">A02313</t>
  </si>
  <si>
    <t xml:space="preserve">A02314</t>
  </si>
  <si>
    <t xml:space="preserve">A02315</t>
  </si>
  <si>
    <t xml:space="preserve">A02316</t>
  </si>
  <si>
    <t xml:space="preserve">A02317</t>
  </si>
  <si>
    <t xml:space="preserve">A02318</t>
  </si>
  <si>
    <t xml:space="preserve">A02319</t>
  </si>
  <si>
    <t xml:space="preserve">A02320</t>
  </si>
  <si>
    <t xml:space="preserve">A02321</t>
  </si>
  <si>
    <t xml:space="preserve">A02322</t>
  </si>
  <si>
    <t xml:space="preserve">A02323</t>
  </si>
  <si>
    <t xml:space="preserve">A02324</t>
  </si>
  <si>
    <t xml:space="preserve">A02325</t>
  </si>
  <si>
    <t xml:space="preserve">A02326</t>
  </si>
  <si>
    <t xml:space="preserve">A02327</t>
  </si>
  <si>
    <t xml:space="preserve">A02328</t>
  </si>
  <si>
    <t xml:space="preserve">A02329</t>
  </si>
  <si>
    <t xml:space="preserve">A02330</t>
  </si>
  <si>
    <t xml:space="preserve">A02331</t>
  </si>
  <si>
    <t xml:space="preserve">A02332</t>
  </si>
  <si>
    <t xml:space="preserve">A02333</t>
  </si>
  <si>
    <t xml:space="preserve">A02334</t>
  </si>
  <si>
    <t xml:space="preserve">A02335</t>
  </si>
  <si>
    <t xml:space="preserve">A02336</t>
  </si>
  <si>
    <t xml:space="preserve">A02337</t>
  </si>
  <si>
    <t xml:space="preserve">A02338</t>
  </si>
  <si>
    <t xml:space="preserve">A02339</t>
  </si>
  <si>
    <t xml:space="preserve">A02340</t>
  </si>
  <si>
    <t xml:space="preserve">A02341</t>
  </si>
  <si>
    <t xml:space="preserve">A02342</t>
  </si>
  <si>
    <t xml:space="preserve">A02343</t>
  </si>
  <si>
    <t xml:space="preserve">A02344</t>
  </si>
  <si>
    <t xml:space="preserve">A02345</t>
  </si>
  <si>
    <t xml:space="preserve">A02346</t>
  </si>
  <si>
    <t xml:space="preserve">A02347</t>
  </si>
  <si>
    <t xml:space="preserve">A02348</t>
  </si>
  <si>
    <t xml:space="preserve">A02349</t>
  </si>
  <si>
    <t xml:space="preserve">A02350</t>
  </si>
  <si>
    <t xml:space="preserve">A02351</t>
  </si>
  <si>
    <t xml:space="preserve">A02352</t>
  </si>
  <si>
    <t xml:space="preserve">A02353</t>
  </si>
  <si>
    <t xml:space="preserve">A02354</t>
  </si>
  <si>
    <t xml:space="preserve">A02355</t>
  </si>
  <si>
    <t xml:space="preserve">A02356</t>
  </si>
  <si>
    <t xml:space="preserve">A02357</t>
  </si>
  <si>
    <t xml:space="preserve">A02358</t>
  </si>
  <si>
    <t xml:space="preserve">A02359</t>
  </si>
  <si>
    <t xml:space="preserve">A02360</t>
  </si>
  <si>
    <t xml:space="preserve">A02361</t>
  </si>
  <si>
    <t xml:space="preserve">A02362</t>
  </si>
  <si>
    <t xml:space="preserve">A02363</t>
  </si>
  <si>
    <t xml:space="preserve">A02364</t>
  </si>
  <si>
    <t xml:space="preserve">A02365</t>
  </si>
  <si>
    <t xml:space="preserve">A02366</t>
  </si>
  <si>
    <t xml:space="preserve">A02367</t>
  </si>
  <si>
    <t xml:space="preserve">A02368</t>
  </si>
  <si>
    <t xml:space="preserve">A02369</t>
  </si>
  <si>
    <t xml:space="preserve">A02370</t>
  </si>
  <si>
    <t xml:space="preserve">A02371</t>
  </si>
  <si>
    <t xml:space="preserve">A02372</t>
  </si>
  <si>
    <t xml:space="preserve">A02373</t>
  </si>
  <si>
    <t xml:space="preserve">A02374</t>
  </si>
  <si>
    <t xml:space="preserve">A02375</t>
  </si>
  <si>
    <t xml:space="preserve">A02376</t>
  </si>
  <si>
    <t xml:space="preserve">A02377</t>
  </si>
  <si>
    <t xml:space="preserve">A02378</t>
  </si>
  <si>
    <t xml:space="preserve">A02379</t>
  </si>
  <si>
    <t xml:space="preserve">A02380</t>
  </si>
  <si>
    <t xml:space="preserve">A02381</t>
  </si>
  <si>
    <t xml:space="preserve">A02382</t>
  </si>
  <si>
    <t xml:space="preserve">A02383</t>
  </si>
  <si>
    <t xml:space="preserve">A02384</t>
  </si>
  <si>
    <t xml:space="preserve">A02385</t>
  </si>
  <si>
    <t xml:space="preserve">A02386</t>
  </si>
  <si>
    <t xml:space="preserve">A02387</t>
  </si>
  <si>
    <t xml:space="preserve">A02388</t>
  </si>
  <si>
    <t xml:space="preserve">A02389</t>
  </si>
  <si>
    <t xml:space="preserve">A02390</t>
  </si>
  <si>
    <t xml:space="preserve">A02391</t>
  </si>
  <si>
    <t xml:space="preserve">A02392</t>
  </si>
  <si>
    <t xml:space="preserve">A02393</t>
  </si>
  <si>
    <t xml:space="preserve">A02394</t>
  </si>
  <si>
    <t xml:space="preserve">A02395</t>
  </si>
  <si>
    <t xml:space="preserve">A02396</t>
  </si>
  <si>
    <t xml:space="preserve">A02397</t>
  </si>
  <si>
    <t xml:space="preserve">A02398</t>
  </si>
  <si>
    <t xml:space="preserve">A02399</t>
  </si>
  <si>
    <t xml:space="preserve">A02400</t>
  </si>
  <si>
    <t xml:space="preserve">A02401</t>
  </si>
  <si>
    <t xml:space="preserve">A02402</t>
  </si>
  <si>
    <t xml:space="preserve">A02403</t>
  </si>
  <si>
    <t xml:space="preserve">A02404</t>
  </si>
  <si>
    <t xml:space="preserve">A02405</t>
  </si>
  <si>
    <t xml:space="preserve">A02406</t>
  </si>
  <si>
    <t xml:space="preserve">A02407</t>
  </si>
  <si>
    <t xml:space="preserve">A02408</t>
  </si>
  <si>
    <t xml:space="preserve">A02409</t>
  </si>
  <si>
    <t xml:space="preserve">A02410</t>
  </si>
  <si>
    <t xml:space="preserve">A02411</t>
  </si>
  <si>
    <t xml:space="preserve">A02412</t>
  </si>
  <si>
    <t xml:space="preserve">A02413</t>
  </si>
  <si>
    <t xml:space="preserve">A02414</t>
  </si>
  <si>
    <t xml:space="preserve">A02415</t>
  </si>
  <si>
    <t xml:space="preserve">A02416</t>
  </si>
  <si>
    <t xml:space="preserve">A02417</t>
  </si>
  <si>
    <t xml:space="preserve">A02418</t>
  </si>
  <si>
    <t xml:space="preserve">A02419</t>
  </si>
  <si>
    <t xml:space="preserve">A02420</t>
  </si>
  <si>
    <t xml:space="preserve">A02421</t>
  </si>
  <si>
    <t xml:space="preserve">A02422</t>
  </si>
  <si>
    <t xml:space="preserve">A02423</t>
  </si>
  <si>
    <t xml:space="preserve">A02424</t>
  </si>
  <si>
    <t xml:space="preserve">A02425</t>
  </si>
  <si>
    <t xml:space="preserve">A02426</t>
  </si>
  <si>
    <t xml:space="preserve">A02427</t>
  </si>
  <si>
    <t xml:space="preserve">A02428</t>
  </si>
  <si>
    <t xml:space="preserve">A02429</t>
  </si>
  <si>
    <t xml:space="preserve">A02430</t>
  </si>
  <si>
    <t xml:space="preserve">A02431</t>
  </si>
  <si>
    <t xml:space="preserve">A02432</t>
  </si>
  <si>
    <t xml:space="preserve">A02433</t>
  </si>
  <si>
    <t xml:space="preserve">A02434</t>
  </si>
  <si>
    <t xml:space="preserve">A02435</t>
  </si>
  <si>
    <t xml:space="preserve">A02436</t>
  </si>
  <si>
    <t xml:space="preserve">A02437</t>
  </si>
  <si>
    <t xml:space="preserve">A02438</t>
  </si>
  <si>
    <t xml:space="preserve">A02439</t>
  </si>
  <si>
    <t xml:space="preserve">A02440</t>
  </si>
  <si>
    <t xml:space="preserve">A02441</t>
  </si>
  <si>
    <t xml:space="preserve">A02442</t>
  </si>
  <si>
    <t xml:space="preserve">A02443</t>
  </si>
  <si>
    <t xml:space="preserve">A02444</t>
  </si>
  <si>
    <t xml:space="preserve">A02445</t>
  </si>
  <si>
    <t xml:space="preserve">A02446</t>
  </si>
  <si>
    <t xml:space="preserve">A02447</t>
  </si>
  <si>
    <t xml:space="preserve">A02448</t>
  </si>
  <si>
    <t xml:space="preserve">A02449</t>
  </si>
  <si>
    <t xml:space="preserve">A02450</t>
  </si>
  <si>
    <t xml:space="preserve">A02451</t>
  </si>
  <si>
    <t xml:space="preserve">A02452</t>
  </si>
  <si>
    <t xml:space="preserve">A02453</t>
  </si>
  <si>
    <t xml:space="preserve">A02454</t>
  </si>
  <si>
    <t xml:space="preserve">A02455</t>
  </si>
  <si>
    <t xml:space="preserve">A02456</t>
  </si>
  <si>
    <t xml:space="preserve">A02457</t>
  </si>
  <si>
    <t xml:space="preserve">A02458</t>
  </si>
  <si>
    <t xml:space="preserve">A02459</t>
  </si>
  <si>
    <t xml:space="preserve">A02460</t>
  </si>
  <si>
    <t xml:space="preserve">A02461</t>
  </si>
  <si>
    <t xml:space="preserve">A02462</t>
  </si>
  <si>
    <t xml:space="preserve">A02463</t>
  </si>
  <si>
    <t xml:space="preserve">A02464</t>
  </si>
  <si>
    <t xml:space="preserve">A02465</t>
  </si>
  <si>
    <t xml:space="preserve">A02466</t>
  </si>
  <si>
    <t xml:space="preserve">A02467</t>
  </si>
  <si>
    <t xml:space="preserve">A02468</t>
  </si>
  <si>
    <t xml:space="preserve">A02469</t>
  </si>
  <si>
    <t xml:space="preserve">A02470</t>
  </si>
  <si>
    <t xml:space="preserve">A02471</t>
  </si>
  <si>
    <t xml:space="preserve">A02472</t>
  </si>
  <si>
    <t xml:space="preserve">A02473</t>
  </si>
  <si>
    <t xml:space="preserve">A02474</t>
  </si>
  <si>
    <t xml:space="preserve">A02475</t>
  </si>
  <si>
    <t xml:space="preserve">A02476</t>
  </si>
  <si>
    <t xml:space="preserve">A02477</t>
  </si>
  <si>
    <t xml:space="preserve">A02478</t>
  </si>
  <si>
    <t xml:space="preserve">A02479</t>
  </si>
  <si>
    <t xml:space="preserve">A02480</t>
  </si>
  <si>
    <t xml:space="preserve">A02481</t>
  </si>
  <si>
    <t xml:space="preserve">A02482</t>
  </si>
  <si>
    <t xml:space="preserve">A02483</t>
  </si>
  <si>
    <t xml:space="preserve">A02484</t>
  </si>
  <si>
    <t xml:space="preserve">A02485</t>
  </si>
  <si>
    <t xml:space="preserve">A02486</t>
  </si>
  <si>
    <t xml:space="preserve">A02487</t>
  </si>
  <si>
    <t xml:space="preserve">A02488</t>
  </si>
  <si>
    <t xml:space="preserve">A02489</t>
  </si>
  <si>
    <t xml:space="preserve">A02490</t>
  </si>
  <si>
    <t xml:space="preserve">A02491</t>
  </si>
  <si>
    <t xml:space="preserve">A02492</t>
  </si>
  <si>
    <t xml:space="preserve">A02493</t>
  </si>
  <si>
    <t xml:space="preserve">A02494</t>
  </si>
  <si>
    <t xml:space="preserve">A02495</t>
  </si>
  <si>
    <t xml:space="preserve">A02496</t>
  </si>
  <si>
    <t xml:space="preserve">A02497</t>
  </si>
  <si>
    <t xml:space="preserve">A02498</t>
  </si>
  <si>
    <t xml:space="preserve">A02499</t>
  </si>
  <si>
    <t xml:space="preserve">A02500</t>
  </si>
  <si>
    <t xml:space="preserve">A02501</t>
  </si>
  <si>
    <t xml:space="preserve">A02502</t>
  </si>
  <si>
    <t xml:space="preserve">A02503</t>
  </si>
  <si>
    <t xml:space="preserve">A02504</t>
  </si>
  <si>
    <t xml:space="preserve">A02505</t>
  </si>
  <si>
    <t xml:space="preserve">A02506</t>
  </si>
  <si>
    <t xml:space="preserve">A02507</t>
  </si>
  <si>
    <t xml:space="preserve">A02508</t>
  </si>
  <si>
    <t xml:space="preserve">A02509</t>
  </si>
  <si>
    <t xml:space="preserve">A02510</t>
  </si>
  <si>
    <t xml:space="preserve">A02511</t>
  </si>
  <si>
    <t xml:space="preserve">A02512</t>
  </si>
  <si>
    <t xml:space="preserve">A02513</t>
  </si>
  <si>
    <t xml:space="preserve">A02514</t>
  </si>
  <si>
    <t xml:space="preserve">A02515</t>
  </si>
  <si>
    <t xml:space="preserve">A02516</t>
  </si>
  <si>
    <t xml:space="preserve">A02517</t>
  </si>
  <si>
    <t xml:space="preserve">A02518</t>
  </si>
  <si>
    <t xml:space="preserve">A02519</t>
  </si>
  <si>
    <t xml:space="preserve">A02520</t>
  </si>
  <si>
    <t xml:space="preserve">A02521</t>
  </si>
  <si>
    <t xml:space="preserve">A02522</t>
  </si>
  <si>
    <t xml:space="preserve">A02523</t>
  </si>
  <si>
    <t xml:space="preserve">A02524</t>
  </si>
  <si>
    <t xml:space="preserve">A02525</t>
  </si>
  <si>
    <t xml:space="preserve">A02526</t>
  </si>
  <si>
    <t xml:space="preserve">A02527</t>
  </si>
  <si>
    <t xml:space="preserve">A02528</t>
  </si>
  <si>
    <t xml:space="preserve">A02529</t>
  </si>
  <si>
    <t xml:space="preserve">A02530</t>
  </si>
  <si>
    <t xml:space="preserve">A02531</t>
  </si>
  <si>
    <t xml:space="preserve">A02532</t>
  </si>
  <si>
    <t xml:space="preserve">A02533</t>
  </si>
  <si>
    <t xml:space="preserve">A02534</t>
  </si>
  <si>
    <t xml:space="preserve">A02535</t>
  </si>
  <si>
    <t xml:space="preserve">A02536</t>
  </si>
  <si>
    <t xml:space="preserve">A02537</t>
  </si>
  <si>
    <t xml:space="preserve">A02538</t>
  </si>
  <si>
    <t xml:space="preserve">A02539</t>
  </si>
  <si>
    <t xml:space="preserve">A02540</t>
  </si>
  <si>
    <t xml:space="preserve">A02541</t>
  </si>
  <si>
    <t xml:space="preserve">A02542</t>
  </si>
  <si>
    <t xml:space="preserve">A02543</t>
  </si>
  <si>
    <t xml:space="preserve">A02544</t>
  </si>
  <si>
    <t xml:space="preserve">A02545</t>
  </si>
  <si>
    <t xml:space="preserve">A02546</t>
  </si>
  <si>
    <t xml:space="preserve">A02547</t>
  </si>
  <si>
    <t xml:space="preserve">A02548</t>
  </si>
  <si>
    <t xml:space="preserve">A02549</t>
  </si>
  <si>
    <t xml:space="preserve">A02550</t>
  </si>
  <si>
    <t xml:space="preserve">A02551</t>
  </si>
  <si>
    <t xml:space="preserve">A02552</t>
  </si>
  <si>
    <t xml:space="preserve">A02553</t>
  </si>
  <si>
    <t xml:space="preserve">A02554</t>
  </si>
  <si>
    <t xml:space="preserve">A02555</t>
  </si>
  <si>
    <t xml:space="preserve">A02556</t>
  </si>
  <si>
    <t xml:space="preserve">A02557</t>
  </si>
  <si>
    <t xml:space="preserve">A02558</t>
  </si>
  <si>
    <t xml:space="preserve">A02559</t>
  </si>
  <si>
    <t xml:space="preserve">A02560</t>
  </si>
  <si>
    <t xml:space="preserve">A02561</t>
  </si>
  <si>
    <t xml:space="preserve">A02562</t>
  </si>
  <si>
    <t xml:space="preserve">A02563</t>
  </si>
  <si>
    <t xml:space="preserve">A02564</t>
  </si>
  <si>
    <t xml:space="preserve">A02565</t>
  </si>
  <si>
    <t xml:space="preserve">A02566</t>
  </si>
  <si>
    <t xml:space="preserve">A02567</t>
  </si>
  <si>
    <t xml:space="preserve">A02568</t>
  </si>
  <si>
    <t xml:space="preserve">A02569</t>
  </si>
  <si>
    <t xml:space="preserve">A02570</t>
  </si>
  <si>
    <t xml:space="preserve">A02571</t>
  </si>
  <si>
    <t xml:space="preserve">A02572</t>
  </si>
  <si>
    <t xml:space="preserve">A02573</t>
  </si>
  <si>
    <t xml:space="preserve">A02574</t>
  </si>
  <si>
    <t xml:space="preserve">A02575</t>
  </si>
  <si>
    <t xml:space="preserve">A02576</t>
  </si>
  <si>
    <t xml:space="preserve">A02577</t>
  </si>
  <si>
    <t xml:space="preserve">A02578</t>
  </si>
  <si>
    <t xml:space="preserve">A02579</t>
  </si>
  <si>
    <t xml:space="preserve">A02580</t>
  </si>
  <si>
    <t xml:space="preserve">A02581</t>
  </si>
  <si>
    <t xml:space="preserve">A02582</t>
  </si>
  <si>
    <t xml:space="preserve">A02583</t>
  </si>
  <si>
    <t xml:space="preserve">A02584</t>
  </si>
  <si>
    <t xml:space="preserve">A02585</t>
  </si>
  <si>
    <t xml:space="preserve">A02586</t>
  </si>
  <si>
    <t xml:space="preserve">A02587</t>
  </si>
  <si>
    <t xml:space="preserve">A02588</t>
  </si>
  <si>
    <t xml:space="preserve">A02589</t>
  </si>
  <si>
    <t xml:space="preserve">A02590</t>
  </si>
  <si>
    <t xml:space="preserve">A02591</t>
  </si>
  <si>
    <t xml:space="preserve">A02592</t>
  </si>
  <si>
    <t xml:space="preserve">A02593</t>
  </si>
  <si>
    <t xml:space="preserve">A02594</t>
  </si>
  <si>
    <t xml:space="preserve">A02595</t>
  </si>
  <si>
    <t xml:space="preserve">A02596</t>
  </si>
  <si>
    <t xml:space="preserve">A02597</t>
  </si>
  <si>
    <t xml:space="preserve">A02598</t>
  </si>
  <si>
    <t xml:space="preserve">A02599</t>
  </si>
  <si>
    <t xml:space="preserve">A02600</t>
  </si>
  <si>
    <t xml:space="preserve">A02601</t>
  </si>
  <si>
    <t xml:space="preserve">A02602</t>
  </si>
  <si>
    <t xml:space="preserve">A02603</t>
  </si>
  <si>
    <t xml:space="preserve">A02604</t>
  </si>
  <si>
    <t xml:space="preserve">A02605</t>
  </si>
  <si>
    <t xml:space="preserve">A02606</t>
  </si>
  <si>
    <t xml:space="preserve">A02607</t>
  </si>
  <si>
    <t xml:space="preserve">A02608</t>
  </si>
  <si>
    <t xml:space="preserve">A02609</t>
  </si>
  <si>
    <t xml:space="preserve">A02610</t>
  </si>
  <si>
    <t xml:space="preserve">A02611</t>
  </si>
  <si>
    <t xml:space="preserve">A02612</t>
  </si>
  <si>
    <t xml:space="preserve">A02613</t>
  </si>
  <si>
    <t xml:space="preserve">A02614</t>
  </si>
  <si>
    <t xml:space="preserve">A02615</t>
  </si>
  <si>
    <t xml:space="preserve">A02616</t>
  </si>
  <si>
    <t xml:space="preserve">A02617</t>
  </si>
  <si>
    <t xml:space="preserve">A02618</t>
  </si>
  <si>
    <t xml:space="preserve">A02619</t>
  </si>
  <si>
    <t xml:space="preserve">A02620</t>
  </si>
  <si>
    <t xml:space="preserve">A02621</t>
  </si>
  <si>
    <t xml:space="preserve">A02622</t>
  </si>
  <si>
    <t xml:space="preserve">A02623</t>
  </si>
  <si>
    <t xml:space="preserve">A02624</t>
  </si>
  <si>
    <t xml:space="preserve">A02625</t>
  </si>
  <si>
    <t xml:space="preserve">A02626</t>
  </si>
  <si>
    <t xml:space="preserve">A02627</t>
  </si>
  <si>
    <t xml:space="preserve">A02628</t>
  </si>
  <si>
    <t xml:space="preserve">A02629</t>
  </si>
  <si>
    <t xml:space="preserve">A02630</t>
  </si>
  <si>
    <t xml:space="preserve">A02631</t>
  </si>
  <si>
    <t xml:space="preserve">A02632</t>
  </si>
  <si>
    <t xml:space="preserve">A02633</t>
  </si>
  <si>
    <t xml:space="preserve">A02634</t>
  </si>
  <si>
    <t xml:space="preserve">A02635</t>
  </si>
  <si>
    <t xml:space="preserve">A02636</t>
  </si>
  <si>
    <t xml:space="preserve">A02637</t>
  </si>
  <si>
    <t xml:space="preserve">A02638</t>
  </si>
  <si>
    <t xml:space="preserve">A02639</t>
  </si>
  <si>
    <t xml:space="preserve">A02640</t>
  </si>
  <si>
    <t xml:space="preserve">A02641</t>
  </si>
  <si>
    <t xml:space="preserve">A02642</t>
  </si>
  <si>
    <t xml:space="preserve">A02643</t>
  </si>
  <si>
    <t xml:space="preserve">A02644</t>
  </si>
  <si>
    <t xml:space="preserve">A02645</t>
  </si>
  <si>
    <t xml:space="preserve">A02646</t>
  </si>
  <si>
    <t xml:space="preserve">A02647</t>
  </si>
  <si>
    <t xml:space="preserve">A02648</t>
  </si>
  <si>
    <t xml:space="preserve">A02649</t>
  </si>
  <si>
    <t xml:space="preserve">A02650</t>
  </si>
  <si>
    <t xml:space="preserve">A02651</t>
  </si>
  <si>
    <t xml:space="preserve">A02652</t>
  </si>
  <si>
    <t xml:space="preserve">A02653</t>
  </si>
  <si>
    <t xml:space="preserve">A02654</t>
  </si>
  <si>
    <t xml:space="preserve">A02655</t>
  </si>
  <si>
    <t xml:space="preserve">A02656</t>
  </si>
  <si>
    <t xml:space="preserve">A02657</t>
  </si>
  <si>
    <t xml:space="preserve">A02658</t>
  </si>
  <si>
    <t xml:space="preserve">A02659</t>
  </si>
  <si>
    <t xml:space="preserve">A02660</t>
  </si>
  <si>
    <t xml:space="preserve">A02661</t>
  </si>
  <si>
    <t xml:space="preserve">A02662</t>
  </si>
  <si>
    <t xml:space="preserve">A02663</t>
  </si>
  <si>
    <t xml:space="preserve">A02664</t>
  </si>
  <si>
    <t xml:space="preserve">A02665</t>
  </si>
  <si>
    <t xml:space="preserve">A02666</t>
  </si>
  <si>
    <t xml:space="preserve">A02667</t>
  </si>
  <si>
    <t xml:space="preserve">A02668</t>
  </si>
  <si>
    <t xml:space="preserve">A02669</t>
  </si>
  <si>
    <t xml:space="preserve">A02670</t>
  </si>
  <si>
    <t xml:space="preserve">A02671</t>
  </si>
  <si>
    <t xml:space="preserve">A02672</t>
  </si>
  <si>
    <t xml:space="preserve">A02673</t>
  </si>
  <si>
    <t xml:space="preserve">A02674</t>
  </si>
  <si>
    <t xml:space="preserve">A02675</t>
  </si>
  <si>
    <t xml:space="preserve">A02676</t>
  </si>
  <si>
    <t xml:space="preserve">A02677</t>
  </si>
  <si>
    <t xml:space="preserve">A02678</t>
  </si>
  <si>
    <t xml:space="preserve">A02679</t>
  </si>
  <si>
    <t xml:space="preserve">A02680</t>
  </si>
  <si>
    <t xml:space="preserve">A02681</t>
  </si>
  <si>
    <t xml:space="preserve">A02682</t>
  </si>
  <si>
    <t xml:space="preserve">A02683</t>
  </si>
  <si>
    <t xml:space="preserve">A02684</t>
  </si>
  <si>
    <t xml:space="preserve">A02685</t>
  </si>
  <si>
    <t xml:space="preserve">A02686</t>
  </si>
  <si>
    <t xml:space="preserve">A02687</t>
  </si>
  <si>
    <t xml:space="preserve">A02688</t>
  </si>
  <si>
    <t xml:space="preserve">A02689</t>
  </si>
  <si>
    <t xml:space="preserve">A02690</t>
  </si>
  <si>
    <t xml:space="preserve">A02691</t>
  </si>
  <si>
    <t xml:space="preserve">A02692</t>
  </si>
  <si>
    <t xml:space="preserve">A02693</t>
  </si>
  <si>
    <t xml:space="preserve">A02694</t>
  </si>
  <si>
    <t xml:space="preserve">A02695</t>
  </si>
  <si>
    <t xml:space="preserve">A02696</t>
  </si>
  <si>
    <t xml:space="preserve">A02697</t>
  </si>
  <si>
    <t xml:space="preserve">A02698</t>
  </si>
  <si>
    <t xml:space="preserve">A02699</t>
  </si>
  <si>
    <t xml:space="preserve">A02700</t>
  </si>
  <si>
    <t xml:space="preserve">A02701</t>
  </si>
  <si>
    <t xml:space="preserve">A02702</t>
  </si>
  <si>
    <t xml:space="preserve">A02703</t>
  </si>
  <si>
    <t xml:space="preserve">A02704</t>
  </si>
  <si>
    <t xml:space="preserve">A02705</t>
  </si>
  <si>
    <t xml:space="preserve">A02706</t>
  </si>
  <si>
    <t xml:space="preserve">A02707</t>
  </si>
  <si>
    <t xml:space="preserve">A02708</t>
  </si>
  <si>
    <t xml:space="preserve">A02709</t>
  </si>
  <si>
    <t xml:space="preserve">A02710</t>
  </si>
  <si>
    <t xml:space="preserve">A02711</t>
  </si>
  <si>
    <t xml:space="preserve">A02712</t>
  </si>
  <si>
    <t xml:space="preserve">A02713</t>
  </si>
  <si>
    <t xml:space="preserve">A02714</t>
  </si>
  <si>
    <t xml:space="preserve">A02715</t>
  </si>
  <si>
    <t xml:space="preserve">A02716</t>
  </si>
  <si>
    <t xml:space="preserve">A02717</t>
  </si>
  <si>
    <t xml:space="preserve">A02718</t>
  </si>
  <si>
    <t xml:space="preserve">A02719</t>
  </si>
  <si>
    <t xml:space="preserve">A02720</t>
  </si>
  <si>
    <t xml:space="preserve">A02721</t>
  </si>
  <si>
    <t xml:space="preserve">A02722</t>
  </si>
  <si>
    <t xml:space="preserve">A02723</t>
  </si>
  <si>
    <t xml:space="preserve">A02724</t>
  </si>
  <si>
    <t xml:space="preserve">A02725</t>
  </si>
  <si>
    <t xml:space="preserve">A02726</t>
  </si>
  <si>
    <t xml:space="preserve">A02727</t>
  </si>
  <si>
    <t xml:space="preserve">A02728</t>
  </si>
  <si>
    <t xml:space="preserve">A02729</t>
  </si>
  <si>
    <t xml:space="preserve">A02730</t>
  </si>
  <si>
    <t xml:space="preserve">A02731</t>
  </si>
  <si>
    <t xml:space="preserve">A02732</t>
  </si>
  <si>
    <t xml:space="preserve">A02733</t>
  </si>
  <si>
    <t xml:space="preserve">A02734</t>
  </si>
  <si>
    <t xml:space="preserve">A02735</t>
  </si>
  <si>
    <t xml:space="preserve">A02736</t>
  </si>
  <si>
    <t xml:space="preserve">A02737</t>
  </si>
  <si>
    <t xml:space="preserve">A02738</t>
  </si>
  <si>
    <t xml:space="preserve">A02739</t>
  </si>
  <si>
    <t xml:space="preserve">A02740</t>
  </si>
  <si>
    <t xml:space="preserve">A02741</t>
  </si>
  <si>
    <t xml:space="preserve">A02742</t>
  </si>
  <si>
    <t xml:space="preserve">A02743</t>
  </si>
  <si>
    <t xml:space="preserve">A02744</t>
  </si>
  <si>
    <t xml:space="preserve">A02745</t>
  </si>
  <si>
    <t xml:space="preserve">A02746</t>
  </si>
  <si>
    <t xml:space="preserve">A02747</t>
  </si>
  <si>
    <t xml:space="preserve">A02748</t>
  </si>
  <si>
    <t xml:space="preserve">A02749</t>
  </si>
  <si>
    <t xml:space="preserve">A02750</t>
  </si>
  <si>
    <t xml:space="preserve">A02751</t>
  </si>
  <si>
    <t xml:space="preserve">A02752</t>
  </si>
  <si>
    <t xml:space="preserve">A02753</t>
  </si>
  <si>
    <t xml:space="preserve">A02754</t>
  </si>
  <si>
    <t xml:space="preserve">A02755</t>
  </si>
  <si>
    <t xml:space="preserve">A02756</t>
  </si>
  <si>
    <t xml:space="preserve">A02757</t>
  </si>
  <si>
    <t xml:space="preserve">A02758</t>
  </si>
  <si>
    <t xml:space="preserve">A02759</t>
  </si>
  <si>
    <t xml:space="preserve">A02760</t>
  </si>
  <si>
    <t xml:space="preserve">A02761</t>
  </si>
  <si>
    <t xml:space="preserve">A02762</t>
  </si>
  <si>
    <t xml:space="preserve">A02763</t>
  </si>
  <si>
    <t xml:space="preserve">A02764</t>
  </si>
  <si>
    <t xml:space="preserve">A02765</t>
  </si>
  <si>
    <t xml:space="preserve">A02766</t>
  </si>
  <si>
    <t xml:space="preserve">A02767</t>
  </si>
  <si>
    <t xml:space="preserve">A02768</t>
  </si>
  <si>
    <t xml:space="preserve">A02769</t>
  </si>
  <si>
    <t xml:space="preserve">A02770</t>
  </si>
  <si>
    <t xml:space="preserve">A02771</t>
  </si>
  <si>
    <t xml:space="preserve">A02772</t>
  </si>
  <si>
    <t xml:space="preserve">A02773</t>
  </si>
  <si>
    <t xml:space="preserve">A02774</t>
  </si>
  <si>
    <t xml:space="preserve">A02775</t>
  </si>
  <si>
    <t xml:space="preserve">A02776</t>
  </si>
  <si>
    <t xml:space="preserve">A02777</t>
  </si>
  <si>
    <t xml:space="preserve">A02778</t>
  </si>
  <si>
    <t xml:space="preserve">A02779</t>
  </si>
  <si>
    <t xml:space="preserve">A02780</t>
  </si>
  <si>
    <t xml:space="preserve">A02781</t>
  </si>
  <si>
    <t xml:space="preserve">A02782</t>
  </si>
  <si>
    <t xml:space="preserve">A02783</t>
  </si>
  <si>
    <t xml:space="preserve">A02784</t>
  </si>
  <si>
    <t xml:space="preserve">A02785</t>
  </si>
  <si>
    <t xml:space="preserve">A02786</t>
  </si>
  <si>
    <t xml:space="preserve">A02787</t>
  </si>
  <si>
    <t xml:space="preserve">A02788</t>
  </si>
  <si>
    <t xml:space="preserve">A02789</t>
  </si>
  <si>
    <t xml:space="preserve">A02790</t>
  </si>
  <si>
    <t xml:space="preserve">A02791</t>
  </si>
  <si>
    <t xml:space="preserve">A02792</t>
  </si>
  <si>
    <t xml:space="preserve">A02793</t>
  </si>
  <si>
    <t xml:space="preserve">A02794</t>
  </si>
  <si>
    <t xml:space="preserve">A02795</t>
  </si>
  <si>
    <t xml:space="preserve">A02796</t>
  </si>
  <si>
    <t xml:space="preserve">A02797</t>
  </si>
  <si>
    <t xml:space="preserve">A02798</t>
  </si>
  <si>
    <t xml:space="preserve">A02799</t>
  </si>
  <si>
    <t xml:space="preserve">A02800</t>
  </si>
  <si>
    <t xml:space="preserve">A02801</t>
  </si>
  <si>
    <t xml:space="preserve">A02802</t>
  </si>
  <si>
    <t xml:space="preserve">A02803</t>
  </si>
  <si>
    <t xml:space="preserve">A02804</t>
  </si>
  <si>
    <t xml:space="preserve">A02805</t>
  </si>
  <si>
    <t xml:space="preserve">A02806</t>
  </si>
  <si>
    <t xml:space="preserve">A02807</t>
  </si>
  <si>
    <t xml:space="preserve">A02808</t>
  </si>
  <si>
    <t xml:space="preserve">A02809</t>
  </si>
  <si>
    <t xml:space="preserve">A02810</t>
  </si>
  <si>
    <t xml:space="preserve">A02811</t>
  </si>
  <si>
    <t xml:space="preserve">A02812</t>
  </si>
  <si>
    <t xml:space="preserve">A02813</t>
  </si>
  <si>
    <t xml:space="preserve">A02814</t>
  </si>
  <si>
    <t xml:space="preserve">A02815</t>
  </si>
  <si>
    <t xml:space="preserve">A02816</t>
  </si>
  <si>
    <t xml:space="preserve">A02817</t>
  </si>
  <si>
    <t xml:space="preserve">A02818</t>
  </si>
  <si>
    <t xml:space="preserve">A02819</t>
  </si>
  <si>
    <t xml:space="preserve">A02820</t>
  </si>
  <si>
    <t xml:space="preserve">A02821</t>
  </si>
  <si>
    <t xml:space="preserve">A02822</t>
  </si>
  <si>
    <t xml:space="preserve">A02823</t>
  </si>
  <si>
    <t xml:space="preserve">A02824</t>
  </si>
  <si>
    <t xml:space="preserve">A02825</t>
  </si>
  <si>
    <t xml:space="preserve">A02826</t>
  </si>
  <si>
    <t xml:space="preserve">A02827</t>
  </si>
  <si>
    <t xml:space="preserve">A02828</t>
  </si>
  <si>
    <t xml:space="preserve">A02829</t>
  </si>
  <si>
    <t xml:space="preserve">A02830</t>
  </si>
  <si>
    <t xml:space="preserve">A02831</t>
  </si>
  <si>
    <t xml:space="preserve">A02832</t>
  </si>
  <si>
    <t xml:space="preserve">A02833</t>
  </si>
  <si>
    <t xml:space="preserve">A02834</t>
  </si>
  <si>
    <t xml:space="preserve">A02835</t>
  </si>
  <si>
    <t xml:space="preserve">A02836</t>
  </si>
  <si>
    <t xml:space="preserve">A02837</t>
  </si>
  <si>
    <t xml:space="preserve">A02838</t>
  </si>
  <si>
    <t xml:space="preserve">A02839</t>
  </si>
  <si>
    <t xml:space="preserve">A02840</t>
  </si>
  <si>
    <t xml:space="preserve">A02841</t>
  </si>
  <si>
    <t xml:space="preserve">A02842</t>
  </si>
  <si>
    <t xml:space="preserve">A02843</t>
  </si>
  <si>
    <t xml:space="preserve">A02844</t>
  </si>
  <si>
    <t xml:space="preserve">A02845</t>
  </si>
  <si>
    <t xml:space="preserve">A02846</t>
  </si>
  <si>
    <t xml:space="preserve">A02847</t>
  </si>
  <si>
    <t xml:space="preserve">A02848</t>
  </si>
  <si>
    <t xml:space="preserve">A02849</t>
  </si>
  <si>
    <t xml:space="preserve">A02850</t>
  </si>
  <si>
    <t xml:space="preserve">A02851</t>
  </si>
  <si>
    <t xml:space="preserve">A02852</t>
  </si>
  <si>
    <t xml:space="preserve">A02853</t>
  </si>
  <si>
    <t xml:space="preserve">A02854</t>
  </si>
  <si>
    <t xml:space="preserve">A02855</t>
  </si>
  <si>
    <t xml:space="preserve">A02856</t>
  </si>
  <si>
    <t xml:space="preserve">A02857</t>
  </si>
  <si>
    <t xml:space="preserve">A02858</t>
  </si>
  <si>
    <t xml:space="preserve">A02859</t>
  </si>
  <si>
    <t xml:space="preserve">A02860</t>
  </si>
  <si>
    <t xml:space="preserve">A02861</t>
  </si>
  <si>
    <t xml:space="preserve">A02862</t>
  </si>
  <si>
    <t xml:space="preserve">A02863</t>
  </si>
  <si>
    <t xml:space="preserve">A02864</t>
  </si>
  <si>
    <t xml:space="preserve">A02865</t>
  </si>
  <si>
    <t xml:space="preserve">A02866</t>
  </si>
  <si>
    <t xml:space="preserve">A02867</t>
  </si>
  <si>
    <t xml:space="preserve">A02868</t>
  </si>
  <si>
    <t xml:space="preserve">A02869</t>
  </si>
  <si>
    <t xml:space="preserve">A02870</t>
  </si>
  <si>
    <t xml:space="preserve">A02871</t>
  </si>
  <si>
    <t xml:space="preserve">A02872</t>
  </si>
  <si>
    <t xml:space="preserve">A02873</t>
  </si>
  <si>
    <t xml:space="preserve">A02874</t>
  </si>
  <si>
    <t xml:space="preserve">A02875</t>
  </si>
  <si>
    <t xml:space="preserve">A02876</t>
  </si>
  <si>
    <t xml:space="preserve">A02877</t>
  </si>
  <si>
    <t xml:space="preserve">A02878</t>
  </si>
  <si>
    <t xml:space="preserve">A02879</t>
  </si>
  <si>
    <t xml:space="preserve">A02880</t>
  </si>
  <si>
    <t xml:space="preserve">A02881</t>
  </si>
  <si>
    <t xml:space="preserve">A02882</t>
  </si>
  <si>
    <t xml:space="preserve">A02883</t>
  </si>
  <si>
    <t xml:space="preserve">A02884</t>
  </si>
  <si>
    <t xml:space="preserve">A02885</t>
  </si>
  <si>
    <t xml:space="preserve">A02886</t>
  </si>
  <si>
    <t xml:space="preserve">A02887</t>
  </si>
  <si>
    <t xml:space="preserve">A02888</t>
  </si>
  <si>
    <t xml:space="preserve">A02889</t>
  </si>
  <si>
    <t xml:space="preserve">A02890</t>
  </si>
  <si>
    <t xml:space="preserve">A02891</t>
  </si>
  <si>
    <t xml:space="preserve">A02892</t>
  </si>
  <si>
    <t xml:space="preserve">A02893</t>
  </si>
  <si>
    <t xml:space="preserve">A02894</t>
  </si>
  <si>
    <t xml:space="preserve">A02895</t>
  </si>
  <si>
    <t xml:space="preserve">A02896</t>
  </si>
  <si>
    <t xml:space="preserve">A02897</t>
  </si>
  <si>
    <t xml:space="preserve">A02898</t>
  </si>
  <si>
    <t xml:space="preserve">A02899</t>
  </si>
  <si>
    <t xml:space="preserve">A02900</t>
  </si>
  <si>
    <t xml:space="preserve">A02901</t>
  </si>
  <si>
    <t xml:space="preserve">A02902</t>
  </si>
  <si>
    <t xml:space="preserve">A02903</t>
  </si>
  <si>
    <t xml:space="preserve">A02904</t>
  </si>
  <si>
    <t xml:space="preserve">A02905</t>
  </si>
  <si>
    <t xml:space="preserve">A02906</t>
  </si>
  <si>
    <t xml:space="preserve">A02907</t>
  </si>
  <si>
    <t xml:space="preserve">A02908</t>
  </si>
  <si>
    <t xml:space="preserve">A02909</t>
  </si>
  <si>
    <t xml:space="preserve">A02910</t>
  </si>
  <si>
    <t xml:space="preserve">A02911</t>
  </si>
  <si>
    <t xml:space="preserve">A02912</t>
  </si>
  <si>
    <t xml:space="preserve">A02913</t>
  </si>
  <si>
    <t xml:space="preserve">A02914</t>
  </si>
  <si>
    <t xml:space="preserve">A02915</t>
  </si>
  <si>
    <t xml:space="preserve">A02916</t>
  </si>
  <si>
    <t xml:space="preserve">A02917</t>
  </si>
  <si>
    <t xml:space="preserve">A02918</t>
  </si>
  <si>
    <t xml:space="preserve">A02919</t>
  </si>
  <si>
    <t xml:space="preserve">A02920</t>
  </si>
  <si>
    <t xml:space="preserve">A02921</t>
  </si>
  <si>
    <t xml:space="preserve">A02922</t>
  </si>
  <si>
    <t xml:space="preserve">A02923</t>
  </si>
  <si>
    <t xml:space="preserve">A02924</t>
  </si>
  <si>
    <t xml:space="preserve">A02925</t>
  </si>
  <si>
    <t xml:space="preserve">A02926</t>
  </si>
  <si>
    <t xml:space="preserve">A02927</t>
  </si>
  <si>
    <t xml:space="preserve">A02928</t>
  </si>
  <si>
    <t xml:space="preserve">A02929</t>
  </si>
  <si>
    <t xml:space="preserve">A02930</t>
  </si>
  <si>
    <t xml:space="preserve">A02931</t>
  </si>
  <si>
    <t xml:space="preserve">A02932</t>
  </si>
  <si>
    <t xml:space="preserve">A02933</t>
  </si>
  <si>
    <t xml:space="preserve">A02934</t>
  </si>
  <si>
    <t xml:space="preserve">A02935</t>
  </si>
  <si>
    <t xml:space="preserve">A02936</t>
  </si>
  <si>
    <t xml:space="preserve">A02937</t>
  </si>
  <si>
    <t xml:space="preserve">A02938</t>
  </si>
  <si>
    <t xml:space="preserve">A02939</t>
  </si>
  <si>
    <t xml:space="preserve">A02940</t>
  </si>
  <si>
    <t xml:space="preserve">A02941</t>
  </si>
  <si>
    <t xml:space="preserve">A02942</t>
  </si>
  <si>
    <t xml:space="preserve">A02943</t>
  </si>
  <si>
    <t xml:space="preserve">A02944</t>
  </si>
  <si>
    <t xml:space="preserve">A02945</t>
  </si>
  <si>
    <t xml:space="preserve">A02946</t>
  </si>
  <si>
    <t xml:space="preserve">A02947</t>
  </si>
  <si>
    <t xml:space="preserve">A02948</t>
  </si>
  <si>
    <t xml:space="preserve">A02949</t>
  </si>
  <si>
    <t xml:space="preserve">A02950</t>
  </si>
  <si>
    <t xml:space="preserve">A02951</t>
  </si>
  <si>
    <t xml:space="preserve">A02952</t>
  </si>
  <si>
    <t xml:space="preserve">A02953</t>
  </si>
  <si>
    <t xml:space="preserve">A02954</t>
  </si>
  <si>
    <t xml:space="preserve">A02955</t>
  </si>
  <si>
    <t xml:space="preserve">A02956</t>
  </si>
  <si>
    <t xml:space="preserve">A02957</t>
  </si>
  <si>
    <t xml:space="preserve">A02958</t>
  </si>
  <si>
    <t xml:space="preserve">A02959</t>
  </si>
  <si>
    <t xml:space="preserve">A02960</t>
  </si>
  <si>
    <t xml:space="preserve">A02961</t>
  </si>
  <si>
    <t xml:space="preserve">A02962</t>
  </si>
  <si>
    <t xml:space="preserve">A02963</t>
  </si>
  <si>
    <t xml:space="preserve">A02964</t>
  </si>
  <si>
    <t xml:space="preserve">A02965</t>
  </si>
  <si>
    <t xml:space="preserve">A02966</t>
  </si>
  <si>
    <t xml:space="preserve">A02967</t>
  </si>
  <si>
    <t xml:space="preserve">A02968</t>
  </si>
  <si>
    <t xml:space="preserve">A02969</t>
  </si>
  <si>
    <t xml:space="preserve">A02970</t>
  </si>
  <si>
    <t xml:space="preserve">A02971</t>
  </si>
  <si>
    <t xml:space="preserve">A02972</t>
  </si>
  <si>
    <t xml:space="preserve">A02973</t>
  </si>
  <si>
    <t xml:space="preserve">A02974</t>
  </si>
  <si>
    <t xml:space="preserve">A02975</t>
  </si>
  <si>
    <t xml:space="preserve">A02976</t>
  </si>
  <si>
    <t xml:space="preserve">A02977</t>
  </si>
  <si>
    <t xml:space="preserve">A02978</t>
  </si>
  <si>
    <t xml:space="preserve">A02979</t>
  </si>
  <si>
    <t xml:space="preserve">A02980</t>
  </si>
  <si>
    <t xml:space="preserve">A02981</t>
  </si>
  <si>
    <t xml:space="preserve">A02982</t>
  </si>
  <si>
    <t xml:space="preserve">A02983</t>
  </si>
  <si>
    <t xml:space="preserve">A02984</t>
  </si>
  <si>
    <t xml:space="preserve">A02985</t>
  </si>
  <si>
    <t xml:space="preserve">A02986</t>
  </si>
  <si>
    <t xml:space="preserve">A02987</t>
  </si>
  <si>
    <t xml:space="preserve">A02988</t>
  </si>
  <si>
    <t xml:space="preserve">A02989</t>
  </si>
  <si>
    <t xml:space="preserve">A02990</t>
  </si>
  <si>
    <t xml:space="preserve">A02991</t>
  </si>
  <si>
    <t xml:space="preserve">A02992</t>
  </si>
  <si>
    <t xml:space="preserve">A02993</t>
  </si>
  <si>
    <t xml:space="preserve">A02994</t>
  </si>
  <si>
    <t xml:space="preserve">A02995</t>
  </si>
  <si>
    <t xml:space="preserve">A02996</t>
  </si>
  <si>
    <t xml:space="preserve">A02997</t>
  </si>
  <si>
    <t xml:space="preserve">A02998</t>
  </si>
  <si>
    <t xml:space="preserve">A02999</t>
  </si>
  <si>
    <t xml:space="preserve">A03000</t>
  </si>
  <si>
    <t xml:space="preserve">A03001</t>
  </si>
  <si>
    <t xml:space="preserve">A03002</t>
  </si>
  <si>
    <t xml:space="preserve">A03003</t>
  </si>
  <si>
    <t xml:space="preserve">A03004</t>
  </si>
  <si>
    <t xml:space="preserve">A03005</t>
  </si>
  <si>
    <t xml:space="preserve">A03006</t>
  </si>
  <si>
    <t xml:space="preserve">A03007</t>
  </si>
  <si>
    <t xml:space="preserve">A03008</t>
  </si>
  <si>
    <t xml:space="preserve">A03009</t>
  </si>
  <si>
    <t xml:space="preserve">A03010</t>
  </si>
  <si>
    <t xml:space="preserve">A03011</t>
  </si>
  <si>
    <t xml:space="preserve">A03012</t>
  </si>
  <si>
    <t xml:space="preserve">A03013</t>
  </si>
  <si>
    <t xml:space="preserve">A03014</t>
  </si>
  <si>
    <t xml:space="preserve">A03015</t>
  </si>
  <si>
    <t xml:space="preserve">A03016</t>
  </si>
  <si>
    <t xml:space="preserve">A03017</t>
  </si>
  <si>
    <t xml:space="preserve">A03018</t>
  </si>
  <si>
    <t xml:space="preserve">A03019</t>
  </si>
  <si>
    <t xml:space="preserve">A03020</t>
  </si>
  <si>
    <t xml:space="preserve">A03021</t>
  </si>
  <si>
    <t xml:space="preserve">A03022</t>
  </si>
  <si>
    <t xml:space="preserve">A03023</t>
  </si>
  <si>
    <t xml:space="preserve">A03024</t>
  </si>
  <si>
    <t xml:space="preserve">A03025</t>
  </si>
  <si>
    <t xml:space="preserve">A03026</t>
  </si>
  <si>
    <t xml:space="preserve">A03027</t>
  </si>
  <si>
    <t xml:space="preserve">A03028</t>
  </si>
  <si>
    <t xml:space="preserve">A03029</t>
  </si>
  <si>
    <t xml:space="preserve">A03030</t>
  </si>
  <si>
    <t xml:space="preserve">A03031</t>
  </si>
  <si>
    <t xml:space="preserve">A03032</t>
  </si>
  <si>
    <t xml:space="preserve">A03033</t>
  </si>
  <si>
    <t xml:space="preserve">A03034</t>
  </si>
  <si>
    <t xml:space="preserve">A03035</t>
  </si>
  <si>
    <t xml:space="preserve">A03036</t>
  </si>
  <si>
    <t xml:space="preserve">A03037</t>
  </si>
  <si>
    <t xml:space="preserve">A03038</t>
  </si>
  <si>
    <t xml:space="preserve">A03039</t>
  </si>
  <si>
    <t xml:space="preserve">A03040</t>
  </si>
  <si>
    <t xml:space="preserve">A03041</t>
  </si>
  <si>
    <t xml:space="preserve">A03042</t>
  </si>
  <si>
    <t xml:space="preserve">A03043</t>
  </si>
  <si>
    <t xml:space="preserve">A03044</t>
  </si>
  <si>
    <t xml:space="preserve">A03045</t>
  </si>
  <si>
    <t xml:space="preserve">A03046</t>
  </si>
  <si>
    <t xml:space="preserve">A03047</t>
  </si>
  <si>
    <t xml:space="preserve">A03048</t>
  </si>
  <si>
    <t xml:space="preserve">A03049</t>
  </si>
  <si>
    <t xml:space="preserve">A03050</t>
  </si>
  <si>
    <t xml:space="preserve">A03051</t>
  </si>
  <si>
    <t xml:space="preserve">A03052</t>
  </si>
  <si>
    <t xml:space="preserve">A03053</t>
  </si>
  <si>
    <t xml:space="preserve">A03054</t>
  </si>
  <si>
    <t xml:space="preserve">A03055</t>
  </si>
  <si>
    <t xml:space="preserve">A03056</t>
  </si>
  <si>
    <t xml:space="preserve">A03057</t>
  </si>
  <si>
    <t xml:space="preserve">A03058</t>
  </si>
  <si>
    <t xml:space="preserve">A03059</t>
  </si>
  <si>
    <t xml:space="preserve">A03060</t>
  </si>
  <si>
    <t xml:space="preserve">A03061</t>
  </si>
  <si>
    <t xml:space="preserve">A03062</t>
  </si>
  <si>
    <t xml:space="preserve">A03063</t>
  </si>
  <si>
    <t xml:space="preserve">A03064</t>
  </si>
  <si>
    <t xml:space="preserve">A03065</t>
  </si>
  <si>
    <t xml:space="preserve">A03066</t>
  </si>
  <si>
    <t xml:space="preserve">A03067</t>
  </si>
  <si>
    <t xml:space="preserve">A03068</t>
  </si>
  <si>
    <t xml:space="preserve">A03069</t>
  </si>
  <si>
    <t xml:space="preserve">A03070</t>
  </si>
  <si>
    <t xml:space="preserve">A03071</t>
  </si>
  <si>
    <t xml:space="preserve">A03072</t>
  </si>
  <si>
    <t xml:space="preserve">A03073</t>
  </si>
  <si>
    <t xml:space="preserve">A03074</t>
  </si>
  <si>
    <t xml:space="preserve">A03075</t>
  </si>
  <si>
    <t xml:space="preserve">A03076</t>
  </si>
  <si>
    <t xml:space="preserve">A03077</t>
  </si>
  <si>
    <t xml:space="preserve">A03078</t>
  </si>
  <si>
    <t xml:space="preserve">A03079</t>
  </si>
  <si>
    <t xml:space="preserve">A03080</t>
  </si>
  <si>
    <t xml:space="preserve">A03081</t>
  </si>
  <si>
    <t xml:space="preserve">A03082</t>
  </si>
  <si>
    <t xml:space="preserve">A03083</t>
  </si>
  <si>
    <t xml:space="preserve">A03084</t>
  </si>
  <si>
    <t xml:space="preserve">A03085</t>
  </si>
  <si>
    <t xml:space="preserve">A03086</t>
  </si>
  <si>
    <t xml:space="preserve">A03087</t>
  </si>
  <si>
    <t xml:space="preserve">A03088</t>
  </si>
  <si>
    <t xml:space="preserve">A03089</t>
  </si>
  <si>
    <t xml:space="preserve">A03090</t>
  </si>
  <si>
    <t xml:space="preserve">A03091</t>
  </si>
  <si>
    <t xml:space="preserve">A03092</t>
  </si>
  <si>
    <t xml:space="preserve">A03093</t>
  </si>
  <si>
    <t xml:space="preserve">A03094</t>
  </si>
  <si>
    <t xml:space="preserve">A03095</t>
  </si>
  <si>
    <t xml:space="preserve">A03096</t>
  </si>
  <si>
    <t xml:space="preserve">A03097</t>
  </si>
  <si>
    <t xml:space="preserve">A03098</t>
  </si>
  <si>
    <t xml:space="preserve">A03099</t>
  </si>
  <si>
    <t xml:space="preserve">A03100</t>
  </si>
  <si>
    <t xml:space="preserve">A03101</t>
  </si>
  <si>
    <t xml:space="preserve">A03102</t>
  </si>
  <si>
    <t xml:space="preserve">A03103</t>
  </si>
  <si>
    <t xml:space="preserve">A03104</t>
  </si>
  <si>
    <t xml:space="preserve">A03105</t>
  </si>
  <si>
    <t xml:space="preserve">A03106</t>
  </si>
  <si>
    <t xml:space="preserve">A03107</t>
  </si>
  <si>
    <t xml:space="preserve">A03108</t>
  </si>
  <si>
    <t xml:space="preserve">A03109</t>
  </si>
  <si>
    <t xml:space="preserve">A03110</t>
  </si>
  <si>
    <t xml:space="preserve">A03111</t>
  </si>
  <si>
    <t xml:space="preserve">A03112</t>
  </si>
  <si>
    <t xml:space="preserve">A03113</t>
  </si>
  <si>
    <t xml:space="preserve">A03114</t>
  </si>
  <si>
    <t xml:space="preserve">A03115</t>
  </si>
  <si>
    <t xml:space="preserve">A03116</t>
  </si>
  <si>
    <t xml:space="preserve">A03117</t>
  </si>
  <si>
    <t xml:space="preserve">A03118</t>
  </si>
  <si>
    <t xml:space="preserve">A03119</t>
  </si>
  <si>
    <t xml:space="preserve">A03120</t>
  </si>
  <si>
    <t xml:space="preserve">A03121</t>
  </si>
  <si>
    <t xml:space="preserve">A03122</t>
  </si>
  <si>
    <t xml:space="preserve">A03123</t>
  </si>
  <si>
    <t xml:space="preserve">A03124</t>
  </si>
  <si>
    <t xml:space="preserve">A03125</t>
  </si>
  <si>
    <t xml:space="preserve">A03126</t>
  </si>
  <si>
    <t xml:space="preserve">A03127</t>
  </si>
  <si>
    <t xml:space="preserve">A03128</t>
  </si>
  <si>
    <t xml:space="preserve">A03129</t>
  </si>
  <si>
    <t xml:space="preserve">A03130</t>
  </si>
  <si>
    <t xml:space="preserve">A03131</t>
  </si>
  <si>
    <t xml:space="preserve">A03132</t>
  </si>
  <si>
    <t xml:space="preserve">A03133</t>
  </si>
  <si>
    <t xml:space="preserve">A03134</t>
  </si>
  <si>
    <t xml:space="preserve">A03135</t>
  </si>
  <si>
    <t xml:space="preserve">A03136</t>
  </si>
  <si>
    <t xml:space="preserve">A03137</t>
  </si>
  <si>
    <t xml:space="preserve">A03138</t>
  </si>
  <si>
    <t xml:space="preserve">A03139</t>
  </si>
  <si>
    <t xml:space="preserve">A03140</t>
  </si>
  <si>
    <t xml:space="preserve">A03141</t>
  </si>
  <si>
    <t xml:space="preserve">A03142</t>
  </si>
  <si>
    <t xml:space="preserve">A03143</t>
  </si>
  <si>
    <t xml:space="preserve">Company Name</t>
  </si>
  <si>
    <t xml:space="preserve">HQ City</t>
  </si>
  <si>
    <t xml:space="preserve">Offer-to-Hire %</t>
  </si>
  <si>
    <t xml:space="preserve">Rank Key</t>
  </si>
  <si>
    <t xml:space="preserve">Note: Applications / Offers / Hires respond to the Batch selector on the Dashboard.</t>
  </si>
  <si>
    <t xml:space="preserve">Nimbus Cloud Systems</t>
  </si>
  <si>
    <t xml:space="preserve">Bengaluru</t>
  </si>
  <si>
    <t xml:space="preserve">Quantora Labs</t>
  </si>
  <si>
    <t xml:space="preserve">Hyderabad</t>
  </si>
  <si>
    <t xml:space="preserve">Zenith Pay</t>
  </si>
  <si>
    <t xml:space="preserve">Mumbai</t>
  </si>
  <si>
    <t xml:space="preserve">Orbitly</t>
  </si>
  <si>
    <t xml:space="preserve">Vertex AI Works</t>
  </si>
  <si>
    <t xml:space="preserve">HelixSecure</t>
  </si>
  <si>
    <t xml:space="preserve">Pune</t>
  </si>
  <si>
    <t xml:space="preserve">CartNest</t>
  </si>
  <si>
    <t xml:space="preserve">Gurugram</t>
  </si>
  <si>
    <t xml:space="preserve">LearnLoop</t>
  </si>
  <si>
    <t xml:space="preserve">Noida</t>
  </si>
  <si>
    <t xml:space="preserve">MediSphere</t>
  </si>
  <si>
    <t xml:space="preserve">FinStack</t>
  </si>
  <si>
    <t xml:space="preserve">DataBridge Analytics</t>
  </si>
  <si>
    <t xml:space="preserve">CloudKraft</t>
  </si>
  <si>
    <t xml:space="preserve">Chennai</t>
  </si>
  <si>
    <t xml:space="preserve">PayRiver</t>
  </si>
  <si>
    <t xml:space="preserve">ShopSprint</t>
  </si>
  <si>
    <t xml:space="preserve">SkillForge</t>
  </si>
  <si>
    <t xml:space="preserve">CyberNest</t>
  </si>
  <si>
    <t xml:space="preserve">VitalByte</t>
  </si>
  <si>
    <t xml:space="preserve">InsightWorks</t>
  </si>
  <si>
    <t xml:space="preserve">InfoNova Services</t>
  </si>
  <si>
    <t xml:space="preserve">TechBridge Consulting</t>
  </si>
  <si>
    <t xml:space="preserve">Bharat Digital</t>
  </si>
  <si>
    <t xml:space="preserve">Bhopal</t>
  </si>
  <si>
    <t xml:space="preserve">CodeCrest Solutions</t>
  </si>
  <si>
    <t xml:space="preserve">Indore</t>
  </si>
  <si>
    <t xml:space="preserve">Sapphire Infotech</t>
  </si>
  <si>
    <t xml:space="preserve">Metro Systems</t>
  </si>
  <si>
    <t xml:space="preserve">Kolkata</t>
  </si>
  <si>
    <t xml:space="preserve">Pioneer Softech</t>
  </si>
  <si>
    <t xml:space="preserve">Nagpur</t>
  </si>
  <si>
    <t xml:space="preserve">AlphaGrid Tech</t>
  </si>
  <si>
    <t xml:space="preserve">LearnEasy</t>
  </si>
  <si>
    <t xml:space="preserve">Jaipur</t>
  </si>
  <si>
    <t xml:space="preserve">HealthLink Digital</t>
  </si>
  <si>
    <t xml:space="preserve">RetailRocket</t>
  </si>
  <si>
    <t xml:space="preserve">DataHarbor</t>
  </si>
  <si>
    <t xml:space="preserve">Assumptions &amp; Lookup Tables</t>
  </si>
  <si>
    <t xml:space="preserve">Blue cells are inputs - edit them and every sheet recalculates.</t>
  </si>
  <si>
    <t xml:space="preserve">Readiness Score Weight</t>
  </si>
  <si>
    <t xml:space="preserve">Weight</t>
  </si>
  <si>
    <t xml:space="preserve">Min Score</t>
  </si>
  <si>
    <t xml:space="preserve">From (LPA)</t>
  </si>
  <si>
    <t xml:space="preserve">To (LPA)</t>
  </si>
  <si>
    <t xml:space="preserve">Hiring Stage (in order)</t>
  </si>
  <si>
    <t xml:space="preserve">Season Month</t>
  </si>
  <si>
    <t xml:space="preserve">Month No.</t>
  </si>
  <si>
    <t xml:space="preserve">Batch Selector List</t>
  </si>
  <si>
    <t xml:space="preserve">DSA problems solved</t>
  </si>
  <si>
    <t xml:space="preserve">Foundation</t>
  </si>
  <si>
    <t xml:space="preserve">Below 5 LPA</t>
  </si>
  <si>
    <t xml:space="preserve">Jul</t>
  </si>
  <si>
    <t xml:space="preserve">Developing</t>
  </si>
  <si>
    <t xml:space="preserve">5 - 8 LPA</t>
  </si>
  <si>
    <t xml:space="preserve">Aug</t>
  </si>
  <si>
    <t xml:space="preserve">Job-Ready</t>
  </si>
  <si>
    <t xml:space="preserve">8 - 12 LPA</t>
  </si>
  <si>
    <t xml:space="preserve">Sep</t>
  </si>
  <si>
    <t xml:space="preserve">Mock interview score</t>
  </si>
  <si>
    <t xml:space="preserve">Elite</t>
  </si>
  <si>
    <t xml:space="preserve">12 - 18 LPA</t>
  </si>
  <si>
    <t xml:space="preserve">Oct</t>
  </si>
  <si>
    <t xml:space="preserve">Internship experience</t>
  </si>
  <si>
    <t xml:space="preserve">18+ LPA</t>
  </si>
  <si>
    <t xml:space="preserve">Nov</t>
  </si>
  <si>
    <t xml:space="preserve">Total (must be 100%)</t>
  </si>
  <si>
    <t xml:space="preserve">Dec</t>
  </si>
  <si>
    <t xml:space="preserve">Full-score Target</t>
  </si>
  <si>
    <t xml:space="preserve">Value</t>
  </si>
  <si>
    <t xml:space="preserve">Jan</t>
  </si>
  <si>
    <t xml:space="preserve">DSA problems for a full score</t>
  </si>
  <si>
    <t xml:space="preserve">Feb</t>
  </si>
  <si>
    <t xml:space="preserve">Projects for a full score</t>
  </si>
  <si>
    <t xml:space="preserve">Mar</t>
  </si>
  <si>
    <t xml:space="preserve">Apr</t>
  </si>
  <si>
    <t xml:space="preserve">May</t>
  </si>
  <si>
    <t xml:space="preserve">Jun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</si>
</sst>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.0&quot; LPA&quot;"/>
    <numFmt numFmtId="168" formatCode="0"/>
    <numFmt numFmtId="169" formatCode="0%"/>
    <numFmt numFmtId="170" formatCode="0.0"/>
    <numFmt numFmtId="171" formatCode="General"/>
    <numFmt numFmtId="172" formatCode="dd\-mmm\-yy"/>
    <numFmt numFmtId="173" formatCode="0.000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2937"/>
      <name val="Arial"/>
      <family val="0"/>
      <charset val="1"/>
    </font>
    <font>
      <b val="true"/>
      <sz val="10"/>
      <color rgb="FF47556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47556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CC"/>
        <bgColor rgb="FFFEF3C7"/>
      </patternFill>
    </fill>
    <fill>
      <patternFill patternType="solid">
        <fgColor rgb="FFF26B21"/>
        <bgColor rgb="FFFF808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6EFAC"/>
          <bgColor rgb="FF000000"/>
        </patternFill>
      </fill>
    </dxf>
    <dxf>
      <fill>
        <patternFill patternType="solid">
          <fgColor rgb="FF87F0AD"/>
          <bgColor rgb="FF000000"/>
        </patternFill>
      </fill>
    </dxf>
    <dxf>
      <fill>
        <patternFill patternType="solid">
          <fgColor rgb="FF8AF0AF"/>
          <bgColor rgb="FF000000"/>
        </patternFill>
      </fill>
    </dxf>
    <dxf>
      <fill>
        <patternFill patternType="solid">
          <fgColor rgb="FF90F1B3"/>
          <bgColor rgb="FF000000"/>
        </patternFill>
      </fill>
    </dxf>
    <dxf>
      <fill>
        <patternFill patternType="solid">
          <fgColor rgb="FF91F1B3"/>
          <bgColor rgb="FF000000"/>
        </patternFill>
      </fill>
    </dxf>
    <dxf>
      <fill>
        <patternFill patternType="solid">
          <fgColor rgb="FF92F1B5"/>
          <bgColor rgb="FF000000"/>
        </patternFill>
      </fill>
    </dxf>
    <dxf>
      <fill>
        <patternFill patternType="solid">
          <fgColor rgb="FF93F1B5"/>
          <bgColor rgb="FF000000"/>
        </patternFill>
      </fill>
    </dxf>
    <dxf>
      <fill>
        <patternFill patternType="solid">
          <fgColor rgb="FF94F1B6"/>
          <bgColor rgb="FF000000"/>
        </patternFill>
      </fill>
    </dxf>
    <dxf>
      <fill>
        <patternFill patternType="solid">
          <fgColor rgb="FF95F1B6"/>
          <bgColor rgb="FF000000"/>
        </patternFill>
      </fill>
    </dxf>
    <dxf>
      <fill>
        <patternFill patternType="solid">
          <fgColor rgb="FF95F1B7"/>
          <bgColor rgb="FF000000"/>
        </patternFill>
      </fill>
    </dxf>
    <dxf>
      <fill>
        <patternFill patternType="solid">
          <fgColor rgb="FF96F2B7"/>
          <bgColor rgb="FF000000"/>
        </patternFill>
      </fill>
    </dxf>
    <dxf>
      <fill>
        <patternFill patternType="solid">
          <fgColor rgb="FF97F2B8"/>
          <bgColor rgb="FF000000"/>
        </patternFill>
      </fill>
    </dxf>
    <dxf>
      <fill>
        <patternFill patternType="solid">
          <fgColor rgb="FF98F2B8"/>
          <bgColor rgb="FF000000"/>
        </patternFill>
      </fill>
    </dxf>
    <dxf>
      <fill>
        <patternFill patternType="solid">
          <fgColor rgb="FF98F2B9"/>
          <bgColor rgb="FF000000"/>
        </patternFill>
      </fill>
    </dxf>
    <dxf>
      <fill>
        <patternFill patternType="solid">
          <fgColor rgb="FF9AF2BA"/>
          <bgColor rgb="FF000000"/>
        </patternFill>
      </fill>
    </dxf>
    <dxf>
      <fill>
        <patternFill patternType="solid">
          <fgColor rgb="FF9BF2BB"/>
          <bgColor rgb="FF000000"/>
        </patternFill>
      </fill>
    </dxf>
    <dxf>
      <fill>
        <patternFill patternType="solid">
          <fgColor rgb="FF9CF2BB"/>
          <bgColor rgb="FF000000"/>
        </patternFill>
      </fill>
    </dxf>
    <dxf>
      <fill>
        <patternFill patternType="solid">
          <fgColor rgb="FF9DF2BC"/>
          <bgColor rgb="FF000000"/>
        </patternFill>
      </fill>
    </dxf>
    <dxf>
      <fill>
        <patternFill patternType="solid">
          <fgColor rgb="FF9EF3BC"/>
          <bgColor rgb="FF000000"/>
        </patternFill>
      </fill>
    </dxf>
    <dxf>
      <fill>
        <patternFill patternType="solid">
          <fgColor rgb="FF9EF3BD"/>
          <bgColor rgb="FF000000"/>
        </patternFill>
      </fill>
    </dxf>
    <dxf>
      <fill>
        <patternFill patternType="solid">
          <fgColor rgb="FF9FF3BD"/>
          <bgColor rgb="FF000000"/>
        </patternFill>
      </fill>
    </dxf>
    <dxf>
      <fill>
        <patternFill patternType="solid">
          <fgColor rgb="FFA0F3BE"/>
          <bgColor rgb="FF000000"/>
        </patternFill>
      </fill>
    </dxf>
    <dxf>
      <fill>
        <patternFill patternType="solid">
          <fgColor rgb="FFA2F3BF"/>
          <bgColor rgb="FF000000"/>
        </patternFill>
      </fill>
    </dxf>
    <dxf>
      <fill>
        <patternFill patternType="solid">
          <fgColor rgb="FFA3F3C0"/>
          <bgColor rgb="FF000000"/>
        </patternFill>
      </fill>
    </dxf>
    <dxf>
      <fill>
        <patternFill patternType="solid">
          <fgColor rgb="FFA4F3C1"/>
          <bgColor rgb="FF000000"/>
        </patternFill>
      </fill>
    </dxf>
    <dxf>
      <fill>
        <patternFill patternType="solid">
          <fgColor rgb="FFA5F4C1"/>
          <bgColor rgb="FF000000"/>
        </patternFill>
      </fill>
    </dxf>
    <dxf>
      <fill>
        <patternFill patternType="solid">
          <fgColor rgb="FFA5F4C2"/>
          <bgColor rgb="FF000000"/>
        </patternFill>
      </fill>
    </dxf>
    <dxf>
      <fill>
        <patternFill patternType="solid">
          <fgColor rgb="FFA6F4C2"/>
          <bgColor rgb="FF000000"/>
        </patternFill>
      </fill>
    </dxf>
    <dxf>
      <fill>
        <patternFill patternType="solid">
          <fgColor rgb="FFA7F4C2"/>
          <bgColor rgb="FF000000"/>
        </patternFill>
      </fill>
    </dxf>
    <dxf>
      <fill>
        <patternFill patternType="solid">
          <fgColor rgb="FFA7F4C3"/>
          <bgColor rgb="FF000000"/>
        </patternFill>
      </fill>
    </dxf>
    <dxf>
      <fill>
        <patternFill patternType="solid">
          <fgColor rgb="FFA8F4C3"/>
          <bgColor rgb="FF000000"/>
        </patternFill>
      </fill>
    </dxf>
    <dxf>
      <fill>
        <patternFill patternType="solid">
          <fgColor rgb="FFA9F4C4"/>
          <bgColor rgb="FF000000"/>
        </patternFill>
      </fill>
    </dxf>
    <dxf>
      <fill>
        <patternFill patternType="solid">
          <fgColor rgb="FFAAF4C5"/>
          <bgColor rgb="FF000000"/>
        </patternFill>
      </fill>
    </dxf>
    <dxf>
      <fill>
        <patternFill patternType="solid">
          <fgColor rgb="FFABF4C5"/>
          <bgColor rgb="FF000000"/>
        </patternFill>
      </fill>
    </dxf>
    <dxf>
      <fill>
        <patternFill patternType="solid">
          <fgColor rgb="FFABF4C6"/>
          <bgColor rgb="FF000000"/>
        </patternFill>
      </fill>
    </dxf>
    <dxf>
      <fill>
        <patternFill patternType="solid">
          <fgColor rgb="FFACF4C6"/>
          <bgColor rgb="FF000000"/>
        </patternFill>
      </fill>
    </dxf>
    <dxf>
      <fill>
        <patternFill patternType="solid">
          <fgColor rgb="FFADF5C7"/>
          <bgColor rgb="FF000000"/>
        </patternFill>
      </fill>
    </dxf>
    <dxf>
      <fill>
        <patternFill patternType="solid">
          <fgColor rgb="FFAEF5C7"/>
          <bgColor rgb="FF000000"/>
        </patternFill>
      </fill>
    </dxf>
    <dxf>
      <fill>
        <patternFill patternType="solid">
          <fgColor rgb="FFAEF5C8"/>
          <bgColor rgb="FF000000"/>
        </patternFill>
      </fill>
    </dxf>
    <dxf>
      <fill>
        <patternFill patternType="solid">
          <fgColor rgb="FFAFF5C8"/>
          <bgColor rgb="FF000000"/>
        </patternFill>
      </fill>
    </dxf>
    <dxf>
      <fill>
        <patternFill patternType="solid">
          <fgColor rgb="FFAFF5C9"/>
          <bgColor rgb="FF000000"/>
        </patternFill>
      </fill>
    </dxf>
    <dxf>
      <fill>
        <patternFill patternType="solid">
          <fgColor rgb="FFB0F5C9"/>
          <bgColor rgb="FF000000"/>
        </patternFill>
      </fill>
    </dxf>
    <dxf>
      <fill>
        <patternFill patternType="solid">
          <fgColor rgb="FFB1F5C9"/>
          <bgColor rgb="FF000000"/>
        </patternFill>
      </fill>
    </dxf>
    <dxf>
      <fill>
        <patternFill patternType="solid">
          <fgColor rgb="FFB1F5CA"/>
          <bgColor rgb="FF000000"/>
        </patternFill>
      </fill>
    </dxf>
    <dxf>
      <fill>
        <patternFill patternType="solid">
          <fgColor rgb="FFB2F5CA"/>
          <bgColor rgb="FF000000"/>
        </patternFill>
      </fill>
    </dxf>
    <dxf>
      <fill>
        <patternFill patternType="solid">
          <fgColor rgb="FFB2F5CB"/>
          <bgColor rgb="FF000000"/>
        </patternFill>
      </fill>
    </dxf>
    <dxf>
      <fill>
        <patternFill patternType="solid">
          <fgColor rgb="FFB3F5CB"/>
          <bgColor rgb="FF000000"/>
        </patternFill>
      </fill>
    </dxf>
    <dxf>
      <fill>
        <patternFill patternType="solid">
          <fgColor rgb="FFB4F5CB"/>
          <bgColor rgb="FF000000"/>
        </patternFill>
      </fill>
    </dxf>
    <dxf>
      <fill>
        <patternFill patternType="solid">
          <fgColor rgb="FFB4F6CC"/>
          <bgColor rgb="FF000000"/>
        </patternFill>
      </fill>
    </dxf>
    <dxf>
      <fill>
        <patternFill patternType="solid">
          <fgColor rgb="FFB5F6CC"/>
          <bgColor rgb="FF000000"/>
        </patternFill>
      </fill>
    </dxf>
    <dxf>
      <fill>
        <patternFill patternType="solid">
          <fgColor rgb="FFB5F6CD"/>
          <bgColor rgb="FF000000"/>
        </patternFill>
      </fill>
    </dxf>
    <dxf>
      <fill>
        <patternFill patternType="solid">
          <fgColor rgb="FFB6F6CD"/>
          <bgColor rgb="FF000000"/>
        </patternFill>
      </fill>
    </dxf>
    <dxf>
      <fill>
        <patternFill patternType="solid">
          <fgColor rgb="FFB7F6CE"/>
          <bgColor rgb="FF000000"/>
        </patternFill>
      </fill>
    </dxf>
    <dxf>
      <fill>
        <patternFill patternType="solid">
          <fgColor rgb="FFB8F6CE"/>
          <bgColor rgb="FF000000"/>
        </patternFill>
      </fill>
    </dxf>
    <dxf>
      <fill>
        <patternFill patternType="solid">
          <fgColor rgb="FFB8F6CF"/>
          <bgColor rgb="FF000000"/>
        </patternFill>
      </fill>
    </dxf>
    <dxf>
      <fill>
        <patternFill patternType="solid">
          <fgColor rgb="FFB9F6CF"/>
          <bgColor rgb="FF000000"/>
        </patternFill>
      </fill>
    </dxf>
    <dxf>
      <fill>
        <patternFill patternType="solid">
          <fgColor rgb="FFBAF6D0"/>
          <bgColor rgb="FF000000"/>
        </patternFill>
      </fill>
    </dxf>
    <dxf>
      <fill>
        <patternFill patternType="solid">
          <fgColor rgb="FFBBF6D0"/>
          <bgColor rgb="FF000000"/>
        </patternFill>
      </fill>
    </dxf>
    <dxf>
      <fill>
        <patternFill patternType="solid">
          <fgColor rgb="FFBBF6D1"/>
          <bgColor rgb="FF000000"/>
        </patternFill>
      </fill>
    </dxf>
    <dxf>
      <fill>
        <patternFill patternType="solid">
          <fgColor rgb="FFBCF7D1"/>
          <bgColor rgb="FF000000"/>
        </patternFill>
      </fill>
    </dxf>
    <dxf>
      <fill>
        <patternFill patternType="solid">
          <fgColor rgb="FFBCF7D2"/>
          <bgColor rgb="FF000000"/>
        </patternFill>
      </fill>
    </dxf>
    <dxf>
      <fill>
        <patternFill patternType="solid">
          <fgColor rgb="FFBDF7D2"/>
          <bgColor rgb="FF000000"/>
        </patternFill>
      </fill>
    </dxf>
    <dxf>
      <fill>
        <patternFill patternType="solid">
          <fgColor rgb="FFBEF7D2"/>
          <bgColor rgb="FF000000"/>
        </patternFill>
      </fill>
    </dxf>
    <dxf>
      <fill>
        <patternFill patternType="solid">
          <fgColor rgb="FFBEF7D3"/>
          <bgColor rgb="FF000000"/>
        </patternFill>
      </fill>
    </dxf>
    <dxf>
      <fill>
        <patternFill patternType="solid">
          <fgColor rgb="FFBFF7D3"/>
          <bgColor rgb="FF000000"/>
        </patternFill>
      </fill>
    </dxf>
    <dxf>
      <fill>
        <patternFill patternType="solid">
          <fgColor rgb="FFBFF7D4"/>
          <bgColor rgb="FF000000"/>
        </patternFill>
      </fill>
    </dxf>
    <dxf>
      <fill>
        <patternFill patternType="solid">
          <fgColor rgb="FFC0F7D4"/>
          <bgColor rgb="FF000000"/>
        </patternFill>
      </fill>
    </dxf>
    <dxf>
      <fill>
        <patternFill patternType="solid">
          <fgColor rgb="FFC1F7D5"/>
          <bgColor rgb="FF000000"/>
        </patternFill>
      </fill>
    </dxf>
    <dxf>
      <fill>
        <patternFill patternType="solid">
          <fgColor rgb="FFC2F7D5"/>
          <bgColor rgb="FF000000"/>
        </patternFill>
      </fill>
    </dxf>
    <dxf>
      <fill>
        <patternFill patternType="solid">
          <fgColor rgb="FFC2F7D6"/>
          <bgColor rgb="FF000000"/>
        </patternFill>
      </fill>
    </dxf>
    <dxf>
      <fill>
        <patternFill patternType="solid">
          <fgColor rgb="FFC3F7D6"/>
          <bgColor rgb="FF000000"/>
        </patternFill>
      </fill>
    </dxf>
    <dxf>
      <fill>
        <patternFill patternType="solid">
          <fgColor rgb="FFC3F8D6"/>
          <bgColor rgb="FF000000"/>
        </patternFill>
      </fill>
    </dxf>
    <dxf>
      <fill>
        <patternFill patternType="solid">
          <fgColor rgb="FFC4F8D6"/>
          <bgColor rgb="FF000000"/>
        </patternFill>
      </fill>
    </dxf>
    <dxf>
      <fill>
        <patternFill patternType="solid">
          <fgColor rgb="FFC4F8D7"/>
          <bgColor rgb="FF000000"/>
        </patternFill>
      </fill>
    </dxf>
    <dxf>
      <fill>
        <patternFill patternType="solid">
          <fgColor rgb="FFC5F8D7"/>
          <bgColor rgb="FF000000"/>
        </patternFill>
      </fill>
    </dxf>
    <dxf>
      <fill>
        <patternFill patternType="solid">
          <fgColor rgb="FFC5F8D8"/>
          <bgColor rgb="FF000000"/>
        </patternFill>
      </fill>
    </dxf>
    <dxf>
      <fill>
        <patternFill patternType="solid">
          <fgColor rgb="FFC6F8D8"/>
          <bgColor rgb="FF000000"/>
        </patternFill>
      </fill>
    </dxf>
    <dxf>
      <fill>
        <patternFill patternType="solid">
          <fgColor rgb="FFC7F8D9"/>
          <bgColor rgb="FF000000"/>
        </patternFill>
      </fill>
    </dxf>
    <dxf>
      <fill>
        <patternFill patternType="solid">
          <fgColor rgb="FFC8F8D9"/>
          <bgColor rgb="FF000000"/>
        </patternFill>
      </fill>
    </dxf>
    <dxf>
      <fill>
        <patternFill patternType="solid">
          <fgColor rgb="FFC8F8DA"/>
          <bgColor rgb="FF000000"/>
        </patternFill>
      </fill>
    </dxf>
    <dxf>
      <fill>
        <patternFill patternType="solid">
          <fgColor rgb="FFC9F8DA"/>
          <bgColor rgb="FF000000"/>
        </patternFill>
      </fill>
    </dxf>
    <dxf>
      <fill>
        <patternFill patternType="solid">
          <fgColor rgb="FFCAF8DA"/>
          <bgColor rgb="FF000000"/>
        </patternFill>
      </fill>
    </dxf>
    <dxf>
      <fill>
        <patternFill patternType="solid">
          <fgColor rgb="FFCAF8DB"/>
          <bgColor rgb="FF000000"/>
        </patternFill>
      </fill>
    </dxf>
    <dxf>
      <fill>
        <patternFill patternType="solid">
          <fgColor rgb="FFCBF9DB"/>
          <bgColor rgb="FF000000"/>
        </patternFill>
      </fill>
    </dxf>
    <dxf>
      <fill>
        <patternFill patternType="solid">
          <fgColor rgb="FFCBF9DC"/>
          <bgColor rgb="FF000000"/>
        </patternFill>
      </fill>
    </dxf>
    <dxf>
      <fill>
        <patternFill patternType="solid">
          <fgColor rgb="FFCCF9DC"/>
          <bgColor rgb="FF000000"/>
        </patternFill>
      </fill>
    </dxf>
    <dxf>
      <fill>
        <patternFill patternType="solid">
          <fgColor rgb="FFCDF9DD"/>
          <bgColor rgb="FF000000"/>
        </patternFill>
      </fill>
    </dxf>
    <dxf>
      <fill>
        <patternFill patternType="solid">
          <fgColor rgb="FFCEF9DD"/>
          <bgColor rgb="FF000000"/>
        </patternFill>
      </fill>
    </dxf>
    <dxf>
      <fill>
        <patternFill patternType="solid">
          <fgColor rgb="FFCEF9DE"/>
          <bgColor rgb="FF000000"/>
        </patternFill>
      </fill>
    </dxf>
    <dxf>
      <fill>
        <patternFill patternType="solid">
          <fgColor rgb="FFCFF9DE"/>
          <bgColor rgb="FF000000"/>
        </patternFill>
      </fill>
    </dxf>
    <dxf>
      <fill>
        <patternFill patternType="solid">
          <fgColor rgb="FFD0F9DF"/>
          <bgColor rgb="FF000000"/>
        </patternFill>
      </fill>
    </dxf>
    <dxf>
      <fill>
        <patternFill patternType="solid">
          <fgColor rgb="FFD1F9DF"/>
          <bgColor rgb="FF000000"/>
        </patternFill>
      </fill>
    </dxf>
    <dxf>
      <fill>
        <patternFill patternType="solid">
          <fgColor rgb="FFD1F9E0"/>
          <bgColor rgb="FF000000"/>
        </patternFill>
      </fill>
    </dxf>
    <dxf>
      <fill>
        <patternFill patternType="solid">
          <fgColor rgb="FFD2F9E0"/>
          <bgColor rgb="FF000000"/>
        </patternFill>
      </fill>
    </dxf>
    <dxf>
      <fill>
        <patternFill patternType="solid">
          <fgColor rgb="FFD2FAE0"/>
          <bgColor rgb="FF000000"/>
        </patternFill>
      </fill>
    </dxf>
    <dxf>
      <fill>
        <patternFill patternType="solid">
          <fgColor rgb="FFD3FAE1"/>
          <bgColor rgb="FF000000"/>
        </patternFill>
      </fill>
    </dxf>
    <dxf>
      <fill>
        <patternFill patternType="solid">
          <fgColor rgb="FFD4FAE1"/>
          <bgColor rgb="FF000000"/>
        </patternFill>
      </fill>
    </dxf>
    <dxf>
      <fill>
        <patternFill patternType="solid">
          <fgColor rgb="FFD4FAE2"/>
          <bgColor rgb="FF000000"/>
        </patternFill>
      </fill>
    </dxf>
    <dxf>
      <fill>
        <patternFill patternType="solid">
          <fgColor rgb="FFD5FAE2"/>
          <bgColor rgb="FF000000"/>
        </patternFill>
      </fill>
    </dxf>
    <dxf>
      <fill>
        <patternFill patternType="solid">
          <fgColor rgb="FFD5FAE3"/>
          <bgColor rgb="FF000000"/>
        </patternFill>
      </fill>
    </dxf>
    <dxf>
      <fill>
        <patternFill patternType="solid">
          <fgColor rgb="FFD6FAE3"/>
          <bgColor rgb="FF000000"/>
        </patternFill>
      </fill>
    </dxf>
    <dxf>
      <fill>
        <patternFill patternType="solid">
          <fgColor rgb="FFD7FAE3"/>
          <bgColor rgb="FF000000"/>
        </patternFill>
      </fill>
    </dxf>
    <dxf>
      <fill>
        <patternFill patternType="solid">
          <fgColor rgb="FFD7FAE4"/>
          <bgColor rgb="FF000000"/>
        </patternFill>
      </fill>
    </dxf>
    <dxf>
      <fill>
        <patternFill patternType="solid">
          <fgColor rgb="FFD8FAE4"/>
          <bgColor rgb="FF000000"/>
        </patternFill>
      </fill>
    </dxf>
    <dxf>
      <fill>
        <patternFill patternType="solid">
          <fgColor rgb="FFD8FAE5"/>
          <bgColor rgb="FF000000"/>
        </patternFill>
      </fill>
    </dxf>
    <dxf>
      <fill>
        <patternFill patternType="solid">
          <fgColor rgb="FFD9FAE5"/>
          <bgColor rgb="FF000000"/>
        </patternFill>
      </fill>
    </dxf>
    <dxf>
      <fill>
        <patternFill patternType="solid">
          <fgColor rgb="FFDAFBE6"/>
          <bgColor rgb="FF000000"/>
        </patternFill>
      </fill>
    </dxf>
    <dxf>
      <fill>
        <patternFill patternType="solid">
          <fgColor rgb="FFDBFBE6"/>
          <bgColor rgb="FF000000"/>
        </patternFill>
      </fill>
    </dxf>
    <dxf>
      <fill>
        <patternFill patternType="solid">
          <fgColor rgb="FFDBFBE7"/>
          <bgColor rgb="FF000000"/>
        </patternFill>
      </fill>
    </dxf>
    <dxf>
      <fill>
        <patternFill patternType="solid">
          <fgColor rgb="FFDCFBE7"/>
          <bgColor rgb="FF000000"/>
        </patternFill>
      </fill>
    </dxf>
    <dxf>
      <fill>
        <patternFill patternType="solid">
          <fgColor rgb="FFDDFBE8"/>
          <bgColor rgb="FF000000"/>
        </patternFill>
      </fill>
    </dxf>
    <dxf>
      <fill>
        <patternFill patternType="solid">
          <fgColor rgb="FFDEFBE8"/>
          <bgColor rgb="FF000000"/>
        </patternFill>
      </fill>
    </dxf>
    <dxf>
      <fill>
        <patternFill patternType="solid">
          <fgColor rgb="FFDEFBE9"/>
          <bgColor rgb="FF000000"/>
        </patternFill>
      </fill>
    </dxf>
    <dxf>
      <fill>
        <patternFill patternType="solid">
          <fgColor rgb="FFDFFBE9"/>
          <bgColor rgb="FF000000"/>
        </patternFill>
      </fill>
    </dxf>
    <dxf>
      <fill>
        <patternFill patternType="solid">
          <fgColor rgb="FFDFFBEA"/>
          <bgColor rgb="FF000000"/>
        </patternFill>
      </fill>
    </dxf>
    <dxf>
      <fill>
        <patternFill patternType="solid">
          <fgColor rgb="FFE0FBEA"/>
          <bgColor rgb="FF000000"/>
        </patternFill>
      </fill>
    </dxf>
    <dxf>
      <fill>
        <patternFill patternType="solid">
          <fgColor rgb="FFE1FBEA"/>
          <bgColor rgb="FF000000"/>
        </patternFill>
      </fill>
    </dxf>
    <dxf>
      <fill>
        <patternFill patternType="solid">
          <fgColor rgb="FFE2FCEB"/>
          <bgColor rgb="FF000000"/>
        </patternFill>
      </fill>
    </dxf>
    <dxf>
      <fill>
        <patternFill patternType="solid">
          <fgColor rgb="FFE3FCEC"/>
          <bgColor rgb="FF000000"/>
        </patternFill>
      </fill>
    </dxf>
    <dxf>
      <fill>
        <patternFill patternType="solid">
          <fgColor rgb="FFE4FCED"/>
          <bgColor rgb="FF000000"/>
        </patternFill>
      </fill>
    </dxf>
    <dxf>
      <fill>
        <patternFill patternType="solid">
          <fgColor rgb="FFE5FCED"/>
          <bgColor rgb="FF000000"/>
        </patternFill>
      </fill>
    </dxf>
    <dxf>
      <fill>
        <patternFill patternType="solid">
          <fgColor rgb="FFE6FCEE"/>
          <bgColor rgb="FF000000"/>
        </patternFill>
      </fill>
    </dxf>
    <dxf>
      <fill>
        <patternFill patternType="solid">
          <fgColor rgb="FFE7FCEF"/>
          <bgColor rgb="FF000000"/>
        </patternFill>
      </fill>
    </dxf>
    <dxf>
      <fill>
        <patternFill patternType="solid">
          <fgColor rgb="FFE8FCEF"/>
          <bgColor rgb="FF000000"/>
        </patternFill>
      </fill>
    </dxf>
    <dxf>
      <fill>
        <patternFill patternType="solid">
          <fgColor rgb="FFE8FCF0"/>
          <bgColor rgb="FF000000"/>
        </patternFill>
      </fill>
    </dxf>
    <dxf>
      <fill>
        <patternFill patternType="solid">
          <fgColor rgb="FFE9FCF0"/>
          <bgColor rgb="FF000000"/>
        </patternFill>
      </fill>
    </dxf>
    <dxf>
      <fill>
        <patternFill patternType="solid">
          <fgColor rgb="FFE9FDF0"/>
          <bgColor rgb="FF000000"/>
        </patternFill>
      </fill>
    </dxf>
    <dxf>
      <fill>
        <patternFill patternType="solid">
          <fgColor rgb="FFEBFDF1"/>
          <bgColor rgb="FF000000"/>
        </patternFill>
      </fill>
    </dxf>
    <dxf>
      <fill>
        <patternFill patternType="solid">
          <fgColor rgb="FFECFDF2"/>
          <bgColor rgb="FF000000"/>
        </patternFill>
      </fill>
    </dxf>
    <dxf>
      <fill>
        <patternFill patternType="solid">
          <fgColor rgb="FFEDFDF3"/>
          <bgColor rgb="FF000000"/>
        </patternFill>
      </fill>
    </dxf>
    <dxf>
      <fill>
        <patternFill patternType="solid">
          <fgColor rgb="FFEEFDF4"/>
          <bgColor rgb="FF000000"/>
        </patternFill>
      </fill>
    </dxf>
    <dxf>
      <fill>
        <patternFill patternType="solid">
          <fgColor rgb="FFEFFDF4"/>
          <bgColor rgb="FF000000"/>
        </patternFill>
      </fill>
    </dxf>
    <dxf>
      <fill>
        <patternFill patternType="solid">
          <fgColor rgb="FFF1FEF6"/>
          <bgColor rgb="FF000000"/>
        </patternFill>
      </fill>
    </dxf>
    <dxf>
      <fill>
        <patternFill patternType="solid">
          <fgColor rgb="FFF2FEF6"/>
          <bgColor rgb="FF000000"/>
        </patternFill>
      </fill>
    </dxf>
    <dxf>
      <fill>
        <patternFill patternType="solid">
          <fgColor rgb="FFF2FEF7"/>
          <bgColor rgb="FF000000"/>
        </patternFill>
      </fill>
    </dxf>
    <dxf>
      <fill>
        <patternFill patternType="solid">
          <fgColor rgb="FFF4FEF7"/>
          <bgColor rgb="FF000000"/>
        </patternFill>
      </fill>
    </dxf>
    <dxf>
      <fill>
        <patternFill patternType="solid">
          <fgColor rgb="FFF4FEF8"/>
          <bgColor rgb="FF000000"/>
        </patternFill>
      </fill>
    </dxf>
    <dxf>
      <fill>
        <patternFill patternType="solid">
          <fgColor rgb="FFF6FEF9"/>
          <bgColor rgb="FF000000"/>
        </patternFill>
      </fill>
    </dxf>
    <dxf>
      <fill>
        <patternFill patternType="solid">
          <fgColor rgb="FFF9FFFB"/>
          <bgColor rgb="FF000000"/>
        </patternFill>
      </fill>
    </dxf>
    <dxf>
      <fill>
        <patternFill patternType="solid">
          <fgColor rgb="FFFCFFFD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DCFCE7"/>
        </patternFill>
      </fill>
    </dxf>
    <dxf>
      <font>
        <name val="Arial"/>
        <charset val="1"/>
        <family val="0"/>
        <color rgb="FF991B1B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EF3C7"/>
        </patternFill>
      </fill>
    </dxf>
    <dxf>
      <fill>
        <patternFill patternType="solid">
          <fgColor rgb="FFFDBA74"/>
          <bgColor rgb="FF000000"/>
        </patternFill>
      </fill>
    </dxf>
    <dxf>
      <fill>
        <patternFill patternType="solid">
          <fgColor rgb="FFFEBB76"/>
          <bgColor rgb="FF000000"/>
        </patternFill>
      </fill>
    </dxf>
    <dxf>
      <fill>
        <patternFill patternType="solid">
          <fgColor rgb="FFFEBE7B"/>
          <bgColor rgb="FF000000"/>
        </patternFill>
      </fill>
    </dxf>
    <dxf>
      <fill>
        <patternFill patternType="solid">
          <fgColor rgb="FFFEBF7D"/>
          <bgColor rgb="FF000000"/>
        </patternFill>
      </fill>
    </dxf>
    <dxf>
      <fill>
        <patternFill patternType="solid">
          <fgColor rgb="FFFEC283"/>
          <bgColor rgb="FF000000"/>
        </patternFill>
      </fill>
    </dxf>
    <dxf>
      <fill>
        <patternFill patternType="solid">
          <fgColor rgb="FFFEC284"/>
          <bgColor rgb="FF000000"/>
        </patternFill>
      </fill>
    </dxf>
    <dxf>
      <fill>
        <patternFill patternType="solid">
          <fgColor rgb="FFFEC285"/>
          <bgColor rgb="FF000000"/>
        </patternFill>
      </fill>
    </dxf>
    <dxf>
      <fill>
        <patternFill patternType="solid">
          <fgColor rgb="FFFEC589"/>
          <bgColor rgb="FF000000"/>
        </patternFill>
      </fill>
    </dxf>
    <dxf>
      <fill>
        <patternFill patternType="solid">
          <fgColor rgb="FFFEC58A"/>
          <bgColor rgb="FF000000"/>
        </patternFill>
      </fill>
    </dxf>
    <dxf>
      <fill>
        <patternFill patternType="solid">
          <fgColor rgb="FFFEC78D"/>
          <bgColor rgb="FF000000"/>
        </patternFill>
      </fill>
    </dxf>
    <dxf>
      <fill>
        <patternFill patternType="solid">
          <fgColor rgb="FFFEC78E"/>
          <bgColor rgb="FF000000"/>
        </patternFill>
      </fill>
    </dxf>
    <dxf>
      <fill>
        <patternFill patternType="solid">
          <fgColor rgb="FFFEC88F"/>
          <bgColor rgb="FF000000"/>
        </patternFill>
      </fill>
    </dxf>
    <dxf>
      <fill>
        <patternFill patternType="solid">
          <fgColor rgb="FFFEC890"/>
          <bgColor rgb="FF000000"/>
        </patternFill>
      </fill>
    </dxf>
    <dxf>
      <fill>
        <patternFill patternType="solid">
          <fgColor rgb="FFFEC991"/>
          <bgColor rgb="FF000000"/>
        </patternFill>
      </fill>
    </dxf>
    <dxf>
      <fill>
        <patternFill patternType="solid">
          <fgColor rgb="FFFECA94"/>
          <bgColor rgb="FF000000"/>
        </patternFill>
      </fill>
    </dxf>
    <dxf>
      <fill>
        <patternFill patternType="solid">
          <fgColor rgb="FFFECA95"/>
          <bgColor rgb="FF000000"/>
        </patternFill>
      </fill>
    </dxf>
    <dxf>
      <fill>
        <patternFill patternType="solid">
          <fgColor rgb="FFFECB95"/>
          <bgColor rgb="FF000000"/>
        </patternFill>
      </fill>
    </dxf>
    <dxf>
      <fill>
        <patternFill patternType="solid">
          <fgColor rgb="FFFECB96"/>
          <bgColor rgb="FF000000"/>
        </patternFill>
      </fill>
    </dxf>
    <dxf>
      <fill>
        <patternFill patternType="solid">
          <fgColor rgb="FFFECC97"/>
          <bgColor rgb="FF000000"/>
        </patternFill>
      </fill>
    </dxf>
    <dxf>
      <fill>
        <patternFill patternType="solid">
          <fgColor rgb="FFFECD9B"/>
          <bgColor rgb="FF000000"/>
        </patternFill>
      </fill>
    </dxf>
    <dxf>
      <fill>
        <patternFill patternType="solid">
          <fgColor rgb="FFFECE9B"/>
          <bgColor rgb="FF000000"/>
        </patternFill>
      </fill>
    </dxf>
    <dxf>
      <fill>
        <patternFill patternType="solid">
          <fgColor rgb="FFFED09F"/>
          <bgColor rgb="FF000000"/>
        </patternFill>
      </fill>
    </dxf>
    <dxf>
      <fill>
        <patternFill patternType="solid">
          <fgColor rgb="FFFED0A0"/>
          <bgColor rgb="FF000000"/>
        </patternFill>
      </fill>
    </dxf>
    <dxf>
      <fill>
        <patternFill patternType="solid">
          <fgColor rgb="FFFED1A1"/>
          <bgColor rgb="FF000000"/>
        </patternFill>
      </fill>
    </dxf>
    <dxf>
      <fill>
        <patternFill patternType="solid">
          <fgColor rgb="FFFED1A2"/>
          <bgColor rgb="FF000000"/>
        </patternFill>
      </fill>
    </dxf>
    <dxf>
      <fill>
        <patternFill patternType="solid">
          <fgColor rgb="FFFED2A5"/>
          <bgColor rgb="FF000000"/>
        </patternFill>
      </fill>
    </dxf>
    <dxf>
      <fill>
        <patternFill patternType="solid">
          <fgColor rgb="FFFED4A7"/>
          <bgColor rgb="FF000000"/>
        </patternFill>
      </fill>
    </dxf>
    <dxf>
      <fill>
        <patternFill patternType="solid">
          <fgColor rgb="FFFED4A8"/>
          <bgColor rgb="FF000000"/>
        </patternFill>
      </fill>
    </dxf>
    <dxf>
      <fill>
        <patternFill patternType="solid">
          <fgColor rgb="FFFED5A9"/>
          <bgColor rgb="FF000000"/>
        </patternFill>
      </fill>
    </dxf>
    <dxf>
      <fill>
        <patternFill patternType="solid">
          <fgColor rgb="FFFED5AA"/>
          <bgColor rgb="FF000000"/>
        </patternFill>
      </fill>
    </dxf>
    <dxf>
      <fill>
        <patternFill patternType="solid">
          <fgColor rgb="FFFED8B0"/>
          <bgColor rgb="FF000000"/>
        </patternFill>
      </fill>
    </dxf>
    <dxf>
      <fill>
        <patternFill patternType="solid">
          <fgColor rgb="FFFEDBB7"/>
          <bgColor rgb="FF000000"/>
        </patternFill>
      </fill>
    </dxf>
    <dxf>
      <fill>
        <patternFill patternType="solid">
          <fgColor rgb="FFFEDCB8"/>
          <bgColor rgb="FF000000"/>
        </patternFill>
      </fill>
    </dxf>
    <dxf>
      <fill>
        <patternFill patternType="solid">
          <fgColor rgb="FFFFDEBD"/>
          <bgColor rgb="FF000000"/>
        </patternFill>
      </fill>
    </dxf>
    <dxf>
      <fill>
        <patternFill patternType="solid">
          <fgColor rgb="FFFFDFBD"/>
          <bgColor rgb="FF000000"/>
        </patternFill>
      </fill>
    </dxf>
    <dxf>
      <fill>
        <patternFill patternType="solid">
          <fgColor rgb="FFFFDFBF"/>
          <bgColor rgb="FF000000"/>
        </patternFill>
      </fill>
    </dxf>
    <dxf>
      <fill>
        <patternFill patternType="solid">
          <fgColor rgb="FFFFE0BF"/>
          <bgColor rgb="FF000000"/>
        </patternFill>
      </fill>
    </dxf>
    <dxf>
      <fill>
        <patternFill patternType="solid">
          <fgColor rgb="FFFFE0C0"/>
          <bgColor rgb="FF000000"/>
        </patternFill>
      </fill>
    </dxf>
    <dxf>
      <fill>
        <patternFill patternType="solid">
          <fgColor rgb="FFFFE1C1"/>
          <bgColor rgb="FF000000"/>
        </patternFill>
      </fill>
    </dxf>
    <dxf>
      <fill>
        <patternFill patternType="solid">
          <fgColor rgb="FFFFE1C2"/>
          <bgColor rgb="FF000000"/>
        </patternFill>
      </fill>
    </dxf>
    <dxf>
      <fill>
        <patternFill patternType="solid">
          <fgColor rgb="FFFFE1C3"/>
          <bgColor rgb="FF000000"/>
        </patternFill>
      </fill>
    </dxf>
    <dxf>
      <fill>
        <patternFill patternType="solid">
          <fgColor rgb="FFFFE2C3"/>
          <bgColor rgb="FF000000"/>
        </patternFill>
      </fill>
    </dxf>
    <dxf>
      <fill>
        <patternFill patternType="solid">
          <fgColor rgb="FFFFE2C4"/>
          <bgColor rgb="FF000000"/>
        </patternFill>
      </fill>
    </dxf>
    <dxf>
      <fill>
        <patternFill patternType="solid">
          <fgColor rgb="FFFFE2C5"/>
          <bgColor rgb="FF000000"/>
        </patternFill>
      </fill>
    </dxf>
    <dxf>
      <fill>
        <patternFill patternType="solid">
          <fgColor rgb="FFFFE3C6"/>
          <bgColor rgb="FF000000"/>
        </patternFill>
      </fill>
    </dxf>
    <dxf>
      <fill>
        <patternFill patternType="solid">
          <fgColor rgb="FFFFE3C7"/>
          <bgColor rgb="FF000000"/>
        </patternFill>
      </fill>
    </dxf>
    <dxf>
      <fill>
        <patternFill patternType="solid">
          <fgColor rgb="FFFFE4C7"/>
          <bgColor rgb="FF000000"/>
        </patternFill>
      </fill>
    </dxf>
    <dxf>
      <fill>
        <patternFill patternType="solid">
          <fgColor rgb="FFFFE4C9"/>
          <bgColor rgb="FF000000"/>
        </patternFill>
      </fill>
    </dxf>
    <dxf>
      <fill>
        <patternFill patternType="solid">
          <fgColor rgb="FFFFE5C9"/>
          <bgColor rgb="FF000000"/>
        </patternFill>
      </fill>
    </dxf>
    <dxf>
      <fill>
        <patternFill patternType="solid">
          <fgColor rgb="FFFFE5CA"/>
          <bgColor rgb="FF000000"/>
        </patternFill>
      </fill>
    </dxf>
    <dxf>
      <fill>
        <patternFill patternType="solid">
          <fgColor rgb="FFFFE5CB"/>
          <bgColor rgb="FF000000"/>
        </patternFill>
      </fill>
    </dxf>
    <dxf>
      <fill>
        <patternFill patternType="solid">
          <fgColor rgb="FFFFE6CB"/>
          <bgColor rgb="FF000000"/>
        </patternFill>
      </fill>
    </dxf>
    <dxf>
      <fill>
        <patternFill patternType="solid">
          <fgColor rgb="FFFFE6CC"/>
          <bgColor rgb="FF000000"/>
        </patternFill>
      </fill>
    </dxf>
    <dxf>
      <fill>
        <patternFill patternType="solid">
          <fgColor rgb="FFFFE6CD"/>
          <bgColor rgb="FF000000"/>
        </patternFill>
      </fill>
    </dxf>
    <dxf>
      <fill>
        <patternFill patternType="solid">
          <fgColor rgb="FFFFE7CE"/>
          <bgColor rgb="FF000000"/>
        </patternFill>
      </fill>
    </dxf>
    <dxf>
      <fill>
        <patternFill patternType="solid">
          <fgColor rgb="FFFFE7CF"/>
          <bgColor rgb="FF000000"/>
        </patternFill>
      </fill>
    </dxf>
    <dxf>
      <fill>
        <patternFill patternType="solid">
          <fgColor rgb="FFFFE8CF"/>
          <bgColor rgb="FF000000"/>
        </patternFill>
      </fill>
    </dxf>
    <dxf>
      <fill>
        <patternFill patternType="solid">
          <fgColor rgb="FFFFE8D0"/>
          <bgColor rgb="FF000000"/>
        </patternFill>
      </fill>
    </dxf>
    <dxf>
      <fill>
        <patternFill patternType="solid">
          <fgColor rgb="FFFFE8D1"/>
          <bgColor rgb="FF000000"/>
        </patternFill>
      </fill>
    </dxf>
    <dxf>
      <fill>
        <patternFill patternType="solid">
          <fgColor rgb="FFFFE9D1"/>
          <bgColor rgb="FF000000"/>
        </patternFill>
      </fill>
    </dxf>
    <dxf>
      <fill>
        <patternFill patternType="solid">
          <fgColor rgb="FFFFE9D2"/>
          <bgColor rgb="FF000000"/>
        </patternFill>
      </fill>
    </dxf>
    <dxf>
      <fill>
        <patternFill patternType="solid">
          <fgColor rgb="FFFFE9D3"/>
          <bgColor rgb="FF000000"/>
        </patternFill>
      </fill>
    </dxf>
    <dxf>
      <fill>
        <patternFill patternType="solid">
          <fgColor rgb="FFFFEAD3"/>
          <bgColor rgb="FF000000"/>
        </patternFill>
      </fill>
    </dxf>
    <dxf>
      <fill>
        <patternFill patternType="solid">
          <fgColor rgb="FFFFEAD4"/>
          <bgColor rgb="FF000000"/>
        </patternFill>
      </fill>
    </dxf>
    <dxf>
      <fill>
        <patternFill patternType="solid">
          <fgColor rgb="FFFFEAD5"/>
          <bgColor rgb="FF000000"/>
        </patternFill>
      </fill>
    </dxf>
    <dxf>
      <fill>
        <patternFill patternType="solid">
          <fgColor rgb="FFFFEBD6"/>
          <bgColor rgb="FF000000"/>
        </patternFill>
      </fill>
    </dxf>
    <dxf>
      <fill>
        <patternFill patternType="solid">
          <fgColor rgb="FFFFEBD7"/>
          <bgColor rgb="FF000000"/>
        </patternFill>
      </fill>
    </dxf>
    <dxf>
      <fill>
        <patternFill patternType="solid">
          <fgColor rgb="FFFFECD7"/>
          <bgColor rgb="FF000000"/>
        </patternFill>
      </fill>
    </dxf>
    <dxf>
      <fill>
        <patternFill patternType="solid">
          <fgColor rgb="FFFFECD8"/>
          <bgColor rgb="FF000000"/>
        </patternFill>
      </fill>
    </dxf>
    <dxf>
      <fill>
        <patternFill patternType="solid">
          <fgColor rgb="FFFFECD9"/>
          <bgColor rgb="FF000000"/>
        </patternFill>
      </fill>
    </dxf>
    <dxf>
      <fill>
        <patternFill patternType="solid">
          <fgColor rgb="FFFFEDD9"/>
          <bgColor rgb="FF000000"/>
        </patternFill>
      </fill>
    </dxf>
    <dxf>
      <fill>
        <patternFill patternType="solid">
          <fgColor rgb="FFFFEDDA"/>
          <bgColor rgb="FF000000"/>
        </patternFill>
      </fill>
    </dxf>
    <dxf>
      <fill>
        <patternFill patternType="solid">
          <fgColor rgb="FFFFEDDB"/>
          <bgColor rgb="FF000000"/>
        </patternFill>
      </fill>
    </dxf>
    <dxf>
      <fill>
        <patternFill patternType="solid">
          <fgColor rgb="FFFFEEDC"/>
          <bgColor rgb="FF000000"/>
        </patternFill>
      </fill>
    </dxf>
    <dxf>
      <fill>
        <patternFill patternType="solid">
          <fgColor rgb="FFFFEEDD"/>
          <bgColor rgb="FF000000"/>
        </patternFill>
      </fill>
    </dxf>
    <dxf>
      <fill>
        <patternFill patternType="solid">
          <fgColor rgb="FFFFEFDE"/>
          <bgColor rgb="FF000000"/>
        </patternFill>
      </fill>
    </dxf>
    <dxf>
      <fill>
        <patternFill patternType="solid">
          <fgColor rgb="FFFFEFDF"/>
          <bgColor rgb="FF000000"/>
        </patternFill>
      </fill>
    </dxf>
    <dxf>
      <fill>
        <patternFill patternType="solid">
          <fgColor rgb="FFFFF0DF"/>
          <bgColor rgb="FF000000"/>
        </patternFill>
      </fill>
    </dxf>
    <dxf>
      <fill>
        <patternFill patternType="solid">
          <fgColor rgb="FFFFF0E0"/>
          <bgColor rgb="FF000000"/>
        </patternFill>
      </fill>
    </dxf>
    <dxf>
      <fill>
        <patternFill patternType="solid">
          <fgColor rgb="FFFFF0E1"/>
          <bgColor rgb="FF000000"/>
        </patternFill>
      </fill>
    </dxf>
    <dxf>
      <fill>
        <patternFill patternType="solid">
          <fgColor rgb="FFFFF1E1"/>
          <bgColor rgb="FF000000"/>
        </patternFill>
      </fill>
    </dxf>
    <dxf>
      <fill>
        <patternFill patternType="solid">
          <fgColor rgb="FFFFF1E2"/>
          <bgColor rgb="FF000000"/>
        </patternFill>
      </fill>
    </dxf>
    <dxf>
      <fill>
        <patternFill patternType="solid">
          <fgColor rgb="FFFFF1E3"/>
          <bgColor rgb="FF000000"/>
        </patternFill>
      </fill>
    </dxf>
    <dxf>
      <fill>
        <patternFill patternType="solid">
          <fgColor rgb="FFFFF2E4"/>
          <bgColor rgb="FF000000"/>
        </patternFill>
      </fill>
    </dxf>
    <dxf>
      <fill>
        <patternFill patternType="solid">
          <fgColor rgb="FFFFF2E5"/>
          <bgColor rgb="FF000000"/>
        </patternFill>
      </fill>
    </dxf>
    <dxf>
      <fill>
        <patternFill patternType="solid">
          <fgColor rgb="FFFFF3E6"/>
          <bgColor rgb="FF000000"/>
        </patternFill>
      </fill>
    </dxf>
    <dxf>
      <fill>
        <patternFill patternType="solid">
          <fgColor rgb="FFFFF4E7"/>
          <bgColor rgb="FF000000"/>
        </patternFill>
      </fill>
    </dxf>
    <dxf>
      <fill>
        <patternFill patternType="solid">
          <fgColor rgb="FFFFF4E8"/>
          <bgColor rgb="FF000000"/>
        </patternFill>
      </fill>
    </dxf>
    <dxf>
      <fill>
        <patternFill patternType="solid">
          <fgColor rgb="FFFFF5E9"/>
          <bgColor rgb="FF000000"/>
        </patternFill>
      </fill>
    </dxf>
    <dxf>
      <fill>
        <patternFill patternType="solid">
          <fgColor rgb="FFFFF5EA"/>
          <bgColor rgb="FF000000"/>
        </patternFill>
      </fill>
    </dxf>
    <dxf>
      <fill>
        <patternFill patternType="solid">
          <fgColor rgb="FFFFF5EB"/>
          <bgColor rgb="FF000000"/>
        </patternFill>
      </fill>
    </dxf>
    <dxf>
      <fill>
        <patternFill patternType="solid">
          <fgColor rgb="FFFFF6EC"/>
          <bgColor rgb="FF000000"/>
        </patternFill>
      </fill>
    </dxf>
    <dxf>
      <fill>
        <patternFill patternType="solid">
          <fgColor rgb="FFFFF6ED"/>
          <bgColor rgb="FF000000"/>
        </patternFill>
      </fill>
    </dxf>
    <dxf>
      <fill>
        <patternFill patternType="solid">
          <fgColor rgb="FFFFF7EE"/>
          <bgColor rgb="FF000000"/>
        </patternFill>
      </fill>
    </dxf>
    <dxf>
      <fill>
        <patternFill patternType="solid">
          <fgColor rgb="FFFFF7EF"/>
          <bgColor rgb="FF000000"/>
        </patternFill>
      </fill>
    </dxf>
    <dxf>
      <fill>
        <patternFill patternType="solid">
          <fgColor rgb="FFFFF8EF"/>
          <bgColor rgb="FF000000"/>
        </patternFill>
      </fill>
    </dxf>
    <dxf>
      <fill>
        <patternFill patternType="solid">
          <fgColor rgb="FFFFF8F0"/>
          <bgColor rgb="FF000000"/>
        </patternFill>
      </fill>
    </dxf>
    <dxf>
      <fill>
        <patternFill patternType="solid">
          <fgColor rgb="FFFFF8F1"/>
          <bgColor rgb="FF000000"/>
        </patternFill>
      </fill>
    </dxf>
    <dxf>
      <fill>
        <patternFill patternType="solid">
          <fgColor rgb="FFFFF9F2"/>
          <bgColor rgb="FF000000"/>
        </patternFill>
      </fill>
    </dxf>
    <dxf>
      <fill>
        <patternFill patternType="solid">
          <fgColor rgb="FFFFF9F3"/>
          <bgColor rgb="FF000000"/>
        </patternFill>
      </fill>
    </dxf>
    <dxf>
      <fill>
        <patternFill patternType="solid">
          <fgColor rgb="FFFFFAF4"/>
          <bgColor rgb="FF000000"/>
        </patternFill>
      </fill>
    </dxf>
    <dxf>
      <fill>
        <patternFill patternType="solid">
          <fgColor rgb="FFFFFAF5"/>
          <bgColor rgb="FF000000"/>
        </patternFill>
      </fill>
    </dxf>
    <dxf>
      <fill>
        <patternFill patternType="solid">
          <fgColor rgb="FFFFFBF6"/>
          <bgColor rgb="FF000000"/>
        </patternFill>
      </fill>
    </dxf>
    <dxf>
      <fill>
        <patternFill patternType="solid">
          <fgColor rgb="FFFFFBF7"/>
          <bgColor rgb="FF000000"/>
        </patternFill>
      </fill>
    </dxf>
    <dxf>
      <fill>
        <patternFill patternType="solid">
          <fgColor rgb="FFFFFCF7"/>
          <bgColor rgb="FF000000"/>
        </patternFill>
      </fill>
    </dxf>
    <dxf>
      <fill>
        <patternFill patternType="solid">
          <fgColor rgb="FFFFFCF8"/>
          <bgColor rgb="FF000000"/>
        </patternFill>
      </fill>
    </dxf>
    <dxf>
      <fill>
        <patternFill patternType="solid">
          <fgColor rgb="FFFFFCF9"/>
          <bgColor rgb="FF000000"/>
        </patternFill>
      </fill>
    </dxf>
    <dxf>
      <fill>
        <patternFill patternType="solid">
          <fgColor rgb="FFFFFDFA"/>
          <bgColor rgb="FF000000"/>
        </patternFill>
      </fill>
    </dxf>
    <dxf>
      <fill>
        <patternFill patternType="solid">
          <fgColor rgb="FFFFFDFB"/>
          <bgColor rgb="FF000000"/>
        </patternFill>
      </fill>
    </dxf>
    <dxf>
      <fill>
        <patternFill patternType="solid">
          <fgColor rgb="FFFFFEFC"/>
          <bgColor rgb="FF000000"/>
        </patternFill>
      </fill>
    </dxf>
    <dxf>
      <fill>
        <patternFill patternType="solid">
          <fgColor rgb="FFFFFEFD"/>
          <bgColor rgb="FF000000"/>
        </patternFill>
      </fill>
    </dxf>
    <dxf>
      <fill>
        <patternFill patternType="solid">
          <fgColor rgb="FFFFFF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166534"/>
      <rgbColor rgb="FFD9D9D9"/>
      <rgbColor rgb="FF878787"/>
      <rgbColor rgb="FF9999FF"/>
      <rgbColor rgb="FFC0504D"/>
      <rgbColor rgb="FFFFFFCC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F3F4F6"/>
      <rgbColor rgb="FFCCFFCC"/>
      <rgbColor rgb="FFFEF3C7"/>
      <rgbColor rgb="FF99CCFF"/>
      <rgbColor rgb="FFFF99CC"/>
      <rgbColor rgb="FFCC99FF"/>
      <rgbColor rgb="FFFEE2E2"/>
      <rgbColor rgb="FF4F81BD"/>
      <rgbColor rgb="FF38BDF8"/>
      <rgbColor rgb="FF9BBB59"/>
      <rgbColor rgb="FFFACC15"/>
      <rgbColor rgb="FFFF9900"/>
      <rgbColor rgb="FFF26B21"/>
      <rgbColor rgb="FF8064A2"/>
      <rgbColor rgb="FF94A3B8"/>
      <rgbColor rgb="FF003366"/>
      <rgbColor rgb="FF4BACC6"/>
      <rgbColor rgb="FF003300"/>
      <rgbColor rgb="FF333300"/>
      <rgbColor rgb="FF92400E"/>
      <rgbColor rgb="FF993366"/>
      <rgbColor rgb="FF47556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Placement Rate by Course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Analysis!D19</c:f>
              <c:strCache>
                <c:ptCount val="1"/>
                <c:pt idx="0">
                  <c:v>Placement Rate</c:v>
                </c:pt>
              </c:strCache>
            </c:strRef>
          </c:tx>
          <c:spPr>
            <a:solidFill>
              <a:srgbClr val="f26b2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Analysis!$A$20:$A$24</c:f>
              <c:strCache>
                <c:ptCount val="5"/>
                <c:pt idx="0">
                  <c:v>Cybersecurity</c:v>
                </c:pt>
                <c:pt idx="1">
                  <c:v>DSA with Java</c:v>
                </c:pt>
                <c:pt idx="2">
                  <c:v>Data Analytics</c:v>
                </c:pt>
                <c:pt idx="3">
                  <c:v>Data Science &amp; ML</c:v>
                </c:pt>
                <c:pt idx="4">
                  <c:v>Full Stack Development</c:v>
                </c:pt>
              </c:strCache>
            </c:strRef>
          </c:cat>
          <c:val>
            <c:numRef>
              <c:f>Analysis!$D$20:$D$24</c:f>
              <c:numCache>
                <c:formatCode>0.0%</c:formatCode>
                <c:ptCount val="5"/>
                <c:pt idx="0">
                  <c:v>0.639344262295082</c:v>
                </c:pt>
                <c:pt idx="1">
                  <c:v>0.765432098765432</c:v>
                </c:pt>
                <c:pt idx="2">
                  <c:v>0.51</c:v>
                </c:pt>
                <c:pt idx="3">
                  <c:v>0.663636363636364</c:v>
                </c:pt>
                <c:pt idx="4">
                  <c:v>0.604790419161677</c:v>
                </c:pt>
              </c:numCache>
            </c:numRef>
          </c:val>
        </c:ser>
        <c:gapWidth val="150"/>
        <c:overlap val="0"/>
        <c:axId val="62309306"/>
        <c:axId val="4326039"/>
      </c:barChart>
      <c:catAx>
        <c:axId val="623093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6039"/>
        <c:crosses val="autoZero"/>
        <c:auto val="1"/>
        <c:lblAlgn val="ctr"/>
        <c:lblOffset val="100"/>
        <c:noMultiLvlLbl val="0"/>
      </c:catAx>
      <c:valAx>
        <c:axId val="4326039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093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Hiring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Analysis!B27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rgbClr val="1f293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Analysis!$A$28:$A$32</c:f>
              <c:strCache>
                <c:ptCount val="5"/>
                <c:pt idx="0">
                  <c:v>Applied</c:v>
                </c:pt>
                <c:pt idx="1">
                  <c:v>Online Test</c:v>
                </c:pt>
                <c:pt idx="2">
                  <c:v>Technical Interview</c:v>
                </c:pt>
                <c:pt idx="3">
                  <c:v>HR Interview</c:v>
                </c:pt>
                <c:pt idx="4">
                  <c:v>Offered</c:v>
                </c:pt>
              </c:strCache>
            </c:strRef>
          </c:cat>
          <c:val>
            <c:numRef>
              <c:f>Analysis!$B$28:$B$32</c:f>
              <c:numCache>
                <c:formatCode>General</c:formatCode>
                <c:ptCount val="5"/>
                <c:pt idx="0">
                  <c:v>3143</c:v>
                </c:pt>
                <c:pt idx="1">
                  <c:v>2149</c:v>
                </c:pt>
                <c:pt idx="2">
                  <c:v>1525</c:v>
                </c:pt>
                <c:pt idx="3">
                  <c:v>1124</c:v>
                </c:pt>
                <c:pt idx="4">
                  <c:v>876</c:v>
                </c:pt>
              </c:numCache>
            </c:numRef>
          </c:val>
        </c:ser>
        <c:gapWidth val="150"/>
        <c:overlap val="0"/>
        <c:axId val="43681982"/>
        <c:axId val="26772307"/>
      </c:barChart>
      <c:catAx>
        <c:axId val="4368198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72307"/>
        <c:crosses val="autoZero"/>
        <c:auto val="1"/>
        <c:lblAlgn val="ctr"/>
        <c:lblOffset val="100"/>
        <c:noMultiLvlLbl val="0"/>
      </c:catAx>
      <c:valAx>
        <c:axId val="26772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819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Accepted Offers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Analysis!B50</c:f>
              <c:strCache>
                <c:ptCount val="1"/>
                <c:pt idx="0">
                  <c:v>Hires</c:v>
                </c:pt>
              </c:strCache>
            </c:strRef>
          </c:tx>
          <c:spPr>
            <a:solidFill>
              <a:srgbClr val="f26b21"/>
            </a:solidFill>
            <a:ln w="28080">
              <a:solidFill>
                <a:srgbClr val="f26b21"/>
              </a:solidFill>
              <a:round/>
            </a:ln>
          </c:spPr>
          <c:marker>
            <c:symbol val="circle"/>
            <c:size val="5"/>
            <c:spPr>
              <a:solidFill>
                <a:srgbClr val="f26b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Analysis!$A$51:$A$62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Analysis!$B$51:$B$62</c:f>
              <c:numCache>
                <c:formatCode>General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34</c:v>
                </c:pt>
                <c:pt idx="3">
                  <c:v>47</c:v>
                </c:pt>
                <c:pt idx="4">
                  <c:v>59</c:v>
                </c:pt>
                <c:pt idx="5">
                  <c:v>68</c:v>
                </c:pt>
                <c:pt idx="6">
                  <c:v>63</c:v>
                </c:pt>
                <c:pt idx="7">
                  <c:v>51</c:v>
                </c:pt>
                <c:pt idx="8">
                  <c:v>46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59111"/>
        <c:axId val="84416684"/>
      </c:lineChart>
      <c:catAx>
        <c:axId val="959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16684"/>
        <c:crosses val="autoZero"/>
        <c:auto val="1"/>
        <c:lblAlgn val="ctr"/>
        <c:lblOffset val="100"/>
        <c:noMultiLvlLbl val="0"/>
      </c:catAx>
      <c:valAx>
        <c:axId val="844166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1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Placed Students by CTC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Analysis!B35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Analysis!$A$36:$A$40</c:f>
              <c:strCache>
                <c:ptCount val="5"/>
                <c:pt idx="0">
                  <c:v>Below 5 LPA</c:v>
                </c:pt>
                <c:pt idx="1">
                  <c:v>5 - 8 LPA</c:v>
                </c:pt>
                <c:pt idx="2">
                  <c:v>8 - 12 LPA</c:v>
                </c:pt>
                <c:pt idx="3">
                  <c:v>12 - 18 LPA</c:v>
                </c:pt>
                <c:pt idx="4">
                  <c:v>18+ LPA</c:v>
                </c:pt>
              </c:strCache>
            </c:strRef>
          </c:cat>
          <c:val>
            <c:numRef>
              <c:f>Analysis!$B$36:$B$40</c:f>
              <c:numCache>
                <c:formatCode>General</c:formatCode>
                <c:ptCount val="5"/>
                <c:pt idx="0">
                  <c:v>26</c:v>
                </c:pt>
                <c:pt idx="1">
                  <c:v>164</c:v>
                </c:pt>
                <c:pt idx="2">
                  <c:v>73</c:v>
                </c:pt>
                <c:pt idx="3">
                  <c:v>89</c:v>
                </c:pt>
                <c:pt idx="4">
                  <c:v>36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Recruiters (hires)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Analysis!E82</c:f>
              <c:strCache>
                <c:ptCount val="1"/>
                <c:pt idx="0">
                  <c:v>Hires</c:v>
                </c:pt>
              </c:strCache>
            </c:strRef>
          </c:tx>
          <c:spPr>
            <a:solidFill>
              <a:srgbClr val="f26b2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Analysis!$B$83:$B$92</c:f>
              <c:strCache>
                <c:ptCount val="10"/>
                <c:pt idx="0">
                  <c:v>Sapphire Infotech</c:v>
                </c:pt>
                <c:pt idx="1">
                  <c:v>FinStack</c:v>
                </c:pt>
                <c:pt idx="2">
                  <c:v>AlphaGrid Tech</c:v>
                </c:pt>
                <c:pt idx="3">
                  <c:v>ShopSprint</c:v>
                </c:pt>
                <c:pt idx="4">
                  <c:v>TechBridge Consulting</c:v>
                </c:pt>
                <c:pt idx="5">
                  <c:v>Bharat Digital</c:v>
                </c:pt>
                <c:pt idx="6">
                  <c:v>HealthLink Digital</c:v>
                </c:pt>
                <c:pt idx="7">
                  <c:v>RetailRocket</c:v>
                </c:pt>
                <c:pt idx="8">
                  <c:v>DataHarbor</c:v>
                </c:pt>
                <c:pt idx="9">
                  <c:v>MediSphere</c:v>
                </c:pt>
              </c:strCache>
            </c:strRef>
          </c:cat>
          <c:val>
            <c:numRef>
              <c:f>Analysis!$E$83:$E$92</c:f>
              <c:numCache>
                <c:formatCode>General</c:formatCode>
                <c:ptCount val="10"/>
                <c:pt idx="0">
                  <c:v>20</c:v>
                </c:pt>
                <c:pt idx="1">
                  <c:v>19</c:v>
                </c:pt>
                <c:pt idx="2">
                  <c:v>19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</c:numCache>
            </c:numRef>
          </c:val>
        </c:ser>
        <c:gapWidth val="150"/>
        <c:overlap val="0"/>
        <c:axId val="50350302"/>
        <c:axId val="76800775"/>
      </c:barChart>
      <c:catAx>
        <c:axId val="5035030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00775"/>
        <c:crosses val="autoZero"/>
        <c:auto val="1"/>
        <c:lblAlgn val="ctr"/>
        <c:lblOffset val="100"/>
        <c:noMultiLvlLbl val="0"/>
      </c:catAx>
      <c:valAx>
        <c:axId val="768007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503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Does Readiness Predict Placement?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Analysis!D43</c:f>
              <c:strCache>
                <c:ptCount val="1"/>
                <c:pt idx="0">
                  <c:v>Placement Rate</c:v>
                </c:pt>
              </c:strCache>
            </c:strRef>
          </c:tx>
          <c:spPr>
            <a:solidFill>
              <a:srgbClr val="0ea5e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Analysis!$A$44:$A$47</c:f>
              <c:strCache>
                <c:ptCount val="4"/>
                <c:pt idx="0">
                  <c:v>Foundation</c:v>
                </c:pt>
                <c:pt idx="1">
                  <c:v>Developing</c:v>
                </c:pt>
                <c:pt idx="2">
                  <c:v>Job-Ready</c:v>
                </c:pt>
                <c:pt idx="3">
                  <c:v>Elite</c:v>
                </c:pt>
              </c:strCache>
            </c:strRef>
          </c:cat>
          <c:val>
            <c:numRef>
              <c:f>Analysis!$D$44:$D$47</c:f>
              <c:numCache>
                <c:formatCode>0.0%</c:formatCode>
                <c:ptCount val="4"/>
                <c:pt idx="0">
                  <c:v>0.293103448275862</c:v>
                </c:pt>
                <c:pt idx="1">
                  <c:v>0.632183908045977</c:v>
                </c:pt>
                <c:pt idx="2">
                  <c:v>0.83419689119171</c:v>
                </c:pt>
                <c:pt idx="3">
                  <c:v>0.933333333333333</c:v>
                </c:pt>
              </c:numCache>
            </c:numRef>
          </c:val>
        </c:ser>
        <c:gapWidth val="150"/>
        <c:overlap val="0"/>
        <c:axId val="79389983"/>
        <c:axId val="73494832"/>
      </c:barChart>
      <c:catAx>
        <c:axId val="7938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94832"/>
        <c:crosses val="autoZero"/>
        <c:auto val="1"/>
        <c:lblAlgn val="ctr"/>
        <c:lblOffset val="100"/>
        <c:noMultiLvlLbl val="0"/>
      </c:catAx>
      <c:valAx>
        <c:axId val="7349483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899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7</xdr:col>
      <xdr:colOff>120600</xdr:colOff>
      <xdr:row>27</xdr:row>
      <xdr:rowOff>68400</xdr:rowOff>
    </xdr:to>
    <xdr:graphicFrame>
      <xdr:nvGraphicFramePr>
        <xdr:cNvPr id="0" name="Chart 1"/>
        <xdr:cNvGraphicFramePr/>
      </xdr:nvGraphicFramePr>
      <xdr:xfrm>
        <a:off x="141120" y="268596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13</xdr:col>
      <xdr:colOff>120600</xdr:colOff>
      <xdr:row>27</xdr:row>
      <xdr:rowOff>68400</xdr:rowOff>
    </xdr:to>
    <xdr:graphicFrame>
      <xdr:nvGraphicFramePr>
        <xdr:cNvPr id="1" name="Chart 2"/>
        <xdr:cNvGraphicFramePr/>
      </xdr:nvGraphicFramePr>
      <xdr:xfrm>
        <a:off x="5852160" y="268596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7</xdr:col>
      <xdr:colOff>120600</xdr:colOff>
      <xdr:row>44</xdr:row>
      <xdr:rowOff>68760</xdr:rowOff>
    </xdr:to>
    <xdr:graphicFrame>
      <xdr:nvGraphicFramePr>
        <xdr:cNvPr id="2" name="Chart 3"/>
        <xdr:cNvGraphicFramePr/>
      </xdr:nvGraphicFramePr>
      <xdr:xfrm>
        <a:off x="141120" y="592452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13</xdr:col>
      <xdr:colOff>120600</xdr:colOff>
      <xdr:row>44</xdr:row>
      <xdr:rowOff>68760</xdr:rowOff>
    </xdr:to>
    <xdr:graphicFrame>
      <xdr:nvGraphicFramePr>
        <xdr:cNvPr id="3" name="Chart 4"/>
        <xdr:cNvGraphicFramePr/>
      </xdr:nvGraphicFramePr>
      <xdr:xfrm>
        <a:off x="5852160" y="592452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7</xdr:col>
      <xdr:colOff>120600</xdr:colOff>
      <xdr:row>61</xdr:row>
      <xdr:rowOff>68760</xdr:rowOff>
    </xdr:to>
    <xdr:graphicFrame>
      <xdr:nvGraphicFramePr>
        <xdr:cNvPr id="4" name="Chart 5"/>
        <xdr:cNvGraphicFramePr/>
      </xdr:nvGraphicFramePr>
      <xdr:xfrm>
        <a:off x="141120" y="916308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47</xdr:row>
      <xdr:rowOff>0</xdr:rowOff>
    </xdr:from>
    <xdr:to>
      <xdr:col>13</xdr:col>
      <xdr:colOff>120600</xdr:colOff>
      <xdr:row>61</xdr:row>
      <xdr:rowOff>68760</xdr:rowOff>
    </xdr:to>
    <xdr:graphicFrame>
      <xdr:nvGraphicFramePr>
        <xdr:cNvPr id="5" name="Chart 6"/>
        <xdr:cNvGraphicFramePr/>
      </xdr:nvGraphicFramePr>
      <xdr:xfrm>
        <a:off x="5852160" y="916308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pplications" displayName="tblApplications" ref="A1:P3144" headerRowCount="1" totalsRowCount="0" totalsRowShown="0">
  <autoFilter ref="A1:P3144"/>
  <tableColumns count="16">
    <tableColumn id="1" name="Application ID"/>
    <tableColumn id="2" name="Student ID"/>
    <tableColumn id="3" name="Company ID"/>
    <tableColumn id="4" name="Role Applied"/>
    <tableColumn id="5" name="Applied Date"/>
    <tableColumn id="6" name="Stage Reached"/>
    <tableColumn id="7" name="Offer CTC (LPA)"/>
    <tableColumn id="8" name="Offer Accepted"/>
    <tableColumn id="9" name="Offer Date"/>
    <tableColumn id="10" name="Batch"/>
    <tableColumn id="11" name="Course"/>
    <tableColumn id="12" name="Sector"/>
    <tableColumn id="13" name="Company Tier"/>
    <tableColumn id="14" name="Stage No"/>
    <tableColumn id="15" name="Offer Month"/>
    <tableColumn id="16" name="Hire Key"/>
  </tableColumns>
</table>
</file>

<file path=xl/tables/table2.xml><?xml version="1.0" encoding="utf-8"?>
<table xmlns="http://schemas.openxmlformats.org/spreadsheetml/2006/main" id="2" name="tblCompanies" displayName="tblCompanies" ref="A1:K31" headerRowCount="1" totalsRowCount="0" totalsRowShown="0">
  <autoFilter ref="A1:K31"/>
  <tableColumns count="11">
    <tableColumn id="1" name="Company ID"/>
    <tableColumn id="2" name="Company Name"/>
    <tableColumn id="3" name="Sector"/>
    <tableColumn id="4" name="Tier"/>
    <tableColumn id="5" name="HQ City"/>
    <tableColumn id="6" name="Applications"/>
    <tableColumn id="7" name="Offers Made"/>
    <tableColumn id="8" name="Hires"/>
    <tableColumn id="9" name="Offer-to-Hire %"/>
    <tableColumn id="10" name="Avg CTC (LPA)"/>
    <tableColumn id="11" name="Rank Key"/>
  </tableColumns>
</table>
</file>

<file path=xl/tables/table3.xml><?xml version="1.0" encoding="utf-8"?>
<table xmlns="http://schemas.openxmlformats.org/spreadsheetml/2006/main" id="3" name="tblStudents" displayName="tblStudents" ref="A1:Q601" headerRowCount="1" totalsRowCount="0" totalsRowShown="0">
  <autoFilter ref="A1:Q601"/>
  <tableColumns count="17">
    <tableColumn id="1" name="Student ID"/>
    <tableColumn id="2" name="Student Name"/>
    <tableColumn id="3" name="Batch"/>
    <tableColumn id="4" name="Course"/>
    <tableColumn id="5" name="City Tier"/>
    <tableColumn id="6" name="CGPA"/>
    <tableColumn id="7" name="DSA Problems Solved"/>
    <tableColumn id="8" name="Projects"/>
    <tableColumn id="9" name="Internship"/>
    <tableColumn id="10" name="Mock Interview Score"/>
    <tableColumn id="11" name="Readiness Score"/>
    <tableColumn id="12" name="Readiness Tier"/>
    <tableColumn id="13" name="Applications"/>
    <tableColumn id="14" name="Offers"/>
    <tableColumn id="15" name="Placed"/>
    <tableColumn id="16" name="Placed CTC (LPA)"/>
    <tableColumn id="17" name="Placed Compan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6B21"/>
    <pageSetUpPr fitToPage="true"/>
  </sheetPr>
  <dimension ref="B1:M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4" min="2" style="0" width="13.5"/>
  </cols>
  <sheetData>
    <row r="1" customFormat="false" ht="21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customFormat="false" ht="15" hidden="false" customHeight="false" outlineLevel="0" collapsed="false">
      <c r="B4" s="2" t="s">
        <v>1</v>
      </c>
      <c r="C4" s="3" t="s">
        <v>2</v>
      </c>
      <c r="E4" s="4" t="s">
        <v>3</v>
      </c>
    </row>
    <row r="6" customFormat="false" ht="18" hidden="false" customHeight="true" outlineLevel="0" collapsed="false">
      <c r="B6" s="5" t="s">
        <v>4</v>
      </c>
      <c r="C6" s="5"/>
      <c r="D6" s="5" t="s">
        <v>5</v>
      </c>
      <c r="E6" s="5"/>
      <c r="F6" s="5" t="s">
        <v>6</v>
      </c>
      <c r="G6" s="5"/>
      <c r="H6" s="5" t="s">
        <v>7</v>
      </c>
      <c r="I6" s="5"/>
      <c r="J6" s="5" t="s">
        <v>8</v>
      </c>
      <c r="K6" s="5"/>
      <c r="L6" s="5" t="s">
        <v>9</v>
      </c>
      <c r="M6" s="5"/>
    </row>
    <row r="7" customFormat="false" ht="15" hidden="false" customHeight="false" outlineLevel="0" collapsed="false">
      <c r="B7" s="6" t="n">
        <f aca="false">Analysis!B5</f>
        <v>600</v>
      </c>
      <c r="C7" s="6"/>
      <c r="D7" s="6" t="n">
        <f aca="false">Analysis!B6</f>
        <v>388</v>
      </c>
      <c r="E7" s="6"/>
      <c r="F7" s="7" t="n">
        <f aca="false">Analysis!B7</f>
        <v>0.646666666666667</v>
      </c>
      <c r="G7" s="7"/>
      <c r="H7" s="8" t="n">
        <f aca="false">Analysis!B8</f>
        <v>10.2409793814433</v>
      </c>
      <c r="I7" s="8"/>
      <c r="J7" s="8" t="n">
        <f aca="false">Analysis!B10</f>
        <v>29.9</v>
      </c>
      <c r="K7" s="8"/>
      <c r="L7" s="9" t="n">
        <f aca="false">Analysis!B14</f>
        <v>30</v>
      </c>
      <c r="M7" s="9"/>
    </row>
    <row r="8" customFormat="false" ht="15" hidden="false" customHeight="false" outlineLevel="0" collapsed="false">
      <c r="B8" s="6"/>
      <c r="C8" s="6"/>
      <c r="D8" s="6"/>
      <c r="E8" s="6"/>
      <c r="F8" s="7"/>
      <c r="G8" s="7"/>
      <c r="H8" s="8"/>
      <c r="I8" s="8"/>
      <c r="J8" s="8"/>
      <c r="K8" s="8"/>
      <c r="L8" s="9"/>
      <c r="M8" s="9"/>
    </row>
    <row r="10" customFormat="false" ht="15" hidden="false" customHeight="false" outlineLevel="0" collapsed="false">
      <c r="B10" s="10" t="str">
        <f aca="false">"&gt; Best course by placement rate: "&amp;INDEX(Analysis!A20:A24,MATCH(MAX(Analysis!D20:D24),Analysis!D20:D24,0))&amp;" ("&amp;TEXT(MAX(Analysis!D20:D24),"0.0%")&amp;")"</f>
        <v>&gt; Best course by placement rate: DSA with Java (76.5%)</v>
      </c>
    </row>
    <row r="11" customFormat="false" ht="15" hidden="false" customHeight="false" outlineLevel="0" collapsed="false">
      <c r="B11" s="10" t="str">
        <f aca="false">"&gt; Top recruiter: "&amp;Analysis!B83&amp;" with "&amp;Analysis!E83&amp;" hires at an average of "&amp;TEXT(Analysis!F83,"0.0")&amp;" LPA"</f>
        <v>&gt; Top recruiter: Sapphire Infotech with 20 hires at an average of 5.8 LPA</v>
      </c>
    </row>
    <row r="12" customFormat="false" ht="15" hidden="false" customHeight="false" outlineLevel="0" collapsed="false">
      <c r="B12" s="10" t="str">
        <f aca="false">"&gt; Elite-tier students are placed at "&amp;TEXT(Analysis!D47,"0%")&amp;" vs "&amp;TEXT(Analysis!D44,"0%")&amp;" for Foundation-tier students"</f>
        <v>&gt; Elite-tier students are placed at 93% vs 29% for Foundation-tier students</v>
      </c>
    </row>
  </sheetData>
  <mergeCells count="13">
    <mergeCell ref="B1:M2"/>
    <mergeCell ref="B6:C6"/>
    <mergeCell ref="D6:E6"/>
    <mergeCell ref="F6:G6"/>
    <mergeCell ref="H6:I6"/>
    <mergeCell ref="J6:K6"/>
    <mergeCell ref="L6:M6"/>
    <mergeCell ref="B7:C8"/>
    <mergeCell ref="D7:E8"/>
    <mergeCell ref="F7:G8"/>
    <mergeCell ref="H7:I8"/>
    <mergeCell ref="J7:K8"/>
    <mergeCell ref="L7:M8"/>
  </mergeCells>
  <dataValidations count="1">
    <dataValidation allowBlank="false" error="Pick a value from the list." errorStyle="stop" errorTitle="Invalid batch" operator="between" showDropDown="false" showErrorMessage="true" showInputMessage="false" sqref="C4" type="list">
      <formula1>Assumptions!$P$4:$P$7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1" t="s">
        <v>10</v>
      </c>
    </row>
    <row r="2" customFormat="false" ht="15" hidden="false" customHeight="false" outlineLevel="0" collapsed="false">
      <c r="A2" s="12" t="s">
        <v>11</v>
      </c>
      <c r="B2" s="13" t="s">
        <v>12</v>
      </c>
    </row>
    <row r="3" customFormat="false" ht="15" hidden="false" customHeight="false" outlineLevel="0" collapsed="false">
      <c r="A3" s="12" t="s">
        <v>13</v>
      </c>
      <c r="B3" s="13" t="s">
        <v>14</v>
      </c>
    </row>
    <row r="4" customFormat="false" ht="15" hidden="false" customHeight="false" outlineLevel="0" collapsed="false">
      <c r="A4" s="12"/>
      <c r="B4" s="13"/>
    </row>
    <row r="5" customFormat="false" ht="15" hidden="false" customHeight="false" outlineLevel="0" collapsed="false">
      <c r="A5" s="14" t="s">
        <v>15</v>
      </c>
    </row>
    <row r="6" customFormat="false" ht="15" hidden="false" customHeight="false" outlineLevel="0" collapsed="false">
      <c r="A6" s="12" t="s">
        <v>16</v>
      </c>
      <c r="B6" s="13" t="s">
        <v>17</v>
      </c>
    </row>
    <row r="7" customFormat="false" ht="15" hidden="false" customHeight="false" outlineLevel="0" collapsed="false">
      <c r="A7" s="12" t="s">
        <v>18</v>
      </c>
      <c r="B7" s="13" t="s">
        <v>19</v>
      </c>
    </row>
    <row r="8" customFormat="false" ht="15" hidden="false" customHeight="false" outlineLevel="0" collapsed="false">
      <c r="A8" s="12" t="s">
        <v>20</v>
      </c>
      <c r="B8" s="13" t="s">
        <v>21</v>
      </c>
    </row>
    <row r="9" customFormat="false" ht="15" hidden="false" customHeight="false" outlineLevel="0" collapsed="false">
      <c r="A9" s="12" t="s">
        <v>22</v>
      </c>
      <c r="B9" s="13" t="s">
        <v>23</v>
      </c>
    </row>
    <row r="10" customFormat="false" ht="15" hidden="false" customHeight="false" outlineLevel="0" collapsed="false">
      <c r="A10" s="12" t="s">
        <v>24</v>
      </c>
      <c r="B10" s="13" t="s">
        <v>25</v>
      </c>
    </row>
    <row r="11" customFormat="false" ht="15" hidden="false" customHeight="false" outlineLevel="0" collapsed="false">
      <c r="A11" s="12" t="s">
        <v>26</v>
      </c>
      <c r="B11" s="13" t="s">
        <v>27</v>
      </c>
    </row>
    <row r="12" customFormat="false" ht="15" hidden="false" customHeight="false" outlineLevel="0" collapsed="false">
      <c r="A12" s="12"/>
      <c r="B12" s="13"/>
    </row>
    <row r="13" customFormat="false" ht="15" hidden="false" customHeight="false" outlineLevel="0" collapsed="false">
      <c r="A13" s="14" t="s">
        <v>28</v>
      </c>
    </row>
    <row r="14" customFormat="false" ht="15" hidden="false" customHeight="false" outlineLevel="0" collapsed="false">
      <c r="A14" s="12" t="s">
        <v>29</v>
      </c>
      <c r="B14" s="13" t="s">
        <v>30</v>
      </c>
    </row>
    <row r="15" customFormat="false" ht="15" hidden="false" customHeight="false" outlineLevel="0" collapsed="false">
      <c r="A15" s="12" t="s">
        <v>31</v>
      </c>
      <c r="B15" s="13" t="s">
        <v>32</v>
      </c>
    </row>
    <row r="16" customFormat="false" ht="15" hidden="false" customHeight="false" outlineLevel="0" collapsed="false">
      <c r="A16" s="12" t="s">
        <v>33</v>
      </c>
      <c r="B16" s="13" t="s">
        <v>34</v>
      </c>
    </row>
    <row r="17" customFormat="false" ht="15" hidden="false" customHeight="false" outlineLevel="0" collapsed="false">
      <c r="A17" s="12" t="s">
        <v>35</v>
      </c>
      <c r="B17" s="13" t="s">
        <v>36</v>
      </c>
    </row>
    <row r="18" customFormat="false" ht="15" hidden="false" customHeight="false" outlineLevel="0" collapsed="false">
      <c r="A18" s="12" t="s">
        <v>37</v>
      </c>
      <c r="B18" s="13" t="s">
        <v>38</v>
      </c>
    </row>
    <row r="19" customFormat="false" ht="15" hidden="false" customHeight="false" outlineLevel="0" collapsed="false">
      <c r="A19" s="12" t="s">
        <v>39</v>
      </c>
      <c r="B19" s="13" t="s">
        <v>40</v>
      </c>
    </row>
    <row r="20" customFormat="false" ht="15" hidden="false" customHeight="false" outlineLevel="0" collapsed="false">
      <c r="A20" s="12" t="s">
        <v>41</v>
      </c>
      <c r="B20" s="13" t="s">
        <v>42</v>
      </c>
    </row>
    <row r="21" customFormat="false" ht="15" hidden="false" customHeight="false" outlineLevel="0" collapsed="false">
      <c r="A21" s="12"/>
      <c r="B21" s="13"/>
    </row>
    <row r="22" customFormat="false" ht="15" hidden="false" customHeight="false" outlineLevel="0" collapsed="false">
      <c r="A22" s="12" t="s">
        <v>43</v>
      </c>
      <c r="B22" s="1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DF8"/>
    <pageSetUpPr fitToPage="false"/>
  </sheetPr>
  <dimension ref="A1:F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5" t="s">
        <v>45</v>
      </c>
    </row>
    <row r="2" customFormat="false" ht="15" hidden="false" customHeight="false" outlineLevel="0" collapsed="false">
      <c r="A2" s="16" t="s">
        <v>46</v>
      </c>
      <c r="B2" s="17" t="str">
        <f aca="false">IF(Dashboard!$C$4="All","*",Dashboard!$C$4)</f>
        <v>*</v>
      </c>
      <c r="C2" s="18" t="str">
        <f aca="false">"Showing: "&amp;Dashboard!$C$4</f>
        <v>Showing: All</v>
      </c>
    </row>
    <row r="4" customFormat="false" ht="15" hidden="false" customHeight="false" outlineLevel="0" collapsed="false">
      <c r="A4" s="19" t="s">
        <v>47</v>
      </c>
      <c r="B4" s="20"/>
      <c r="C4" s="20"/>
      <c r="D4" s="20"/>
      <c r="E4" s="20"/>
      <c r="F4" s="20"/>
    </row>
    <row r="5" customFormat="false" ht="15" hidden="false" customHeight="false" outlineLevel="0" collapsed="false">
      <c r="A5" s="21" t="s">
        <v>48</v>
      </c>
      <c r="B5" s="22" t="n">
        <f aca="false">COUNTIFS(Students!$C$2:$C$601,$B$2)</f>
        <v>600</v>
      </c>
      <c r="C5" s="23"/>
      <c r="D5" s="23"/>
      <c r="E5" s="23"/>
      <c r="F5" s="23"/>
    </row>
    <row r="6" customFormat="false" ht="15" hidden="false" customHeight="false" outlineLevel="0" collapsed="false">
      <c r="A6" s="21" t="s">
        <v>49</v>
      </c>
      <c r="B6" s="22" t="n">
        <f aca="false">COUNTIFS(Students!$C$2:$C$601,$B$2,Students!$O$2:$O$601,"Yes")</f>
        <v>388</v>
      </c>
      <c r="C6" s="23"/>
      <c r="D6" s="23"/>
      <c r="E6" s="23"/>
      <c r="F6" s="23"/>
    </row>
    <row r="7" customFormat="false" ht="15" hidden="false" customHeight="false" outlineLevel="0" collapsed="false">
      <c r="A7" s="21" t="s">
        <v>50</v>
      </c>
      <c r="B7" s="24" t="n">
        <f aca="false">IF(B5=0,0,B6/B5)</f>
        <v>0.646666666666667</v>
      </c>
      <c r="C7" s="23"/>
      <c r="D7" s="23"/>
      <c r="E7" s="23"/>
      <c r="F7" s="23"/>
    </row>
    <row r="8" customFormat="false" ht="15" hidden="false" customHeight="false" outlineLevel="0" collapsed="false">
      <c r="A8" s="21" t="s">
        <v>51</v>
      </c>
      <c r="B8" s="25" t="n">
        <f aca="false">IFERROR(AVERAGEIFS(Students!$P$2:$P$601,Students!$C$2:$C$601,$B$2,Students!$O$2:$O$601,"Yes"),0)</f>
        <v>10.2409793814433</v>
      </c>
      <c r="C8" s="23"/>
      <c r="D8" s="23"/>
      <c r="E8" s="23"/>
      <c r="F8" s="23"/>
    </row>
    <row r="9" customFormat="false" ht="15" hidden="false" customHeight="false" outlineLevel="0" collapsed="false">
      <c r="A9" s="21" t="s">
        <v>52</v>
      </c>
      <c r="B9" s="25" t="n">
        <f aca="false" t="array" ref="B9:B9">IFERROR(MEDIAN(IF((Students!$O$2:$O$601="Yes")*((($B$2="*")+(Students!$C$2:$C$601=$B$2))&gt;0),Students!$P$2:$P$601)),0)</f>
        <v>8.35</v>
      </c>
      <c r="C9" s="23"/>
      <c r="D9" s="23"/>
      <c r="E9" s="23"/>
      <c r="F9" s="23"/>
    </row>
    <row r="10" customFormat="false" ht="15" hidden="false" customHeight="false" outlineLevel="0" collapsed="false">
      <c r="A10" s="21" t="s">
        <v>53</v>
      </c>
      <c r="B10" s="25" t="n">
        <f aca="false">_xlfn.MAXIFS(Students!$P$2:$P$601,Students!$C$2:$C$601,$B$2,Students!$O$2:$O$601,"Yes")</f>
        <v>29.9</v>
      </c>
      <c r="C10" s="23"/>
      <c r="D10" s="23"/>
      <c r="E10" s="23"/>
      <c r="F10" s="23"/>
    </row>
    <row r="11" customFormat="false" ht="15" hidden="false" customHeight="false" outlineLevel="0" collapsed="false">
      <c r="A11" s="21" t="s">
        <v>54</v>
      </c>
      <c r="B11" s="22" t="n">
        <f aca="false">COUNTIFS(Applications!$J$2:$J$3144,$B$2)</f>
        <v>3143</v>
      </c>
      <c r="C11" s="23"/>
      <c r="D11" s="23"/>
      <c r="E11" s="23"/>
      <c r="F11" s="23"/>
    </row>
    <row r="12" customFormat="false" ht="15" hidden="false" customHeight="false" outlineLevel="0" collapsed="false">
      <c r="A12" s="21" t="s">
        <v>55</v>
      </c>
      <c r="B12" s="22" t="n">
        <f aca="false">COUNTIFS(Applications!$J$2:$J$3144,$B$2,Applications!$F$2:$F$3144,"Offered")</f>
        <v>876</v>
      </c>
      <c r="C12" s="23"/>
      <c r="D12" s="23"/>
      <c r="E12" s="23"/>
      <c r="F12" s="23"/>
    </row>
    <row r="13" customFormat="false" ht="15" hidden="false" customHeight="false" outlineLevel="0" collapsed="false">
      <c r="A13" s="21" t="s">
        <v>56</v>
      </c>
      <c r="B13" s="24" t="n">
        <f aca="false">IF(B12=0,0,B6/B12)</f>
        <v>0.442922374429224</v>
      </c>
      <c r="C13" s="23"/>
      <c r="D13" s="23"/>
      <c r="E13" s="23"/>
      <c r="F13" s="23"/>
    </row>
    <row r="14" customFormat="false" ht="15" hidden="false" customHeight="false" outlineLevel="0" collapsed="false">
      <c r="A14" s="21" t="s">
        <v>57</v>
      </c>
      <c r="B14" s="26" t="n">
        <f aca="false">COUNTIF(Companies!$H$2:$H$31,"&gt;0")</f>
        <v>30</v>
      </c>
      <c r="C14" s="23"/>
      <c r="D14" s="23"/>
      <c r="E14" s="23"/>
      <c r="F14" s="23"/>
    </row>
    <row r="15" customFormat="false" ht="15" hidden="false" customHeight="false" outlineLevel="0" collapsed="false">
      <c r="A15" s="21" t="s">
        <v>58</v>
      </c>
      <c r="B15" s="25" t="n">
        <f aca="false">IF(B5=0,0,B11/B5)</f>
        <v>5.23833333333333</v>
      </c>
      <c r="C15" s="23"/>
      <c r="D15" s="23"/>
      <c r="E15" s="23"/>
      <c r="F15" s="23"/>
    </row>
    <row r="16" customFormat="false" ht="15" hidden="false" customHeight="false" outlineLevel="0" collapsed="false">
      <c r="A16" s="23"/>
      <c r="B16" s="23"/>
      <c r="C16" s="23"/>
      <c r="D16" s="23"/>
      <c r="E16" s="23"/>
      <c r="F16" s="23"/>
    </row>
    <row r="17" customFormat="false" ht="15" hidden="false" customHeight="false" outlineLevel="0" collapsed="false">
      <c r="A17" s="23"/>
      <c r="B17" s="23"/>
      <c r="C17" s="23"/>
      <c r="D17" s="23"/>
      <c r="E17" s="23"/>
      <c r="F17" s="23"/>
    </row>
    <row r="18" customFormat="false" ht="15" hidden="false" customHeight="false" outlineLevel="0" collapsed="false">
      <c r="A18" s="19" t="s">
        <v>59</v>
      </c>
      <c r="B18" s="27"/>
      <c r="C18" s="27"/>
      <c r="D18" s="27"/>
      <c r="E18" s="27"/>
      <c r="F18" s="27"/>
    </row>
    <row r="19" customFormat="false" ht="15" hidden="false" customHeight="false" outlineLevel="0" collapsed="false">
      <c r="A19" s="28" t="s">
        <v>60</v>
      </c>
      <c r="B19" s="28" t="s">
        <v>20</v>
      </c>
      <c r="C19" s="28" t="s">
        <v>61</v>
      </c>
      <c r="D19" s="28" t="s">
        <v>50</v>
      </c>
      <c r="E19" s="28" t="s">
        <v>62</v>
      </c>
      <c r="F19" s="23"/>
    </row>
    <row r="20" customFormat="false" ht="15" hidden="false" customHeight="false" outlineLevel="0" collapsed="false">
      <c r="A20" s="23" t="s">
        <v>63</v>
      </c>
      <c r="B20" s="23" t="n">
        <f aca="false">COUNTIFS(Students!$D$2:$D$601,$A20,Students!$C$2:$C$601,$B$2)</f>
        <v>61</v>
      </c>
      <c r="C20" s="23" t="n">
        <f aca="false">COUNTIFS(Students!$D$2:$D$601,$A20,Students!$C$2:$C$601,$B$2,Students!$O$2:$O$601,"Yes")</f>
        <v>39</v>
      </c>
      <c r="D20" s="29" t="n">
        <f aca="false">IF(B20=0,0,C20/B20)</f>
        <v>0.639344262295082</v>
      </c>
      <c r="E20" s="30" t="n">
        <f aca="false">IFERROR(AVERAGEIFS(Students!$P$2:$P$601,Students!$D$2:$D$601,$A20,Students!$C$2:$C$601,$B$2,Students!$O$2:$O$601,"Yes"),0)</f>
        <v>8.46410256410256</v>
      </c>
      <c r="F20" s="23"/>
    </row>
    <row r="21" customFormat="false" ht="15" hidden="false" customHeight="false" outlineLevel="0" collapsed="false">
      <c r="A21" s="23" t="s">
        <v>64</v>
      </c>
      <c r="B21" s="23" t="n">
        <f aca="false">COUNTIFS(Students!$D$2:$D$601,$A21,Students!$C$2:$C$601,$B$2)</f>
        <v>162</v>
      </c>
      <c r="C21" s="23" t="n">
        <f aca="false">COUNTIFS(Students!$D$2:$D$601,$A21,Students!$C$2:$C$601,$B$2,Students!$O$2:$O$601,"Yes")</f>
        <v>124</v>
      </c>
      <c r="D21" s="29" t="n">
        <f aca="false">IF(B21=0,0,C21/B21)</f>
        <v>0.765432098765432</v>
      </c>
      <c r="E21" s="30" t="n">
        <f aca="false">IFERROR(AVERAGEIFS(Students!$P$2:$P$601,Students!$D$2:$D$601,$A21,Students!$C$2:$C$601,$B$2,Students!$O$2:$O$601,"Yes"),0)</f>
        <v>11.9854838709677</v>
      </c>
      <c r="F21" s="23"/>
    </row>
    <row r="22" customFormat="false" ht="15" hidden="false" customHeight="false" outlineLevel="0" collapsed="false">
      <c r="A22" s="23" t="s">
        <v>65</v>
      </c>
      <c r="B22" s="23" t="n">
        <f aca="false">COUNTIFS(Students!$D$2:$D$601,$A22,Students!$C$2:$C$601,$B$2)</f>
        <v>100</v>
      </c>
      <c r="C22" s="23" t="n">
        <f aca="false">COUNTIFS(Students!$D$2:$D$601,$A22,Students!$C$2:$C$601,$B$2,Students!$O$2:$O$601,"Yes")</f>
        <v>51</v>
      </c>
      <c r="D22" s="29" t="n">
        <f aca="false">IF(B22=0,0,C22/B22)</f>
        <v>0.51</v>
      </c>
      <c r="E22" s="30" t="n">
        <f aca="false">IFERROR(AVERAGEIFS(Students!$P$2:$P$601,Students!$D$2:$D$601,$A22,Students!$C$2:$C$601,$B$2,Students!$O$2:$O$601,"Yes"),0)</f>
        <v>9.92549019607843</v>
      </c>
      <c r="F22" s="23"/>
    </row>
    <row r="23" customFormat="false" ht="15" hidden="false" customHeight="false" outlineLevel="0" collapsed="false">
      <c r="A23" s="23" t="s">
        <v>66</v>
      </c>
      <c r="B23" s="23" t="n">
        <f aca="false">COUNTIFS(Students!$D$2:$D$601,$A23,Students!$C$2:$C$601,$B$2)</f>
        <v>110</v>
      </c>
      <c r="C23" s="23" t="n">
        <f aca="false">COUNTIFS(Students!$D$2:$D$601,$A23,Students!$C$2:$C$601,$B$2,Students!$O$2:$O$601,"Yes")</f>
        <v>73</v>
      </c>
      <c r="D23" s="29" t="n">
        <f aca="false">IF(B23=0,0,C23/B23)</f>
        <v>0.663636363636364</v>
      </c>
      <c r="E23" s="30" t="n">
        <f aca="false">IFERROR(AVERAGEIFS(Students!$P$2:$P$601,Students!$D$2:$D$601,$A23,Students!$C$2:$C$601,$B$2,Students!$O$2:$O$601,"Yes"),0)</f>
        <v>10.1671232876712</v>
      </c>
      <c r="F23" s="23"/>
    </row>
    <row r="24" customFormat="false" ht="15" hidden="false" customHeight="false" outlineLevel="0" collapsed="false">
      <c r="A24" s="23" t="s">
        <v>67</v>
      </c>
      <c r="B24" s="23" t="n">
        <f aca="false">COUNTIFS(Students!$D$2:$D$601,$A24,Students!$C$2:$C$601,$B$2)</f>
        <v>167</v>
      </c>
      <c r="C24" s="23" t="n">
        <f aca="false">COUNTIFS(Students!$D$2:$D$601,$A24,Students!$C$2:$C$601,$B$2,Students!$O$2:$O$601,"Yes")</f>
        <v>101</v>
      </c>
      <c r="D24" s="29" t="n">
        <f aca="false">IF(B24=0,0,C24/B24)</f>
        <v>0.604790419161677</v>
      </c>
      <c r="E24" s="30" t="n">
        <f aca="false">IFERROR(AVERAGEIFS(Students!$P$2:$P$601,Students!$D$2:$D$601,$A24,Students!$C$2:$C$601,$B$2,Students!$O$2:$O$601,"Yes"),0)</f>
        <v>8.9980198019802</v>
      </c>
      <c r="F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</row>
    <row r="26" customFormat="false" ht="15" hidden="false" customHeight="false" outlineLevel="0" collapsed="false">
      <c r="A26" s="19" t="s">
        <v>68</v>
      </c>
      <c r="B26" s="27"/>
      <c r="C26" s="27"/>
      <c r="D26" s="27"/>
      <c r="E26" s="27"/>
      <c r="F26" s="27"/>
    </row>
    <row r="27" customFormat="false" ht="15" hidden="false" customHeight="false" outlineLevel="0" collapsed="false">
      <c r="A27" s="28" t="s">
        <v>69</v>
      </c>
      <c r="B27" s="28" t="s">
        <v>22</v>
      </c>
      <c r="C27" s="28" t="s">
        <v>70</v>
      </c>
      <c r="D27" s="23"/>
      <c r="E27" s="23"/>
      <c r="F27" s="23"/>
    </row>
    <row r="28" customFormat="false" ht="15" hidden="false" customHeight="false" outlineLevel="0" collapsed="false">
      <c r="A28" s="23" t="str">
        <f aca="false">Assumptions!K4</f>
        <v>Applied</v>
      </c>
      <c r="B28" s="23" t="n">
        <f aca="false">COUNTIFS(Applications!$J$2:$J$3144,$B$2,Applications!$N$2:$N$3144,"&gt;="&amp;MATCH(A28,Assumptions!$K$4:$K$8,0))</f>
        <v>3143</v>
      </c>
      <c r="C28" s="29" t="n">
        <f aca="false">IF($B$28=0,0,B28/$B$28)</f>
        <v>1</v>
      </c>
      <c r="D28" s="23"/>
      <c r="E28" s="23"/>
      <c r="F28" s="23"/>
    </row>
    <row r="29" customFormat="false" ht="15" hidden="false" customHeight="false" outlineLevel="0" collapsed="false">
      <c r="A29" s="23" t="str">
        <f aca="false">Assumptions!K5</f>
        <v>Online Test</v>
      </c>
      <c r="B29" s="23" t="n">
        <f aca="false">COUNTIFS(Applications!$J$2:$J$3144,$B$2,Applications!$N$2:$N$3144,"&gt;="&amp;MATCH(A29,Assumptions!$K$4:$K$8,0))</f>
        <v>2149</v>
      </c>
      <c r="C29" s="29" t="n">
        <f aca="false">IF($B$28=0,0,B29/$B$28)</f>
        <v>0.683741648106904</v>
      </c>
      <c r="D29" s="23"/>
      <c r="E29" s="23"/>
      <c r="F29" s="23"/>
    </row>
    <row r="30" customFormat="false" ht="15" hidden="false" customHeight="false" outlineLevel="0" collapsed="false">
      <c r="A30" s="23" t="str">
        <f aca="false">Assumptions!K6</f>
        <v>Technical Interview</v>
      </c>
      <c r="B30" s="23" t="n">
        <f aca="false">COUNTIFS(Applications!$J$2:$J$3144,$B$2,Applications!$N$2:$N$3144,"&gt;="&amp;MATCH(A30,Assumptions!$K$4:$K$8,0))</f>
        <v>1525</v>
      </c>
      <c r="C30" s="29" t="n">
        <f aca="false">IF($B$28=0,0,B30/$B$28)</f>
        <v>0.485205217944639</v>
      </c>
      <c r="D30" s="23"/>
      <c r="E30" s="23"/>
      <c r="F30" s="23"/>
    </row>
    <row r="31" customFormat="false" ht="15" hidden="false" customHeight="false" outlineLevel="0" collapsed="false">
      <c r="A31" s="23" t="str">
        <f aca="false">Assumptions!K7</f>
        <v>HR Interview</v>
      </c>
      <c r="B31" s="23" t="n">
        <f aca="false">COUNTIFS(Applications!$J$2:$J$3144,$B$2,Applications!$N$2:$N$3144,"&gt;="&amp;MATCH(A31,Assumptions!$K$4:$K$8,0))</f>
        <v>1124</v>
      </c>
      <c r="C31" s="29" t="n">
        <f aca="false">IF($B$28=0,0,B31/$B$28)</f>
        <v>0.357620108176901</v>
      </c>
      <c r="D31" s="23"/>
      <c r="E31" s="23"/>
      <c r="F31" s="23"/>
    </row>
    <row r="32" customFormat="false" ht="15" hidden="false" customHeight="false" outlineLevel="0" collapsed="false">
      <c r="A32" s="23" t="str">
        <f aca="false">Assumptions!K8</f>
        <v>Offered</v>
      </c>
      <c r="B32" s="23" t="n">
        <f aca="false">COUNTIFS(Applications!$J$2:$J$3144,$B$2,Applications!$N$2:$N$3144,"&gt;="&amp;MATCH(A32,Assumptions!$K$4:$K$8,0))</f>
        <v>876</v>
      </c>
      <c r="C32" s="29" t="n">
        <f aca="false">IF($B$28=0,0,B32/$B$28)</f>
        <v>0.278714603881642</v>
      </c>
      <c r="D32" s="23"/>
      <c r="E32" s="23"/>
      <c r="F32" s="23"/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</row>
    <row r="34" customFormat="false" ht="15" hidden="false" customHeight="false" outlineLevel="0" collapsed="false">
      <c r="A34" s="19" t="s">
        <v>71</v>
      </c>
      <c r="B34" s="27"/>
      <c r="C34" s="27"/>
      <c r="D34" s="27"/>
      <c r="E34" s="27"/>
      <c r="F34" s="27"/>
    </row>
    <row r="35" customFormat="false" ht="15" hidden="false" customHeight="false" outlineLevel="0" collapsed="false">
      <c r="A35" s="28" t="s">
        <v>72</v>
      </c>
      <c r="B35" s="28" t="s">
        <v>20</v>
      </c>
      <c r="C35" s="28" t="s">
        <v>73</v>
      </c>
      <c r="D35" s="23"/>
      <c r="E35" s="23"/>
      <c r="F35" s="23"/>
    </row>
    <row r="36" customFormat="false" ht="15" hidden="false" customHeight="false" outlineLevel="0" collapsed="false">
      <c r="A36" s="23" t="str">
        <f aca="false">Assumptions!G4</f>
        <v>Below 5 LPA</v>
      </c>
      <c r="B36" s="23" t="n">
        <f aca="false">COUNTIFS(Students!$P$2:$P$601,"&gt;="&amp;Assumptions!H4,Students!$P$2:$P$601,"&lt;"&amp;Assumptions!I4,Students!$O$2:$O$601,"Yes",Students!$C$2:$C$601,$B$2)</f>
        <v>26</v>
      </c>
      <c r="C36" s="29" t="n">
        <f aca="false">IF($B$6=0,0,B36/$B$6)</f>
        <v>0.0670103092783505</v>
      </c>
      <c r="D36" s="23"/>
      <c r="E36" s="23"/>
      <c r="F36" s="23"/>
    </row>
    <row r="37" customFormat="false" ht="15" hidden="false" customHeight="false" outlineLevel="0" collapsed="false">
      <c r="A37" s="23" t="str">
        <f aca="false">Assumptions!G5</f>
        <v>5 - 8 LPA</v>
      </c>
      <c r="B37" s="23" t="n">
        <f aca="false">COUNTIFS(Students!$P$2:$P$601,"&gt;="&amp;Assumptions!H5,Students!$P$2:$P$601,"&lt;"&amp;Assumptions!I5,Students!$O$2:$O$601,"Yes",Students!$C$2:$C$601,$B$2)</f>
        <v>164</v>
      </c>
      <c r="C37" s="29" t="n">
        <f aca="false">IF($B$6=0,0,B37/$B$6)</f>
        <v>0.422680412371134</v>
      </c>
      <c r="D37" s="23"/>
      <c r="E37" s="23"/>
      <c r="F37" s="23"/>
    </row>
    <row r="38" customFormat="false" ht="15" hidden="false" customHeight="false" outlineLevel="0" collapsed="false">
      <c r="A38" s="23" t="str">
        <f aca="false">Assumptions!G6</f>
        <v>8 - 12 LPA</v>
      </c>
      <c r="B38" s="23" t="n">
        <f aca="false">COUNTIFS(Students!$P$2:$P$601,"&gt;="&amp;Assumptions!H6,Students!$P$2:$P$601,"&lt;"&amp;Assumptions!I6,Students!$O$2:$O$601,"Yes",Students!$C$2:$C$601,$B$2)</f>
        <v>73</v>
      </c>
      <c r="C38" s="29" t="n">
        <f aca="false">IF($B$6=0,0,B38/$B$6)</f>
        <v>0.188144329896907</v>
      </c>
      <c r="D38" s="23"/>
      <c r="E38" s="23"/>
      <c r="F38" s="23"/>
    </row>
    <row r="39" customFormat="false" ht="15" hidden="false" customHeight="false" outlineLevel="0" collapsed="false">
      <c r="A39" s="23" t="str">
        <f aca="false">Assumptions!G7</f>
        <v>12 - 18 LPA</v>
      </c>
      <c r="B39" s="23" t="n">
        <f aca="false">COUNTIFS(Students!$P$2:$P$601,"&gt;="&amp;Assumptions!H7,Students!$P$2:$P$601,"&lt;"&amp;Assumptions!I7,Students!$O$2:$O$601,"Yes",Students!$C$2:$C$601,$B$2)</f>
        <v>89</v>
      </c>
      <c r="C39" s="29" t="n">
        <f aca="false">IF($B$6=0,0,B39/$B$6)</f>
        <v>0.229381443298969</v>
      </c>
      <c r="D39" s="23"/>
      <c r="E39" s="23"/>
      <c r="F39" s="23"/>
    </row>
    <row r="40" customFormat="false" ht="15" hidden="false" customHeight="false" outlineLevel="0" collapsed="false">
      <c r="A40" s="23" t="str">
        <f aca="false">Assumptions!G8</f>
        <v>18+ LPA</v>
      </c>
      <c r="B40" s="23" t="n">
        <f aca="false">COUNTIFS(Students!$P$2:$P$601,"&gt;="&amp;Assumptions!H8,Students!$P$2:$P$601,"&lt;"&amp;Assumptions!I8,Students!$O$2:$O$601,"Yes",Students!$C$2:$C$601,$B$2)</f>
        <v>36</v>
      </c>
      <c r="C40" s="29" t="n">
        <f aca="false">IF($B$6=0,0,B40/$B$6)</f>
        <v>0.0927835051546392</v>
      </c>
      <c r="D40" s="23"/>
      <c r="E40" s="23"/>
      <c r="F40" s="23"/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3"/>
    </row>
    <row r="42" customFormat="false" ht="15" hidden="false" customHeight="false" outlineLevel="0" collapsed="false">
      <c r="A42" s="19" t="s">
        <v>74</v>
      </c>
      <c r="B42" s="27"/>
      <c r="C42" s="27"/>
      <c r="D42" s="27"/>
      <c r="E42" s="27"/>
      <c r="F42" s="27"/>
    </row>
    <row r="43" customFormat="false" ht="15" hidden="false" customHeight="false" outlineLevel="0" collapsed="false">
      <c r="A43" s="28" t="s">
        <v>75</v>
      </c>
      <c r="B43" s="28" t="s">
        <v>20</v>
      </c>
      <c r="C43" s="28" t="s">
        <v>61</v>
      </c>
      <c r="D43" s="28" t="s">
        <v>50</v>
      </c>
      <c r="E43" s="28" t="s">
        <v>62</v>
      </c>
      <c r="F43" s="23"/>
    </row>
    <row r="44" customFormat="false" ht="15" hidden="false" customHeight="false" outlineLevel="0" collapsed="false">
      <c r="A44" s="23" t="str">
        <f aca="false">Assumptions!E4</f>
        <v>Foundation</v>
      </c>
      <c r="B44" s="23" t="n">
        <f aca="false">COUNTIFS(Students!$L$2:$L$601,$A44,Students!$C$2:$C$601,$B$2)</f>
        <v>116</v>
      </c>
      <c r="C44" s="23" t="n">
        <f aca="false">COUNTIFS(Students!$L$2:$L$601,$A44,Students!$C$2:$C$601,$B$2,Students!$O$2:$O$601,"Yes")</f>
        <v>34</v>
      </c>
      <c r="D44" s="29" t="n">
        <f aca="false">IF(B44=0,0,C44/B44)</f>
        <v>0.293103448275862</v>
      </c>
      <c r="E44" s="30" t="n">
        <f aca="false">IFERROR(AVERAGEIFS(Students!$P$2:$P$601,Students!$L$2:$L$601,$A44,Students!$C$2:$C$601,$B$2,Students!$O$2:$O$601,"Yes"),0)</f>
        <v>6.16176470588235</v>
      </c>
      <c r="F44" s="23"/>
    </row>
    <row r="45" customFormat="false" ht="15" hidden="false" customHeight="false" outlineLevel="0" collapsed="false">
      <c r="A45" s="23" t="str">
        <f aca="false">Assumptions!E5</f>
        <v>Developing</v>
      </c>
      <c r="B45" s="23" t="n">
        <f aca="false">COUNTIFS(Students!$L$2:$L$601,$A45,Students!$C$2:$C$601,$B$2)</f>
        <v>261</v>
      </c>
      <c r="C45" s="23" t="n">
        <f aca="false">COUNTIFS(Students!$L$2:$L$601,$A45,Students!$C$2:$C$601,$B$2,Students!$O$2:$O$601,"Yes")</f>
        <v>165</v>
      </c>
      <c r="D45" s="29" t="n">
        <f aca="false">IF(B45=0,0,C45/B45)</f>
        <v>0.632183908045977</v>
      </c>
      <c r="E45" s="30" t="n">
        <f aca="false">IFERROR(AVERAGEIFS(Students!$P$2:$P$601,Students!$L$2:$L$601,$A45,Students!$C$2:$C$601,$B$2,Students!$O$2:$O$601,"Yes"),0)</f>
        <v>8.51212121212121</v>
      </c>
      <c r="F45" s="23"/>
    </row>
    <row r="46" customFormat="false" ht="15" hidden="false" customHeight="false" outlineLevel="0" collapsed="false">
      <c r="A46" s="23" t="str">
        <f aca="false">Assumptions!E6</f>
        <v>Job-Ready</v>
      </c>
      <c r="B46" s="23" t="n">
        <f aca="false">COUNTIFS(Students!$L$2:$L$601,$A46,Students!$C$2:$C$601,$B$2)</f>
        <v>193</v>
      </c>
      <c r="C46" s="23" t="n">
        <f aca="false">COUNTIFS(Students!$L$2:$L$601,$A46,Students!$C$2:$C$601,$B$2,Students!$O$2:$O$601,"Yes")</f>
        <v>161</v>
      </c>
      <c r="D46" s="29" t="n">
        <f aca="false">IF(B46=0,0,C46/B46)</f>
        <v>0.83419689119171</v>
      </c>
      <c r="E46" s="30" t="n">
        <f aca="false">IFERROR(AVERAGEIFS(Students!$P$2:$P$601,Students!$L$2:$L$601,$A46,Students!$C$2:$C$601,$B$2,Students!$O$2:$O$601,"Yes"),0)</f>
        <v>11.5546583850932</v>
      </c>
      <c r="F46" s="23"/>
    </row>
    <row r="47" customFormat="false" ht="15" hidden="false" customHeight="false" outlineLevel="0" collapsed="false">
      <c r="A47" s="23" t="str">
        <f aca="false">Assumptions!E7</f>
        <v>Elite</v>
      </c>
      <c r="B47" s="23" t="n">
        <f aca="false">COUNTIFS(Students!$L$2:$L$601,$A47,Students!$C$2:$C$601,$B$2)</f>
        <v>30</v>
      </c>
      <c r="C47" s="23" t="n">
        <f aca="false">COUNTIFS(Students!$L$2:$L$601,$A47,Students!$C$2:$C$601,$B$2,Students!$O$2:$O$601,"Yes")</f>
        <v>28</v>
      </c>
      <c r="D47" s="29" t="n">
        <f aca="false">IF(B47=0,0,C47/B47)</f>
        <v>0.933333333333333</v>
      </c>
      <c r="E47" s="30" t="n">
        <f aca="false">IFERROR(AVERAGEIFS(Students!$P$2:$P$601,Students!$L$2:$L$601,$A47,Students!$C$2:$C$601,$B$2,Students!$O$2:$O$601,"Yes"),0)</f>
        <v>17.8285714285714</v>
      </c>
      <c r="F47" s="23"/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</row>
    <row r="49" customFormat="false" ht="15" hidden="false" customHeight="false" outlineLevel="0" collapsed="false">
      <c r="A49" s="19" t="s">
        <v>76</v>
      </c>
      <c r="B49" s="27"/>
      <c r="C49" s="27"/>
      <c r="D49" s="27"/>
      <c r="E49" s="27"/>
      <c r="F49" s="27"/>
    </row>
    <row r="50" customFormat="false" ht="15" hidden="false" customHeight="false" outlineLevel="0" collapsed="false">
      <c r="A50" s="28" t="s">
        <v>77</v>
      </c>
      <c r="B50" s="28" t="s">
        <v>78</v>
      </c>
      <c r="C50" s="23"/>
      <c r="D50" s="23"/>
      <c r="E50" s="23"/>
      <c r="F50" s="23"/>
    </row>
    <row r="51" customFormat="false" ht="15" hidden="false" customHeight="false" outlineLevel="0" collapsed="false">
      <c r="A51" s="23" t="str">
        <f aca="false">Assumptions!M4</f>
        <v>Jul</v>
      </c>
      <c r="B51" s="23" t="n">
        <f aca="false">COUNTIFS(Applications!$O$2:$O$3144,Assumptions!N4,Applications!$J$2:$J$3144,$B$2)</f>
        <v>0</v>
      </c>
      <c r="C51" s="23"/>
      <c r="D51" s="23"/>
      <c r="E51" s="23"/>
      <c r="F51" s="23"/>
    </row>
    <row r="52" customFormat="false" ht="15" hidden="false" customHeight="false" outlineLevel="0" collapsed="false">
      <c r="A52" s="23" t="str">
        <f aca="false">Assumptions!M5</f>
        <v>Aug</v>
      </c>
      <c r="B52" s="23" t="n">
        <f aca="false">COUNTIFS(Applications!$O$2:$O$3144,Assumptions!N5,Applications!$J$2:$J$3144,$B$2)</f>
        <v>8</v>
      </c>
      <c r="C52" s="23"/>
      <c r="D52" s="23"/>
      <c r="E52" s="23"/>
      <c r="F52" s="23"/>
    </row>
    <row r="53" customFormat="false" ht="15" hidden="false" customHeight="false" outlineLevel="0" collapsed="false">
      <c r="A53" s="23" t="str">
        <f aca="false">Assumptions!M6</f>
        <v>Sep</v>
      </c>
      <c r="B53" s="23" t="n">
        <f aca="false">COUNTIFS(Applications!$O$2:$O$3144,Assumptions!N6,Applications!$J$2:$J$3144,$B$2)</f>
        <v>34</v>
      </c>
      <c r="C53" s="23"/>
      <c r="D53" s="23"/>
      <c r="E53" s="23"/>
      <c r="F53" s="23"/>
    </row>
    <row r="54" customFormat="false" ht="15" hidden="false" customHeight="false" outlineLevel="0" collapsed="false">
      <c r="A54" s="23" t="str">
        <f aca="false">Assumptions!M7</f>
        <v>Oct</v>
      </c>
      <c r="B54" s="23" t="n">
        <f aca="false">COUNTIFS(Applications!$O$2:$O$3144,Assumptions!N7,Applications!$J$2:$J$3144,$B$2)</f>
        <v>47</v>
      </c>
      <c r="C54" s="23"/>
      <c r="D54" s="23"/>
      <c r="E54" s="23"/>
      <c r="F54" s="23"/>
    </row>
    <row r="55" customFormat="false" ht="15" hidden="false" customHeight="false" outlineLevel="0" collapsed="false">
      <c r="A55" s="23" t="str">
        <f aca="false">Assumptions!M8</f>
        <v>Nov</v>
      </c>
      <c r="B55" s="23" t="n">
        <f aca="false">COUNTIFS(Applications!$O$2:$O$3144,Assumptions!N8,Applications!$J$2:$J$3144,$B$2)</f>
        <v>59</v>
      </c>
      <c r="C55" s="23"/>
      <c r="D55" s="23"/>
      <c r="E55" s="23"/>
      <c r="F55" s="23"/>
    </row>
    <row r="56" customFormat="false" ht="15" hidden="false" customHeight="false" outlineLevel="0" collapsed="false">
      <c r="A56" s="23" t="str">
        <f aca="false">Assumptions!M9</f>
        <v>Dec</v>
      </c>
      <c r="B56" s="23" t="n">
        <f aca="false">COUNTIFS(Applications!$O$2:$O$3144,Assumptions!N9,Applications!$J$2:$J$3144,$B$2)</f>
        <v>68</v>
      </c>
      <c r="C56" s="23"/>
      <c r="D56" s="23"/>
      <c r="E56" s="23"/>
      <c r="F56" s="23"/>
    </row>
    <row r="57" customFormat="false" ht="15" hidden="false" customHeight="false" outlineLevel="0" collapsed="false">
      <c r="A57" s="23" t="str">
        <f aca="false">Assumptions!M10</f>
        <v>Jan</v>
      </c>
      <c r="B57" s="23" t="n">
        <f aca="false">COUNTIFS(Applications!$O$2:$O$3144,Assumptions!N10,Applications!$J$2:$J$3144,$B$2)</f>
        <v>63</v>
      </c>
      <c r="C57" s="23"/>
      <c r="D57" s="23"/>
      <c r="E57" s="23"/>
      <c r="F57" s="23"/>
    </row>
    <row r="58" customFormat="false" ht="15" hidden="false" customHeight="false" outlineLevel="0" collapsed="false">
      <c r="A58" s="23" t="str">
        <f aca="false">Assumptions!M11</f>
        <v>Feb</v>
      </c>
      <c r="B58" s="23" t="n">
        <f aca="false">COUNTIFS(Applications!$O$2:$O$3144,Assumptions!N11,Applications!$J$2:$J$3144,$B$2)</f>
        <v>51</v>
      </c>
      <c r="C58" s="23"/>
      <c r="D58" s="23"/>
      <c r="E58" s="23"/>
      <c r="F58" s="23"/>
    </row>
    <row r="59" customFormat="false" ht="15" hidden="false" customHeight="false" outlineLevel="0" collapsed="false">
      <c r="A59" s="23" t="str">
        <f aca="false">Assumptions!M12</f>
        <v>Mar</v>
      </c>
      <c r="B59" s="23" t="n">
        <f aca="false">COUNTIFS(Applications!$O$2:$O$3144,Assumptions!N12,Applications!$J$2:$J$3144,$B$2)</f>
        <v>46</v>
      </c>
      <c r="C59" s="23"/>
      <c r="D59" s="23"/>
      <c r="E59" s="23"/>
      <c r="F59" s="23"/>
    </row>
    <row r="60" customFormat="false" ht="15" hidden="false" customHeight="false" outlineLevel="0" collapsed="false">
      <c r="A60" s="23" t="str">
        <f aca="false">Assumptions!M13</f>
        <v>Apr</v>
      </c>
      <c r="B60" s="23" t="n">
        <f aca="false">COUNTIFS(Applications!$O$2:$O$3144,Assumptions!N13,Applications!$J$2:$J$3144,$B$2)</f>
        <v>12</v>
      </c>
      <c r="C60" s="23"/>
      <c r="D60" s="23"/>
      <c r="E60" s="23"/>
      <c r="F60" s="23"/>
    </row>
    <row r="61" customFormat="false" ht="15" hidden="false" customHeight="false" outlineLevel="0" collapsed="false">
      <c r="A61" s="23" t="str">
        <f aca="false">Assumptions!M14</f>
        <v>May</v>
      </c>
      <c r="B61" s="23" t="n">
        <f aca="false">COUNTIFS(Applications!$O$2:$O$3144,Assumptions!N14,Applications!$J$2:$J$3144,$B$2)</f>
        <v>0</v>
      </c>
      <c r="C61" s="23"/>
      <c r="D61" s="23"/>
      <c r="E61" s="23"/>
      <c r="F61" s="23"/>
    </row>
    <row r="62" customFormat="false" ht="15" hidden="false" customHeight="false" outlineLevel="0" collapsed="false">
      <c r="A62" s="23" t="str">
        <f aca="false">Assumptions!M15</f>
        <v>Jun</v>
      </c>
      <c r="B62" s="23" t="n">
        <f aca="false">COUNTIFS(Applications!$O$2:$O$3144,Assumptions!N15,Applications!$J$2:$J$3144,$B$2)</f>
        <v>0</v>
      </c>
      <c r="C62" s="23"/>
      <c r="D62" s="23"/>
      <c r="E62" s="23"/>
      <c r="F62" s="23"/>
    </row>
    <row r="63" customFormat="false" ht="15" hidden="false" customHeight="false" outlineLevel="0" collapsed="false">
      <c r="A63" s="23"/>
      <c r="B63" s="23"/>
      <c r="C63" s="23"/>
      <c r="D63" s="23"/>
      <c r="E63" s="23"/>
      <c r="F63" s="23"/>
    </row>
    <row r="64" customFormat="false" ht="15" hidden="false" customHeight="false" outlineLevel="0" collapsed="false">
      <c r="A64" s="19" t="s">
        <v>79</v>
      </c>
      <c r="B64" s="27"/>
      <c r="C64" s="27"/>
      <c r="D64" s="27"/>
      <c r="E64" s="27"/>
      <c r="F64" s="27"/>
    </row>
    <row r="65" customFormat="false" ht="15" hidden="false" customHeight="false" outlineLevel="0" collapsed="false">
      <c r="A65" s="28" t="s">
        <v>80</v>
      </c>
      <c r="B65" s="28" t="s">
        <v>78</v>
      </c>
      <c r="C65" s="28" t="s">
        <v>62</v>
      </c>
      <c r="D65" s="23"/>
      <c r="E65" s="23"/>
      <c r="F65" s="23"/>
    </row>
    <row r="66" customFormat="false" ht="15" hidden="false" customHeight="false" outlineLevel="0" collapsed="false">
      <c r="A66" s="23" t="s">
        <v>81</v>
      </c>
      <c r="B66" s="23" t="n">
        <f aca="false">COUNTIFS(Applications!$L$2:$L$3144,$A66,Applications!$H$2:$H$3144,"Yes",Applications!$J$2:$J$3144,$B$2)</f>
        <v>43</v>
      </c>
      <c r="C66" s="30" t="n">
        <f aca="false">IFERROR(AVERAGEIFS(Applications!$G$2:$G$3144,Applications!$L$2:$L$3144,$A66,Applications!$H$2:$H$3144,"Yes",Applications!$J$2:$J$3144,$B$2),0)</f>
        <v>10.7720930232558</v>
      </c>
      <c r="D66" s="23"/>
      <c r="E66" s="23"/>
      <c r="F66" s="23"/>
    </row>
    <row r="67" customFormat="false" ht="15" hidden="false" customHeight="false" outlineLevel="0" collapsed="false">
      <c r="A67" s="23" t="s">
        <v>63</v>
      </c>
      <c r="B67" s="23" t="n">
        <f aca="false">COUNTIFS(Applications!$L$2:$L$3144,$A67,Applications!$H$2:$H$3144,"Yes",Applications!$J$2:$J$3144,$B$2)</f>
        <v>14</v>
      </c>
      <c r="C67" s="30" t="n">
        <f aca="false">IFERROR(AVERAGEIFS(Applications!$G$2:$G$3144,Applications!$L$2:$L$3144,$A67,Applications!$H$2:$H$3144,"Yes",Applications!$J$2:$J$3144,$B$2),0)</f>
        <v>14.4142857142857</v>
      </c>
      <c r="D67" s="23"/>
      <c r="E67" s="23"/>
      <c r="F67" s="23"/>
    </row>
    <row r="68" customFormat="false" ht="15" hidden="false" customHeight="false" outlineLevel="0" collapsed="false">
      <c r="A68" s="23" t="s">
        <v>82</v>
      </c>
      <c r="B68" s="23" t="n">
        <f aca="false">COUNTIFS(Applications!$L$2:$L$3144,$A68,Applications!$H$2:$H$3144,"Yes",Applications!$J$2:$J$3144,$B$2)</f>
        <v>53</v>
      </c>
      <c r="C68" s="30" t="n">
        <f aca="false">IFERROR(AVERAGEIFS(Applications!$G$2:$G$3144,Applications!$L$2:$L$3144,$A68,Applications!$H$2:$H$3144,"Yes",Applications!$J$2:$J$3144,$B$2),0)</f>
        <v>11.6452830188679</v>
      </c>
      <c r="D68" s="23"/>
      <c r="E68" s="23"/>
      <c r="F68" s="23"/>
    </row>
    <row r="69" customFormat="false" ht="15" hidden="false" customHeight="false" outlineLevel="0" collapsed="false">
      <c r="A69" s="23" t="s">
        <v>83</v>
      </c>
      <c r="B69" s="23" t="n">
        <f aca="false">COUNTIFS(Applications!$L$2:$L$3144,$A69,Applications!$H$2:$H$3144,"Yes",Applications!$J$2:$J$3144,$B$2)</f>
        <v>37</v>
      </c>
      <c r="C69" s="30" t="n">
        <f aca="false">IFERROR(AVERAGEIFS(Applications!$G$2:$G$3144,Applications!$L$2:$L$3144,$A69,Applications!$H$2:$H$3144,"Yes",Applications!$J$2:$J$3144,$B$2),0)</f>
        <v>9.29189189189189</v>
      </c>
      <c r="D69" s="23"/>
      <c r="E69" s="23"/>
      <c r="F69" s="23"/>
    </row>
    <row r="70" customFormat="false" ht="15" hidden="false" customHeight="false" outlineLevel="0" collapsed="false">
      <c r="A70" s="23" t="s">
        <v>84</v>
      </c>
      <c r="B70" s="23" t="n">
        <f aca="false">COUNTIFS(Applications!$L$2:$L$3144,$A70,Applications!$H$2:$H$3144,"Yes",Applications!$J$2:$J$3144,$B$2)</f>
        <v>46</v>
      </c>
      <c r="C70" s="30" t="n">
        <f aca="false">IFERROR(AVERAGEIFS(Applications!$G$2:$G$3144,Applications!$L$2:$L$3144,$A70,Applications!$H$2:$H$3144,"Yes",Applications!$J$2:$J$3144,$B$2),0)</f>
        <v>15.654347826087</v>
      </c>
      <c r="D70" s="23"/>
      <c r="E70" s="23"/>
      <c r="F70" s="23"/>
    </row>
    <row r="71" customFormat="false" ht="15" hidden="false" customHeight="false" outlineLevel="0" collapsed="false">
      <c r="A71" s="23" t="s">
        <v>85</v>
      </c>
      <c r="B71" s="23" t="n">
        <f aca="false">COUNTIFS(Applications!$L$2:$L$3144,$A71,Applications!$H$2:$H$3144,"Yes",Applications!$J$2:$J$3144,$B$2)</f>
        <v>43</v>
      </c>
      <c r="C71" s="30" t="n">
        <f aca="false">IFERROR(AVERAGEIFS(Applications!$G$2:$G$3144,Applications!$L$2:$L$3144,$A71,Applications!$H$2:$H$3144,"Yes",Applications!$J$2:$J$3144,$B$2),0)</f>
        <v>9.66511627906977</v>
      </c>
      <c r="D71" s="23"/>
      <c r="E71" s="23"/>
      <c r="F71" s="23"/>
    </row>
    <row r="72" customFormat="false" ht="15" hidden="false" customHeight="false" outlineLevel="0" collapsed="false">
      <c r="A72" s="23" t="s">
        <v>86</v>
      </c>
      <c r="B72" s="23" t="n">
        <f aca="false">COUNTIFS(Applications!$L$2:$L$3144,$A72,Applications!$H$2:$H$3144,"Yes",Applications!$J$2:$J$3144,$B$2)</f>
        <v>124</v>
      </c>
      <c r="C72" s="30" t="n">
        <f aca="false">IFERROR(AVERAGEIFS(Applications!$G$2:$G$3144,Applications!$L$2:$L$3144,$A72,Applications!$H$2:$H$3144,"Yes",Applications!$J$2:$J$3144,$B$2),0)</f>
        <v>5.84677419354839</v>
      </c>
      <c r="D72" s="23"/>
      <c r="E72" s="23"/>
      <c r="F72" s="23"/>
    </row>
    <row r="73" customFormat="false" ht="15" hidden="false" customHeight="false" outlineLevel="0" collapsed="false">
      <c r="A73" s="23" t="s">
        <v>87</v>
      </c>
      <c r="B73" s="23" t="n">
        <f aca="false">COUNTIFS(Applications!$L$2:$L$3144,$A73,Applications!$H$2:$H$3144,"Yes",Applications!$J$2:$J$3144,$B$2)</f>
        <v>28</v>
      </c>
      <c r="C73" s="30" t="n">
        <f aca="false">IFERROR(AVERAGEIFS(Applications!$G$2:$G$3144,Applications!$L$2:$L$3144,$A73,Applications!$H$2:$H$3144,"Yes",Applications!$J$2:$J$3144,$B$2),0)</f>
        <v>17.3857142857143</v>
      </c>
      <c r="D73" s="23"/>
      <c r="E73" s="23"/>
      <c r="F73" s="23"/>
    </row>
    <row r="74" customFormat="false" ht="15" hidden="false" customHeight="false" outlineLevel="0" collapsed="false">
      <c r="A74" s="23"/>
      <c r="B74" s="23"/>
      <c r="C74" s="23"/>
      <c r="D74" s="23"/>
      <c r="E74" s="23"/>
      <c r="F74" s="23"/>
    </row>
    <row r="75" customFormat="false" ht="15" hidden="false" customHeight="false" outlineLevel="0" collapsed="false">
      <c r="A75" s="19" t="s">
        <v>88</v>
      </c>
      <c r="B75" s="27"/>
      <c r="C75" s="27"/>
      <c r="D75" s="27"/>
      <c r="E75" s="27"/>
      <c r="F75" s="27"/>
    </row>
    <row r="76" customFormat="false" ht="15" hidden="false" customHeight="false" outlineLevel="0" collapsed="false">
      <c r="A76" s="28" t="s">
        <v>89</v>
      </c>
      <c r="B76" s="28" t="s">
        <v>78</v>
      </c>
      <c r="C76" s="28" t="s">
        <v>62</v>
      </c>
      <c r="D76" s="23"/>
      <c r="E76" s="23"/>
      <c r="F76" s="23"/>
    </row>
    <row r="77" customFormat="false" ht="15" hidden="false" customHeight="false" outlineLevel="0" collapsed="false">
      <c r="A77" s="23" t="s">
        <v>90</v>
      </c>
      <c r="B77" s="23" t="n">
        <f aca="false">COUNTIFS(Applications!$M$2:$M$3144,$A77,Applications!$H$2:$H$3144,"Yes",Applications!$J$2:$J$3144,$B$2)</f>
        <v>39</v>
      </c>
      <c r="C77" s="30" t="n">
        <f aca="false">IFERROR(AVERAGEIFS(Applications!$G$2:$G$3144,Applications!$M$2:$M$3144,$A77,Applications!$H$2:$H$3144,"Yes",Applications!$J$2:$J$3144,$B$2),0)</f>
        <v>23.8102564102564</v>
      </c>
      <c r="D77" s="23"/>
      <c r="E77" s="23"/>
      <c r="F77" s="23"/>
    </row>
    <row r="78" customFormat="false" ht="15" hidden="false" customHeight="false" outlineLevel="0" collapsed="false">
      <c r="A78" s="23" t="s">
        <v>91</v>
      </c>
      <c r="B78" s="23" t="n">
        <f aca="false">COUNTIFS(Applications!$M$2:$M$3144,$A78,Applications!$H$2:$H$3144,"Yes",Applications!$J$2:$J$3144,$B$2)</f>
        <v>161</v>
      </c>
      <c r="C78" s="30" t="n">
        <f aca="false">IFERROR(AVERAGEIFS(Applications!$G$2:$G$3144,Applications!$M$2:$M$3144,$A78,Applications!$H$2:$H$3144,"Yes",Applications!$J$2:$J$3144,$B$2),0)</f>
        <v>11.995652173913</v>
      </c>
      <c r="D78" s="23"/>
      <c r="E78" s="23"/>
      <c r="F78" s="23"/>
    </row>
    <row r="79" customFormat="false" ht="15" hidden="false" customHeight="false" outlineLevel="0" collapsed="false">
      <c r="A79" s="23" t="s">
        <v>92</v>
      </c>
      <c r="B79" s="23" t="n">
        <f aca="false">COUNTIFS(Applications!$M$2:$M$3144,$A79,Applications!$H$2:$H$3144,"Yes",Applications!$J$2:$J$3144,$B$2)</f>
        <v>188</v>
      </c>
      <c r="C79" s="30" t="n">
        <f aca="false">IFERROR(AVERAGEIFS(Applications!$G$2:$G$3144,Applications!$M$2:$M$3144,$A79,Applications!$H$2:$H$3144,"Yes",Applications!$J$2:$J$3144,$B$2),0)</f>
        <v>5.92340425531915</v>
      </c>
      <c r="D79" s="23"/>
      <c r="E79" s="23"/>
      <c r="F79" s="23"/>
    </row>
    <row r="80" customFormat="false" ht="15" hidden="false" customHeight="false" outlineLevel="0" collapsed="false">
      <c r="A80" s="23"/>
      <c r="B80" s="23"/>
      <c r="C80" s="23"/>
      <c r="D80" s="23"/>
      <c r="E80" s="23"/>
      <c r="F80" s="23"/>
    </row>
    <row r="81" customFormat="false" ht="15" hidden="false" customHeight="false" outlineLevel="0" collapsed="false">
      <c r="A81" s="19" t="s">
        <v>93</v>
      </c>
      <c r="B81" s="27"/>
      <c r="C81" s="27"/>
      <c r="D81" s="27"/>
      <c r="E81" s="27"/>
      <c r="F81" s="27"/>
    </row>
    <row r="82" customFormat="false" ht="15" hidden="false" customHeight="false" outlineLevel="0" collapsed="false">
      <c r="A82" s="28" t="s">
        <v>94</v>
      </c>
      <c r="B82" s="28" t="s">
        <v>95</v>
      </c>
      <c r="C82" s="28" t="s">
        <v>80</v>
      </c>
      <c r="D82" s="28" t="s">
        <v>96</v>
      </c>
      <c r="E82" s="28" t="s">
        <v>78</v>
      </c>
      <c r="F82" s="28" t="s">
        <v>62</v>
      </c>
    </row>
    <row r="83" customFormat="false" ht="15" hidden="false" customHeight="false" outlineLevel="0" collapsed="false">
      <c r="A83" s="23" t="n">
        <v>1</v>
      </c>
      <c r="B83" s="23" t="str">
        <f aca="false">INDEX(Companies!$B$2:$B$31,MATCH(LARGE(Companies!$K$2:$K$31,$A83),Companies!$K$2:$K$31,0))</f>
        <v>Sapphire Infotech</v>
      </c>
      <c r="C83" s="23" t="str">
        <f aca="false">INDEX(Companies!$C$2:$C$31,MATCH(LARGE(Companies!$K$2:$K$31,$A83),Companies!$K$2:$K$31,0))</f>
        <v>IT Services</v>
      </c>
      <c r="D83" s="23" t="str">
        <f aca="false">INDEX(Companies!$D$2:$D$31,MATCH(LARGE(Companies!$K$2:$K$31,$A83),Companies!$K$2:$K$31,0))</f>
        <v>Tier 3</v>
      </c>
      <c r="E83" s="31" t="n">
        <f aca="false">INDEX(Companies!$H$2:$H$31,MATCH(LARGE(Companies!$K$2:$K$31,$A83),Companies!$K$2:$K$31,0))</f>
        <v>20</v>
      </c>
      <c r="F83" s="30" t="n">
        <f aca="false">INDEX(Companies!$J$2:$J$31,MATCH(LARGE(Companies!$K$2:$K$31,$A83),Companies!$K$2:$K$31,0))</f>
        <v>5.775</v>
      </c>
    </row>
    <row r="84" customFormat="false" ht="15" hidden="false" customHeight="false" outlineLevel="0" collapsed="false">
      <c r="A84" s="23" t="n">
        <v>2</v>
      </c>
      <c r="B84" s="23" t="str">
        <f aca="false">INDEX(Companies!$B$2:$B$31,MATCH(LARGE(Companies!$K$2:$K$31,$A84),Companies!$K$2:$K$31,0))</f>
        <v>FinStack</v>
      </c>
      <c r="C84" s="23" t="str">
        <f aca="false">INDEX(Companies!$C$2:$C$31,MATCH(LARGE(Companies!$K$2:$K$31,$A84),Companies!$K$2:$K$31,0))</f>
        <v>Fintech</v>
      </c>
      <c r="D84" s="23" t="str">
        <f aca="false">INDEX(Companies!$D$2:$D$31,MATCH(LARGE(Companies!$K$2:$K$31,$A84),Companies!$K$2:$K$31,0))</f>
        <v>Tier 2</v>
      </c>
      <c r="E84" s="31" t="n">
        <f aca="false">INDEX(Companies!$H$2:$H$31,MATCH(LARGE(Companies!$K$2:$K$31,$A84),Companies!$K$2:$K$31,0))</f>
        <v>19</v>
      </c>
      <c r="F84" s="30" t="n">
        <f aca="false">INDEX(Companies!$J$2:$J$31,MATCH(LARGE(Companies!$K$2:$K$31,$A84),Companies!$K$2:$K$31,0))</f>
        <v>12.5368421052632</v>
      </c>
    </row>
    <row r="85" customFormat="false" ht="15" hidden="false" customHeight="false" outlineLevel="0" collapsed="false">
      <c r="A85" s="23" t="n">
        <v>3</v>
      </c>
      <c r="B85" s="23" t="str">
        <f aca="false">INDEX(Companies!$B$2:$B$31,MATCH(LARGE(Companies!$K$2:$K$31,$A85),Companies!$K$2:$K$31,0))</f>
        <v>AlphaGrid Tech</v>
      </c>
      <c r="C85" s="23" t="str">
        <f aca="false">INDEX(Companies!$C$2:$C$31,MATCH(LARGE(Companies!$K$2:$K$31,$A85),Companies!$K$2:$K$31,0))</f>
        <v>IT Services</v>
      </c>
      <c r="D85" s="23" t="str">
        <f aca="false">INDEX(Companies!$D$2:$D$31,MATCH(LARGE(Companies!$K$2:$K$31,$A85),Companies!$K$2:$K$31,0))</f>
        <v>Tier 3</v>
      </c>
      <c r="E85" s="31" t="n">
        <f aca="false">INDEX(Companies!$H$2:$H$31,MATCH(LARGE(Companies!$K$2:$K$31,$A85),Companies!$K$2:$K$31,0))</f>
        <v>19</v>
      </c>
      <c r="F85" s="30" t="n">
        <f aca="false">INDEX(Companies!$J$2:$J$31,MATCH(LARGE(Companies!$K$2:$K$31,$A85),Companies!$K$2:$K$31,0))</f>
        <v>6.05263157894737</v>
      </c>
    </row>
    <row r="86" customFormat="false" ht="15" hidden="false" customHeight="false" outlineLevel="0" collapsed="false">
      <c r="A86" s="23" t="n">
        <v>4</v>
      </c>
      <c r="B86" s="23" t="str">
        <f aca="false">INDEX(Companies!$B$2:$B$31,MATCH(LARGE(Companies!$K$2:$K$31,$A86),Companies!$K$2:$K$31,0))</f>
        <v>ShopSprint</v>
      </c>
      <c r="C86" s="23" t="str">
        <f aca="false">INDEX(Companies!$C$2:$C$31,MATCH(LARGE(Companies!$K$2:$K$31,$A86),Companies!$K$2:$K$31,0))</f>
        <v>E-commerce</v>
      </c>
      <c r="D86" s="23" t="str">
        <f aca="false">INDEX(Companies!$D$2:$D$31,MATCH(LARGE(Companies!$K$2:$K$31,$A86),Companies!$K$2:$K$31,0))</f>
        <v>Tier 2</v>
      </c>
      <c r="E86" s="31" t="n">
        <f aca="false">INDEX(Companies!$H$2:$H$31,MATCH(LARGE(Companies!$K$2:$K$31,$A86),Companies!$K$2:$K$31,0))</f>
        <v>18</v>
      </c>
      <c r="F86" s="30" t="n">
        <f aca="false">INDEX(Companies!$J$2:$J$31,MATCH(LARGE(Companies!$K$2:$K$31,$A86),Companies!$K$2:$K$31,0))</f>
        <v>11.4944444444444</v>
      </c>
    </row>
    <row r="87" customFormat="false" ht="15" hidden="false" customHeight="false" outlineLevel="0" collapsed="false">
      <c r="A87" s="23" t="n">
        <v>5</v>
      </c>
      <c r="B87" s="23" t="str">
        <f aca="false">INDEX(Companies!$B$2:$B$31,MATCH(LARGE(Companies!$K$2:$K$31,$A87),Companies!$K$2:$K$31,0))</f>
        <v>TechBridge Consulting</v>
      </c>
      <c r="C87" s="23" t="str">
        <f aca="false">INDEX(Companies!$C$2:$C$31,MATCH(LARGE(Companies!$K$2:$K$31,$A87),Companies!$K$2:$K$31,0))</f>
        <v>IT Services</v>
      </c>
      <c r="D87" s="23" t="str">
        <f aca="false">INDEX(Companies!$D$2:$D$31,MATCH(LARGE(Companies!$K$2:$K$31,$A87),Companies!$K$2:$K$31,0))</f>
        <v>Tier 3</v>
      </c>
      <c r="E87" s="31" t="n">
        <f aca="false">INDEX(Companies!$H$2:$H$31,MATCH(LARGE(Companies!$K$2:$K$31,$A87),Companies!$K$2:$K$31,0))</f>
        <v>17</v>
      </c>
      <c r="F87" s="30" t="n">
        <f aca="false">INDEX(Companies!$J$2:$J$31,MATCH(LARGE(Companies!$K$2:$K$31,$A87),Companies!$K$2:$K$31,0))</f>
        <v>6.07058823529412</v>
      </c>
    </row>
    <row r="88" customFormat="false" ht="15" hidden="false" customHeight="false" outlineLevel="0" collapsed="false">
      <c r="A88" s="23" t="n">
        <v>6</v>
      </c>
      <c r="B88" s="23" t="str">
        <f aca="false">INDEX(Companies!$B$2:$B$31,MATCH(LARGE(Companies!$K$2:$K$31,$A88),Companies!$K$2:$K$31,0))</f>
        <v>Bharat Digital</v>
      </c>
      <c r="C88" s="23" t="str">
        <f aca="false">INDEX(Companies!$C$2:$C$31,MATCH(LARGE(Companies!$K$2:$K$31,$A88),Companies!$K$2:$K$31,0))</f>
        <v>IT Services</v>
      </c>
      <c r="D88" s="23" t="str">
        <f aca="false">INDEX(Companies!$D$2:$D$31,MATCH(LARGE(Companies!$K$2:$K$31,$A88),Companies!$K$2:$K$31,0))</f>
        <v>Tier 3</v>
      </c>
      <c r="E88" s="31" t="n">
        <f aca="false">INDEX(Companies!$H$2:$H$31,MATCH(LARGE(Companies!$K$2:$K$31,$A88),Companies!$K$2:$K$31,0))</f>
        <v>17</v>
      </c>
      <c r="F88" s="30" t="n">
        <f aca="false">INDEX(Companies!$J$2:$J$31,MATCH(LARGE(Companies!$K$2:$K$31,$A88),Companies!$K$2:$K$31,0))</f>
        <v>6.05882352941176</v>
      </c>
    </row>
    <row r="89" customFormat="false" ht="15" hidden="false" customHeight="false" outlineLevel="0" collapsed="false">
      <c r="A89" s="23" t="n">
        <v>7</v>
      </c>
      <c r="B89" s="23" t="str">
        <f aca="false">INDEX(Companies!$B$2:$B$31,MATCH(LARGE(Companies!$K$2:$K$31,$A89),Companies!$K$2:$K$31,0))</f>
        <v>HealthLink Digital</v>
      </c>
      <c r="C89" s="23" t="str">
        <f aca="false">INDEX(Companies!$C$2:$C$31,MATCH(LARGE(Companies!$K$2:$K$31,$A89),Companies!$K$2:$K$31,0))</f>
        <v>Healthtech</v>
      </c>
      <c r="D89" s="23" t="str">
        <f aca="false">INDEX(Companies!$D$2:$D$31,MATCH(LARGE(Companies!$K$2:$K$31,$A89),Companies!$K$2:$K$31,0))</f>
        <v>Tier 3</v>
      </c>
      <c r="E89" s="31" t="n">
        <f aca="false">INDEX(Companies!$H$2:$H$31,MATCH(LARGE(Companies!$K$2:$K$31,$A89),Companies!$K$2:$K$31,0))</f>
        <v>17</v>
      </c>
      <c r="F89" s="30" t="n">
        <f aca="false">INDEX(Companies!$J$2:$J$31,MATCH(LARGE(Companies!$K$2:$K$31,$A89),Companies!$K$2:$K$31,0))</f>
        <v>5.8764705882353</v>
      </c>
    </row>
    <row r="90" customFormat="false" ht="15" hidden="false" customHeight="false" outlineLevel="0" collapsed="false">
      <c r="A90" s="23" t="n">
        <v>8</v>
      </c>
      <c r="B90" s="23" t="str">
        <f aca="false">INDEX(Companies!$B$2:$B$31,MATCH(LARGE(Companies!$K$2:$K$31,$A90),Companies!$K$2:$K$31,0))</f>
        <v>RetailRocket</v>
      </c>
      <c r="C90" s="23" t="str">
        <f aca="false">INDEX(Companies!$C$2:$C$31,MATCH(LARGE(Companies!$K$2:$K$31,$A90),Companies!$K$2:$K$31,0))</f>
        <v>E-commerce</v>
      </c>
      <c r="D90" s="23" t="str">
        <f aca="false">INDEX(Companies!$D$2:$D$31,MATCH(LARGE(Companies!$K$2:$K$31,$A90),Companies!$K$2:$K$31,0))</f>
        <v>Tier 3</v>
      </c>
      <c r="E90" s="31" t="n">
        <f aca="false">INDEX(Companies!$H$2:$H$31,MATCH(LARGE(Companies!$K$2:$K$31,$A90),Companies!$K$2:$K$31,0))</f>
        <v>16</v>
      </c>
      <c r="F90" s="30" t="n">
        <f aca="false">INDEX(Companies!$J$2:$J$31,MATCH(LARGE(Companies!$K$2:$K$31,$A90),Companies!$K$2:$K$31,0))</f>
        <v>6.09375</v>
      </c>
    </row>
    <row r="91" customFormat="false" ht="15" hidden="false" customHeight="false" outlineLevel="0" collapsed="false">
      <c r="A91" s="23" t="n">
        <v>9</v>
      </c>
      <c r="B91" s="23" t="str">
        <f aca="false">INDEX(Companies!$B$2:$B$31,MATCH(LARGE(Companies!$K$2:$K$31,$A91),Companies!$K$2:$K$31,0))</f>
        <v>DataHarbor</v>
      </c>
      <c r="C91" s="23" t="str">
        <f aca="false">INDEX(Companies!$C$2:$C$31,MATCH(LARGE(Companies!$K$2:$K$31,$A91),Companies!$K$2:$K$31,0))</f>
        <v>Analytics &amp; Consulting</v>
      </c>
      <c r="D91" s="23" t="str">
        <f aca="false">INDEX(Companies!$D$2:$D$31,MATCH(LARGE(Companies!$K$2:$K$31,$A91),Companies!$K$2:$K$31,0))</f>
        <v>Tier 3</v>
      </c>
      <c r="E91" s="31" t="n">
        <f aca="false">INDEX(Companies!$H$2:$H$31,MATCH(LARGE(Companies!$K$2:$K$31,$A91),Companies!$K$2:$K$31,0))</f>
        <v>16</v>
      </c>
      <c r="F91" s="30" t="n">
        <f aca="false">INDEX(Companies!$J$2:$J$31,MATCH(LARGE(Companies!$K$2:$K$31,$A91),Companies!$K$2:$K$31,0))</f>
        <v>6.33125</v>
      </c>
    </row>
    <row r="92" customFormat="false" ht="15" hidden="false" customHeight="false" outlineLevel="0" collapsed="false">
      <c r="A92" s="23" t="n">
        <v>10</v>
      </c>
      <c r="B92" s="23" t="str">
        <f aca="false">INDEX(Companies!$B$2:$B$31,MATCH(LARGE(Companies!$K$2:$K$31,$A92),Companies!$K$2:$K$31,0))</f>
        <v>MediSphere</v>
      </c>
      <c r="C92" s="23" t="str">
        <f aca="false">INDEX(Companies!$C$2:$C$31,MATCH(LARGE(Companies!$K$2:$K$31,$A92),Companies!$K$2:$K$31,0))</f>
        <v>Healthtech</v>
      </c>
      <c r="D92" s="23" t="str">
        <f aca="false">INDEX(Companies!$D$2:$D$31,MATCH(LARGE(Companies!$K$2:$K$31,$A92),Companies!$K$2:$K$31,0))</f>
        <v>Tier 2</v>
      </c>
      <c r="E92" s="31" t="n">
        <f aca="false">INDEX(Companies!$H$2:$H$31,MATCH(LARGE(Companies!$K$2:$K$31,$A92),Companies!$K$2:$K$31,0))</f>
        <v>15</v>
      </c>
      <c r="F92" s="30" t="n">
        <f aca="false">INDEX(Companies!$J$2:$J$31,MATCH(LARGE(Companies!$K$2:$K$31,$A92),Companies!$K$2:$K$31,0))</f>
        <v>12.3266666666667</v>
      </c>
    </row>
  </sheetData>
  <conditionalFormatting sqref="D20:D24">
    <cfRule type="colorScale" priority="2">
      <colorScale>
        <cfvo type="min" val="0"/>
        <cfvo type="max" val="0"/>
        <color rgb="FFFEE2E2"/>
        <color rgb="FFBBF7D0"/>
      </colorScale>
    </cfRule>
  </conditionalFormatting>
  <conditionalFormatting sqref="D44:D47">
    <cfRule type="colorScale" priority="3">
      <colorScale>
        <cfvo type="min" val="0"/>
        <cfvo type="max" val="0"/>
        <color rgb="FFFEE2E2"/>
        <color rgb="FFBBF7D0"/>
      </colorScale>
    </cfRule>
  </conditionalFormatting>
  <conditionalFormatting sqref="E83:E92">
    <cfRule type="dataBar" priority="4">
      <dataBar showValue="1" minLength="10" maxLength="90">
        <cfvo type="num" val="0"/>
        <cfvo type="max" val="0"/>
        <color rgb="FFF26B21"/>
      </dataBar>
      <extLst>
        <ext xmlns:x14="http://schemas.microsoft.com/office/spreadsheetml/2009/9/main" uri="{B025F937-C7B1-47D3-B67F-A62EFF666E3E}">
          <x14:id>{CC149650-9FB0-481D-909B-D08BAF1039CA}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149650-9FB0-481D-909B-D08BAF1039CA}">
            <x14:dataBar minLength="10" maxLength="90" axisPosition="none" gradient="true">
              <x14:cfvo type="num">
                <xm:f>0</xm:f>
              </x14:cfvo>
              <x14:cfvo type="max"/>
              <x14:negativeFillColor rgb="FFF26B21"/>
              <x14:axisColor rgb="FF000000"/>
            </x14:dataBar>
          </x14:cfRule>
          <xm:sqref>E83:E92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A1:Q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5" min="14" style="0" width="8"/>
    <col collapsed="false" customWidth="true" hidden="false" outlineLevel="0" max="16" min="16" style="0" width="12"/>
    <col collapsed="false" customWidth="true" hidden="false" outlineLevel="0" max="17" min="17" style="0" width="24"/>
  </cols>
  <sheetData>
    <row r="1" customFormat="false" ht="31.5" hidden="false" customHeight="true" outlineLevel="0" collapsed="false">
      <c r="A1" s="28" t="s">
        <v>97</v>
      </c>
      <c r="B1" s="28" t="s">
        <v>98</v>
      </c>
      <c r="C1" s="28" t="s">
        <v>99</v>
      </c>
      <c r="D1" s="28" t="s">
        <v>60</v>
      </c>
      <c r="E1" s="28" t="s">
        <v>100</v>
      </c>
      <c r="F1" s="28" t="s">
        <v>101</v>
      </c>
      <c r="G1" s="28" t="s">
        <v>102</v>
      </c>
      <c r="H1" s="28" t="s">
        <v>103</v>
      </c>
      <c r="I1" s="28" t="s">
        <v>104</v>
      </c>
      <c r="J1" s="28" t="s">
        <v>105</v>
      </c>
      <c r="K1" s="28" t="s">
        <v>106</v>
      </c>
      <c r="L1" s="28" t="s">
        <v>75</v>
      </c>
      <c r="M1" s="28" t="s">
        <v>22</v>
      </c>
      <c r="N1" s="28" t="s">
        <v>107</v>
      </c>
      <c r="O1" s="28" t="s">
        <v>61</v>
      </c>
      <c r="P1" s="28" t="s">
        <v>108</v>
      </c>
      <c r="Q1" s="28" t="s">
        <v>109</v>
      </c>
    </row>
    <row r="2" customFormat="false" ht="15" hidden="false" customHeight="false" outlineLevel="0" collapsed="false">
      <c r="A2" s="21" t="s">
        <v>110</v>
      </c>
      <c r="B2" s="21" t="s">
        <v>111</v>
      </c>
      <c r="C2" s="21" t="s">
        <v>112</v>
      </c>
      <c r="D2" s="21" t="s">
        <v>64</v>
      </c>
      <c r="E2" s="21" t="s">
        <v>92</v>
      </c>
      <c r="F2" s="21" t="n">
        <v>8.35</v>
      </c>
      <c r="G2" s="21" t="n">
        <v>509</v>
      </c>
      <c r="H2" s="21" t="n">
        <v>2</v>
      </c>
      <c r="I2" s="21" t="s">
        <v>113</v>
      </c>
      <c r="J2" s="21" t="n">
        <v>62</v>
      </c>
      <c r="K2" s="32" t="n">
        <f aca="false">ROUND(Assumptions!$B$4*MIN(G2/Assumptions!$B$11,1)*100+Assumptions!$B$5*F2/10*100+Assumptions!$B$6*MIN(H2/Assumptions!$B$12,1)*100+Assumptions!$B$7*J2+Assumptions!$B$8*IF(I2="Yes",100,0),1)</f>
        <v>67.1</v>
      </c>
      <c r="L2" s="21" t="str">
        <f aca="false">LOOKUP(K2,Assumptions!$D$4:$D$7,Assumptions!$E$4:$E$7)</f>
        <v>Job-Ready</v>
      </c>
      <c r="M2" s="21" t="n">
        <f aca="false">COUNTIFS(Applications!$B$2:$B$3144,A2)</f>
        <v>7</v>
      </c>
      <c r="N2" s="21" t="n">
        <f aca="false">COUNTIFS(Applications!$B$2:$B$3144,A2,Applications!$F$2:$F$3144,"Offered")</f>
        <v>3</v>
      </c>
      <c r="O2" s="21" t="str">
        <f aca="false">IF(COUNTIFS(Applications!$B$2:$B$3144,A2,Applications!$H$2:$H$3144,"Yes")&gt;0,"Yes","No")</f>
        <v>Yes</v>
      </c>
      <c r="P2" s="32" t="n">
        <f aca="false">SUMIFS(Applications!$G$2:$G$3144,Applications!$B$2:$B$3144,A2,Applications!$H$2:$H$3144,"Yes")</f>
        <v>23.9</v>
      </c>
      <c r="Q2" s="21" t="str">
        <f aca="false">IF(O2="Yes",INDEX(Companies!$B$2:$B$31,MATCH(INDEX(Applications!$C$2:$C$3144,MATCH(A2,Applications!$P$2:$P$3144,0)),Companies!$A$2:$A$31,0)),"-")</f>
        <v>HelixSecure</v>
      </c>
    </row>
    <row r="3" customFormat="false" ht="15" hidden="false" customHeight="false" outlineLevel="0" collapsed="false">
      <c r="A3" s="21" t="s">
        <v>114</v>
      </c>
      <c r="B3" s="21" t="s">
        <v>115</v>
      </c>
      <c r="C3" s="21" t="s">
        <v>112</v>
      </c>
      <c r="D3" s="21" t="s">
        <v>64</v>
      </c>
      <c r="E3" s="21" t="s">
        <v>90</v>
      </c>
      <c r="F3" s="21" t="n">
        <v>7.83</v>
      </c>
      <c r="G3" s="21" t="n">
        <v>275</v>
      </c>
      <c r="H3" s="21" t="n">
        <v>6</v>
      </c>
      <c r="I3" s="21" t="s">
        <v>113</v>
      </c>
      <c r="J3" s="21" t="n">
        <v>67</v>
      </c>
      <c r="K3" s="32" t="n">
        <f aca="false">ROUND(Assumptions!$B$4*MIN(G3/Assumptions!$B$11,1)*100+Assumptions!$B$5*F3/10*100+Assumptions!$B$6*MIN(H3/Assumptions!$B$12,1)*100+Assumptions!$B$7*J3+Assumptions!$B$8*IF(I3="Yes",100,0),1)</f>
        <v>65.6</v>
      </c>
      <c r="L3" s="21" t="str">
        <f aca="false">LOOKUP(K3,Assumptions!$D$4:$D$7,Assumptions!$E$4:$E$7)</f>
        <v>Job-Ready</v>
      </c>
      <c r="M3" s="21" t="n">
        <f aca="false">COUNTIFS(Applications!$B$2:$B$3144,A3)</f>
        <v>3</v>
      </c>
      <c r="N3" s="21" t="n">
        <f aca="false">COUNTIFS(Applications!$B$2:$B$3144,A3,Applications!$F$2:$F$3144,"Offered")</f>
        <v>1</v>
      </c>
      <c r="O3" s="21" t="str">
        <f aca="false">IF(COUNTIFS(Applications!$B$2:$B$3144,A3,Applications!$H$2:$H$3144,"Yes")&gt;0,"Yes","No")</f>
        <v>Yes</v>
      </c>
      <c r="P3" s="32" t="n">
        <f aca="false">SUMIFS(Applications!$G$2:$G$3144,Applications!$B$2:$B$3144,A3,Applications!$H$2:$H$3144,"Yes")</f>
        <v>9.6</v>
      </c>
      <c r="Q3" s="21" t="str">
        <f aca="false">IF(O3="Yes",INDEX(Companies!$B$2:$B$31,MATCH(INDEX(Applications!$C$2:$C$3144,MATCH(A3,Applications!$P$2:$P$3144,0)),Companies!$A$2:$A$31,0)),"-")</f>
        <v>LearnLoop</v>
      </c>
    </row>
    <row r="4" customFormat="false" ht="15" hidden="false" customHeight="false" outlineLevel="0" collapsed="false">
      <c r="A4" s="21" t="s">
        <v>116</v>
      </c>
      <c r="B4" s="21" t="s">
        <v>117</v>
      </c>
      <c r="C4" s="21" t="s">
        <v>112</v>
      </c>
      <c r="D4" s="21" t="s">
        <v>67</v>
      </c>
      <c r="E4" s="21" t="s">
        <v>92</v>
      </c>
      <c r="F4" s="21" t="n">
        <v>7.13</v>
      </c>
      <c r="G4" s="21" t="n">
        <v>193</v>
      </c>
      <c r="H4" s="21" t="n">
        <v>2</v>
      </c>
      <c r="I4" s="21" t="s">
        <v>113</v>
      </c>
      <c r="J4" s="21" t="n">
        <v>50</v>
      </c>
      <c r="K4" s="32" t="n">
        <f aca="false">ROUND(Assumptions!$B$4*MIN(G4/Assumptions!$B$11,1)*100+Assumptions!$B$5*F4/10*100+Assumptions!$B$6*MIN(H4/Assumptions!$B$12,1)*100+Assumptions!$B$7*J4+Assumptions!$B$8*IF(I4="Yes",100,0),1)</f>
        <v>43.8</v>
      </c>
      <c r="L4" s="21" t="str">
        <f aca="false">LOOKUP(K4,Assumptions!$D$4:$D$7,Assumptions!$E$4:$E$7)</f>
        <v>Foundation</v>
      </c>
      <c r="M4" s="21" t="n">
        <f aca="false">COUNTIFS(Applications!$B$2:$B$3144,A4)</f>
        <v>1</v>
      </c>
      <c r="N4" s="21" t="n">
        <f aca="false">COUNTIFS(Applications!$B$2:$B$3144,A4,Applications!$F$2:$F$3144,"Offered")</f>
        <v>0</v>
      </c>
      <c r="O4" s="21" t="str">
        <f aca="false">IF(COUNTIFS(Applications!$B$2:$B$3144,A4,Applications!$H$2:$H$3144,"Yes")&gt;0,"Yes","No")</f>
        <v>No</v>
      </c>
      <c r="P4" s="32" t="n">
        <f aca="false">SUMIFS(Applications!$G$2:$G$3144,Applications!$B$2:$B$3144,A4,Applications!$H$2:$H$3144,"Yes")</f>
        <v>0</v>
      </c>
      <c r="Q4" s="21" t="str">
        <f aca="false">IF(O4="Yes",INDEX(Companies!$B$2:$B$31,MATCH(INDEX(Applications!$C$2:$C$3144,MATCH(A4,Applications!$P$2:$P$3144,0)),Companies!$A$2:$A$31,0)),"-")</f>
        <v>-</v>
      </c>
    </row>
    <row r="5" customFormat="false" ht="15" hidden="false" customHeight="false" outlineLevel="0" collapsed="false">
      <c r="A5" s="21" t="s">
        <v>118</v>
      </c>
      <c r="B5" s="21" t="s">
        <v>119</v>
      </c>
      <c r="C5" s="21" t="s">
        <v>112</v>
      </c>
      <c r="D5" s="21" t="s">
        <v>64</v>
      </c>
      <c r="E5" s="21" t="s">
        <v>92</v>
      </c>
      <c r="F5" s="21" t="n">
        <v>6.45</v>
      </c>
      <c r="G5" s="21" t="n">
        <v>625</v>
      </c>
      <c r="H5" s="21" t="n">
        <v>4</v>
      </c>
      <c r="I5" s="21" t="s">
        <v>120</v>
      </c>
      <c r="J5" s="21" t="n">
        <v>62</v>
      </c>
      <c r="K5" s="32" t="n">
        <f aca="false">ROUND(Assumptions!$B$4*MIN(G5/Assumptions!$B$11,1)*100+Assumptions!$B$5*F5/10*100+Assumptions!$B$6*MIN(H5/Assumptions!$B$12,1)*100+Assumptions!$B$7*J5+Assumptions!$B$8*IF(I5="Yes",100,0),1)</f>
        <v>81.3</v>
      </c>
      <c r="L5" s="21" t="str">
        <f aca="false">LOOKUP(K5,Assumptions!$D$4:$D$7,Assumptions!$E$4:$E$7)</f>
        <v>Elite</v>
      </c>
      <c r="M5" s="21" t="n">
        <f aca="false">COUNTIFS(Applications!$B$2:$B$3144,A5)</f>
        <v>5</v>
      </c>
      <c r="N5" s="21" t="n">
        <f aca="false">COUNTIFS(Applications!$B$2:$B$3144,A5,Applications!$F$2:$F$3144,"Offered")</f>
        <v>1</v>
      </c>
      <c r="O5" s="21" t="str">
        <f aca="false">IF(COUNTIFS(Applications!$B$2:$B$3144,A5,Applications!$H$2:$H$3144,"Yes")&gt;0,"Yes","No")</f>
        <v>Yes</v>
      </c>
      <c r="P5" s="32" t="n">
        <f aca="false">SUMIFS(Applications!$G$2:$G$3144,Applications!$B$2:$B$3144,A5,Applications!$H$2:$H$3144,"Yes")</f>
        <v>12.8</v>
      </c>
      <c r="Q5" s="21" t="str">
        <f aca="false">IF(O5="Yes",INDEX(Companies!$B$2:$B$31,MATCH(INDEX(Applications!$C$2:$C$3144,MATCH(A5,Applications!$P$2:$P$3144,0)),Companies!$A$2:$A$31,0)),"-")</f>
        <v>PayRiver</v>
      </c>
    </row>
    <row r="6" customFormat="false" ht="15" hidden="false" customHeight="false" outlineLevel="0" collapsed="false">
      <c r="A6" s="21" t="s">
        <v>121</v>
      </c>
      <c r="B6" s="21" t="s">
        <v>122</v>
      </c>
      <c r="C6" s="21" t="s">
        <v>112</v>
      </c>
      <c r="D6" s="21" t="s">
        <v>64</v>
      </c>
      <c r="E6" s="21" t="s">
        <v>92</v>
      </c>
      <c r="F6" s="21" t="n">
        <v>7.21</v>
      </c>
      <c r="G6" s="21" t="n">
        <v>368</v>
      </c>
      <c r="H6" s="21" t="n">
        <v>1</v>
      </c>
      <c r="I6" s="21" t="s">
        <v>113</v>
      </c>
      <c r="J6" s="21" t="n">
        <v>75</v>
      </c>
      <c r="K6" s="32" t="n">
        <f aca="false">ROUND(Assumptions!$B$4*MIN(G6/Assumptions!$B$11,1)*100+Assumptions!$B$5*F6/10*100+Assumptions!$B$6*MIN(H6/Assumptions!$B$12,1)*100+Assumptions!$B$7*J6+Assumptions!$B$8*IF(I6="Yes",100,0),1)</f>
        <v>55.5</v>
      </c>
      <c r="L6" s="21" t="str">
        <f aca="false">LOOKUP(K6,Assumptions!$D$4:$D$7,Assumptions!$E$4:$E$7)</f>
        <v>Developing</v>
      </c>
      <c r="M6" s="21" t="n">
        <f aca="false">COUNTIFS(Applications!$B$2:$B$3144,A6)</f>
        <v>4</v>
      </c>
      <c r="N6" s="21" t="n">
        <f aca="false">COUNTIFS(Applications!$B$2:$B$3144,A6,Applications!$F$2:$F$3144,"Offered")</f>
        <v>1</v>
      </c>
      <c r="O6" s="21" t="str">
        <f aca="false">IF(COUNTIFS(Applications!$B$2:$B$3144,A6,Applications!$H$2:$H$3144,"Yes")&gt;0,"Yes","No")</f>
        <v>Yes</v>
      </c>
      <c r="P6" s="32" t="n">
        <f aca="false">SUMIFS(Applications!$G$2:$G$3144,Applications!$B$2:$B$3144,A6,Applications!$H$2:$H$3144,"Yes")</f>
        <v>6.1</v>
      </c>
      <c r="Q6" s="21" t="str">
        <f aca="false">IF(O6="Yes",INDEX(Companies!$B$2:$B$31,MATCH(INDEX(Applications!$C$2:$C$3144,MATCH(A6,Applications!$P$2:$P$3144,0)),Companies!$A$2:$A$31,0)),"-")</f>
        <v>HealthLink Digital</v>
      </c>
    </row>
    <row r="7" customFormat="false" ht="15" hidden="false" customHeight="false" outlineLevel="0" collapsed="false">
      <c r="A7" s="21" t="s">
        <v>123</v>
      </c>
      <c r="B7" s="21" t="s">
        <v>124</v>
      </c>
      <c r="C7" s="21" t="s">
        <v>112</v>
      </c>
      <c r="D7" s="21" t="s">
        <v>65</v>
      </c>
      <c r="E7" s="21" t="s">
        <v>91</v>
      </c>
      <c r="F7" s="21" t="n">
        <v>8.03</v>
      </c>
      <c r="G7" s="21" t="n">
        <v>234</v>
      </c>
      <c r="H7" s="21" t="n">
        <v>0</v>
      </c>
      <c r="I7" s="21" t="s">
        <v>113</v>
      </c>
      <c r="J7" s="21" t="n">
        <v>74</v>
      </c>
      <c r="K7" s="32" t="n">
        <f aca="false">ROUND(Assumptions!$B$4*MIN(G7/Assumptions!$B$11,1)*100+Assumptions!$B$5*F7/10*100+Assumptions!$B$6*MIN(H7/Assumptions!$B$12,1)*100+Assumptions!$B$7*J7+Assumptions!$B$8*IF(I7="Yes",100,0),1)</f>
        <v>44.9</v>
      </c>
      <c r="L7" s="21" t="str">
        <f aca="false">LOOKUP(K7,Assumptions!$D$4:$D$7,Assumptions!$E$4:$E$7)</f>
        <v>Foundation</v>
      </c>
      <c r="M7" s="21" t="n">
        <f aca="false">COUNTIFS(Applications!$B$2:$B$3144,A7)</f>
        <v>9</v>
      </c>
      <c r="N7" s="21" t="n">
        <f aca="false">COUNTIFS(Applications!$B$2:$B$3144,A7,Applications!$F$2:$F$3144,"Offered")</f>
        <v>0</v>
      </c>
      <c r="O7" s="21" t="str">
        <f aca="false">IF(COUNTIFS(Applications!$B$2:$B$3144,A7,Applications!$H$2:$H$3144,"Yes")&gt;0,"Yes","No")</f>
        <v>No</v>
      </c>
      <c r="P7" s="32" t="n">
        <f aca="false">SUMIFS(Applications!$G$2:$G$3144,Applications!$B$2:$B$3144,A7,Applications!$H$2:$H$3144,"Yes")</f>
        <v>0</v>
      </c>
      <c r="Q7" s="21" t="str">
        <f aca="false">IF(O7="Yes",INDEX(Companies!$B$2:$B$31,MATCH(INDEX(Applications!$C$2:$C$3144,MATCH(A7,Applications!$P$2:$P$3144,0)),Companies!$A$2:$A$31,0)),"-")</f>
        <v>-</v>
      </c>
    </row>
    <row r="8" customFormat="false" ht="15" hidden="false" customHeight="false" outlineLevel="0" collapsed="false">
      <c r="A8" s="21" t="s">
        <v>125</v>
      </c>
      <c r="B8" s="21" t="s">
        <v>126</v>
      </c>
      <c r="C8" s="21" t="s">
        <v>112</v>
      </c>
      <c r="D8" s="21" t="s">
        <v>66</v>
      </c>
      <c r="E8" s="21" t="s">
        <v>90</v>
      </c>
      <c r="F8" s="21" t="n">
        <v>6.67</v>
      </c>
      <c r="G8" s="21" t="n">
        <v>305</v>
      </c>
      <c r="H8" s="21" t="n">
        <v>6</v>
      </c>
      <c r="I8" s="21" t="s">
        <v>120</v>
      </c>
      <c r="J8" s="21" t="n">
        <v>56</v>
      </c>
      <c r="K8" s="32" t="n">
        <f aca="false">ROUND(Assumptions!$B$4*MIN(G8/Assumptions!$B$11,1)*100+Assumptions!$B$5*F8/10*100+Assumptions!$B$6*MIN(H8/Assumptions!$B$12,1)*100+Assumptions!$B$7*J8+Assumptions!$B$8*IF(I8="Yes",100,0),1)</f>
        <v>72.8</v>
      </c>
      <c r="L8" s="21" t="str">
        <f aca="false">LOOKUP(K8,Assumptions!$D$4:$D$7,Assumptions!$E$4:$E$7)</f>
        <v>Job-Ready</v>
      </c>
      <c r="M8" s="21" t="n">
        <f aca="false">COUNTIFS(Applications!$B$2:$B$3144,A8)</f>
        <v>5</v>
      </c>
      <c r="N8" s="21" t="n">
        <f aca="false">COUNTIFS(Applications!$B$2:$B$3144,A8,Applications!$F$2:$F$3144,"Offered")</f>
        <v>2</v>
      </c>
      <c r="O8" s="21" t="str">
        <f aca="false">IF(COUNTIFS(Applications!$B$2:$B$3144,A8,Applications!$H$2:$H$3144,"Yes")&gt;0,"Yes","No")</f>
        <v>Yes</v>
      </c>
      <c r="P8" s="32" t="n">
        <f aca="false">SUMIFS(Applications!$G$2:$G$3144,Applications!$B$2:$B$3144,A8,Applications!$H$2:$H$3144,"Yes")</f>
        <v>6.9</v>
      </c>
      <c r="Q8" s="21" t="str">
        <f aca="false">IF(O8="Yes",INDEX(Companies!$B$2:$B$31,MATCH(INDEX(Applications!$C$2:$C$3144,MATCH(A8,Applications!$P$2:$P$3144,0)),Companies!$A$2:$A$31,0)),"-")</f>
        <v>RetailRocket</v>
      </c>
    </row>
    <row r="9" customFormat="false" ht="15" hidden="false" customHeight="false" outlineLevel="0" collapsed="false">
      <c r="A9" s="21" t="s">
        <v>127</v>
      </c>
      <c r="B9" s="21" t="s">
        <v>128</v>
      </c>
      <c r="C9" s="21" t="s">
        <v>112</v>
      </c>
      <c r="D9" s="21" t="s">
        <v>64</v>
      </c>
      <c r="E9" s="21" t="s">
        <v>90</v>
      </c>
      <c r="F9" s="21" t="n">
        <v>7.51</v>
      </c>
      <c r="G9" s="21" t="n">
        <v>606</v>
      </c>
      <c r="H9" s="21" t="n">
        <v>3</v>
      </c>
      <c r="I9" s="21" t="s">
        <v>113</v>
      </c>
      <c r="J9" s="21" t="n">
        <v>41</v>
      </c>
      <c r="K9" s="32" t="n">
        <f aca="false">ROUND(Assumptions!$B$4*MIN(G9/Assumptions!$B$11,1)*100+Assumptions!$B$5*F9/10*100+Assumptions!$B$6*MIN(H9/Assumptions!$B$12,1)*100+Assumptions!$B$7*J9+Assumptions!$B$8*IF(I9="Yes",100,0),1)</f>
        <v>65.2</v>
      </c>
      <c r="L9" s="21" t="str">
        <f aca="false">LOOKUP(K9,Assumptions!$D$4:$D$7,Assumptions!$E$4:$E$7)</f>
        <v>Job-Ready</v>
      </c>
      <c r="M9" s="21" t="n">
        <f aca="false">COUNTIFS(Applications!$B$2:$B$3144,A9)</f>
        <v>3</v>
      </c>
      <c r="N9" s="21" t="n">
        <f aca="false">COUNTIFS(Applications!$B$2:$B$3144,A9,Applications!$F$2:$F$3144,"Offered")</f>
        <v>2</v>
      </c>
      <c r="O9" s="21" t="str">
        <f aca="false">IF(COUNTIFS(Applications!$B$2:$B$3144,A9,Applications!$H$2:$H$3144,"Yes")&gt;0,"Yes","No")</f>
        <v>Yes</v>
      </c>
      <c r="P9" s="32" t="n">
        <f aca="false">SUMIFS(Applications!$G$2:$G$3144,Applications!$B$2:$B$3144,A9,Applications!$H$2:$H$3144,"Yes")</f>
        <v>12.3</v>
      </c>
      <c r="Q9" s="21" t="str">
        <f aca="false">IF(O9="Yes",INDEX(Companies!$B$2:$B$31,MATCH(INDEX(Applications!$C$2:$C$3144,MATCH(A9,Applications!$P$2:$P$3144,0)),Companies!$A$2:$A$31,0)),"-")</f>
        <v>CloudKraft</v>
      </c>
    </row>
    <row r="10" customFormat="false" ht="15" hidden="false" customHeight="false" outlineLevel="0" collapsed="false">
      <c r="A10" s="21" t="s">
        <v>129</v>
      </c>
      <c r="B10" s="21" t="s">
        <v>130</v>
      </c>
      <c r="C10" s="21" t="s">
        <v>112</v>
      </c>
      <c r="D10" s="21" t="s">
        <v>67</v>
      </c>
      <c r="E10" s="21" t="s">
        <v>92</v>
      </c>
      <c r="F10" s="21" t="n">
        <v>6.69</v>
      </c>
      <c r="G10" s="21" t="n">
        <v>209</v>
      </c>
      <c r="H10" s="21" t="n">
        <v>4</v>
      </c>
      <c r="I10" s="21" t="s">
        <v>113</v>
      </c>
      <c r="J10" s="21" t="n">
        <v>73</v>
      </c>
      <c r="K10" s="32" t="n">
        <f aca="false">ROUND(Assumptions!$B$4*MIN(G10/Assumptions!$B$11,1)*100+Assumptions!$B$5*F10/10*100+Assumptions!$B$6*MIN(H10/Assumptions!$B$12,1)*100+Assumptions!$B$7*J10+Assumptions!$B$8*IF(I10="Yes",100,0),1)</f>
        <v>56.5</v>
      </c>
      <c r="L10" s="21" t="str">
        <f aca="false">LOOKUP(K10,Assumptions!$D$4:$D$7,Assumptions!$E$4:$E$7)</f>
        <v>Developing</v>
      </c>
      <c r="M10" s="21" t="n">
        <f aca="false">COUNTIFS(Applications!$B$2:$B$3144,A10)</f>
        <v>5</v>
      </c>
      <c r="N10" s="21" t="n">
        <f aca="false">COUNTIFS(Applications!$B$2:$B$3144,A10,Applications!$F$2:$F$3144,"Offered")</f>
        <v>2</v>
      </c>
      <c r="O10" s="21" t="str">
        <f aca="false">IF(COUNTIFS(Applications!$B$2:$B$3144,A10,Applications!$H$2:$H$3144,"Yes")&gt;0,"Yes","No")</f>
        <v>Yes</v>
      </c>
      <c r="P10" s="32" t="n">
        <f aca="false">SUMIFS(Applications!$G$2:$G$3144,Applications!$B$2:$B$3144,A10,Applications!$H$2:$H$3144,"Yes")</f>
        <v>11</v>
      </c>
      <c r="Q10" s="21" t="str">
        <f aca="false">IF(O10="Yes",INDEX(Companies!$B$2:$B$31,MATCH(INDEX(Applications!$C$2:$C$3144,MATCH(A10,Applications!$P$2:$P$3144,0)),Companies!$A$2:$A$31,0)),"-")</f>
        <v>SkillForge</v>
      </c>
    </row>
    <row r="11" customFormat="false" ht="15" hidden="false" customHeight="false" outlineLevel="0" collapsed="false">
      <c r="A11" s="21" t="s">
        <v>131</v>
      </c>
      <c r="B11" s="21" t="s">
        <v>132</v>
      </c>
      <c r="C11" s="21" t="s">
        <v>112</v>
      </c>
      <c r="D11" s="21" t="s">
        <v>67</v>
      </c>
      <c r="E11" s="21" t="s">
        <v>91</v>
      </c>
      <c r="F11" s="21" t="n">
        <v>6.97</v>
      </c>
      <c r="G11" s="21" t="n">
        <v>107</v>
      </c>
      <c r="H11" s="21" t="n">
        <v>5</v>
      </c>
      <c r="I11" s="21" t="s">
        <v>113</v>
      </c>
      <c r="J11" s="21" t="n">
        <v>65</v>
      </c>
      <c r="K11" s="32" t="n">
        <f aca="false">ROUND(Assumptions!$B$4*MIN(G11/Assumptions!$B$11,1)*100+Assumptions!$B$5*F11/10*100+Assumptions!$B$6*MIN(H11/Assumptions!$B$12,1)*100+Assumptions!$B$7*J11+Assumptions!$B$8*IF(I11="Yes",100,0),1)</f>
        <v>53.4</v>
      </c>
      <c r="L11" s="21" t="str">
        <f aca="false">LOOKUP(K11,Assumptions!$D$4:$D$7,Assumptions!$E$4:$E$7)</f>
        <v>Developing</v>
      </c>
      <c r="M11" s="21" t="n">
        <f aca="false">COUNTIFS(Applications!$B$2:$B$3144,A11)</f>
        <v>5</v>
      </c>
      <c r="N11" s="21" t="n">
        <f aca="false">COUNTIFS(Applications!$B$2:$B$3144,A11,Applications!$F$2:$F$3144,"Offered")</f>
        <v>0</v>
      </c>
      <c r="O11" s="21" t="str">
        <f aca="false">IF(COUNTIFS(Applications!$B$2:$B$3144,A11,Applications!$H$2:$H$3144,"Yes")&gt;0,"Yes","No")</f>
        <v>No</v>
      </c>
      <c r="P11" s="32" t="n">
        <f aca="false">SUMIFS(Applications!$G$2:$G$3144,Applications!$B$2:$B$3144,A11,Applications!$H$2:$H$3144,"Yes")</f>
        <v>0</v>
      </c>
      <c r="Q11" s="21" t="str">
        <f aca="false">IF(O11="Yes",INDEX(Companies!$B$2:$B$31,MATCH(INDEX(Applications!$C$2:$C$3144,MATCH(A11,Applications!$P$2:$P$3144,0)),Companies!$A$2:$A$31,0)),"-")</f>
        <v>-</v>
      </c>
    </row>
    <row r="12" customFormat="false" ht="15" hidden="false" customHeight="false" outlineLevel="0" collapsed="false">
      <c r="A12" s="21" t="s">
        <v>133</v>
      </c>
      <c r="B12" s="21" t="s">
        <v>134</v>
      </c>
      <c r="C12" s="21" t="s">
        <v>112</v>
      </c>
      <c r="D12" s="21" t="s">
        <v>65</v>
      </c>
      <c r="E12" s="21" t="s">
        <v>90</v>
      </c>
      <c r="F12" s="21" t="n">
        <v>8.82</v>
      </c>
      <c r="G12" s="21" t="n">
        <v>82</v>
      </c>
      <c r="H12" s="21" t="n">
        <v>4</v>
      </c>
      <c r="I12" s="21" t="s">
        <v>113</v>
      </c>
      <c r="J12" s="21" t="n">
        <v>47</v>
      </c>
      <c r="K12" s="32" t="n">
        <f aca="false">ROUND(Assumptions!$B$4*MIN(G12/Assumptions!$B$11,1)*100+Assumptions!$B$5*F12/10*100+Assumptions!$B$6*MIN(H12/Assumptions!$B$12,1)*100+Assumptions!$B$7*J12+Assumptions!$B$8*IF(I12="Yes",100,0),1)</f>
        <v>48</v>
      </c>
      <c r="L12" s="21" t="str">
        <f aca="false">LOOKUP(K12,Assumptions!$D$4:$D$7,Assumptions!$E$4:$E$7)</f>
        <v>Foundation</v>
      </c>
      <c r="M12" s="21" t="n">
        <f aca="false">COUNTIFS(Applications!$B$2:$B$3144,A12)</f>
        <v>6</v>
      </c>
      <c r="N12" s="21" t="n">
        <f aca="false">COUNTIFS(Applications!$B$2:$B$3144,A12,Applications!$F$2:$F$3144,"Offered")</f>
        <v>0</v>
      </c>
      <c r="O12" s="21" t="str">
        <f aca="false">IF(COUNTIFS(Applications!$B$2:$B$3144,A12,Applications!$H$2:$H$3144,"Yes")&gt;0,"Yes","No")</f>
        <v>No</v>
      </c>
      <c r="P12" s="32" t="n">
        <f aca="false">SUMIFS(Applications!$G$2:$G$3144,Applications!$B$2:$B$3144,A12,Applications!$H$2:$H$3144,"Yes")</f>
        <v>0</v>
      </c>
      <c r="Q12" s="21" t="str">
        <f aca="false">IF(O12="Yes",INDEX(Companies!$B$2:$B$31,MATCH(INDEX(Applications!$C$2:$C$3144,MATCH(A12,Applications!$P$2:$P$3144,0)),Companies!$A$2:$A$31,0)),"-")</f>
        <v>-</v>
      </c>
    </row>
    <row r="13" customFormat="false" ht="15" hidden="false" customHeight="false" outlineLevel="0" collapsed="false">
      <c r="A13" s="21" t="s">
        <v>135</v>
      </c>
      <c r="B13" s="21" t="s">
        <v>136</v>
      </c>
      <c r="C13" s="21" t="s">
        <v>112</v>
      </c>
      <c r="D13" s="21" t="s">
        <v>64</v>
      </c>
      <c r="E13" s="21" t="s">
        <v>91</v>
      </c>
      <c r="F13" s="21" t="n">
        <v>9.8</v>
      </c>
      <c r="G13" s="21" t="n">
        <v>587</v>
      </c>
      <c r="H13" s="21" t="n">
        <v>3</v>
      </c>
      <c r="I13" s="21" t="s">
        <v>113</v>
      </c>
      <c r="J13" s="21" t="n">
        <v>60</v>
      </c>
      <c r="K13" s="32" t="n">
        <f aca="false">ROUND(Assumptions!$B$4*MIN(G13/Assumptions!$B$11,1)*100+Assumptions!$B$5*F13/10*100+Assumptions!$B$6*MIN(H13/Assumptions!$B$12,1)*100+Assumptions!$B$7*J13+Assumptions!$B$8*IF(I13="Yes",100,0),1)</f>
        <v>73.6</v>
      </c>
      <c r="L13" s="21" t="str">
        <f aca="false">LOOKUP(K13,Assumptions!$D$4:$D$7,Assumptions!$E$4:$E$7)</f>
        <v>Job-Ready</v>
      </c>
      <c r="M13" s="21" t="n">
        <f aca="false">COUNTIFS(Applications!$B$2:$B$3144,A13)</f>
        <v>6</v>
      </c>
      <c r="N13" s="21" t="n">
        <f aca="false">COUNTIFS(Applications!$B$2:$B$3144,A13,Applications!$F$2:$F$3144,"Offered")</f>
        <v>5</v>
      </c>
      <c r="O13" s="21" t="str">
        <f aca="false">IF(COUNTIFS(Applications!$B$2:$B$3144,A13,Applications!$H$2:$H$3144,"Yes")&gt;0,"Yes","No")</f>
        <v>Yes</v>
      </c>
      <c r="P13" s="32" t="n">
        <f aca="false">SUMIFS(Applications!$G$2:$G$3144,Applications!$B$2:$B$3144,A13,Applications!$H$2:$H$3144,"Yes")</f>
        <v>12.1</v>
      </c>
      <c r="Q13" s="21" t="str">
        <f aca="false">IF(O13="Yes",INDEX(Companies!$B$2:$B$31,MATCH(INDEX(Applications!$C$2:$C$3144,MATCH(A13,Applications!$P$2:$P$3144,0)),Companies!$A$2:$A$31,0)),"-")</f>
        <v>LearnLoop</v>
      </c>
    </row>
    <row r="14" customFormat="false" ht="15" hidden="false" customHeight="false" outlineLevel="0" collapsed="false">
      <c r="A14" s="21" t="s">
        <v>137</v>
      </c>
      <c r="B14" s="21" t="s">
        <v>138</v>
      </c>
      <c r="C14" s="21" t="s">
        <v>112</v>
      </c>
      <c r="D14" s="21" t="s">
        <v>64</v>
      </c>
      <c r="E14" s="21" t="s">
        <v>90</v>
      </c>
      <c r="F14" s="21" t="n">
        <v>6.57</v>
      </c>
      <c r="G14" s="21" t="n">
        <v>169</v>
      </c>
      <c r="H14" s="21" t="n">
        <v>4</v>
      </c>
      <c r="I14" s="21" t="s">
        <v>113</v>
      </c>
      <c r="J14" s="21" t="n">
        <v>45</v>
      </c>
      <c r="K14" s="32" t="n">
        <f aca="false">ROUND(Assumptions!$B$4*MIN(G14/Assumptions!$B$11,1)*100+Assumptions!$B$5*F14/10*100+Assumptions!$B$6*MIN(H14/Assumptions!$B$12,1)*100+Assumptions!$B$7*J14+Assumptions!$B$8*IF(I14="Yes",100,0),1)</f>
        <v>48.3</v>
      </c>
      <c r="L14" s="21" t="str">
        <f aca="false">LOOKUP(K14,Assumptions!$D$4:$D$7,Assumptions!$E$4:$E$7)</f>
        <v>Foundation</v>
      </c>
      <c r="M14" s="21" t="n">
        <f aca="false">COUNTIFS(Applications!$B$2:$B$3144,A14)</f>
        <v>6</v>
      </c>
      <c r="N14" s="21" t="n">
        <f aca="false">COUNTIFS(Applications!$B$2:$B$3144,A14,Applications!$F$2:$F$3144,"Offered")</f>
        <v>0</v>
      </c>
      <c r="O14" s="21" t="str">
        <f aca="false">IF(COUNTIFS(Applications!$B$2:$B$3144,A14,Applications!$H$2:$H$3144,"Yes")&gt;0,"Yes","No")</f>
        <v>No</v>
      </c>
      <c r="P14" s="32" t="n">
        <f aca="false">SUMIFS(Applications!$G$2:$G$3144,Applications!$B$2:$B$3144,A14,Applications!$H$2:$H$3144,"Yes")</f>
        <v>0</v>
      </c>
      <c r="Q14" s="21" t="str">
        <f aca="false">IF(O14="Yes",INDEX(Companies!$B$2:$B$31,MATCH(INDEX(Applications!$C$2:$C$3144,MATCH(A14,Applications!$P$2:$P$3144,0)),Companies!$A$2:$A$31,0)),"-")</f>
        <v>-</v>
      </c>
    </row>
    <row r="15" customFormat="false" ht="15" hidden="false" customHeight="false" outlineLevel="0" collapsed="false">
      <c r="A15" s="21" t="s">
        <v>139</v>
      </c>
      <c r="B15" s="21" t="s">
        <v>140</v>
      </c>
      <c r="C15" s="21" t="s">
        <v>112</v>
      </c>
      <c r="D15" s="21" t="s">
        <v>67</v>
      </c>
      <c r="E15" s="21" t="s">
        <v>91</v>
      </c>
      <c r="F15" s="21" t="n">
        <v>6.76</v>
      </c>
      <c r="G15" s="21" t="n">
        <v>386</v>
      </c>
      <c r="H15" s="21" t="n">
        <v>3</v>
      </c>
      <c r="I15" s="21" t="s">
        <v>113</v>
      </c>
      <c r="J15" s="21" t="n">
        <v>68</v>
      </c>
      <c r="K15" s="32" t="n">
        <f aca="false">ROUND(Assumptions!$B$4*MIN(G15/Assumptions!$B$11,1)*100+Assumptions!$B$5*F15/10*100+Assumptions!$B$6*MIN(H15/Assumptions!$B$12,1)*100+Assumptions!$B$7*J15+Assumptions!$B$8*IF(I15="Yes",100,0),1)</f>
        <v>62.3</v>
      </c>
      <c r="L15" s="21" t="str">
        <f aca="false">LOOKUP(K15,Assumptions!$D$4:$D$7,Assumptions!$E$4:$E$7)</f>
        <v>Developing</v>
      </c>
      <c r="M15" s="21" t="n">
        <f aca="false">COUNTIFS(Applications!$B$2:$B$3144,A15)</f>
        <v>10</v>
      </c>
      <c r="N15" s="21" t="n">
        <f aca="false">COUNTIFS(Applications!$B$2:$B$3144,A15,Applications!$F$2:$F$3144,"Offered")</f>
        <v>3</v>
      </c>
      <c r="O15" s="21" t="str">
        <f aca="false">IF(COUNTIFS(Applications!$B$2:$B$3144,A15,Applications!$H$2:$H$3144,"Yes")&gt;0,"Yes","No")</f>
        <v>Yes</v>
      </c>
      <c r="P15" s="32" t="n">
        <f aca="false">SUMIFS(Applications!$G$2:$G$3144,Applications!$B$2:$B$3144,A15,Applications!$H$2:$H$3144,"Yes")</f>
        <v>13.5</v>
      </c>
      <c r="Q15" s="21" t="str">
        <f aca="false">IF(O15="Yes",INDEX(Companies!$B$2:$B$31,MATCH(INDEX(Applications!$C$2:$C$3144,MATCH(A15,Applications!$P$2:$P$3144,0)),Companies!$A$2:$A$31,0)),"-")</f>
        <v>CyberNest</v>
      </c>
    </row>
    <row r="16" customFormat="false" ht="15" hidden="false" customHeight="false" outlineLevel="0" collapsed="false">
      <c r="A16" s="21" t="s">
        <v>141</v>
      </c>
      <c r="B16" s="21" t="s">
        <v>142</v>
      </c>
      <c r="C16" s="21" t="s">
        <v>112</v>
      </c>
      <c r="D16" s="21" t="s">
        <v>67</v>
      </c>
      <c r="E16" s="21" t="s">
        <v>92</v>
      </c>
      <c r="F16" s="21" t="n">
        <v>7.66</v>
      </c>
      <c r="G16" s="21" t="n">
        <v>531</v>
      </c>
      <c r="H16" s="21" t="n">
        <v>5</v>
      </c>
      <c r="I16" s="21" t="s">
        <v>120</v>
      </c>
      <c r="J16" s="21" t="n">
        <v>83</v>
      </c>
      <c r="K16" s="32" t="n">
        <f aca="false">ROUND(Assumptions!$B$4*MIN(G16/Assumptions!$B$11,1)*100+Assumptions!$B$5*F16/10*100+Assumptions!$B$6*MIN(H16/Assumptions!$B$12,1)*100+Assumptions!$B$7*J16+Assumptions!$B$8*IF(I16="Yes",100,0),1)</f>
        <v>91.9</v>
      </c>
      <c r="L16" s="21" t="str">
        <f aca="false">LOOKUP(K16,Assumptions!$D$4:$D$7,Assumptions!$E$4:$E$7)</f>
        <v>Elite</v>
      </c>
      <c r="M16" s="21" t="n">
        <f aca="false">COUNTIFS(Applications!$B$2:$B$3144,A16)</f>
        <v>12</v>
      </c>
      <c r="N16" s="21" t="n">
        <f aca="false">COUNTIFS(Applications!$B$2:$B$3144,A16,Applications!$F$2:$F$3144,"Offered")</f>
        <v>7</v>
      </c>
      <c r="O16" s="21" t="str">
        <f aca="false">IF(COUNTIFS(Applications!$B$2:$B$3144,A16,Applications!$H$2:$H$3144,"Yes")&gt;0,"Yes","No")</f>
        <v>Yes</v>
      </c>
      <c r="P16" s="32" t="n">
        <f aca="false">SUMIFS(Applications!$G$2:$G$3144,Applications!$B$2:$B$3144,A16,Applications!$H$2:$H$3144,"Yes")</f>
        <v>27.2</v>
      </c>
      <c r="Q16" s="21" t="str">
        <f aca="false">IF(O16="Yes",INDEX(Companies!$B$2:$B$31,MATCH(INDEX(Applications!$C$2:$C$3144,MATCH(A16,Applications!$P$2:$P$3144,0)),Companies!$A$2:$A$31,0)),"-")</f>
        <v>Zenith Pay</v>
      </c>
    </row>
    <row r="17" customFormat="false" ht="15" hidden="false" customHeight="false" outlineLevel="0" collapsed="false">
      <c r="A17" s="21" t="s">
        <v>143</v>
      </c>
      <c r="B17" s="21" t="s">
        <v>144</v>
      </c>
      <c r="C17" s="21" t="s">
        <v>112</v>
      </c>
      <c r="D17" s="21" t="s">
        <v>67</v>
      </c>
      <c r="E17" s="21" t="s">
        <v>90</v>
      </c>
      <c r="F17" s="21" t="n">
        <v>8.99</v>
      </c>
      <c r="G17" s="21" t="n">
        <v>563</v>
      </c>
      <c r="H17" s="21" t="n">
        <v>3</v>
      </c>
      <c r="I17" s="21" t="s">
        <v>120</v>
      </c>
      <c r="J17" s="21" t="n">
        <v>71</v>
      </c>
      <c r="K17" s="32" t="n">
        <f aca="false">ROUND(Assumptions!$B$4*MIN(G17/Assumptions!$B$11,1)*100+Assumptions!$B$5*F17/10*100+Assumptions!$B$6*MIN(H17/Assumptions!$B$12,1)*100+Assumptions!$B$7*J17+Assumptions!$B$8*IF(I17="Yes",100,0),1)</f>
        <v>84.2</v>
      </c>
      <c r="L17" s="21" t="str">
        <f aca="false">LOOKUP(K17,Assumptions!$D$4:$D$7,Assumptions!$E$4:$E$7)</f>
        <v>Elite</v>
      </c>
      <c r="M17" s="21" t="n">
        <f aca="false">COUNTIFS(Applications!$B$2:$B$3144,A17)</f>
        <v>0</v>
      </c>
      <c r="N17" s="21" t="n">
        <f aca="false">COUNTIFS(Applications!$B$2:$B$3144,A17,Applications!$F$2:$F$3144,"Offered")</f>
        <v>0</v>
      </c>
      <c r="O17" s="21" t="str">
        <f aca="false">IF(COUNTIFS(Applications!$B$2:$B$3144,A17,Applications!$H$2:$H$3144,"Yes")&gt;0,"Yes","No")</f>
        <v>No</v>
      </c>
      <c r="P17" s="32" t="n">
        <f aca="false">SUMIFS(Applications!$G$2:$G$3144,Applications!$B$2:$B$3144,A17,Applications!$H$2:$H$3144,"Yes")</f>
        <v>0</v>
      </c>
      <c r="Q17" s="21" t="str">
        <f aca="false">IF(O17="Yes",INDEX(Companies!$B$2:$B$31,MATCH(INDEX(Applications!$C$2:$C$3144,MATCH(A17,Applications!$P$2:$P$3144,0)),Companies!$A$2:$A$31,0)),"-")</f>
        <v>-</v>
      </c>
    </row>
    <row r="18" customFormat="false" ht="15" hidden="false" customHeight="false" outlineLevel="0" collapsed="false">
      <c r="A18" s="21" t="s">
        <v>145</v>
      </c>
      <c r="B18" s="21" t="s">
        <v>146</v>
      </c>
      <c r="C18" s="21" t="s">
        <v>112</v>
      </c>
      <c r="D18" s="21" t="s">
        <v>63</v>
      </c>
      <c r="E18" s="21" t="s">
        <v>90</v>
      </c>
      <c r="F18" s="21" t="n">
        <v>7.8</v>
      </c>
      <c r="G18" s="21" t="n">
        <v>424</v>
      </c>
      <c r="H18" s="21" t="n">
        <v>3</v>
      </c>
      <c r="I18" s="21" t="s">
        <v>113</v>
      </c>
      <c r="J18" s="21" t="n">
        <v>49</v>
      </c>
      <c r="K18" s="32" t="n">
        <f aca="false">ROUND(Assumptions!$B$4*MIN(G18/Assumptions!$B$11,1)*100+Assumptions!$B$5*F18/10*100+Assumptions!$B$6*MIN(H18/Assumptions!$B$12,1)*100+Assumptions!$B$7*J18+Assumptions!$B$8*IF(I18="Yes",100,0),1)</f>
        <v>62.8</v>
      </c>
      <c r="L18" s="21" t="str">
        <f aca="false">LOOKUP(K18,Assumptions!$D$4:$D$7,Assumptions!$E$4:$E$7)</f>
        <v>Developing</v>
      </c>
      <c r="M18" s="21" t="n">
        <f aca="false">COUNTIFS(Applications!$B$2:$B$3144,A18)</f>
        <v>6</v>
      </c>
      <c r="N18" s="21" t="n">
        <f aca="false">COUNTIFS(Applications!$B$2:$B$3144,A18,Applications!$F$2:$F$3144,"Offered")</f>
        <v>0</v>
      </c>
      <c r="O18" s="21" t="str">
        <f aca="false">IF(COUNTIFS(Applications!$B$2:$B$3144,A18,Applications!$H$2:$H$3144,"Yes")&gt;0,"Yes","No")</f>
        <v>No</v>
      </c>
      <c r="P18" s="32" t="n">
        <f aca="false">SUMIFS(Applications!$G$2:$G$3144,Applications!$B$2:$B$3144,A18,Applications!$H$2:$H$3144,"Yes")</f>
        <v>0</v>
      </c>
      <c r="Q18" s="21" t="str">
        <f aca="false">IF(O18="Yes",INDEX(Companies!$B$2:$B$31,MATCH(INDEX(Applications!$C$2:$C$3144,MATCH(A18,Applications!$P$2:$P$3144,0)),Companies!$A$2:$A$31,0)),"-")</f>
        <v>-</v>
      </c>
    </row>
    <row r="19" customFormat="false" ht="15" hidden="false" customHeight="false" outlineLevel="0" collapsed="false">
      <c r="A19" s="21" t="s">
        <v>147</v>
      </c>
      <c r="B19" s="21" t="s">
        <v>148</v>
      </c>
      <c r="C19" s="21" t="s">
        <v>112</v>
      </c>
      <c r="D19" s="21" t="s">
        <v>64</v>
      </c>
      <c r="E19" s="21" t="s">
        <v>92</v>
      </c>
      <c r="F19" s="21" t="n">
        <v>7.53</v>
      </c>
      <c r="G19" s="21" t="n">
        <v>366</v>
      </c>
      <c r="H19" s="21" t="n">
        <v>5</v>
      </c>
      <c r="I19" s="21" t="s">
        <v>113</v>
      </c>
      <c r="J19" s="21" t="n">
        <v>64</v>
      </c>
      <c r="K19" s="32" t="n">
        <f aca="false">ROUND(Assumptions!$B$4*MIN(G19/Assumptions!$B$11,1)*100+Assumptions!$B$5*F19/10*100+Assumptions!$B$6*MIN(H19/Assumptions!$B$12,1)*100+Assumptions!$B$7*J19+Assumptions!$B$8*IF(I19="Yes",100,0),1)</f>
        <v>69.8</v>
      </c>
      <c r="L19" s="21" t="str">
        <f aca="false">LOOKUP(K19,Assumptions!$D$4:$D$7,Assumptions!$E$4:$E$7)</f>
        <v>Job-Ready</v>
      </c>
      <c r="M19" s="21" t="n">
        <f aca="false">COUNTIFS(Applications!$B$2:$B$3144,A19)</f>
        <v>8</v>
      </c>
      <c r="N19" s="21" t="n">
        <f aca="false">COUNTIFS(Applications!$B$2:$B$3144,A19,Applications!$F$2:$F$3144,"Offered")</f>
        <v>3</v>
      </c>
      <c r="O19" s="21" t="str">
        <f aca="false">IF(COUNTIFS(Applications!$B$2:$B$3144,A19,Applications!$H$2:$H$3144,"Yes")&gt;0,"Yes","No")</f>
        <v>Yes</v>
      </c>
      <c r="P19" s="32" t="n">
        <f aca="false">SUMIFS(Applications!$G$2:$G$3144,Applications!$B$2:$B$3144,A19,Applications!$H$2:$H$3144,"Yes")</f>
        <v>14.7</v>
      </c>
      <c r="Q19" s="21" t="str">
        <f aca="false">IF(O19="Yes",INDEX(Companies!$B$2:$B$31,MATCH(INDEX(Applications!$C$2:$C$3144,MATCH(A19,Applications!$P$2:$P$3144,0)),Companies!$A$2:$A$31,0)),"-")</f>
        <v>ShopSprint</v>
      </c>
    </row>
    <row r="20" customFormat="false" ht="15" hidden="false" customHeight="false" outlineLevel="0" collapsed="false">
      <c r="A20" s="21" t="s">
        <v>149</v>
      </c>
      <c r="B20" s="21" t="s">
        <v>150</v>
      </c>
      <c r="C20" s="21" t="s">
        <v>112</v>
      </c>
      <c r="D20" s="21" t="s">
        <v>67</v>
      </c>
      <c r="E20" s="21" t="s">
        <v>91</v>
      </c>
      <c r="F20" s="21" t="n">
        <v>9.77</v>
      </c>
      <c r="G20" s="21" t="n">
        <v>599</v>
      </c>
      <c r="H20" s="21" t="n">
        <v>3</v>
      </c>
      <c r="I20" s="21" t="s">
        <v>120</v>
      </c>
      <c r="J20" s="21" t="n">
        <v>51</v>
      </c>
      <c r="K20" s="32" t="n">
        <f aca="false">ROUND(Assumptions!$B$4*MIN(G20/Assumptions!$B$11,1)*100+Assumptions!$B$5*F20/10*100+Assumptions!$B$6*MIN(H20/Assumptions!$B$12,1)*100+Assumptions!$B$7*J20+Assumptions!$B$8*IF(I20="Yes",100,0),1)</f>
        <v>81.7</v>
      </c>
      <c r="L20" s="21" t="str">
        <f aca="false">LOOKUP(K20,Assumptions!$D$4:$D$7,Assumptions!$E$4:$E$7)</f>
        <v>Elite</v>
      </c>
      <c r="M20" s="21" t="n">
        <f aca="false">COUNTIFS(Applications!$B$2:$B$3144,A20)</f>
        <v>6</v>
      </c>
      <c r="N20" s="21" t="n">
        <f aca="false">COUNTIFS(Applications!$B$2:$B$3144,A20,Applications!$F$2:$F$3144,"Offered")</f>
        <v>4</v>
      </c>
      <c r="O20" s="21" t="str">
        <f aca="false">IF(COUNTIFS(Applications!$B$2:$B$3144,A20,Applications!$H$2:$H$3144,"Yes")&gt;0,"Yes","No")</f>
        <v>Yes</v>
      </c>
      <c r="P20" s="32" t="n">
        <f aca="false">SUMIFS(Applications!$G$2:$G$3144,Applications!$B$2:$B$3144,A20,Applications!$H$2:$H$3144,"Yes")</f>
        <v>14.1</v>
      </c>
      <c r="Q20" s="21" t="str">
        <f aca="false">IF(O20="Yes",INDEX(Companies!$B$2:$B$31,MATCH(INDEX(Applications!$C$2:$C$3144,MATCH(A20,Applications!$P$2:$P$3144,0)),Companies!$A$2:$A$31,0)),"-")</f>
        <v>ShopSprint</v>
      </c>
    </row>
    <row r="21" customFormat="false" ht="15" hidden="false" customHeight="false" outlineLevel="0" collapsed="false">
      <c r="A21" s="21" t="s">
        <v>151</v>
      </c>
      <c r="B21" s="21" t="s">
        <v>152</v>
      </c>
      <c r="C21" s="21" t="s">
        <v>112</v>
      </c>
      <c r="D21" s="21" t="s">
        <v>64</v>
      </c>
      <c r="E21" s="21" t="s">
        <v>91</v>
      </c>
      <c r="F21" s="21" t="n">
        <v>6.54</v>
      </c>
      <c r="G21" s="21" t="n">
        <v>356</v>
      </c>
      <c r="H21" s="21" t="n">
        <v>4</v>
      </c>
      <c r="I21" s="21" t="s">
        <v>120</v>
      </c>
      <c r="J21" s="21" t="n">
        <v>46</v>
      </c>
      <c r="K21" s="32" t="n">
        <f aca="false">ROUND(Assumptions!$B$4*MIN(G21/Assumptions!$B$11,1)*100+Assumptions!$B$5*F21/10*100+Assumptions!$B$6*MIN(H21/Assumptions!$B$12,1)*100+Assumptions!$B$7*J21+Assumptions!$B$8*IF(I21="Yes",100,0),1)</f>
        <v>69.6</v>
      </c>
      <c r="L21" s="21" t="str">
        <f aca="false">LOOKUP(K21,Assumptions!$D$4:$D$7,Assumptions!$E$4:$E$7)</f>
        <v>Job-Ready</v>
      </c>
      <c r="M21" s="21" t="n">
        <f aca="false">COUNTIFS(Applications!$B$2:$B$3144,A21)</f>
        <v>5</v>
      </c>
      <c r="N21" s="21" t="n">
        <f aca="false">COUNTIFS(Applications!$B$2:$B$3144,A21,Applications!$F$2:$F$3144,"Offered")</f>
        <v>1</v>
      </c>
      <c r="O21" s="21" t="str">
        <f aca="false">IF(COUNTIFS(Applications!$B$2:$B$3144,A21,Applications!$H$2:$H$3144,"Yes")&gt;0,"Yes","No")</f>
        <v>Yes</v>
      </c>
      <c r="P21" s="32" t="n">
        <f aca="false">SUMIFS(Applications!$G$2:$G$3144,Applications!$B$2:$B$3144,A21,Applications!$H$2:$H$3144,"Yes")</f>
        <v>6.2</v>
      </c>
      <c r="Q21" s="21" t="str">
        <f aca="false">IF(O21="Yes",INDEX(Companies!$B$2:$B$31,MATCH(INDEX(Applications!$C$2:$C$3144,MATCH(A21,Applications!$P$2:$P$3144,0)),Companies!$A$2:$A$31,0)),"-")</f>
        <v>TechBridge Consulting</v>
      </c>
    </row>
    <row r="22" customFormat="false" ht="15" hidden="false" customHeight="false" outlineLevel="0" collapsed="false">
      <c r="A22" s="21" t="s">
        <v>153</v>
      </c>
      <c r="B22" s="21" t="s">
        <v>154</v>
      </c>
      <c r="C22" s="21" t="s">
        <v>112</v>
      </c>
      <c r="D22" s="21" t="s">
        <v>64</v>
      </c>
      <c r="E22" s="21" t="s">
        <v>90</v>
      </c>
      <c r="F22" s="21" t="n">
        <v>7.17</v>
      </c>
      <c r="G22" s="21" t="n">
        <v>566</v>
      </c>
      <c r="H22" s="21" t="n">
        <v>3</v>
      </c>
      <c r="I22" s="21" t="s">
        <v>120</v>
      </c>
      <c r="J22" s="21" t="n">
        <v>60</v>
      </c>
      <c r="K22" s="32" t="n">
        <f aca="false">ROUND(Assumptions!$B$4*MIN(G22/Assumptions!$B$11,1)*100+Assumptions!$B$5*F22/10*100+Assumptions!$B$6*MIN(H22/Assumptions!$B$12,1)*100+Assumptions!$B$7*J22+Assumptions!$B$8*IF(I22="Yes",100,0),1)</f>
        <v>78.3</v>
      </c>
      <c r="L22" s="21" t="str">
        <f aca="false">LOOKUP(K22,Assumptions!$D$4:$D$7,Assumptions!$E$4:$E$7)</f>
        <v>Job-Ready</v>
      </c>
      <c r="M22" s="21" t="n">
        <f aca="false">COUNTIFS(Applications!$B$2:$B$3144,A22)</f>
        <v>6</v>
      </c>
      <c r="N22" s="21" t="n">
        <f aca="false">COUNTIFS(Applications!$B$2:$B$3144,A22,Applications!$F$2:$F$3144,"Offered")</f>
        <v>4</v>
      </c>
      <c r="O22" s="21" t="str">
        <f aca="false">IF(COUNTIFS(Applications!$B$2:$B$3144,A22,Applications!$H$2:$H$3144,"Yes")&gt;0,"Yes","No")</f>
        <v>Yes</v>
      </c>
      <c r="P22" s="32" t="n">
        <f aca="false">SUMIFS(Applications!$G$2:$G$3144,Applications!$B$2:$B$3144,A22,Applications!$H$2:$H$3144,"Yes")</f>
        <v>12.4</v>
      </c>
      <c r="Q22" s="21" t="str">
        <f aca="false">IF(O22="Yes",INDEX(Companies!$B$2:$B$31,MATCH(INDEX(Applications!$C$2:$C$3144,MATCH(A22,Applications!$P$2:$P$3144,0)),Companies!$A$2:$A$31,0)),"-")</f>
        <v>LearnLoop</v>
      </c>
    </row>
    <row r="23" customFormat="false" ht="15" hidden="false" customHeight="false" outlineLevel="0" collapsed="false">
      <c r="A23" s="21" t="s">
        <v>155</v>
      </c>
      <c r="B23" s="21" t="s">
        <v>156</v>
      </c>
      <c r="C23" s="21" t="s">
        <v>112</v>
      </c>
      <c r="D23" s="21" t="s">
        <v>67</v>
      </c>
      <c r="E23" s="21" t="s">
        <v>90</v>
      </c>
      <c r="F23" s="21" t="n">
        <v>7.71</v>
      </c>
      <c r="G23" s="21" t="n">
        <v>189</v>
      </c>
      <c r="H23" s="21" t="n">
        <v>5</v>
      </c>
      <c r="I23" s="21" t="s">
        <v>120</v>
      </c>
      <c r="J23" s="21" t="n">
        <v>60</v>
      </c>
      <c r="K23" s="32" t="n">
        <f aca="false">ROUND(Assumptions!$B$4*MIN(G23/Assumptions!$B$11,1)*100+Assumptions!$B$5*F23/10*100+Assumptions!$B$6*MIN(H23/Assumptions!$B$12,1)*100+Assumptions!$B$7*J23+Assumptions!$B$8*IF(I23="Yes",100,0),1)</f>
        <v>68.8</v>
      </c>
      <c r="L23" s="21" t="str">
        <f aca="false">LOOKUP(K23,Assumptions!$D$4:$D$7,Assumptions!$E$4:$E$7)</f>
        <v>Job-Ready</v>
      </c>
      <c r="M23" s="21" t="n">
        <f aca="false">COUNTIFS(Applications!$B$2:$B$3144,A23)</f>
        <v>4</v>
      </c>
      <c r="N23" s="21" t="n">
        <f aca="false">COUNTIFS(Applications!$B$2:$B$3144,A23,Applications!$F$2:$F$3144,"Offered")</f>
        <v>4</v>
      </c>
      <c r="O23" s="21" t="str">
        <f aca="false">IF(COUNTIFS(Applications!$B$2:$B$3144,A23,Applications!$H$2:$H$3144,"Yes")&gt;0,"Yes","No")</f>
        <v>Yes</v>
      </c>
      <c r="P23" s="32" t="n">
        <f aca="false">SUMIFS(Applications!$G$2:$G$3144,Applications!$B$2:$B$3144,A23,Applications!$H$2:$H$3144,"Yes")</f>
        <v>10.7</v>
      </c>
      <c r="Q23" s="21" t="str">
        <f aca="false">IF(O23="Yes",INDEX(Companies!$B$2:$B$31,MATCH(INDEX(Applications!$C$2:$C$3144,MATCH(A23,Applications!$P$2:$P$3144,0)),Companies!$A$2:$A$31,0)),"-")</f>
        <v>MediSphere</v>
      </c>
    </row>
    <row r="24" customFormat="false" ht="15" hidden="false" customHeight="false" outlineLevel="0" collapsed="false">
      <c r="A24" s="21" t="s">
        <v>157</v>
      </c>
      <c r="B24" s="21" t="s">
        <v>158</v>
      </c>
      <c r="C24" s="21" t="s">
        <v>112</v>
      </c>
      <c r="D24" s="21" t="s">
        <v>67</v>
      </c>
      <c r="E24" s="21" t="s">
        <v>91</v>
      </c>
      <c r="F24" s="21" t="n">
        <v>6.81</v>
      </c>
      <c r="G24" s="21" t="n">
        <v>134</v>
      </c>
      <c r="H24" s="21" t="n">
        <v>2</v>
      </c>
      <c r="I24" s="21" t="s">
        <v>113</v>
      </c>
      <c r="J24" s="21" t="n">
        <v>68</v>
      </c>
      <c r="K24" s="32" t="n">
        <f aca="false">ROUND(Assumptions!$B$4*MIN(G24/Assumptions!$B$11,1)*100+Assumptions!$B$5*F24/10*100+Assumptions!$B$6*MIN(H24/Assumptions!$B$12,1)*100+Assumptions!$B$7*J24+Assumptions!$B$8*IF(I24="Yes",100,0),1)</f>
        <v>43.3</v>
      </c>
      <c r="L24" s="21" t="str">
        <f aca="false">LOOKUP(K24,Assumptions!$D$4:$D$7,Assumptions!$E$4:$E$7)</f>
        <v>Foundation</v>
      </c>
      <c r="M24" s="21" t="n">
        <f aca="false">COUNTIFS(Applications!$B$2:$B$3144,A24)</f>
        <v>1</v>
      </c>
      <c r="N24" s="21" t="n">
        <f aca="false">COUNTIFS(Applications!$B$2:$B$3144,A24,Applications!$F$2:$F$3144,"Offered")</f>
        <v>0</v>
      </c>
      <c r="O24" s="21" t="str">
        <f aca="false">IF(COUNTIFS(Applications!$B$2:$B$3144,A24,Applications!$H$2:$H$3144,"Yes")&gt;0,"Yes","No")</f>
        <v>No</v>
      </c>
      <c r="P24" s="32" t="n">
        <f aca="false">SUMIFS(Applications!$G$2:$G$3144,Applications!$B$2:$B$3144,A24,Applications!$H$2:$H$3144,"Yes")</f>
        <v>0</v>
      </c>
      <c r="Q24" s="21" t="str">
        <f aca="false">IF(O24="Yes",INDEX(Companies!$B$2:$B$31,MATCH(INDEX(Applications!$C$2:$C$3144,MATCH(A24,Applications!$P$2:$P$3144,0)),Companies!$A$2:$A$31,0)),"-")</f>
        <v>-</v>
      </c>
    </row>
    <row r="25" customFormat="false" ht="15" hidden="false" customHeight="false" outlineLevel="0" collapsed="false">
      <c r="A25" s="21" t="s">
        <v>159</v>
      </c>
      <c r="B25" s="21" t="s">
        <v>160</v>
      </c>
      <c r="C25" s="21" t="s">
        <v>112</v>
      </c>
      <c r="D25" s="21" t="s">
        <v>63</v>
      </c>
      <c r="E25" s="21" t="s">
        <v>92</v>
      </c>
      <c r="F25" s="21" t="n">
        <v>7.55</v>
      </c>
      <c r="G25" s="21" t="n">
        <v>188</v>
      </c>
      <c r="H25" s="21" t="n">
        <v>5</v>
      </c>
      <c r="I25" s="21" t="s">
        <v>120</v>
      </c>
      <c r="J25" s="21" t="n">
        <v>56</v>
      </c>
      <c r="K25" s="32" t="n">
        <f aca="false">ROUND(Assumptions!$B$4*MIN(G25/Assumptions!$B$11,1)*100+Assumptions!$B$5*F25/10*100+Assumptions!$B$6*MIN(H25/Assumptions!$B$12,1)*100+Assumptions!$B$7*J25+Assumptions!$B$8*IF(I25="Yes",100,0),1)</f>
        <v>67.6</v>
      </c>
      <c r="L25" s="21" t="str">
        <f aca="false">LOOKUP(K25,Assumptions!$D$4:$D$7,Assumptions!$E$4:$E$7)</f>
        <v>Job-Ready</v>
      </c>
      <c r="M25" s="21" t="n">
        <f aca="false">COUNTIFS(Applications!$B$2:$B$3144,A25)</f>
        <v>6</v>
      </c>
      <c r="N25" s="21" t="n">
        <f aca="false">COUNTIFS(Applications!$B$2:$B$3144,A25,Applications!$F$2:$F$3144,"Offered")</f>
        <v>3</v>
      </c>
      <c r="O25" s="21" t="str">
        <f aca="false">IF(COUNTIFS(Applications!$B$2:$B$3144,A25,Applications!$H$2:$H$3144,"Yes")&gt;0,"Yes","No")</f>
        <v>Yes</v>
      </c>
      <c r="P25" s="32" t="n">
        <f aca="false">SUMIFS(Applications!$G$2:$G$3144,Applications!$B$2:$B$3144,A25,Applications!$H$2:$H$3144,"Yes")</f>
        <v>12.6</v>
      </c>
      <c r="Q25" s="21" t="str">
        <f aca="false">IF(O25="Yes",INDEX(Companies!$B$2:$B$31,MATCH(INDEX(Applications!$C$2:$C$3144,MATCH(A25,Applications!$P$2:$P$3144,0)),Companies!$A$2:$A$31,0)),"-")</f>
        <v>ShopSprint</v>
      </c>
    </row>
    <row r="26" customFormat="false" ht="15" hidden="false" customHeight="false" outlineLevel="0" collapsed="false">
      <c r="A26" s="21" t="s">
        <v>161</v>
      </c>
      <c r="B26" s="21" t="s">
        <v>162</v>
      </c>
      <c r="C26" s="21" t="s">
        <v>112</v>
      </c>
      <c r="D26" s="21" t="s">
        <v>65</v>
      </c>
      <c r="E26" s="21" t="s">
        <v>90</v>
      </c>
      <c r="F26" s="21" t="n">
        <v>6.12</v>
      </c>
      <c r="G26" s="21" t="n">
        <v>251</v>
      </c>
      <c r="H26" s="21" t="n">
        <v>5</v>
      </c>
      <c r="I26" s="21" t="s">
        <v>120</v>
      </c>
      <c r="J26" s="21" t="n">
        <v>68</v>
      </c>
      <c r="K26" s="32" t="n">
        <f aca="false">ROUND(Assumptions!$B$4*MIN(G26/Assumptions!$B$11,1)*100+Assumptions!$B$5*F26/10*100+Assumptions!$B$6*MIN(H26/Assumptions!$B$12,1)*100+Assumptions!$B$7*J26+Assumptions!$B$8*IF(I26="Yes",100,0),1)</f>
        <v>70.9</v>
      </c>
      <c r="L26" s="21" t="str">
        <f aca="false">LOOKUP(K26,Assumptions!$D$4:$D$7,Assumptions!$E$4:$E$7)</f>
        <v>Job-Ready</v>
      </c>
      <c r="M26" s="21" t="n">
        <f aca="false">COUNTIFS(Applications!$B$2:$B$3144,A26)</f>
        <v>10</v>
      </c>
      <c r="N26" s="21" t="n">
        <f aca="false">COUNTIFS(Applications!$B$2:$B$3144,A26,Applications!$F$2:$F$3144,"Offered")</f>
        <v>2</v>
      </c>
      <c r="O26" s="21" t="str">
        <f aca="false">IF(COUNTIFS(Applications!$B$2:$B$3144,A26,Applications!$H$2:$H$3144,"Yes")&gt;0,"Yes","No")</f>
        <v>Yes</v>
      </c>
      <c r="P26" s="32" t="n">
        <f aca="false">SUMIFS(Applications!$G$2:$G$3144,Applications!$B$2:$B$3144,A26,Applications!$H$2:$H$3144,"Yes")</f>
        <v>7.2</v>
      </c>
      <c r="Q26" s="21" t="str">
        <f aca="false">IF(O26="Yes",INDEX(Companies!$B$2:$B$31,MATCH(INDEX(Applications!$C$2:$C$3144,MATCH(A26,Applications!$P$2:$P$3144,0)),Companies!$A$2:$A$31,0)),"-")</f>
        <v>AlphaGrid Tech</v>
      </c>
    </row>
    <row r="27" customFormat="false" ht="15" hidden="false" customHeight="false" outlineLevel="0" collapsed="false">
      <c r="A27" s="21" t="s">
        <v>163</v>
      </c>
      <c r="B27" s="21" t="s">
        <v>164</v>
      </c>
      <c r="C27" s="21" t="s">
        <v>112</v>
      </c>
      <c r="D27" s="21" t="s">
        <v>64</v>
      </c>
      <c r="E27" s="21" t="s">
        <v>92</v>
      </c>
      <c r="F27" s="21" t="n">
        <v>7.23</v>
      </c>
      <c r="G27" s="21" t="n">
        <v>493</v>
      </c>
      <c r="H27" s="21" t="n">
        <v>4</v>
      </c>
      <c r="I27" s="21" t="s">
        <v>113</v>
      </c>
      <c r="J27" s="21" t="n">
        <v>72</v>
      </c>
      <c r="K27" s="32" t="n">
        <f aca="false">ROUND(Assumptions!$B$4*MIN(G27/Assumptions!$B$11,1)*100+Assumptions!$B$5*F27/10*100+Assumptions!$B$6*MIN(H27/Assumptions!$B$12,1)*100+Assumptions!$B$7*J27+Assumptions!$B$8*IF(I27="Yes",100,0),1)</f>
        <v>74.4</v>
      </c>
      <c r="L27" s="21" t="str">
        <f aca="false">LOOKUP(K27,Assumptions!$D$4:$D$7,Assumptions!$E$4:$E$7)</f>
        <v>Job-Ready</v>
      </c>
      <c r="M27" s="21" t="n">
        <f aca="false">COUNTIFS(Applications!$B$2:$B$3144,A27)</f>
        <v>8</v>
      </c>
      <c r="N27" s="21" t="n">
        <f aca="false">COUNTIFS(Applications!$B$2:$B$3144,A27,Applications!$F$2:$F$3144,"Offered")</f>
        <v>1</v>
      </c>
      <c r="O27" s="21" t="str">
        <f aca="false">IF(COUNTIFS(Applications!$B$2:$B$3144,A27,Applications!$H$2:$H$3144,"Yes")&gt;0,"Yes","No")</f>
        <v>Yes</v>
      </c>
      <c r="P27" s="32" t="n">
        <f aca="false">SUMIFS(Applications!$G$2:$G$3144,Applications!$B$2:$B$3144,A27,Applications!$H$2:$H$3144,"Yes")</f>
        <v>5.8</v>
      </c>
      <c r="Q27" s="21" t="str">
        <f aca="false">IF(O27="Yes",INDEX(Companies!$B$2:$B$31,MATCH(INDEX(Applications!$C$2:$C$3144,MATCH(A27,Applications!$P$2:$P$3144,0)),Companies!$A$2:$A$31,0)),"-")</f>
        <v>AlphaGrid Tech</v>
      </c>
    </row>
    <row r="28" customFormat="false" ht="15" hidden="false" customHeight="false" outlineLevel="0" collapsed="false">
      <c r="A28" s="21" t="s">
        <v>165</v>
      </c>
      <c r="B28" s="21" t="s">
        <v>166</v>
      </c>
      <c r="C28" s="21" t="s">
        <v>112</v>
      </c>
      <c r="D28" s="21" t="s">
        <v>64</v>
      </c>
      <c r="E28" s="21" t="s">
        <v>92</v>
      </c>
      <c r="F28" s="21" t="n">
        <v>7.44</v>
      </c>
      <c r="G28" s="21" t="n">
        <v>240</v>
      </c>
      <c r="H28" s="21" t="n">
        <v>6</v>
      </c>
      <c r="I28" s="21" t="s">
        <v>113</v>
      </c>
      <c r="J28" s="21" t="n">
        <v>52</v>
      </c>
      <c r="K28" s="32" t="n">
        <f aca="false">ROUND(Assumptions!$B$4*MIN(G28/Assumptions!$B$11,1)*100+Assumptions!$B$5*F28/10*100+Assumptions!$B$6*MIN(H28/Assumptions!$B$12,1)*100+Assumptions!$B$7*J28+Assumptions!$B$8*IF(I28="Yes",100,0),1)</f>
        <v>59.7</v>
      </c>
      <c r="L28" s="21" t="str">
        <f aca="false">LOOKUP(K28,Assumptions!$D$4:$D$7,Assumptions!$E$4:$E$7)</f>
        <v>Developing</v>
      </c>
      <c r="M28" s="21" t="n">
        <f aca="false">COUNTIFS(Applications!$B$2:$B$3144,A28)</f>
        <v>4</v>
      </c>
      <c r="N28" s="21" t="n">
        <f aca="false">COUNTIFS(Applications!$B$2:$B$3144,A28,Applications!$F$2:$F$3144,"Offered")</f>
        <v>2</v>
      </c>
      <c r="O28" s="21" t="str">
        <f aca="false">IF(COUNTIFS(Applications!$B$2:$B$3144,A28,Applications!$H$2:$H$3144,"Yes")&gt;0,"Yes","No")</f>
        <v>Yes</v>
      </c>
      <c r="P28" s="32" t="n">
        <f aca="false">SUMIFS(Applications!$G$2:$G$3144,Applications!$B$2:$B$3144,A28,Applications!$H$2:$H$3144,"Yes")</f>
        <v>13</v>
      </c>
      <c r="Q28" s="21" t="str">
        <f aca="false">IF(O28="Yes",INDEX(Companies!$B$2:$B$31,MATCH(INDEX(Applications!$C$2:$C$3144,MATCH(A28,Applications!$P$2:$P$3144,0)),Companies!$A$2:$A$31,0)),"-")</f>
        <v>CartNest</v>
      </c>
    </row>
    <row r="29" customFormat="false" ht="15" hidden="false" customHeight="false" outlineLevel="0" collapsed="false">
      <c r="A29" s="21" t="s">
        <v>167</v>
      </c>
      <c r="B29" s="21" t="s">
        <v>168</v>
      </c>
      <c r="C29" s="21" t="s">
        <v>112</v>
      </c>
      <c r="D29" s="21" t="s">
        <v>65</v>
      </c>
      <c r="E29" s="21" t="s">
        <v>91</v>
      </c>
      <c r="F29" s="21" t="n">
        <v>7.77</v>
      </c>
      <c r="G29" s="21" t="n">
        <v>171</v>
      </c>
      <c r="H29" s="21" t="n">
        <v>3</v>
      </c>
      <c r="I29" s="21" t="s">
        <v>120</v>
      </c>
      <c r="J29" s="21" t="n">
        <v>82</v>
      </c>
      <c r="K29" s="32" t="n">
        <f aca="false">ROUND(Assumptions!$B$4*MIN(G29/Assumptions!$B$11,1)*100+Assumptions!$B$5*F29/10*100+Assumptions!$B$6*MIN(H29/Assumptions!$B$12,1)*100+Assumptions!$B$7*J29+Assumptions!$B$8*IF(I29="Yes",100,0),1)</f>
        <v>64.2</v>
      </c>
      <c r="L29" s="21" t="str">
        <f aca="false">LOOKUP(K29,Assumptions!$D$4:$D$7,Assumptions!$E$4:$E$7)</f>
        <v>Developing</v>
      </c>
      <c r="M29" s="21" t="n">
        <f aca="false">COUNTIFS(Applications!$B$2:$B$3144,A29)</f>
        <v>10</v>
      </c>
      <c r="N29" s="21" t="n">
        <f aca="false">COUNTIFS(Applications!$B$2:$B$3144,A29,Applications!$F$2:$F$3144,"Offered")</f>
        <v>5</v>
      </c>
      <c r="O29" s="21" t="str">
        <f aca="false">IF(COUNTIFS(Applications!$B$2:$B$3144,A29,Applications!$H$2:$H$3144,"Yes")&gt;0,"Yes","No")</f>
        <v>Yes</v>
      </c>
      <c r="P29" s="32" t="n">
        <f aca="false">SUMIFS(Applications!$G$2:$G$3144,Applications!$B$2:$B$3144,A29,Applications!$H$2:$H$3144,"Yes")</f>
        <v>11.7</v>
      </c>
      <c r="Q29" s="21" t="str">
        <f aca="false">IF(O29="Yes",INDEX(Companies!$B$2:$B$31,MATCH(INDEX(Applications!$C$2:$C$3144,MATCH(A29,Applications!$P$2:$P$3144,0)),Companies!$A$2:$A$31,0)),"-")</f>
        <v>ShopSprint</v>
      </c>
    </row>
    <row r="30" customFormat="false" ht="15" hidden="false" customHeight="false" outlineLevel="0" collapsed="false">
      <c r="A30" s="21" t="s">
        <v>169</v>
      </c>
      <c r="B30" s="21" t="s">
        <v>170</v>
      </c>
      <c r="C30" s="21" t="s">
        <v>112</v>
      </c>
      <c r="D30" s="21" t="s">
        <v>64</v>
      </c>
      <c r="E30" s="21" t="s">
        <v>92</v>
      </c>
      <c r="F30" s="21" t="n">
        <v>8.23</v>
      </c>
      <c r="G30" s="21" t="n">
        <v>795</v>
      </c>
      <c r="H30" s="21" t="n">
        <v>3</v>
      </c>
      <c r="I30" s="21" t="s">
        <v>120</v>
      </c>
      <c r="J30" s="21" t="n">
        <v>67</v>
      </c>
      <c r="K30" s="32" t="n">
        <f aca="false">ROUND(Assumptions!$B$4*MIN(G30/Assumptions!$B$11,1)*100+Assumptions!$B$5*F30/10*100+Assumptions!$B$6*MIN(H30/Assumptions!$B$12,1)*100+Assumptions!$B$7*J30+Assumptions!$B$8*IF(I30="Yes",100,0),1)</f>
        <v>81.9</v>
      </c>
      <c r="L30" s="21" t="str">
        <f aca="false">LOOKUP(K30,Assumptions!$D$4:$D$7,Assumptions!$E$4:$E$7)</f>
        <v>Elite</v>
      </c>
      <c r="M30" s="21" t="n">
        <f aca="false">COUNTIFS(Applications!$B$2:$B$3144,A30)</f>
        <v>4</v>
      </c>
      <c r="N30" s="21" t="n">
        <f aca="false">COUNTIFS(Applications!$B$2:$B$3144,A30,Applications!$F$2:$F$3144,"Offered")</f>
        <v>2</v>
      </c>
      <c r="O30" s="21" t="str">
        <f aca="false">IF(COUNTIFS(Applications!$B$2:$B$3144,A30,Applications!$H$2:$H$3144,"Yes")&gt;0,"Yes","No")</f>
        <v>Yes</v>
      </c>
      <c r="P30" s="32" t="n">
        <f aca="false">SUMIFS(Applications!$G$2:$G$3144,Applications!$B$2:$B$3144,A30,Applications!$H$2:$H$3144,"Yes")</f>
        <v>7.6</v>
      </c>
      <c r="Q30" s="21" t="str">
        <f aca="false">IF(O30="Yes",INDEX(Companies!$B$2:$B$31,MATCH(INDEX(Applications!$C$2:$C$3144,MATCH(A30,Applications!$P$2:$P$3144,0)),Companies!$A$2:$A$31,0)),"-")</f>
        <v>InfoNova Services</v>
      </c>
    </row>
    <row r="31" customFormat="false" ht="15" hidden="false" customHeight="false" outlineLevel="0" collapsed="false">
      <c r="A31" s="21" t="s">
        <v>171</v>
      </c>
      <c r="B31" s="21" t="s">
        <v>172</v>
      </c>
      <c r="C31" s="21" t="s">
        <v>112</v>
      </c>
      <c r="D31" s="21" t="s">
        <v>63</v>
      </c>
      <c r="E31" s="21" t="s">
        <v>91</v>
      </c>
      <c r="F31" s="21" t="n">
        <v>8.83</v>
      </c>
      <c r="G31" s="21" t="n">
        <v>145</v>
      </c>
      <c r="H31" s="21" t="n">
        <v>6</v>
      </c>
      <c r="I31" s="21" t="s">
        <v>113</v>
      </c>
      <c r="J31" s="21" t="n">
        <v>59</v>
      </c>
      <c r="K31" s="32" t="n">
        <f aca="false">ROUND(Assumptions!$B$4*MIN(G31/Assumptions!$B$11,1)*100+Assumptions!$B$5*F31/10*100+Assumptions!$B$6*MIN(H31/Assumptions!$B$12,1)*100+Assumptions!$B$7*J31+Assumptions!$B$8*IF(I31="Yes",100,0),1)</f>
        <v>58.2</v>
      </c>
      <c r="L31" s="21" t="str">
        <f aca="false">LOOKUP(K31,Assumptions!$D$4:$D$7,Assumptions!$E$4:$E$7)</f>
        <v>Developing</v>
      </c>
      <c r="M31" s="21" t="n">
        <f aca="false">COUNTIFS(Applications!$B$2:$B$3144,A31)</f>
        <v>4</v>
      </c>
      <c r="N31" s="21" t="n">
        <f aca="false">COUNTIFS(Applications!$B$2:$B$3144,A31,Applications!$F$2:$F$3144,"Offered")</f>
        <v>0</v>
      </c>
      <c r="O31" s="21" t="str">
        <f aca="false">IF(COUNTIFS(Applications!$B$2:$B$3144,A31,Applications!$H$2:$H$3144,"Yes")&gt;0,"Yes","No")</f>
        <v>No</v>
      </c>
      <c r="P31" s="32" t="n">
        <f aca="false">SUMIFS(Applications!$G$2:$G$3144,Applications!$B$2:$B$3144,A31,Applications!$H$2:$H$3144,"Yes")</f>
        <v>0</v>
      </c>
      <c r="Q31" s="21" t="str">
        <f aca="false">IF(O31="Yes",INDEX(Companies!$B$2:$B$31,MATCH(INDEX(Applications!$C$2:$C$3144,MATCH(A31,Applications!$P$2:$P$3144,0)),Companies!$A$2:$A$31,0)),"-")</f>
        <v>-</v>
      </c>
    </row>
    <row r="32" customFormat="false" ht="15" hidden="false" customHeight="false" outlineLevel="0" collapsed="false">
      <c r="A32" s="21" t="s">
        <v>173</v>
      </c>
      <c r="B32" s="21" t="s">
        <v>174</v>
      </c>
      <c r="C32" s="21" t="s">
        <v>112</v>
      </c>
      <c r="D32" s="21" t="s">
        <v>67</v>
      </c>
      <c r="E32" s="21" t="s">
        <v>91</v>
      </c>
      <c r="F32" s="21" t="n">
        <v>7.6</v>
      </c>
      <c r="G32" s="21" t="n">
        <v>475</v>
      </c>
      <c r="H32" s="21" t="n">
        <v>3</v>
      </c>
      <c r="I32" s="21" t="s">
        <v>113</v>
      </c>
      <c r="J32" s="21" t="n">
        <v>65</v>
      </c>
      <c r="K32" s="32" t="n">
        <f aca="false">ROUND(Assumptions!$B$4*MIN(G32/Assumptions!$B$11,1)*100+Assumptions!$B$5*F32/10*100+Assumptions!$B$6*MIN(H32/Assumptions!$B$12,1)*100+Assumptions!$B$7*J32+Assumptions!$B$8*IF(I32="Yes",100,0),1)</f>
        <v>68.7</v>
      </c>
      <c r="L32" s="21" t="str">
        <f aca="false">LOOKUP(K32,Assumptions!$D$4:$D$7,Assumptions!$E$4:$E$7)</f>
        <v>Job-Ready</v>
      </c>
      <c r="M32" s="21" t="n">
        <f aca="false">COUNTIFS(Applications!$B$2:$B$3144,A32)</f>
        <v>6</v>
      </c>
      <c r="N32" s="21" t="n">
        <f aca="false">COUNTIFS(Applications!$B$2:$B$3144,A32,Applications!$F$2:$F$3144,"Offered")</f>
        <v>4</v>
      </c>
      <c r="O32" s="21" t="str">
        <f aca="false">IF(COUNTIFS(Applications!$B$2:$B$3144,A32,Applications!$H$2:$H$3144,"Yes")&gt;0,"Yes","No")</f>
        <v>Yes</v>
      </c>
      <c r="P32" s="32" t="n">
        <f aca="false">SUMIFS(Applications!$G$2:$G$3144,Applications!$B$2:$B$3144,A32,Applications!$H$2:$H$3144,"Yes")</f>
        <v>19.9</v>
      </c>
      <c r="Q32" s="21" t="str">
        <f aca="false">IF(O32="Yes",INDEX(Companies!$B$2:$B$31,MATCH(INDEX(Applications!$C$2:$C$3144,MATCH(A32,Applications!$P$2:$P$3144,0)),Companies!$A$2:$A$31,0)),"-")</f>
        <v>Quantora Labs</v>
      </c>
    </row>
    <row r="33" customFormat="false" ht="15" hidden="false" customHeight="false" outlineLevel="0" collapsed="false">
      <c r="A33" s="21" t="s">
        <v>175</v>
      </c>
      <c r="B33" s="21" t="s">
        <v>176</v>
      </c>
      <c r="C33" s="21" t="s">
        <v>112</v>
      </c>
      <c r="D33" s="21" t="s">
        <v>67</v>
      </c>
      <c r="E33" s="21" t="s">
        <v>92</v>
      </c>
      <c r="F33" s="21" t="n">
        <v>7.08</v>
      </c>
      <c r="G33" s="21" t="n">
        <v>323</v>
      </c>
      <c r="H33" s="21" t="n">
        <v>4</v>
      </c>
      <c r="I33" s="21" t="s">
        <v>120</v>
      </c>
      <c r="J33" s="21" t="n">
        <v>52</v>
      </c>
      <c r="K33" s="32" t="n">
        <f aca="false">ROUND(Assumptions!$B$4*MIN(G33/Assumptions!$B$11,1)*100+Assumptions!$B$5*F33/10*100+Assumptions!$B$6*MIN(H33/Assumptions!$B$12,1)*100+Assumptions!$B$7*J33+Assumptions!$B$8*IF(I33="Yes",100,0),1)</f>
        <v>69.9</v>
      </c>
      <c r="L33" s="21" t="str">
        <f aca="false">LOOKUP(K33,Assumptions!$D$4:$D$7,Assumptions!$E$4:$E$7)</f>
        <v>Job-Ready</v>
      </c>
      <c r="M33" s="21" t="n">
        <f aca="false">COUNTIFS(Applications!$B$2:$B$3144,A33)</f>
        <v>4</v>
      </c>
      <c r="N33" s="21" t="n">
        <f aca="false">COUNTIFS(Applications!$B$2:$B$3144,A33,Applications!$F$2:$F$3144,"Offered")</f>
        <v>1</v>
      </c>
      <c r="O33" s="21" t="str">
        <f aca="false">IF(COUNTIFS(Applications!$B$2:$B$3144,A33,Applications!$H$2:$H$3144,"Yes")&gt;0,"Yes","No")</f>
        <v>Yes</v>
      </c>
      <c r="P33" s="32" t="n">
        <f aca="false">SUMIFS(Applications!$G$2:$G$3144,Applications!$B$2:$B$3144,A33,Applications!$H$2:$H$3144,"Yes")</f>
        <v>12.3</v>
      </c>
      <c r="Q33" s="21" t="str">
        <f aca="false">IF(O33="Yes",INDEX(Companies!$B$2:$B$31,MATCH(INDEX(Applications!$C$2:$C$3144,MATCH(A33,Applications!$P$2:$P$3144,0)),Companies!$A$2:$A$31,0)),"-")</f>
        <v>InsightWorks</v>
      </c>
    </row>
    <row r="34" customFormat="false" ht="15" hidden="false" customHeight="false" outlineLevel="0" collapsed="false">
      <c r="A34" s="21" t="s">
        <v>177</v>
      </c>
      <c r="B34" s="21" t="s">
        <v>178</v>
      </c>
      <c r="C34" s="21" t="s">
        <v>112</v>
      </c>
      <c r="D34" s="21" t="s">
        <v>67</v>
      </c>
      <c r="E34" s="21" t="s">
        <v>90</v>
      </c>
      <c r="F34" s="21" t="n">
        <v>7.15</v>
      </c>
      <c r="G34" s="21" t="n">
        <v>333</v>
      </c>
      <c r="H34" s="21" t="n">
        <v>0</v>
      </c>
      <c r="I34" s="21" t="s">
        <v>120</v>
      </c>
      <c r="J34" s="21" t="n">
        <v>34</v>
      </c>
      <c r="K34" s="32" t="n">
        <f aca="false">ROUND(Assumptions!$B$4*MIN(G34/Assumptions!$B$11,1)*100+Assumptions!$B$5*F34/10*100+Assumptions!$B$6*MIN(H34/Assumptions!$B$12,1)*100+Assumptions!$B$7*J34+Assumptions!$B$8*IF(I34="Yes",100,0),1)</f>
        <v>51.1</v>
      </c>
      <c r="L34" s="21" t="str">
        <f aca="false">LOOKUP(K34,Assumptions!$D$4:$D$7,Assumptions!$E$4:$E$7)</f>
        <v>Developing</v>
      </c>
      <c r="M34" s="21" t="n">
        <f aca="false">COUNTIFS(Applications!$B$2:$B$3144,A34)</f>
        <v>3</v>
      </c>
      <c r="N34" s="21" t="n">
        <f aca="false">COUNTIFS(Applications!$B$2:$B$3144,A34,Applications!$F$2:$F$3144,"Offered")</f>
        <v>0</v>
      </c>
      <c r="O34" s="21" t="str">
        <f aca="false">IF(COUNTIFS(Applications!$B$2:$B$3144,A34,Applications!$H$2:$H$3144,"Yes")&gt;0,"Yes","No")</f>
        <v>No</v>
      </c>
      <c r="P34" s="32" t="n">
        <f aca="false">SUMIFS(Applications!$G$2:$G$3144,Applications!$B$2:$B$3144,A34,Applications!$H$2:$H$3144,"Yes")</f>
        <v>0</v>
      </c>
      <c r="Q34" s="21" t="str">
        <f aca="false">IF(O34="Yes",INDEX(Companies!$B$2:$B$31,MATCH(INDEX(Applications!$C$2:$C$3144,MATCH(A34,Applications!$P$2:$P$3144,0)),Companies!$A$2:$A$31,0)),"-")</f>
        <v>-</v>
      </c>
    </row>
    <row r="35" customFormat="false" ht="15" hidden="false" customHeight="false" outlineLevel="0" collapsed="false">
      <c r="A35" s="21" t="s">
        <v>179</v>
      </c>
      <c r="B35" s="21" t="s">
        <v>180</v>
      </c>
      <c r="C35" s="21" t="s">
        <v>112</v>
      </c>
      <c r="D35" s="21" t="s">
        <v>64</v>
      </c>
      <c r="E35" s="21" t="s">
        <v>92</v>
      </c>
      <c r="F35" s="21" t="n">
        <v>6.89</v>
      </c>
      <c r="G35" s="21" t="n">
        <v>688</v>
      </c>
      <c r="H35" s="21" t="n">
        <v>3</v>
      </c>
      <c r="I35" s="21" t="s">
        <v>120</v>
      </c>
      <c r="J35" s="21" t="n">
        <v>80</v>
      </c>
      <c r="K35" s="32" t="n">
        <f aca="false">ROUND(Assumptions!$B$4*MIN(G35/Assumptions!$B$11,1)*100+Assumptions!$B$5*F35/10*100+Assumptions!$B$6*MIN(H35/Assumptions!$B$12,1)*100+Assumptions!$B$7*J35+Assumptions!$B$8*IF(I35="Yes",100,0),1)</f>
        <v>81.8</v>
      </c>
      <c r="L35" s="21" t="str">
        <f aca="false">LOOKUP(K35,Assumptions!$D$4:$D$7,Assumptions!$E$4:$E$7)</f>
        <v>Elite</v>
      </c>
      <c r="M35" s="21" t="n">
        <f aca="false">COUNTIFS(Applications!$B$2:$B$3144,A35)</f>
        <v>9</v>
      </c>
      <c r="N35" s="21" t="n">
        <f aca="false">COUNTIFS(Applications!$B$2:$B$3144,A35,Applications!$F$2:$F$3144,"Offered")</f>
        <v>5</v>
      </c>
      <c r="O35" s="21" t="str">
        <f aca="false">IF(COUNTIFS(Applications!$B$2:$B$3144,A35,Applications!$H$2:$H$3144,"Yes")&gt;0,"Yes","No")</f>
        <v>Yes</v>
      </c>
      <c r="P35" s="32" t="n">
        <f aca="false">SUMIFS(Applications!$G$2:$G$3144,Applications!$B$2:$B$3144,A35,Applications!$H$2:$H$3144,"Yes")</f>
        <v>13.7</v>
      </c>
      <c r="Q35" s="21" t="str">
        <f aca="false">IF(O35="Yes",INDEX(Companies!$B$2:$B$31,MATCH(INDEX(Applications!$C$2:$C$3144,MATCH(A35,Applications!$P$2:$P$3144,0)),Companies!$A$2:$A$31,0)),"-")</f>
        <v>FinStack</v>
      </c>
    </row>
    <row r="36" customFormat="false" ht="15" hidden="false" customHeight="false" outlineLevel="0" collapsed="false">
      <c r="A36" s="21" t="s">
        <v>181</v>
      </c>
      <c r="B36" s="21" t="s">
        <v>182</v>
      </c>
      <c r="C36" s="21" t="s">
        <v>112</v>
      </c>
      <c r="D36" s="21" t="s">
        <v>65</v>
      </c>
      <c r="E36" s="21" t="s">
        <v>90</v>
      </c>
      <c r="F36" s="21" t="n">
        <v>6.17</v>
      </c>
      <c r="G36" s="21" t="n">
        <v>99</v>
      </c>
      <c r="H36" s="21" t="n">
        <v>3</v>
      </c>
      <c r="I36" s="21" t="s">
        <v>113</v>
      </c>
      <c r="J36" s="21" t="n">
        <v>68</v>
      </c>
      <c r="K36" s="32" t="n">
        <f aca="false">ROUND(Assumptions!$B$4*MIN(G36/Assumptions!$B$11,1)*100+Assumptions!$B$5*F36/10*100+Assumptions!$B$6*MIN(H36/Assumptions!$B$12,1)*100+Assumptions!$B$7*J36+Assumptions!$B$8*IF(I36="Yes",100,0),1)</f>
        <v>43.9</v>
      </c>
      <c r="L36" s="21" t="str">
        <f aca="false">LOOKUP(K36,Assumptions!$D$4:$D$7,Assumptions!$E$4:$E$7)</f>
        <v>Foundation</v>
      </c>
      <c r="M36" s="21" t="n">
        <f aca="false">COUNTIFS(Applications!$B$2:$B$3144,A36)</f>
        <v>2</v>
      </c>
      <c r="N36" s="21" t="n">
        <f aca="false">COUNTIFS(Applications!$B$2:$B$3144,A36,Applications!$F$2:$F$3144,"Offered")</f>
        <v>0</v>
      </c>
      <c r="O36" s="21" t="str">
        <f aca="false">IF(COUNTIFS(Applications!$B$2:$B$3144,A36,Applications!$H$2:$H$3144,"Yes")&gt;0,"Yes","No")</f>
        <v>No</v>
      </c>
      <c r="P36" s="32" t="n">
        <f aca="false">SUMIFS(Applications!$G$2:$G$3144,Applications!$B$2:$B$3144,A36,Applications!$H$2:$H$3144,"Yes")</f>
        <v>0</v>
      </c>
      <c r="Q36" s="21" t="str">
        <f aca="false">IF(O36="Yes",INDEX(Companies!$B$2:$B$31,MATCH(INDEX(Applications!$C$2:$C$3144,MATCH(A36,Applications!$P$2:$P$3144,0)),Companies!$A$2:$A$31,0)),"-")</f>
        <v>-</v>
      </c>
    </row>
    <row r="37" customFormat="false" ht="15" hidden="false" customHeight="false" outlineLevel="0" collapsed="false">
      <c r="A37" s="21" t="s">
        <v>183</v>
      </c>
      <c r="B37" s="21" t="s">
        <v>184</v>
      </c>
      <c r="C37" s="21" t="s">
        <v>112</v>
      </c>
      <c r="D37" s="21" t="s">
        <v>64</v>
      </c>
      <c r="E37" s="21" t="s">
        <v>90</v>
      </c>
      <c r="F37" s="21" t="n">
        <v>6.96</v>
      </c>
      <c r="G37" s="21" t="n">
        <v>355</v>
      </c>
      <c r="H37" s="21" t="n">
        <v>4</v>
      </c>
      <c r="I37" s="21" t="s">
        <v>113</v>
      </c>
      <c r="J37" s="21" t="n">
        <v>57</v>
      </c>
      <c r="K37" s="32" t="n">
        <f aca="false">ROUND(Assumptions!$B$4*MIN(G37/Assumptions!$B$11,1)*100+Assumptions!$B$5*F37/10*100+Assumptions!$B$6*MIN(H37/Assumptions!$B$12,1)*100+Assumptions!$B$7*J37+Assumptions!$B$8*IF(I37="Yes",100,0),1)</f>
        <v>62.6</v>
      </c>
      <c r="L37" s="21" t="str">
        <f aca="false">LOOKUP(K37,Assumptions!$D$4:$D$7,Assumptions!$E$4:$E$7)</f>
        <v>Developing</v>
      </c>
      <c r="M37" s="21" t="n">
        <f aca="false">COUNTIFS(Applications!$B$2:$B$3144,A37)</f>
        <v>4</v>
      </c>
      <c r="N37" s="21" t="n">
        <f aca="false">COUNTIFS(Applications!$B$2:$B$3144,A37,Applications!$F$2:$F$3144,"Offered")</f>
        <v>1</v>
      </c>
      <c r="O37" s="21" t="str">
        <f aca="false">IF(COUNTIFS(Applications!$B$2:$B$3144,A37,Applications!$H$2:$H$3144,"Yes")&gt;0,"Yes","No")</f>
        <v>Yes</v>
      </c>
      <c r="P37" s="32" t="n">
        <f aca="false">SUMIFS(Applications!$G$2:$G$3144,Applications!$B$2:$B$3144,A37,Applications!$H$2:$H$3144,"Yes")</f>
        <v>6.4</v>
      </c>
      <c r="Q37" s="21" t="str">
        <f aca="false">IF(O37="Yes",INDEX(Companies!$B$2:$B$31,MATCH(INDEX(Applications!$C$2:$C$3144,MATCH(A37,Applications!$P$2:$P$3144,0)),Companies!$A$2:$A$31,0)),"-")</f>
        <v>RetailRocket</v>
      </c>
    </row>
    <row r="38" customFormat="false" ht="15" hidden="false" customHeight="false" outlineLevel="0" collapsed="false">
      <c r="A38" s="21" t="s">
        <v>185</v>
      </c>
      <c r="B38" s="21" t="s">
        <v>186</v>
      </c>
      <c r="C38" s="21" t="s">
        <v>112</v>
      </c>
      <c r="D38" s="21" t="s">
        <v>65</v>
      </c>
      <c r="E38" s="21" t="s">
        <v>91</v>
      </c>
      <c r="F38" s="21" t="n">
        <v>8.5</v>
      </c>
      <c r="G38" s="21" t="n">
        <v>200</v>
      </c>
      <c r="H38" s="21" t="n">
        <v>2</v>
      </c>
      <c r="I38" s="21" t="s">
        <v>120</v>
      </c>
      <c r="J38" s="21" t="n">
        <v>64</v>
      </c>
      <c r="K38" s="32" t="n">
        <f aca="false">ROUND(Assumptions!$B$4*MIN(G38/Assumptions!$B$11,1)*100+Assumptions!$B$5*F38/10*100+Assumptions!$B$6*MIN(H38/Assumptions!$B$12,1)*100+Assumptions!$B$7*J38+Assumptions!$B$8*IF(I38="Yes",100,0),1)</f>
        <v>59.8</v>
      </c>
      <c r="L38" s="21" t="str">
        <f aca="false">LOOKUP(K38,Assumptions!$D$4:$D$7,Assumptions!$E$4:$E$7)</f>
        <v>Developing</v>
      </c>
      <c r="M38" s="21" t="n">
        <f aca="false">COUNTIFS(Applications!$B$2:$B$3144,A38)</f>
        <v>4</v>
      </c>
      <c r="N38" s="21" t="n">
        <f aca="false">COUNTIFS(Applications!$B$2:$B$3144,A38,Applications!$F$2:$F$3144,"Offered")</f>
        <v>1</v>
      </c>
      <c r="O38" s="21" t="str">
        <f aca="false">IF(COUNTIFS(Applications!$B$2:$B$3144,A38,Applications!$H$2:$H$3144,"Yes")&gt;0,"Yes","No")</f>
        <v>Yes</v>
      </c>
      <c r="P38" s="32" t="n">
        <f aca="false">SUMIFS(Applications!$G$2:$G$3144,Applications!$B$2:$B$3144,A38,Applications!$H$2:$H$3144,"Yes")</f>
        <v>23.7</v>
      </c>
      <c r="Q38" s="21" t="str">
        <f aca="false">IF(O38="Yes",INDEX(Companies!$B$2:$B$31,MATCH(INDEX(Applications!$C$2:$C$3144,MATCH(A38,Applications!$P$2:$P$3144,0)),Companies!$A$2:$A$31,0)),"-")</f>
        <v>Zenith Pay</v>
      </c>
    </row>
    <row r="39" customFormat="false" ht="15" hidden="false" customHeight="false" outlineLevel="0" collapsed="false">
      <c r="A39" s="21" t="s">
        <v>187</v>
      </c>
      <c r="B39" s="21" t="s">
        <v>188</v>
      </c>
      <c r="C39" s="21" t="s">
        <v>112</v>
      </c>
      <c r="D39" s="21" t="s">
        <v>66</v>
      </c>
      <c r="E39" s="21" t="s">
        <v>91</v>
      </c>
      <c r="F39" s="21" t="n">
        <v>7.48</v>
      </c>
      <c r="G39" s="21" t="n">
        <v>279</v>
      </c>
      <c r="H39" s="21" t="n">
        <v>3</v>
      </c>
      <c r="I39" s="21" t="s">
        <v>113</v>
      </c>
      <c r="J39" s="21" t="n">
        <v>89</v>
      </c>
      <c r="K39" s="32" t="n">
        <f aca="false">ROUND(Assumptions!$B$4*MIN(G39/Assumptions!$B$11,1)*100+Assumptions!$B$5*F39/10*100+Assumptions!$B$6*MIN(H39/Assumptions!$B$12,1)*100+Assumptions!$B$7*J39+Assumptions!$B$8*IF(I39="Yes",100,0),1)</f>
        <v>61.5</v>
      </c>
      <c r="L39" s="21" t="str">
        <f aca="false">LOOKUP(K39,Assumptions!$D$4:$D$7,Assumptions!$E$4:$E$7)</f>
        <v>Developing</v>
      </c>
      <c r="M39" s="21" t="n">
        <f aca="false">COUNTIFS(Applications!$B$2:$B$3144,A39)</f>
        <v>5</v>
      </c>
      <c r="N39" s="21" t="n">
        <f aca="false">COUNTIFS(Applications!$B$2:$B$3144,A39,Applications!$F$2:$F$3144,"Offered")</f>
        <v>1</v>
      </c>
      <c r="O39" s="21" t="str">
        <f aca="false">IF(COUNTIFS(Applications!$B$2:$B$3144,A39,Applications!$H$2:$H$3144,"Yes")&gt;0,"Yes","No")</f>
        <v>Yes</v>
      </c>
      <c r="P39" s="32" t="n">
        <f aca="false">SUMIFS(Applications!$G$2:$G$3144,Applications!$B$2:$B$3144,A39,Applications!$H$2:$H$3144,"Yes")</f>
        <v>5.4</v>
      </c>
      <c r="Q39" s="21" t="str">
        <f aca="false">IF(O39="Yes",INDEX(Companies!$B$2:$B$31,MATCH(INDEX(Applications!$C$2:$C$3144,MATCH(A39,Applications!$P$2:$P$3144,0)),Companies!$A$2:$A$31,0)),"-")</f>
        <v>Bharat Digital</v>
      </c>
    </row>
    <row r="40" customFormat="false" ht="15" hidden="false" customHeight="false" outlineLevel="0" collapsed="false">
      <c r="A40" s="21" t="s">
        <v>189</v>
      </c>
      <c r="B40" s="21" t="s">
        <v>190</v>
      </c>
      <c r="C40" s="21" t="s">
        <v>112</v>
      </c>
      <c r="D40" s="21" t="s">
        <v>67</v>
      </c>
      <c r="E40" s="21" t="s">
        <v>91</v>
      </c>
      <c r="F40" s="21" t="n">
        <v>7.13</v>
      </c>
      <c r="G40" s="21" t="n">
        <v>220</v>
      </c>
      <c r="H40" s="21" t="n">
        <v>5</v>
      </c>
      <c r="I40" s="21" t="s">
        <v>113</v>
      </c>
      <c r="J40" s="21" t="n">
        <v>82</v>
      </c>
      <c r="K40" s="32" t="n">
        <f aca="false">ROUND(Assumptions!$B$4*MIN(G40/Assumptions!$B$11,1)*100+Assumptions!$B$5*F40/10*100+Assumptions!$B$6*MIN(H40/Assumptions!$B$12,1)*100+Assumptions!$B$7*J40+Assumptions!$B$8*IF(I40="Yes",100,0),1)</f>
        <v>63.9</v>
      </c>
      <c r="L40" s="21" t="str">
        <f aca="false">LOOKUP(K40,Assumptions!$D$4:$D$7,Assumptions!$E$4:$E$7)</f>
        <v>Developing</v>
      </c>
      <c r="M40" s="21" t="n">
        <f aca="false">COUNTIFS(Applications!$B$2:$B$3144,A40)</f>
        <v>3</v>
      </c>
      <c r="N40" s="21" t="n">
        <f aca="false">COUNTIFS(Applications!$B$2:$B$3144,A40,Applications!$F$2:$F$3144,"Offered")</f>
        <v>2</v>
      </c>
      <c r="O40" s="21" t="str">
        <f aca="false">IF(COUNTIFS(Applications!$B$2:$B$3144,A40,Applications!$H$2:$H$3144,"Yes")&gt;0,"Yes","No")</f>
        <v>Yes</v>
      </c>
      <c r="P40" s="32" t="n">
        <f aca="false">SUMIFS(Applications!$G$2:$G$3144,Applications!$B$2:$B$3144,A40,Applications!$H$2:$H$3144,"Yes")</f>
        <v>5.9</v>
      </c>
      <c r="Q40" s="21" t="str">
        <f aca="false">IF(O40="Yes",INDEX(Companies!$B$2:$B$31,MATCH(INDEX(Applications!$C$2:$C$3144,MATCH(A40,Applications!$P$2:$P$3144,0)),Companies!$A$2:$A$31,0)),"-")</f>
        <v>Sapphire Infotech</v>
      </c>
    </row>
    <row r="41" customFormat="false" ht="15" hidden="false" customHeight="false" outlineLevel="0" collapsed="false">
      <c r="A41" s="21" t="s">
        <v>191</v>
      </c>
      <c r="B41" s="21" t="s">
        <v>192</v>
      </c>
      <c r="C41" s="21" t="s">
        <v>112</v>
      </c>
      <c r="D41" s="21" t="s">
        <v>64</v>
      </c>
      <c r="E41" s="21" t="s">
        <v>91</v>
      </c>
      <c r="F41" s="21" t="n">
        <v>7.35</v>
      </c>
      <c r="G41" s="21" t="n">
        <v>307</v>
      </c>
      <c r="H41" s="21" t="n">
        <v>3</v>
      </c>
      <c r="I41" s="21" t="s">
        <v>113</v>
      </c>
      <c r="J41" s="21" t="n">
        <v>67</v>
      </c>
      <c r="K41" s="32" t="n">
        <f aca="false">ROUND(Assumptions!$B$4*MIN(G41/Assumptions!$B$11,1)*100+Assumptions!$B$5*F41/10*100+Assumptions!$B$6*MIN(H41/Assumptions!$B$12,1)*100+Assumptions!$B$7*J41+Assumptions!$B$8*IF(I41="Yes",100,0),1)</f>
        <v>58.5</v>
      </c>
      <c r="L41" s="21" t="str">
        <f aca="false">LOOKUP(K41,Assumptions!$D$4:$D$7,Assumptions!$E$4:$E$7)</f>
        <v>Developing</v>
      </c>
      <c r="M41" s="21" t="n">
        <f aca="false">COUNTIFS(Applications!$B$2:$B$3144,A41)</f>
        <v>6</v>
      </c>
      <c r="N41" s="21" t="n">
        <f aca="false">COUNTIFS(Applications!$B$2:$B$3144,A41,Applications!$F$2:$F$3144,"Offered")</f>
        <v>1</v>
      </c>
      <c r="O41" s="21" t="str">
        <f aca="false">IF(COUNTIFS(Applications!$B$2:$B$3144,A41,Applications!$H$2:$H$3144,"Yes")&gt;0,"Yes","No")</f>
        <v>Yes</v>
      </c>
      <c r="P41" s="32" t="n">
        <f aca="false">SUMIFS(Applications!$G$2:$G$3144,Applications!$B$2:$B$3144,A41,Applications!$H$2:$H$3144,"Yes")</f>
        <v>4.6</v>
      </c>
      <c r="Q41" s="21" t="str">
        <f aca="false">IF(O41="Yes",INDEX(Companies!$B$2:$B$31,MATCH(INDEX(Applications!$C$2:$C$3144,MATCH(A41,Applications!$P$2:$P$3144,0)),Companies!$A$2:$A$31,0)),"-")</f>
        <v>AlphaGrid Tech</v>
      </c>
    </row>
    <row r="42" customFormat="false" ht="15" hidden="false" customHeight="false" outlineLevel="0" collapsed="false">
      <c r="A42" s="21" t="s">
        <v>193</v>
      </c>
      <c r="B42" s="21" t="s">
        <v>194</v>
      </c>
      <c r="C42" s="21" t="s">
        <v>112</v>
      </c>
      <c r="D42" s="21" t="s">
        <v>66</v>
      </c>
      <c r="E42" s="21" t="s">
        <v>90</v>
      </c>
      <c r="F42" s="21" t="n">
        <v>8.34</v>
      </c>
      <c r="G42" s="21" t="n">
        <v>75</v>
      </c>
      <c r="H42" s="21" t="n">
        <v>4</v>
      </c>
      <c r="I42" s="21" t="s">
        <v>120</v>
      </c>
      <c r="J42" s="21" t="n">
        <v>25</v>
      </c>
      <c r="K42" s="32" t="n">
        <f aca="false">ROUND(Assumptions!$B$4*MIN(G42/Assumptions!$B$11,1)*100+Assumptions!$B$5*F42/10*100+Assumptions!$B$6*MIN(H42/Assumptions!$B$12,1)*100+Assumptions!$B$7*J42+Assumptions!$B$8*IF(I42="Yes",100,0),1)</f>
        <v>52.2</v>
      </c>
      <c r="L42" s="21" t="str">
        <f aca="false">LOOKUP(K42,Assumptions!$D$4:$D$7,Assumptions!$E$4:$E$7)</f>
        <v>Developing</v>
      </c>
      <c r="M42" s="21" t="n">
        <f aca="false">COUNTIFS(Applications!$B$2:$B$3144,A42)</f>
        <v>0</v>
      </c>
      <c r="N42" s="21" t="n">
        <f aca="false">COUNTIFS(Applications!$B$2:$B$3144,A42,Applications!$F$2:$F$3144,"Offered")</f>
        <v>0</v>
      </c>
      <c r="O42" s="21" t="str">
        <f aca="false">IF(COUNTIFS(Applications!$B$2:$B$3144,A42,Applications!$H$2:$H$3144,"Yes")&gt;0,"Yes","No")</f>
        <v>No</v>
      </c>
      <c r="P42" s="32" t="n">
        <f aca="false">SUMIFS(Applications!$G$2:$G$3144,Applications!$B$2:$B$3144,A42,Applications!$H$2:$H$3144,"Yes")</f>
        <v>0</v>
      </c>
      <c r="Q42" s="21" t="str">
        <f aca="false">IF(O42="Yes",INDEX(Companies!$B$2:$B$31,MATCH(INDEX(Applications!$C$2:$C$3144,MATCH(A42,Applications!$P$2:$P$3144,0)),Companies!$A$2:$A$31,0)),"-")</f>
        <v>-</v>
      </c>
    </row>
    <row r="43" customFormat="false" ht="15" hidden="false" customHeight="false" outlineLevel="0" collapsed="false">
      <c r="A43" s="21" t="s">
        <v>195</v>
      </c>
      <c r="B43" s="21" t="s">
        <v>196</v>
      </c>
      <c r="C43" s="21" t="s">
        <v>112</v>
      </c>
      <c r="D43" s="21" t="s">
        <v>63</v>
      </c>
      <c r="E43" s="21" t="s">
        <v>92</v>
      </c>
      <c r="F43" s="21" t="n">
        <v>7</v>
      </c>
      <c r="G43" s="21" t="n">
        <v>277</v>
      </c>
      <c r="H43" s="21" t="n">
        <v>2</v>
      </c>
      <c r="I43" s="21" t="s">
        <v>120</v>
      </c>
      <c r="J43" s="21" t="n">
        <v>66</v>
      </c>
      <c r="K43" s="32" t="n">
        <f aca="false">ROUND(Assumptions!$B$4*MIN(G43/Assumptions!$B$11,1)*100+Assumptions!$B$5*F43/10*100+Assumptions!$B$6*MIN(H43/Assumptions!$B$12,1)*100+Assumptions!$B$7*J43+Assumptions!$B$8*IF(I43="Yes",100,0),1)</f>
        <v>61.8</v>
      </c>
      <c r="L43" s="21" t="str">
        <f aca="false">LOOKUP(K43,Assumptions!$D$4:$D$7,Assumptions!$E$4:$E$7)</f>
        <v>Developing</v>
      </c>
      <c r="M43" s="21" t="n">
        <f aca="false">COUNTIFS(Applications!$B$2:$B$3144,A43)</f>
        <v>0</v>
      </c>
      <c r="N43" s="21" t="n">
        <f aca="false">COUNTIFS(Applications!$B$2:$B$3144,A43,Applications!$F$2:$F$3144,"Offered")</f>
        <v>0</v>
      </c>
      <c r="O43" s="21" t="str">
        <f aca="false">IF(COUNTIFS(Applications!$B$2:$B$3144,A43,Applications!$H$2:$H$3144,"Yes")&gt;0,"Yes","No")</f>
        <v>No</v>
      </c>
      <c r="P43" s="32" t="n">
        <f aca="false">SUMIFS(Applications!$G$2:$G$3144,Applications!$B$2:$B$3144,A43,Applications!$H$2:$H$3144,"Yes")</f>
        <v>0</v>
      </c>
      <c r="Q43" s="21" t="str">
        <f aca="false">IF(O43="Yes",INDEX(Companies!$B$2:$B$31,MATCH(INDEX(Applications!$C$2:$C$3144,MATCH(A43,Applications!$P$2:$P$3144,0)),Companies!$A$2:$A$31,0)),"-")</f>
        <v>-</v>
      </c>
    </row>
    <row r="44" customFormat="false" ht="15" hidden="false" customHeight="false" outlineLevel="0" collapsed="false">
      <c r="A44" s="21" t="s">
        <v>197</v>
      </c>
      <c r="B44" s="21" t="s">
        <v>198</v>
      </c>
      <c r="C44" s="21" t="s">
        <v>112</v>
      </c>
      <c r="D44" s="21" t="s">
        <v>67</v>
      </c>
      <c r="E44" s="21" t="s">
        <v>92</v>
      </c>
      <c r="F44" s="21" t="n">
        <v>8.97</v>
      </c>
      <c r="G44" s="21" t="n">
        <v>147</v>
      </c>
      <c r="H44" s="21" t="n">
        <v>3</v>
      </c>
      <c r="I44" s="21" t="s">
        <v>120</v>
      </c>
      <c r="J44" s="21" t="n">
        <v>63</v>
      </c>
      <c r="K44" s="32" t="n">
        <f aca="false">ROUND(Assumptions!$B$4*MIN(G44/Assumptions!$B$11,1)*100+Assumptions!$B$5*F44/10*100+Assumptions!$B$6*MIN(H44/Assumptions!$B$12,1)*100+Assumptions!$B$7*J44+Assumptions!$B$8*IF(I44="Yes",100,0),1)</f>
        <v>61.4</v>
      </c>
      <c r="L44" s="21" t="str">
        <f aca="false">LOOKUP(K44,Assumptions!$D$4:$D$7,Assumptions!$E$4:$E$7)</f>
        <v>Developing</v>
      </c>
      <c r="M44" s="21" t="n">
        <f aca="false">COUNTIFS(Applications!$B$2:$B$3144,A44)</f>
        <v>3</v>
      </c>
      <c r="N44" s="21" t="n">
        <f aca="false">COUNTIFS(Applications!$B$2:$B$3144,A44,Applications!$F$2:$F$3144,"Offered")</f>
        <v>0</v>
      </c>
      <c r="O44" s="21" t="str">
        <f aca="false">IF(COUNTIFS(Applications!$B$2:$B$3144,A44,Applications!$H$2:$H$3144,"Yes")&gt;0,"Yes","No")</f>
        <v>No</v>
      </c>
      <c r="P44" s="32" t="n">
        <f aca="false">SUMIFS(Applications!$G$2:$G$3144,Applications!$B$2:$B$3144,A44,Applications!$H$2:$H$3144,"Yes")</f>
        <v>0</v>
      </c>
      <c r="Q44" s="21" t="str">
        <f aca="false">IF(O44="Yes",INDEX(Companies!$B$2:$B$31,MATCH(INDEX(Applications!$C$2:$C$3144,MATCH(A44,Applications!$P$2:$P$3144,0)),Companies!$A$2:$A$31,0)),"-")</f>
        <v>-</v>
      </c>
    </row>
    <row r="45" customFormat="false" ht="15" hidden="false" customHeight="false" outlineLevel="0" collapsed="false">
      <c r="A45" s="21" t="s">
        <v>199</v>
      </c>
      <c r="B45" s="21" t="s">
        <v>200</v>
      </c>
      <c r="C45" s="21" t="s">
        <v>112</v>
      </c>
      <c r="D45" s="21" t="s">
        <v>66</v>
      </c>
      <c r="E45" s="21" t="s">
        <v>90</v>
      </c>
      <c r="F45" s="21" t="n">
        <v>6.65</v>
      </c>
      <c r="G45" s="21" t="n">
        <v>186</v>
      </c>
      <c r="H45" s="21" t="n">
        <v>2</v>
      </c>
      <c r="I45" s="21" t="s">
        <v>113</v>
      </c>
      <c r="J45" s="21" t="n">
        <v>28</v>
      </c>
      <c r="K45" s="32" t="n">
        <f aca="false">ROUND(Assumptions!$B$4*MIN(G45/Assumptions!$B$11,1)*100+Assumptions!$B$5*F45/10*100+Assumptions!$B$6*MIN(H45/Assumptions!$B$12,1)*100+Assumptions!$B$7*J45+Assumptions!$B$8*IF(I45="Yes",100,0),1)</f>
        <v>38.1</v>
      </c>
      <c r="L45" s="21" t="str">
        <f aca="false">LOOKUP(K45,Assumptions!$D$4:$D$7,Assumptions!$E$4:$E$7)</f>
        <v>Foundation</v>
      </c>
      <c r="M45" s="21" t="n">
        <f aca="false">COUNTIFS(Applications!$B$2:$B$3144,A45)</f>
        <v>3</v>
      </c>
      <c r="N45" s="21" t="n">
        <f aca="false">COUNTIFS(Applications!$B$2:$B$3144,A45,Applications!$F$2:$F$3144,"Offered")</f>
        <v>1</v>
      </c>
      <c r="O45" s="21" t="str">
        <f aca="false">IF(COUNTIFS(Applications!$B$2:$B$3144,A45,Applications!$H$2:$H$3144,"Yes")&gt;0,"Yes","No")</f>
        <v>Yes</v>
      </c>
      <c r="P45" s="32" t="n">
        <f aca="false">SUMIFS(Applications!$G$2:$G$3144,Applications!$B$2:$B$3144,A45,Applications!$H$2:$H$3144,"Yes")</f>
        <v>6.3</v>
      </c>
      <c r="Q45" s="21" t="str">
        <f aca="false">IF(O45="Yes",INDEX(Companies!$B$2:$B$31,MATCH(INDEX(Applications!$C$2:$C$3144,MATCH(A45,Applications!$P$2:$P$3144,0)),Companies!$A$2:$A$31,0)),"-")</f>
        <v>HealthLink Digital</v>
      </c>
    </row>
    <row r="46" customFormat="false" ht="15" hidden="false" customHeight="false" outlineLevel="0" collapsed="false">
      <c r="A46" s="21" t="s">
        <v>201</v>
      </c>
      <c r="B46" s="21" t="s">
        <v>202</v>
      </c>
      <c r="C46" s="21" t="s">
        <v>112</v>
      </c>
      <c r="D46" s="21" t="s">
        <v>67</v>
      </c>
      <c r="E46" s="21" t="s">
        <v>92</v>
      </c>
      <c r="F46" s="21" t="n">
        <v>7.72</v>
      </c>
      <c r="G46" s="21" t="n">
        <v>233</v>
      </c>
      <c r="H46" s="21" t="n">
        <v>2</v>
      </c>
      <c r="I46" s="21" t="s">
        <v>113</v>
      </c>
      <c r="J46" s="21" t="n">
        <v>71</v>
      </c>
      <c r="K46" s="32" t="n">
        <f aca="false">ROUND(Assumptions!$B$4*MIN(G46/Assumptions!$B$11,1)*100+Assumptions!$B$5*F46/10*100+Assumptions!$B$6*MIN(H46/Assumptions!$B$12,1)*100+Assumptions!$B$7*J46+Assumptions!$B$8*IF(I46="Yes",100,0),1)</f>
        <v>51.6</v>
      </c>
      <c r="L46" s="21" t="str">
        <f aca="false">LOOKUP(K46,Assumptions!$D$4:$D$7,Assumptions!$E$4:$E$7)</f>
        <v>Developing</v>
      </c>
      <c r="M46" s="21" t="n">
        <f aca="false">COUNTIFS(Applications!$B$2:$B$3144,A46)</f>
        <v>4</v>
      </c>
      <c r="N46" s="21" t="n">
        <f aca="false">COUNTIFS(Applications!$B$2:$B$3144,A46,Applications!$F$2:$F$3144,"Offered")</f>
        <v>1</v>
      </c>
      <c r="O46" s="21" t="str">
        <f aca="false">IF(COUNTIFS(Applications!$B$2:$B$3144,A46,Applications!$H$2:$H$3144,"Yes")&gt;0,"Yes","No")</f>
        <v>Yes</v>
      </c>
      <c r="P46" s="32" t="n">
        <f aca="false">SUMIFS(Applications!$G$2:$G$3144,Applications!$B$2:$B$3144,A46,Applications!$H$2:$H$3144,"Yes")</f>
        <v>5.2</v>
      </c>
      <c r="Q46" s="21" t="str">
        <f aca="false">IF(O46="Yes",INDEX(Companies!$B$2:$B$31,MATCH(INDEX(Applications!$C$2:$C$3144,MATCH(A46,Applications!$P$2:$P$3144,0)),Companies!$A$2:$A$31,0)),"-")</f>
        <v>AlphaGrid Tech</v>
      </c>
    </row>
    <row r="47" customFormat="false" ht="15" hidden="false" customHeight="false" outlineLevel="0" collapsed="false">
      <c r="A47" s="21" t="s">
        <v>203</v>
      </c>
      <c r="B47" s="21" t="s">
        <v>204</v>
      </c>
      <c r="C47" s="21" t="s">
        <v>112</v>
      </c>
      <c r="D47" s="21" t="s">
        <v>64</v>
      </c>
      <c r="E47" s="21" t="s">
        <v>92</v>
      </c>
      <c r="F47" s="21" t="n">
        <v>9.33</v>
      </c>
      <c r="G47" s="21" t="n">
        <v>455</v>
      </c>
      <c r="H47" s="21" t="n">
        <v>5</v>
      </c>
      <c r="I47" s="21" t="s">
        <v>113</v>
      </c>
      <c r="J47" s="21" t="n">
        <v>66</v>
      </c>
      <c r="K47" s="32" t="n">
        <f aca="false">ROUND(Assumptions!$B$4*MIN(G47/Assumptions!$B$11,1)*100+Assumptions!$B$5*F47/10*100+Assumptions!$B$6*MIN(H47/Assumptions!$B$12,1)*100+Assumptions!$B$7*J47+Assumptions!$B$8*IF(I47="Yes",100,0),1)</f>
        <v>79.2</v>
      </c>
      <c r="L47" s="21" t="str">
        <f aca="false">LOOKUP(K47,Assumptions!$D$4:$D$7,Assumptions!$E$4:$E$7)</f>
        <v>Job-Ready</v>
      </c>
      <c r="M47" s="21" t="n">
        <f aca="false">COUNTIFS(Applications!$B$2:$B$3144,A47)</f>
        <v>6</v>
      </c>
      <c r="N47" s="21" t="n">
        <f aca="false">COUNTIFS(Applications!$B$2:$B$3144,A47,Applications!$F$2:$F$3144,"Offered")</f>
        <v>3</v>
      </c>
      <c r="O47" s="21" t="str">
        <f aca="false">IF(COUNTIFS(Applications!$B$2:$B$3144,A47,Applications!$H$2:$H$3144,"Yes")&gt;0,"Yes","No")</f>
        <v>Yes</v>
      </c>
      <c r="P47" s="32" t="n">
        <f aca="false">SUMIFS(Applications!$G$2:$G$3144,Applications!$B$2:$B$3144,A47,Applications!$H$2:$H$3144,"Yes")</f>
        <v>15.8</v>
      </c>
      <c r="Q47" s="21" t="str">
        <f aca="false">IF(O47="Yes",INDEX(Companies!$B$2:$B$31,MATCH(INDEX(Applications!$C$2:$C$3144,MATCH(A47,Applications!$P$2:$P$3144,0)),Companies!$A$2:$A$31,0)),"-")</f>
        <v>VitalByte</v>
      </c>
    </row>
    <row r="48" customFormat="false" ht="15" hidden="false" customHeight="false" outlineLevel="0" collapsed="false">
      <c r="A48" s="21" t="s">
        <v>205</v>
      </c>
      <c r="B48" s="21" t="s">
        <v>206</v>
      </c>
      <c r="C48" s="21" t="s">
        <v>112</v>
      </c>
      <c r="D48" s="21" t="s">
        <v>65</v>
      </c>
      <c r="E48" s="21" t="s">
        <v>91</v>
      </c>
      <c r="F48" s="21" t="n">
        <v>8.17</v>
      </c>
      <c r="G48" s="21" t="n">
        <v>151</v>
      </c>
      <c r="H48" s="21" t="n">
        <v>3</v>
      </c>
      <c r="I48" s="21" t="s">
        <v>120</v>
      </c>
      <c r="J48" s="21" t="n">
        <v>49</v>
      </c>
      <c r="K48" s="32" t="n">
        <f aca="false">ROUND(Assumptions!$B$4*MIN(G48/Assumptions!$B$11,1)*100+Assumptions!$B$5*F48/10*100+Assumptions!$B$6*MIN(H48/Assumptions!$B$12,1)*100+Assumptions!$B$7*J48+Assumptions!$B$8*IF(I48="Yes",100,0),1)</f>
        <v>57.2</v>
      </c>
      <c r="L48" s="21" t="str">
        <f aca="false">LOOKUP(K48,Assumptions!$D$4:$D$7,Assumptions!$E$4:$E$7)</f>
        <v>Developing</v>
      </c>
      <c r="M48" s="21" t="n">
        <f aca="false">COUNTIFS(Applications!$B$2:$B$3144,A48)</f>
        <v>10</v>
      </c>
      <c r="N48" s="21" t="n">
        <f aca="false">COUNTIFS(Applications!$B$2:$B$3144,A48,Applications!$F$2:$F$3144,"Offered")</f>
        <v>2</v>
      </c>
      <c r="O48" s="21" t="str">
        <f aca="false">IF(COUNTIFS(Applications!$B$2:$B$3144,A48,Applications!$H$2:$H$3144,"Yes")&gt;0,"Yes","No")</f>
        <v>Yes</v>
      </c>
      <c r="P48" s="32" t="n">
        <f aca="false">SUMIFS(Applications!$G$2:$G$3144,Applications!$B$2:$B$3144,A48,Applications!$H$2:$H$3144,"Yes")</f>
        <v>5.7</v>
      </c>
      <c r="Q48" s="21" t="str">
        <f aca="false">IF(O48="Yes",INDEX(Companies!$B$2:$B$31,MATCH(INDEX(Applications!$C$2:$C$3144,MATCH(A48,Applications!$P$2:$P$3144,0)),Companies!$A$2:$A$31,0)),"-")</f>
        <v>Metro Systems</v>
      </c>
    </row>
    <row r="49" customFormat="false" ht="15" hidden="false" customHeight="false" outlineLevel="0" collapsed="false">
      <c r="A49" s="21" t="s">
        <v>207</v>
      </c>
      <c r="B49" s="21" t="s">
        <v>208</v>
      </c>
      <c r="C49" s="21" t="s">
        <v>112</v>
      </c>
      <c r="D49" s="21" t="s">
        <v>65</v>
      </c>
      <c r="E49" s="21" t="s">
        <v>91</v>
      </c>
      <c r="F49" s="21" t="n">
        <v>8.62</v>
      </c>
      <c r="G49" s="21" t="n">
        <v>144</v>
      </c>
      <c r="H49" s="21" t="n">
        <v>6</v>
      </c>
      <c r="I49" s="21" t="s">
        <v>113</v>
      </c>
      <c r="J49" s="21" t="n">
        <v>65</v>
      </c>
      <c r="K49" s="32" t="n">
        <f aca="false">ROUND(Assumptions!$B$4*MIN(G49/Assumptions!$B$11,1)*100+Assumptions!$B$5*F49/10*100+Assumptions!$B$6*MIN(H49/Assumptions!$B$12,1)*100+Assumptions!$B$7*J49+Assumptions!$B$8*IF(I49="Yes",100,0),1)</f>
        <v>58.9</v>
      </c>
      <c r="L49" s="21" t="str">
        <f aca="false">LOOKUP(K49,Assumptions!$D$4:$D$7,Assumptions!$E$4:$E$7)</f>
        <v>Developing</v>
      </c>
      <c r="M49" s="21" t="n">
        <f aca="false">COUNTIFS(Applications!$B$2:$B$3144,A49)</f>
        <v>7</v>
      </c>
      <c r="N49" s="21" t="n">
        <f aca="false">COUNTIFS(Applications!$B$2:$B$3144,A49,Applications!$F$2:$F$3144,"Offered")</f>
        <v>1</v>
      </c>
      <c r="O49" s="21" t="str">
        <f aca="false">IF(COUNTIFS(Applications!$B$2:$B$3144,A49,Applications!$H$2:$H$3144,"Yes")&gt;0,"Yes","No")</f>
        <v>Yes</v>
      </c>
      <c r="P49" s="32" t="n">
        <f aca="false">SUMIFS(Applications!$G$2:$G$3144,Applications!$B$2:$B$3144,A49,Applications!$H$2:$H$3144,"Yes")</f>
        <v>6.7</v>
      </c>
      <c r="Q49" s="21" t="str">
        <f aca="false">IF(O49="Yes",INDEX(Companies!$B$2:$B$31,MATCH(INDEX(Applications!$C$2:$C$3144,MATCH(A49,Applications!$P$2:$P$3144,0)),Companies!$A$2:$A$31,0)),"-")</f>
        <v>TechBridge Consulting</v>
      </c>
    </row>
    <row r="50" customFormat="false" ht="15" hidden="false" customHeight="false" outlineLevel="0" collapsed="false">
      <c r="A50" s="21" t="s">
        <v>209</v>
      </c>
      <c r="B50" s="21" t="s">
        <v>210</v>
      </c>
      <c r="C50" s="21" t="s">
        <v>112</v>
      </c>
      <c r="D50" s="21" t="s">
        <v>63</v>
      </c>
      <c r="E50" s="21" t="s">
        <v>90</v>
      </c>
      <c r="F50" s="21" t="n">
        <v>9.14</v>
      </c>
      <c r="G50" s="21" t="n">
        <v>79</v>
      </c>
      <c r="H50" s="21" t="n">
        <v>7</v>
      </c>
      <c r="I50" s="21" t="s">
        <v>113</v>
      </c>
      <c r="J50" s="21" t="n">
        <v>53</v>
      </c>
      <c r="K50" s="32" t="n">
        <f aca="false">ROUND(Assumptions!$B$4*MIN(G50/Assumptions!$B$11,1)*100+Assumptions!$B$5*F50/10*100+Assumptions!$B$6*MIN(H50/Assumptions!$B$12,1)*100+Assumptions!$B$7*J50+Assumptions!$B$8*IF(I50="Yes",100,0),1)</f>
        <v>53.6</v>
      </c>
      <c r="L50" s="21" t="str">
        <f aca="false">LOOKUP(K50,Assumptions!$D$4:$D$7,Assumptions!$E$4:$E$7)</f>
        <v>Developing</v>
      </c>
      <c r="M50" s="21" t="n">
        <f aca="false">COUNTIFS(Applications!$B$2:$B$3144,A50)</f>
        <v>5</v>
      </c>
      <c r="N50" s="21" t="n">
        <f aca="false">COUNTIFS(Applications!$B$2:$B$3144,A50,Applications!$F$2:$F$3144,"Offered")</f>
        <v>1</v>
      </c>
      <c r="O50" s="21" t="str">
        <f aca="false">IF(COUNTIFS(Applications!$B$2:$B$3144,A50,Applications!$H$2:$H$3144,"Yes")&gt;0,"Yes","No")</f>
        <v>Yes</v>
      </c>
      <c r="P50" s="32" t="n">
        <f aca="false">SUMIFS(Applications!$G$2:$G$3144,Applications!$B$2:$B$3144,A50,Applications!$H$2:$H$3144,"Yes")</f>
        <v>6.2</v>
      </c>
      <c r="Q50" s="21" t="str">
        <f aca="false">IF(O50="Yes",INDEX(Companies!$B$2:$B$31,MATCH(INDEX(Applications!$C$2:$C$3144,MATCH(A50,Applications!$P$2:$P$3144,0)),Companies!$A$2:$A$31,0)),"-")</f>
        <v>Sapphire Infotech</v>
      </c>
    </row>
    <row r="51" customFormat="false" ht="15" hidden="false" customHeight="false" outlineLevel="0" collapsed="false">
      <c r="A51" s="21" t="s">
        <v>211</v>
      </c>
      <c r="B51" s="21" t="s">
        <v>212</v>
      </c>
      <c r="C51" s="21" t="s">
        <v>112</v>
      </c>
      <c r="D51" s="21" t="s">
        <v>63</v>
      </c>
      <c r="E51" s="21" t="s">
        <v>90</v>
      </c>
      <c r="F51" s="21" t="n">
        <v>5.98</v>
      </c>
      <c r="G51" s="21" t="n">
        <v>287</v>
      </c>
      <c r="H51" s="21" t="n">
        <v>6</v>
      </c>
      <c r="I51" s="21" t="s">
        <v>120</v>
      </c>
      <c r="J51" s="21" t="n">
        <v>82</v>
      </c>
      <c r="K51" s="32" t="n">
        <f aca="false">ROUND(Assumptions!$B$4*MIN(G51/Assumptions!$B$11,1)*100+Assumptions!$B$5*F51/10*100+Assumptions!$B$6*MIN(H51/Assumptions!$B$12,1)*100+Assumptions!$B$7*J51+Assumptions!$B$8*IF(I51="Yes",100,0),1)</f>
        <v>75.6</v>
      </c>
      <c r="L51" s="21" t="str">
        <f aca="false">LOOKUP(K51,Assumptions!$D$4:$D$7,Assumptions!$E$4:$E$7)</f>
        <v>Job-Ready</v>
      </c>
      <c r="M51" s="21" t="n">
        <f aca="false">COUNTIFS(Applications!$B$2:$B$3144,A51)</f>
        <v>8</v>
      </c>
      <c r="N51" s="21" t="n">
        <f aca="false">COUNTIFS(Applications!$B$2:$B$3144,A51,Applications!$F$2:$F$3144,"Offered")</f>
        <v>3</v>
      </c>
      <c r="O51" s="21" t="str">
        <f aca="false">IF(COUNTIFS(Applications!$B$2:$B$3144,A51,Applications!$H$2:$H$3144,"Yes")&gt;0,"Yes","No")</f>
        <v>Yes</v>
      </c>
      <c r="P51" s="32" t="n">
        <f aca="false">SUMIFS(Applications!$G$2:$G$3144,Applications!$B$2:$B$3144,A51,Applications!$H$2:$H$3144,"Yes")</f>
        <v>13.1</v>
      </c>
      <c r="Q51" s="21" t="str">
        <f aca="false">IF(O51="Yes",INDEX(Companies!$B$2:$B$31,MATCH(INDEX(Applications!$C$2:$C$3144,MATCH(A51,Applications!$P$2:$P$3144,0)),Companies!$A$2:$A$31,0)),"-")</f>
        <v>DataBridge Analytics</v>
      </c>
    </row>
    <row r="52" customFormat="false" ht="15" hidden="false" customHeight="false" outlineLevel="0" collapsed="false">
      <c r="A52" s="21" t="s">
        <v>213</v>
      </c>
      <c r="B52" s="21" t="s">
        <v>214</v>
      </c>
      <c r="C52" s="21" t="s">
        <v>112</v>
      </c>
      <c r="D52" s="21" t="s">
        <v>64</v>
      </c>
      <c r="E52" s="21" t="s">
        <v>91</v>
      </c>
      <c r="F52" s="21" t="n">
        <v>6.94</v>
      </c>
      <c r="G52" s="21" t="n">
        <v>603</v>
      </c>
      <c r="H52" s="21" t="n">
        <v>5</v>
      </c>
      <c r="I52" s="21" t="s">
        <v>120</v>
      </c>
      <c r="J52" s="21" t="n">
        <v>34</v>
      </c>
      <c r="K52" s="32" t="n">
        <f aca="false">ROUND(Assumptions!$B$4*MIN(G52/Assumptions!$B$11,1)*100+Assumptions!$B$5*F52/10*100+Assumptions!$B$6*MIN(H52/Assumptions!$B$12,1)*100+Assumptions!$B$7*J52+Assumptions!$B$8*IF(I52="Yes",100,0),1)</f>
        <v>80.7</v>
      </c>
      <c r="L52" s="21" t="str">
        <f aca="false">LOOKUP(K52,Assumptions!$D$4:$D$7,Assumptions!$E$4:$E$7)</f>
        <v>Elite</v>
      </c>
      <c r="M52" s="21" t="n">
        <f aca="false">COUNTIFS(Applications!$B$2:$B$3144,A52)</f>
        <v>7</v>
      </c>
      <c r="N52" s="21" t="n">
        <f aca="false">COUNTIFS(Applications!$B$2:$B$3144,A52,Applications!$F$2:$F$3144,"Offered")</f>
        <v>5</v>
      </c>
      <c r="O52" s="21" t="str">
        <f aca="false">IF(COUNTIFS(Applications!$B$2:$B$3144,A52,Applications!$H$2:$H$3144,"Yes")&gt;0,"Yes","No")</f>
        <v>Yes</v>
      </c>
      <c r="P52" s="32" t="n">
        <f aca="false">SUMIFS(Applications!$G$2:$G$3144,Applications!$B$2:$B$3144,A52,Applications!$H$2:$H$3144,"Yes")</f>
        <v>26.9</v>
      </c>
      <c r="Q52" s="21" t="str">
        <f aca="false">IF(O52="Yes",INDEX(Companies!$B$2:$B$31,MATCH(INDEX(Applications!$C$2:$C$3144,MATCH(A52,Applications!$P$2:$P$3144,0)),Companies!$A$2:$A$31,0)),"-")</f>
        <v>Zenith Pay</v>
      </c>
    </row>
    <row r="53" customFormat="false" ht="15" hidden="false" customHeight="false" outlineLevel="0" collapsed="false">
      <c r="A53" s="21" t="s">
        <v>215</v>
      </c>
      <c r="B53" s="21" t="s">
        <v>216</v>
      </c>
      <c r="C53" s="21" t="s">
        <v>112</v>
      </c>
      <c r="D53" s="21" t="s">
        <v>66</v>
      </c>
      <c r="E53" s="21" t="s">
        <v>92</v>
      </c>
      <c r="F53" s="21" t="n">
        <v>6.5</v>
      </c>
      <c r="G53" s="21" t="n">
        <v>317</v>
      </c>
      <c r="H53" s="21" t="n">
        <v>5</v>
      </c>
      <c r="I53" s="21" t="s">
        <v>113</v>
      </c>
      <c r="J53" s="21" t="n">
        <v>37</v>
      </c>
      <c r="K53" s="32" t="n">
        <f aca="false">ROUND(Assumptions!$B$4*MIN(G53/Assumptions!$B$11,1)*100+Assumptions!$B$5*F53/10*100+Assumptions!$B$6*MIN(H53/Assumptions!$B$12,1)*100+Assumptions!$B$7*J53+Assumptions!$B$8*IF(I53="Yes",100,0),1)</f>
        <v>59.4</v>
      </c>
      <c r="L53" s="21" t="str">
        <f aca="false">LOOKUP(K53,Assumptions!$D$4:$D$7,Assumptions!$E$4:$E$7)</f>
        <v>Developing</v>
      </c>
      <c r="M53" s="21" t="n">
        <f aca="false">COUNTIFS(Applications!$B$2:$B$3144,A53)</f>
        <v>8</v>
      </c>
      <c r="N53" s="21" t="n">
        <f aca="false">COUNTIFS(Applications!$B$2:$B$3144,A53,Applications!$F$2:$F$3144,"Offered")</f>
        <v>2</v>
      </c>
      <c r="O53" s="21" t="str">
        <f aca="false">IF(COUNTIFS(Applications!$B$2:$B$3144,A53,Applications!$H$2:$H$3144,"Yes")&gt;0,"Yes","No")</f>
        <v>Yes</v>
      </c>
      <c r="P53" s="32" t="n">
        <f aca="false">SUMIFS(Applications!$G$2:$G$3144,Applications!$B$2:$B$3144,A53,Applications!$H$2:$H$3144,"Yes")</f>
        <v>7.5</v>
      </c>
      <c r="Q53" s="21" t="str">
        <f aca="false">IF(O53="Yes",INDEX(Companies!$B$2:$B$31,MATCH(INDEX(Applications!$C$2:$C$3144,MATCH(A53,Applications!$P$2:$P$3144,0)),Companies!$A$2:$A$31,0)),"-")</f>
        <v>LearnEasy</v>
      </c>
    </row>
    <row r="54" customFormat="false" ht="15" hidden="false" customHeight="false" outlineLevel="0" collapsed="false">
      <c r="A54" s="21" t="s">
        <v>217</v>
      </c>
      <c r="B54" s="21" t="s">
        <v>218</v>
      </c>
      <c r="C54" s="21" t="s">
        <v>112</v>
      </c>
      <c r="D54" s="21" t="s">
        <v>66</v>
      </c>
      <c r="E54" s="21" t="s">
        <v>91</v>
      </c>
      <c r="F54" s="21" t="n">
        <v>7.34</v>
      </c>
      <c r="G54" s="21" t="n">
        <v>512</v>
      </c>
      <c r="H54" s="21" t="n">
        <v>1</v>
      </c>
      <c r="I54" s="21" t="s">
        <v>113</v>
      </c>
      <c r="J54" s="21" t="n">
        <v>64</v>
      </c>
      <c r="K54" s="32" t="n">
        <f aca="false">ROUND(Assumptions!$B$4*MIN(G54/Assumptions!$B$11,1)*100+Assumptions!$B$5*F54/10*100+Assumptions!$B$6*MIN(H54/Assumptions!$B$12,1)*100+Assumptions!$B$7*J54+Assumptions!$B$8*IF(I54="Yes",100,0),1)</f>
        <v>61.5</v>
      </c>
      <c r="L54" s="21" t="str">
        <f aca="false">LOOKUP(K54,Assumptions!$D$4:$D$7,Assumptions!$E$4:$E$7)</f>
        <v>Developing</v>
      </c>
      <c r="M54" s="21" t="n">
        <f aca="false">COUNTIFS(Applications!$B$2:$B$3144,A54)</f>
        <v>6</v>
      </c>
      <c r="N54" s="21" t="n">
        <f aca="false">COUNTIFS(Applications!$B$2:$B$3144,A54,Applications!$F$2:$F$3144,"Offered")</f>
        <v>2</v>
      </c>
      <c r="O54" s="21" t="str">
        <f aca="false">IF(COUNTIFS(Applications!$B$2:$B$3144,A54,Applications!$H$2:$H$3144,"Yes")&gt;0,"Yes","No")</f>
        <v>Yes</v>
      </c>
      <c r="P54" s="32" t="n">
        <f aca="false">SUMIFS(Applications!$G$2:$G$3144,Applications!$B$2:$B$3144,A54,Applications!$H$2:$H$3144,"Yes")</f>
        <v>8.8</v>
      </c>
      <c r="Q54" s="21" t="str">
        <f aca="false">IF(O54="Yes",INDEX(Companies!$B$2:$B$31,MATCH(INDEX(Applications!$C$2:$C$3144,MATCH(A54,Applications!$P$2:$P$3144,0)),Companies!$A$2:$A$31,0)),"-")</f>
        <v>DataBridge Analytics</v>
      </c>
    </row>
    <row r="55" customFormat="false" ht="15" hidden="false" customHeight="false" outlineLevel="0" collapsed="false">
      <c r="A55" s="21" t="s">
        <v>219</v>
      </c>
      <c r="B55" s="21" t="s">
        <v>220</v>
      </c>
      <c r="C55" s="21" t="s">
        <v>112</v>
      </c>
      <c r="D55" s="21" t="s">
        <v>66</v>
      </c>
      <c r="E55" s="21" t="s">
        <v>92</v>
      </c>
      <c r="F55" s="21" t="n">
        <v>7.48</v>
      </c>
      <c r="G55" s="21" t="n">
        <v>142</v>
      </c>
      <c r="H55" s="21" t="n">
        <v>4</v>
      </c>
      <c r="I55" s="21" t="s">
        <v>113</v>
      </c>
      <c r="J55" s="21" t="n">
        <v>72</v>
      </c>
      <c r="K55" s="32" t="n">
        <f aca="false">ROUND(Assumptions!$B$4*MIN(G55/Assumptions!$B$11,1)*100+Assumptions!$B$5*F55/10*100+Assumptions!$B$6*MIN(H55/Assumptions!$B$12,1)*100+Assumptions!$B$7*J55+Assumptions!$B$8*IF(I55="Yes",100,0),1)</f>
        <v>53.9</v>
      </c>
      <c r="L55" s="21" t="str">
        <f aca="false">LOOKUP(K55,Assumptions!$D$4:$D$7,Assumptions!$E$4:$E$7)</f>
        <v>Developing</v>
      </c>
      <c r="M55" s="21" t="n">
        <f aca="false">COUNTIFS(Applications!$B$2:$B$3144,A55)</f>
        <v>11</v>
      </c>
      <c r="N55" s="21" t="n">
        <f aca="false">COUNTIFS(Applications!$B$2:$B$3144,A55,Applications!$F$2:$F$3144,"Offered")</f>
        <v>2</v>
      </c>
      <c r="O55" s="21" t="str">
        <f aca="false">IF(COUNTIFS(Applications!$B$2:$B$3144,A55,Applications!$H$2:$H$3144,"Yes")&gt;0,"Yes","No")</f>
        <v>Yes</v>
      </c>
      <c r="P55" s="32" t="n">
        <f aca="false">SUMIFS(Applications!$G$2:$G$3144,Applications!$B$2:$B$3144,A55,Applications!$H$2:$H$3144,"Yes")</f>
        <v>5.8</v>
      </c>
      <c r="Q55" s="21" t="str">
        <f aca="false">IF(O55="Yes",INDEX(Companies!$B$2:$B$31,MATCH(INDEX(Applications!$C$2:$C$3144,MATCH(A55,Applications!$P$2:$P$3144,0)),Companies!$A$2:$A$31,0)),"-")</f>
        <v>RetailRocket</v>
      </c>
    </row>
    <row r="56" customFormat="false" ht="15" hidden="false" customHeight="false" outlineLevel="0" collapsed="false">
      <c r="A56" s="21" t="s">
        <v>221</v>
      </c>
      <c r="B56" s="21" t="s">
        <v>222</v>
      </c>
      <c r="C56" s="21" t="s">
        <v>112</v>
      </c>
      <c r="D56" s="21" t="s">
        <v>64</v>
      </c>
      <c r="E56" s="21" t="s">
        <v>90</v>
      </c>
      <c r="F56" s="21" t="n">
        <v>8.25</v>
      </c>
      <c r="G56" s="21" t="n">
        <v>569</v>
      </c>
      <c r="H56" s="21" t="n">
        <v>5</v>
      </c>
      <c r="I56" s="21" t="s">
        <v>113</v>
      </c>
      <c r="J56" s="21" t="n">
        <v>54</v>
      </c>
      <c r="K56" s="32" t="n">
        <f aca="false">ROUND(Assumptions!$B$4*MIN(G56/Assumptions!$B$11,1)*100+Assumptions!$B$5*F56/10*100+Assumptions!$B$6*MIN(H56/Assumptions!$B$12,1)*100+Assumptions!$B$7*J56+Assumptions!$B$8*IF(I56="Yes",100,0),1)</f>
        <v>77.3</v>
      </c>
      <c r="L56" s="21" t="str">
        <f aca="false">LOOKUP(K56,Assumptions!$D$4:$D$7,Assumptions!$E$4:$E$7)</f>
        <v>Job-Ready</v>
      </c>
      <c r="M56" s="21" t="n">
        <f aca="false">COUNTIFS(Applications!$B$2:$B$3144,A56)</f>
        <v>3</v>
      </c>
      <c r="N56" s="21" t="n">
        <f aca="false">COUNTIFS(Applications!$B$2:$B$3144,A56,Applications!$F$2:$F$3144,"Offered")</f>
        <v>3</v>
      </c>
      <c r="O56" s="21" t="str">
        <f aca="false">IF(COUNTIFS(Applications!$B$2:$B$3144,A56,Applications!$H$2:$H$3144,"Yes")&gt;0,"Yes","No")</f>
        <v>Yes</v>
      </c>
      <c r="P56" s="32" t="n">
        <f aca="false">SUMIFS(Applications!$G$2:$G$3144,Applications!$B$2:$B$3144,A56,Applications!$H$2:$H$3144,"Yes")</f>
        <v>24.6</v>
      </c>
      <c r="Q56" s="21" t="str">
        <f aca="false">IF(O56="Yes",INDEX(Companies!$B$2:$B$31,MATCH(INDEX(Applications!$C$2:$C$3144,MATCH(A56,Applications!$P$2:$P$3144,0)),Companies!$A$2:$A$31,0)),"-")</f>
        <v>Nimbus Cloud Systems</v>
      </c>
    </row>
    <row r="57" customFormat="false" ht="15" hidden="false" customHeight="false" outlineLevel="0" collapsed="false">
      <c r="A57" s="21" t="s">
        <v>223</v>
      </c>
      <c r="B57" s="21" t="s">
        <v>224</v>
      </c>
      <c r="C57" s="21" t="s">
        <v>112</v>
      </c>
      <c r="D57" s="21" t="s">
        <v>64</v>
      </c>
      <c r="E57" s="21" t="s">
        <v>92</v>
      </c>
      <c r="F57" s="21" t="n">
        <v>7.07</v>
      </c>
      <c r="G57" s="21" t="n">
        <v>701</v>
      </c>
      <c r="H57" s="21" t="n">
        <v>4</v>
      </c>
      <c r="I57" s="21" t="s">
        <v>113</v>
      </c>
      <c r="J57" s="21" t="n">
        <v>50</v>
      </c>
      <c r="K57" s="32" t="n">
        <f aca="false">ROUND(Assumptions!$B$4*MIN(G57/Assumptions!$B$11,1)*100+Assumptions!$B$5*F57/10*100+Assumptions!$B$6*MIN(H57/Assumptions!$B$12,1)*100+Assumptions!$B$7*J57+Assumptions!$B$8*IF(I57="Yes",100,0),1)</f>
        <v>70.1</v>
      </c>
      <c r="L57" s="21" t="str">
        <f aca="false">LOOKUP(K57,Assumptions!$D$4:$D$7,Assumptions!$E$4:$E$7)</f>
        <v>Job-Ready</v>
      </c>
      <c r="M57" s="21" t="n">
        <f aca="false">COUNTIFS(Applications!$B$2:$B$3144,A57)</f>
        <v>6</v>
      </c>
      <c r="N57" s="21" t="n">
        <f aca="false">COUNTIFS(Applications!$B$2:$B$3144,A57,Applications!$F$2:$F$3144,"Offered")</f>
        <v>3</v>
      </c>
      <c r="O57" s="21" t="str">
        <f aca="false">IF(COUNTIFS(Applications!$B$2:$B$3144,A57,Applications!$H$2:$H$3144,"Yes")&gt;0,"Yes","No")</f>
        <v>Yes</v>
      </c>
      <c r="P57" s="32" t="n">
        <f aca="false">SUMIFS(Applications!$G$2:$G$3144,Applications!$B$2:$B$3144,A57,Applications!$H$2:$H$3144,"Yes")</f>
        <v>6.5</v>
      </c>
      <c r="Q57" s="21" t="str">
        <f aca="false">IF(O57="Yes",INDEX(Companies!$B$2:$B$31,MATCH(INDEX(Applications!$C$2:$C$3144,MATCH(A57,Applications!$P$2:$P$3144,0)),Companies!$A$2:$A$31,0)),"-")</f>
        <v>InfoNova Services</v>
      </c>
    </row>
    <row r="58" customFormat="false" ht="15" hidden="false" customHeight="false" outlineLevel="0" collapsed="false">
      <c r="A58" s="21" t="s">
        <v>225</v>
      </c>
      <c r="B58" s="21" t="s">
        <v>226</v>
      </c>
      <c r="C58" s="21" t="s">
        <v>112</v>
      </c>
      <c r="D58" s="21" t="s">
        <v>67</v>
      </c>
      <c r="E58" s="21" t="s">
        <v>90</v>
      </c>
      <c r="F58" s="21" t="n">
        <v>6.68</v>
      </c>
      <c r="G58" s="21" t="n">
        <v>230</v>
      </c>
      <c r="H58" s="21" t="n">
        <v>1</v>
      </c>
      <c r="I58" s="21" t="s">
        <v>113</v>
      </c>
      <c r="J58" s="21" t="n">
        <v>76</v>
      </c>
      <c r="K58" s="32" t="n">
        <f aca="false">ROUND(Assumptions!$B$4*MIN(G58/Assumptions!$B$11,1)*100+Assumptions!$B$5*F58/10*100+Assumptions!$B$6*MIN(H58/Assumptions!$B$12,1)*100+Assumptions!$B$7*J58+Assumptions!$B$8*IF(I58="Yes",100,0),1)</f>
        <v>46.4</v>
      </c>
      <c r="L58" s="21" t="str">
        <f aca="false">LOOKUP(K58,Assumptions!$D$4:$D$7,Assumptions!$E$4:$E$7)</f>
        <v>Foundation</v>
      </c>
      <c r="M58" s="21" t="n">
        <f aca="false">COUNTIFS(Applications!$B$2:$B$3144,A58)</f>
        <v>6</v>
      </c>
      <c r="N58" s="21" t="n">
        <f aca="false">COUNTIFS(Applications!$B$2:$B$3144,A58,Applications!$F$2:$F$3144,"Offered")</f>
        <v>0</v>
      </c>
      <c r="O58" s="21" t="str">
        <f aca="false">IF(COUNTIFS(Applications!$B$2:$B$3144,A58,Applications!$H$2:$H$3144,"Yes")&gt;0,"Yes","No")</f>
        <v>No</v>
      </c>
      <c r="P58" s="32" t="n">
        <f aca="false">SUMIFS(Applications!$G$2:$G$3144,Applications!$B$2:$B$3144,A58,Applications!$H$2:$H$3144,"Yes")</f>
        <v>0</v>
      </c>
      <c r="Q58" s="21" t="str">
        <f aca="false">IF(O58="Yes",INDEX(Companies!$B$2:$B$31,MATCH(INDEX(Applications!$C$2:$C$3144,MATCH(A58,Applications!$P$2:$P$3144,0)),Companies!$A$2:$A$31,0)),"-")</f>
        <v>-</v>
      </c>
    </row>
    <row r="59" customFormat="false" ht="15" hidden="false" customHeight="false" outlineLevel="0" collapsed="false">
      <c r="A59" s="21" t="s">
        <v>227</v>
      </c>
      <c r="B59" s="21" t="s">
        <v>152</v>
      </c>
      <c r="C59" s="21" t="s">
        <v>112</v>
      </c>
      <c r="D59" s="21" t="s">
        <v>64</v>
      </c>
      <c r="E59" s="21" t="s">
        <v>91</v>
      </c>
      <c r="F59" s="21" t="n">
        <v>7.3</v>
      </c>
      <c r="G59" s="21" t="n">
        <v>656</v>
      </c>
      <c r="H59" s="21" t="n">
        <v>2</v>
      </c>
      <c r="I59" s="21" t="s">
        <v>113</v>
      </c>
      <c r="J59" s="21" t="n">
        <v>44</v>
      </c>
      <c r="K59" s="32" t="n">
        <f aca="false">ROUND(Assumptions!$B$4*MIN(G59/Assumptions!$B$11,1)*100+Assumptions!$B$5*F59/10*100+Assumptions!$B$6*MIN(H59/Assumptions!$B$12,1)*100+Assumptions!$B$7*J59+Assumptions!$B$8*IF(I59="Yes",100,0),1)</f>
        <v>61.4</v>
      </c>
      <c r="L59" s="21" t="str">
        <f aca="false">LOOKUP(K59,Assumptions!$D$4:$D$7,Assumptions!$E$4:$E$7)</f>
        <v>Developing</v>
      </c>
      <c r="M59" s="21" t="n">
        <f aca="false">COUNTIFS(Applications!$B$2:$B$3144,A59)</f>
        <v>5</v>
      </c>
      <c r="N59" s="21" t="n">
        <f aca="false">COUNTIFS(Applications!$B$2:$B$3144,A59,Applications!$F$2:$F$3144,"Offered")</f>
        <v>2</v>
      </c>
      <c r="O59" s="21" t="str">
        <f aca="false">IF(COUNTIFS(Applications!$B$2:$B$3144,A59,Applications!$H$2:$H$3144,"Yes")&gt;0,"Yes","No")</f>
        <v>Yes</v>
      </c>
      <c r="P59" s="32" t="n">
        <f aca="false">SUMIFS(Applications!$G$2:$G$3144,Applications!$B$2:$B$3144,A59,Applications!$H$2:$H$3144,"Yes")</f>
        <v>12.3</v>
      </c>
      <c r="Q59" s="21" t="str">
        <f aca="false">IF(O59="Yes",INDEX(Companies!$B$2:$B$31,MATCH(INDEX(Applications!$C$2:$C$3144,MATCH(A59,Applications!$P$2:$P$3144,0)),Companies!$A$2:$A$31,0)),"-")</f>
        <v>FinStack</v>
      </c>
    </row>
    <row r="60" customFormat="false" ht="15" hidden="false" customHeight="false" outlineLevel="0" collapsed="false">
      <c r="A60" s="21" t="s">
        <v>228</v>
      </c>
      <c r="B60" s="21" t="s">
        <v>229</v>
      </c>
      <c r="C60" s="21" t="s">
        <v>112</v>
      </c>
      <c r="D60" s="21" t="s">
        <v>66</v>
      </c>
      <c r="E60" s="21" t="s">
        <v>92</v>
      </c>
      <c r="F60" s="21" t="n">
        <v>6.58</v>
      </c>
      <c r="G60" s="21" t="n">
        <v>226</v>
      </c>
      <c r="H60" s="21" t="n">
        <v>3</v>
      </c>
      <c r="I60" s="21" t="s">
        <v>120</v>
      </c>
      <c r="J60" s="21" t="n">
        <v>72</v>
      </c>
      <c r="K60" s="32" t="n">
        <f aca="false">ROUND(Assumptions!$B$4*MIN(G60/Assumptions!$B$11,1)*100+Assumptions!$B$5*F60/10*100+Assumptions!$B$6*MIN(H60/Assumptions!$B$12,1)*100+Assumptions!$B$7*J60+Assumptions!$B$8*IF(I60="Yes",100,0),1)</f>
        <v>63.1</v>
      </c>
      <c r="L60" s="21" t="str">
        <f aca="false">LOOKUP(K60,Assumptions!$D$4:$D$7,Assumptions!$E$4:$E$7)</f>
        <v>Developing</v>
      </c>
      <c r="M60" s="21" t="n">
        <f aca="false">COUNTIFS(Applications!$B$2:$B$3144,A60)</f>
        <v>4</v>
      </c>
      <c r="N60" s="21" t="n">
        <f aca="false">COUNTIFS(Applications!$B$2:$B$3144,A60,Applications!$F$2:$F$3144,"Offered")</f>
        <v>0</v>
      </c>
      <c r="O60" s="21" t="str">
        <f aca="false">IF(COUNTIFS(Applications!$B$2:$B$3144,A60,Applications!$H$2:$H$3144,"Yes")&gt;0,"Yes","No")</f>
        <v>No</v>
      </c>
      <c r="P60" s="32" t="n">
        <f aca="false">SUMIFS(Applications!$G$2:$G$3144,Applications!$B$2:$B$3144,A60,Applications!$H$2:$H$3144,"Yes")</f>
        <v>0</v>
      </c>
      <c r="Q60" s="21" t="str">
        <f aca="false">IF(O60="Yes",INDEX(Companies!$B$2:$B$31,MATCH(INDEX(Applications!$C$2:$C$3144,MATCH(A60,Applications!$P$2:$P$3144,0)),Companies!$A$2:$A$31,0)),"-")</f>
        <v>-</v>
      </c>
    </row>
    <row r="61" customFormat="false" ht="15" hidden="false" customHeight="false" outlineLevel="0" collapsed="false">
      <c r="A61" s="21" t="s">
        <v>230</v>
      </c>
      <c r="B61" s="21" t="s">
        <v>200</v>
      </c>
      <c r="C61" s="21" t="s">
        <v>112</v>
      </c>
      <c r="D61" s="21" t="s">
        <v>67</v>
      </c>
      <c r="E61" s="21" t="s">
        <v>92</v>
      </c>
      <c r="F61" s="21" t="n">
        <v>7.55</v>
      </c>
      <c r="G61" s="21" t="n">
        <v>337</v>
      </c>
      <c r="H61" s="21" t="n">
        <v>1</v>
      </c>
      <c r="I61" s="21" t="s">
        <v>120</v>
      </c>
      <c r="J61" s="21" t="n">
        <v>73</v>
      </c>
      <c r="K61" s="32" t="n">
        <f aca="false">ROUND(Assumptions!$B$4*MIN(G61/Assumptions!$B$11,1)*100+Assumptions!$B$5*F61/10*100+Assumptions!$B$6*MIN(H61/Assumptions!$B$12,1)*100+Assumptions!$B$7*J61+Assumptions!$B$8*IF(I61="Yes",100,0),1)</f>
        <v>63.9</v>
      </c>
      <c r="L61" s="21" t="str">
        <f aca="false">LOOKUP(K61,Assumptions!$D$4:$D$7,Assumptions!$E$4:$E$7)</f>
        <v>Developing</v>
      </c>
      <c r="M61" s="21" t="n">
        <f aca="false">COUNTIFS(Applications!$B$2:$B$3144,A61)</f>
        <v>7</v>
      </c>
      <c r="N61" s="21" t="n">
        <f aca="false">COUNTIFS(Applications!$B$2:$B$3144,A61,Applications!$F$2:$F$3144,"Offered")</f>
        <v>2</v>
      </c>
      <c r="O61" s="21" t="str">
        <f aca="false">IF(COUNTIFS(Applications!$B$2:$B$3144,A61,Applications!$H$2:$H$3144,"Yes")&gt;0,"Yes","No")</f>
        <v>Yes</v>
      </c>
      <c r="P61" s="32" t="n">
        <f aca="false">SUMIFS(Applications!$G$2:$G$3144,Applications!$B$2:$B$3144,A61,Applications!$H$2:$H$3144,"Yes")</f>
        <v>6</v>
      </c>
      <c r="Q61" s="21" t="str">
        <f aca="false">IF(O61="Yes",INDEX(Companies!$B$2:$B$31,MATCH(INDEX(Applications!$C$2:$C$3144,MATCH(A61,Applications!$P$2:$P$3144,0)),Companies!$A$2:$A$31,0)),"-")</f>
        <v>RetailRocket</v>
      </c>
    </row>
    <row r="62" customFormat="false" ht="15" hidden="false" customHeight="false" outlineLevel="0" collapsed="false">
      <c r="A62" s="21" t="s">
        <v>231</v>
      </c>
      <c r="B62" s="21" t="s">
        <v>232</v>
      </c>
      <c r="C62" s="21" t="s">
        <v>112</v>
      </c>
      <c r="D62" s="21" t="s">
        <v>67</v>
      </c>
      <c r="E62" s="21" t="s">
        <v>90</v>
      </c>
      <c r="F62" s="21" t="n">
        <v>8.57</v>
      </c>
      <c r="G62" s="21" t="n">
        <v>142</v>
      </c>
      <c r="H62" s="21" t="n">
        <v>0</v>
      </c>
      <c r="I62" s="21" t="s">
        <v>113</v>
      </c>
      <c r="J62" s="21" t="n">
        <v>87</v>
      </c>
      <c r="K62" s="32" t="n">
        <f aca="false">ROUND(Assumptions!$B$4*MIN(G62/Assumptions!$B$11,1)*100+Assumptions!$B$5*F62/10*100+Assumptions!$B$6*MIN(H62/Assumptions!$B$12,1)*100+Assumptions!$B$7*J62+Assumptions!$B$8*IF(I62="Yes",100,0),1)</f>
        <v>43.1</v>
      </c>
      <c r="L62" s="21" t="str">
        <f aca="false">LOOKUP(K62,Assumptions!$D$4:$D$7,Assumptions!$E$4:$E$7)</f>
        <v>Foundation</v>
      </c>
      <c r="M62" s="21" t="n">
        <f aca="false">COUNTIFS(Applications!$B$2:$B$3144,A62)</f>
        <v>5</v>
      </c>
      <c r="N62" s="21" t="n">
        <f aca="false">COUNTIFS(Applications!$B$2:$B$3144,A62,Applications!$F$2:$F$3144,"Offered")</f>
        <v>1</v>
      </c>
      <c r="O62" s="21" t="str">
        <f aca="false">IF(COUNTIFS(Applications!$B$2:$B$3144,A62,Applications!$H$2:$H$3144,"Yes")&gt;0,"Yes","No")</f>
        <v>Yes</v>
      </c>
      <c r="P62" s="32" t="n">
        <f aca="false">SUMIFS(Applications!$G$2:$G$3144,Applications!$B$2:$B$3144,A62,Applications!$H$2:$H$3144,"Yes")</f>
        <v>9.2</v>
      </c>
      <c r="Q62" s="21" t="str">
        <f aca="false">IF(O62="Yes",INDEX(Companies!$B$2:$B$31,MATCH(INDEX(Applications!$C$2:$C$3144,MATCH(A62,Applications!$P$2:$P$3144,0)),Companies!$A$2:$A$31,0)),"-")</f>
        <v>LearnLoop</v>
      </c>
    </row>
    <row r="63" customFormat="false" ht="15" hidden="false" customHeight="false" outlineLevel="0" collapsed="false">
      <c r="A63" s="21" t="s">
        <v>233</v>
      </c>
      <c r="B63" s="21" t="s">
        <v>234</v>
      </c>
      <c r="C63" s="21" t="s">
        <v>112</v>
      </c>
      <c r="D63" s="21" t="s">
        <v>67</v>
      </c>
      <c r="E63" s="21" t="s">
        <v>92</v>
      </c>
      <c r="F63" s="21" t="n">
        <v>7.51</v>
      </c>
      <c r="G63" s="21" t="n">
        <v>218</v>
      </c>
      <c r="H63" s="21" t="n">
        <v>6</v>
      </c>
      <c r="I63" s="21" t="s">
        <v>120</v>
      </c>
      <c r="J63" s="21" t="n">
        <v>70</v>
      </c>
      <c r="K63" s="32" t="n">
        <f aca="false">ROUND(Assumptions!$B$4*MIN(G63/Assumptions!$B$11,1)*100+Assumptions!$B$5*F63/10*100+Assumptions!$B$6*MIN(H63/Assumptions!$B$12,1)*100+Assumptions!$B$7*J63+Assumptions!$B$8*IF(I63="Yes",100,0),1)</f>
        <v>72.1</v>
      </c>
      <c r="L63" s="21" t="str">
        <f aca="false">LOOKUP(K63,Assumptions!$D$4:$D$7,Assumptions!$E$4:$E$7)</f>
        <v>Job-Ready</v>
      </c>
      <c r="M63" s="21" t="n">
        <f aca="false">COUNTIFS(Applications!$B$2:$B$3144,A63)</f>
        <v>6</v>
      </c>
      <c r="N63" s="21" t="n">
        <f aca="false">COUNTIFS(Applications!$B$2:$B$3144,A63,Applications!$F$2:$F$3144,"Offered")</f>
        <v>0</v>
      </c>
      <c r="O63" s="21" t="str">
        <f aca="false">IF(COUNTIFS(Applications!$B$2:$B$3144,A63,Applications!$H$2:$H$3144,"Yes")&gt;0,"Yes","No")</f>
        <v>No</v>
      </c>
      <c r="P63" s="32" t="n">
        <f aca="false">SUMIFS(Applications!$G$2:$G$3144,Applications!$B$2:$B$3144,A63,Applications!$H$2:$H$3144,"Yes")</f>
        <v>0</v>
      </c>
      <c r="Q63" s="21" t="str">
        <f aca="false">IF(O63="Yes",INDEX(Companies!$B$2:$B$31,MATCH(INDEX(Applications!$C$2:$C$3144,MATCH(A63,Applications!$P$2:$P$3144,0)),Companies!$A$2:$A$31,0)),"-")</f>
        <v>-</v>
      </c>
    </row>
    <row r="64" customFormat="false" ht="15" hidden="false" customHeight="false" outlineLevel="0" collapsed="false">
      <c r="A64" s="21" t="s">
        <v>235</v>
      </c>
      <c r="B64" s="21" t="s">
        <v>236</v>
      </c>
      <c r="C64" s="21" t="s">
        <v>112</v>
      </c>
      <c r="D64" s="21" t="s">
        <v>66</v>
      </c>
      <c r="E64" s="21" t="s">
        <v>90</v>
      </c>
      <c r="F64" s="21" t="n">
        <v>5.89</v>
      </c>
      <c r="G64" s="21" t="n">
        <v>248</v>
      </c>
      <c r="H64" s="21" t="n">
        <v>6</v>
      </c>
      <c r="I64" s="21" t="s">
        <v>120</v>
      </c>
      <c r="J64" s="21" t="n">
        <v>46</v>
      </c>
      <c r="K64" s="32" t="n">
        <f aca="false">ROUND(Assumptions!$B$4*MIN(G64/Assumptions!$B$11,1)*100+Assumptions!$B$5*F64/10*100+Assumptions!$B$6*MIN(H64/Assumptions!$B$12,1)*100+Assumptions!$B$7*J64+Assumptions!$B$8*IF(I64="Yes",100,0),1)</f>
        <v>65.9</v>
      </c>
      <c r="L64" s="21" t="str">
        <f aca="false">LOOKUP(K64,Assumptions!$D$4:$D$7,Assumptions!$E$4:$E$7)</f>
        <v>Job-Ready</v>
      </c>
      <c r="M64" s="21" t="n">
        <f aca="false">COUNTIFS(Applications!$B$2:$B$3144,A64)</f>
        <v>6</v>
      </c>
      <c r="N64" s="21" t="n">
        <f aca="false">COUNTIFS(Applications!$B$2:$B$3144,A64,Applications!$F$2:$F$3144,"Offered")</f>
        <v>4</v>
      </c>
      <c r="O64" s="21" t="str">
        <f aca="false">IF(COUNTIFS(Applications!$B$2:$B$3144,A64,Applications!$H$2:$H$3144,"Yes")&gt;0,"Yes","No")</f>
        <v>Yes</v>
      </c>
      <c r="P64" s="32" t="n">
        <f aca="false">SUMIFS(Applications!$G$2:$G$3144,Applications!$B$2:$B$3144,A64,Applications!$H$2:$H$3144,"Yes")</f>
        <v>12.7</v>
      </c>
      <c r="Q64" s="21" t="str">
        <f aca="false">IF(O64="Yes",INDEX(Companies!$B$2:$B$31,MATCH(INDEX(Applications!$C$2:$C$3144,MATCH(A64,Applications!$P$2:$P$3144,0)),Companies!$A$2:$A$31,0)),"-")</f>
        <v>CartNest</v>
      </c>
    </row>
    <row r="65" customFormat="false" ht="15" hidden="false" customHeight="false" outlineLevel="0" collapsed="false">
      <c r="A65" s="21" t="s">
        <v>237</v>
      </c>
      <c r="B65" s="21" t="s">
        <v>238</v>
      </c>
      <c r="C65" s="21" t="s">
        <v>112</v>
      </c>
      <c r="D65" s="21" t="s">
        <v>67</v>
      </c>
      <c r="E65" s="21" t="s">
        <v>92</v>
      </c>
      <c r="F65" s="21" t="n">
        <v>7.45</v>
      </c>
      <c r="G65" s="21" t="n">
        <v>246</v>
      </c>
      <c r="H65" s="21" t="n">
        <v>4</v>
      </c>
      <c r="I65" s="21" t="s">
        <v>113</v>
      </c>
      <c r="J65" s="21" t="n">
        <v>59</v>
      </c>
      <c r="K65" s="32" t="n">
        <f aca="false">ROUND(Assumptions!$B$4*MIN(G65/Assumptions!$B$11,1)*100+Assumptions!$B$5*F65/10*100+Assumptions!$B$6*MIN(H65/Assumptions!$B$12,1)*100+Assumptions!$B$7*J65+Assumptions!$B$8*IF(I65="Yes",100,0),1)</f>
        <v>57.5</v>
      </c>
      <c r="L65" s="21" t="str">
        <f aca="false">LOOKUP(K65,Assumptions!$D$4:$D$7,Assumptions!$E$4:$E$7)</f>
        <v>Developing</v>
      </c>
      <c r="M65" s="21" t="n">
        <f aca="false">COUNTIFS(Applications!$B$2:$B$3144,A65)</f>
        <v>2</v>
      </c>
      <c r="N65" s="21" t="n">
        <f aca="false">COUNTIFS(Applications!$B$2:$B$3144,A65,Applications!$F$2:$F$3144,"Offered")</f>
        <v>0</v>
      </c>
      <c r="O65" s="21" t="str">
        <f aca="false">IF(COUNTIFS(Applications!$B$2:$B$3144,A65,Applications!$H$2:$H$3144,"Yes")&gt;0,"Yes","No")</f>
        <v>No</v>
      </c>
      <c r="P65" s="32" t="n">
        <f aca="false">SUMIFS(Applications!$G$2:$G$3144,Applications!$B$2:$B$3144,A65,Applications!$H$2:$H$3144,"Yes")</f>
        <v>0</v>
      </c>
      <c r="Q65" s="21" t="str">
        <f aca="false">IF(O65="Yes",INDEX(Companies!$B$2:$B$31,MATCH(INDEX(Applications!$C$2:$C$3144,MATCH(A65,Applications!$P$2:$P$3144,0)),Companies!$A$2:$A$31,0)),"-")</f>
        <v>-</v>
      </c>
    </row>
    <row r="66" customFormat="false" ht="15" hidden="false" customHeight="false" outlineLevel="0" collapsed="false">
      <c r="A66" s="21" t="s">
        <v>239</v>
      </c>
      <c r="B66" s="21" t="s">
        <v>240</v>
      </c>
      <c r="C66" s="21" t="s">
        <v>112</v>
      </c>
      <c r="D66" s="21" t="s">
        <v>67</v>
      </c>
      <c r="E66" s="21" t="s">
        <v>90</v>
      </c>
      <c r="F66" s="21" t="n">
        <v>7.85</v>
      </c>
      <c r="G66" s="21" t="n">
        <v>83</v>
      </c>
      <c r="H66" s="21" t="n">
        <v>3</v>
      </c>
      <c r="I66" s="21" t="s">
        <v>113</v>
      </c>
      <c r="J66" s="21" t="n">
        <v>46</v>
      </c>
      <c r="K66" s="32" t="n">
        <f aca="false">ROUND(Assumptions!$B$4*MIN(G66/Assumptions!$B$11,1)*100+Assumptions!$B$5*F66/10*100+Assumptions!$B$6*MIN(H66/Assumptions!$B$12,1)*100+Assumptions!$B$7*J66+Assumptions!$B$8*IF(I66="Yes",100,0),1)</f>
        <v>41.9</v>
      </c>
      <c r="L66" s="21" t="str">
        <f aca="false">LOOKUP(K66,Assumptions!$D$4:$D$7,Assumptions!$E$4:$E$7)</f>
        <v>Foundation</v>
      </c>
      <c r="M66" s="21" t="n">
        <f aca="false">COUNTIFS(Applications!$B$2:$B$3144,A66)</f>
        <v>7</v>
      </c>
      <c r="N66" s="21" t="n">
        <f aca="false">COUNTIFS(Applications!$B$2:$B$3144,A66,Applications!$F$2:$F$3144,"Offered")</f>
        <v>0</v>
      </c>
      <c r="O66" s="21" t="str">
        <f aca="false">IF(COUNTIFS(Applications!$B$2:$B$3144,A66,Applications!$H$2:$H$3144,"Yes")&gt;0,"Yes","No")</f>
        <v>No</v>
      </c>
      <c r="P66" s="32" t="n">
        <f aca="false">SUMIFS(Applications!$G$2:$G$3144,Applications!$B$2:$B$3144,A66,Applications!$H$2:$H$3144,"Yes")</f>
        <v>0</v>
      </c>
      <c r="Q66" s="21" t="str">
        <f aca="false">IF(O66="Yes",INDEX(Companies!$B$2:$B$31,MATCH(INDEX(Applications!$C$2:$C$3144,MATCH(A66,Applications!$P$2:$P$3144,0)),Companies!$A$2:$A$31,0)),"-")</f>
        <v>-</v>
      </c>
    </row>
    <row r="67" customFormat="false" ht="15" hidden="false" customHeight="false" outlineLevel="0" collapsed="false">
      <c r="A67" s="21" t="s">
        <v>241</v>
      </c>
      <c r="B67" s="21" t="s">
        <v>242</v>
      </c>
      <c r="C67" s="21" t="s">
        <v>112</v>
      </c>
      <c r="D67" s="21" t="s">
        <v>66</v>
      </c>
      <c r="E67" s="21" t="s">
        <v>92</v>
      </c>
      <c r="F67" s="21" t="n">
        <v>8.49</v>
      </c>
      <c r="G67" s="21" t="n">
        <v>222</v>
      </c>
      <c r="H67" s="21" t="n">
        <v>2</v>
      </c>
      <c r="I67" s="21" t="s">
        <v>113</v>
      </c>
      <c r="J67" s="21" t="n">
        <v>65</v>
      </c>
      <c r="K67" s="32" t="n">
        <f aca="false">ROUND(Assumptions!$B$4*MIN(G67/Assumptions!$B$11,1)*100+Assumptions!$B$5*F67/10*100+Assumptions!$B$6*MIN(H67/Assumptions!$B$12,1)*100+Assumptions!$B$7*J67+Assumptions!$B$8*IF(I67="Yes",100,0),1)</f>
        <v>51.3</v>
      </c>
      <c r="L67" s="21" t="str">
        <f aca="false">LOOKUP(K67,Assumptions!$D$4:$D$7,Assumptions!$E$4:$E$7)</f>
        <v>Developing</v>
      </c>
      <c r="M67" s="21" t="n">
        <f aca="false">COUNTIFS(Applications!$B$2:$B$3144,A67)</f>
        <v>7</v>
      </c>
      <c r="N67" s="21" t="n">
        <f aca="false">COUNTIFS(Applications!$B$2:$B$3144,A67,Applications!$F$2:$F$3144,"Offered")</f>
        <v>3</v>
      </c>
      <c r="O67" s="21" t="str">
        <f aca="false">IF(COUNTIFS(Applications!$B$2:$B$3144,A67,Applications!$H$2:$H$3144,"Yes")&gt;0,"Yes","No")</f>
        <v>Yes</v>
      </c>
      <c r="P67" s="32" t="n">
        <f aca="false">SUMIFS(Applications!$G$2:$G$3144,Applications!$B$2:$B$3144,A67,Applications!$H$2:$H$3144,"Yes")</f>
        <v>8.1</v>
      </c>
      <c r="Q67" s="21" t="str">
        <f aca="false">IF(O67="Yes",INDEX(Companies!$B$2:$B$31,MATCH(INDEX(Applications!$C$2:$C$3144,MATCH(A67,Applications!$P$2:$P$3144,0)),Companies!$A$2:$A$31,0)),"-")</f>
        <v>FinStack</v>
      </c>
    </row>
    <row r="68" customFormat="false" ht="15" hidden="false" customHeight="false" outlineLevel="0" collapsed="false">
      <c r="A68" s="21" t="s">
        <v>243</v>
      </c>
      <c r="B68" s="21" t="s">
        <v>244</v>
      </c>
      <c r="C68" s="21" t="s">
        <v>112</v>
      </c>
      <c r="D68" s="21" t="s">
        <v>66</v>
      </c>
      <c r="E68" s="21" t="s">
        <v>92</v>
      </c>
      <c r="F68" s="21" t="n">
        <v>7.14</v>
      </c>
      <c r="G68" s="21" t="n">
        <v>270</v>
      </c>
      <c r="H68" s="21" t="n">
        <v>2</v>
      </c>
      <c r="I68" s="21" t="s">
        <v>113</v>
      </c>
      <c r="J68" s="21" t="n">
        <v>66</v>
      </c>
      <c r="K68" s="32" t="n">
        <f aca="false">ROUND(Assumptions!$B$4*MIN(G68/Assumptions!$B$11,1)*100+Assumptions!$B$5*F68/10*100+Assumptions!$B$6*MIN(H68/Assumptions!$B$12,1)*100+Assumptions!$B$7*J68+Assumptions!$B$8*IF(I68="Yes",100,0),1)</f>
        <v>51.7</v>
      </c>
      <c r="L68" s="21" t="str">
        <f aca="false">LOOKUP(K68,Assumptions!$D$4:$D$7,Assumptions!$E$4:$E$7)</f>
        <v>Developing</v>
      </c>
      <c r="M68" s="21" t="n">
        <f aca="false">COUNTIFS(Applications!$B$2:$B$3144,A68)</f>
        <v>5</v>
      </c>
      <c r="N68" s="21" t="n">
        <f aca="false">COUNTIFS(Applications!$B$2:$B$3144,A68,Applications!$F$2:$F$3144,"Offered")</f>
        <v>1</v>
      </c>
      <c r="O68" s="21" t="str">
        <f aca="false">IF(COUNTIFS(Applications!$B$2:$B$3144,A68,Applications!$H$2:$H$3144,"Yes")&gt;0,"Yes","No")</f>
        <v>Yes</v>
      </c>
      <c r="P68" s="32" t="n">
        <f aca="false">SUMIFS(Applications!$G$2:$G$3144,Applications!$B$2:$B$3144,A68,Applications!$H$2:$H$3144,"Yes")</f>
        <v>8.3</v>
      </c>
      <c r="Q68" s="21" t="str">
        <f aca="false">IF(O68="Yes",INDEX(Companies!$B$2:$B$31,MATCH(INDEX(Applications!$C$2:$C$3144,MATCH(A68,Applications!$P$2:$P$3144,0)),Companies!$A$2:$A$31,0)),"-")</f>
        <v>CartNest</v>
      </c>
    </row>
    <row r="69" customFormat="false" ht="15" hidden="false" customHeight="false" outlineLevel="0" collapsed="false">
      <c r="A69" s="21" t="s">
        <v>245</v>
      </c>
      <c r="B69" s="21" t="s">
        <v>246</v>
      </c>
      <c r="C69" s="21" t="s">
        <v>112</v>
      </c>
      <c r="D69" s="21" t="s">
        <v>67</v>
      </c>
      <c r="E69" s="21" t="s">
        <v>92</v>
      </c>
      <c r="F69" s="21" t="n">
        <v>7.53</v>
      </c>
      <c r="G69" s="21" t="n">
        <v>260</v>
      </c>
      <c r="H69" s="21" t="n">
        <v>4</v>
      </c>
      <c r="I69" s="21" t="s">
        <v>113</v>
      </c>
      <c r="J69" s="21" t="n">
        <v>51</v>
      </c>
      <c r="K69" s="32" t="n">
        <f aca="false">ROUND(Assumptions!$B$4*MIN(G69/Assumptions!$B$11,1)*100+Assumptions!$B$5*F69/10*100+Assumptions!$B$6*MIN(H69/Assumptions!$B$12,1)*100+Assumptions!$B$7*J69+Assumptions!$B$8*IF(I69="Yes",100,0),1)</f>
        <v>56.9</v>
      </c>
      <c r="L69" s="21" t="str">
        <f aca="false">LOOKUP(K69,Assumptions!$D$4:$D$7,Assumptions!$E$4:$E$7)</f>
        <v>Developing</v>
      </c>
      <c r="M69" s="21" t="n">
        <f aca="false">COUNTIFS(Applications!$B$2:$B$3144,A69)</f>
        <v>4</v>
      </c>
      <c r="N69" s="21" t="n">
        <f aca="false">COUNTIFS(Applications!$B$2:$B$3144,A69,Applications!$F$2:$F$3144,"Offered")</f>
        <v>1</v>
      </c>
      <c r="O69" s="21" t="str">
        <f aca="false">IF(COUNTIFS(Applications!$B$2:$B$3144,A69,Applications!$H$2:$H$3144,"Yes")&gt;0,"Yes","No")</f>
        <v>Yes</v>
      </c>
      <c r="P69" s="32" t="n">
        <f aca="false">SUMIFS(Applications!$G$2:$G$3144,Applications!$B$2:$B$3144,A69,Applications!$H$2:$H$3144,"Yes")</f>
        <v>5.2</v>
      </c>
      <c r="Q69" s="21" t="str">
        <f aca="false">IF(O69="Yes",INDEX(Companies!$B$2:$B$31,MATCH(INDEX(Applications!$C$2:$C$3144,MATCH(A69,Applications!$P$2:$P$3144,0)),Companies!$A$2:$A$31,0)),"-")</f>
        <v>HealthLink Digital</v>
      </c>
    </row>
    <row r="70" customFormat="false" ht="15" hidden="false" customHeight="false" outlineLevel="0" collapsed="false">
      <c r="A70" s="21" t="s">
        <v>247</v>
      </c>
      <c r="B70" s="21" t="s">
        <v>248</v>
      </c>
      <c r="C70" s="21" t="s">
        <v>112</v>
      </c>
      <c r="D70" s="21" t="s">
        <v>64</v>
      </c>
      <c r="E70" s="21" t="s">
        <v>90</v>
      </c>
      <c r="F70" s="21" t="n">
        <v>9.15</v>
      </c>
      <c r="G70" s="21" t="n">
        <v>397</v>
      </c>
      <c r="H70" s="21" t="n">
        <v>4</v>
      </c>
      <c r="I70" s="21" t="s">
        <v>113</v>
      </c>
      <c r="J70" s="21" t="n">
        <v>73</v>
      </c>
      <c r="K70" s="32" t="n">
        <f aca="false">ROUND(Assumptions!$B$4*MIN(G70/Assumptions!$B$11,1)*100+Assumptions!$B$5*F70/10*100+Assumptions!$B$6*MIN(H70/Assumptions!$B$12,1)*100+Assumptions!$B$7*J70+Assumptions!$B$8*IF(I70="Yes",100,0),1)</f>
        <v>72.7</v>
      </c>
      <c r="L70" s="21" t="str">
        <f aca="false">LOOKUP(K70,Assumptions!$D$4:$D$7,Assumptions!$E$4:$E$7)</f>
        <v>Job-Ready</v>
      </c>
      <c r="M70" s="21" t="n">
        <f aca="false">COUNTIFS(Applications!$B$2:$B$3144,A70)</f>
        <v>3</v>
      </c>
      <c r="N70" s="21" t="n">
        <f aca="false">COUNTIFS(Applications!$B$2:$B$3144,A70,Applications!$F$2:$F$3144,"Offered")</f>
        <v>0</v>
      </c>
      <c r="O70" s="21" t="str">
        <f aca="false">IF(COUNTIFS(Applications!$B$2:$B$3144,A70,Applications!$H$2:$H$3144,"Yes")&gt;0,"Yes","No")</f>
        <v>No</v>
      </c>
      <c r="P70" s="32" t="n">
        <f aca="false">SUMIFS(Applications!$G$2:$G$3144,Applications!$B$2:$B$3144,A70,Applications!$H$2:$H$3144,"Yes")</f>
        <v>0</v>
      </c>
      <c r="Q70" s="21" t="str">
        <f aca="false">IF(O70="Yes",INDEX(Companies!$B$2:$B$31,MATCH(INDEX(Applications!$C$2:$C$3144,MATCH(A70,Applications!$P$2:$P$3144,0)),Companies!$A$2:$A$31,0)),"-")</f>
        <v>-</v>
      </c>
    </row>
    <row r="71" customFormat="false" ht="15" hidden="false" customHeight="false" outlineLevel="0" collapsed="false">
      <c r="A71" s="21" t="s">
        <v>249</v>
      </c>
      <c r="B71" s="21" t="s">
        <v>250</v>
      </c>
      <c r="C71" s="21" t="s">
        <v>112</v>
      </c>
      <c r="D71" s="21" t="s">
        <v>66</v>
      </c>
      <c r="E71" s="21" t="s">
        <v>92</v>
      </c>
      <c r="F71" s="21" t="n">
        <v>7.06</v>
      </c>
      <c r="G71" s="21" t="n">
        <v>370</v>
      </c>
      <c r="H71" s="21" t="n">
        <v>2</v>
      </c>
      <c r="I71" s="21" t="s">
        <v>113</v>
      </c>
      <c r="J71" s="21" t="n">
        <v>34</v>
      </c>
      <c r="K71" s="32" t="n">
        <f aca="false">ROUND(Assumptions!$B$4*MIN(G71/Assumptions!$B$11,1)*100+Assumptions!$B$5*F71/10*100+Assumptions!$B$6*MIN(H71/Assumptions!$B$12,1)*100+Assumptions!$B$7*J71+Assumptions!$B$8*IF(I71="Yes",100,0),1)</f>
        <v>51.1</v>
      </c>
      <c r="L71" s="21" t="str">
        <f aca="false">LOOKUP(K71,Assumptions!$D$4:$D$7,Assumptions!$E$4:$E$7)</f>
        <v>Developing</v>
      </c>
      <c r="M71" s="21" t="n">
        <f aca="false">COUNTIFS(Applications!$B$2:$B$3144,A71)</f>
        <v>5</v>
      </c>
      <c r="N71" s="21" t="n">
        <f aca="false">COUNTIFS(Applications!$B$2:$B$3144,A71,Applications!$F$2:$F$3144,"Offered")</f>
        <v>0</v>
      </c>
      <c r="O71" s="21" t="str">
        <f aca="false">IF(COUNTIFS(Applications!$B$2:$B$3144,A71,Applications!$H$2:$H$3144,"Yes")&gt;0,"Yes","No")</f>
        <v>No</v>
      </c>
      <c r="P71" s="32" t="n">
        <f aca="false">SUMIFS(Applications!$G$2:$G$3144,Applications!$B$2:$B$3144,A71,Applications!$H$2:$H$3144,"Yes")</f>
        <v>0</v>
      </c>
      <c r="Q71" s="21" t="str">
        <f aca="false">IF(O71="Yes",INDEX(Companies!$B$2:$B$31,MATCH(INDEX(Applications!$C$2:$C$3144,MATCH(A71,Applications!$P$2:$P$3144,0)),Companies!$A$2:$A$31,0)),"-")</f>
        <v>-</v>
      </c>
    </row>
    <row r="72" customFormat="false" ht="15" hidden="false" customHeight="false" outlineLevel="0" collapsed="false">
      <c r="A72" s="21" t="s">
        <v>251</v>
      </c>
      <c r="B72" s="21" t="s">
        <v>252</v>
      </c>
      <c r="C72" s="21" t="s">
        <v>112</v>
      </c>
      <c r="D72" s="21" t="s">
        <v>63</v>
      </c>
      <c r="E72" s="21" t="s">
        <v>90</v>
      </c>
      <c r="F72" s="21" t="n">
        <v>7.45</v>
      </c>
      <c r="G72" s="21" t="n">
        <v>229</v>
      </c>
      <c r="H72" s="21" t="n">
        <v>2</v>
      </c>
      <c r="I72" s="21" t="s">
        <v>113</v>
      </c>
      <c r="J72" s="21" t="n">
        <v>61</v>
      </c>
      <c r="K72" s="32" t="n">
        <f aca="false">ROUND(Assumptions!$B$4*MIN(G72/Assumptions!$B$11,1)*100+Assumptions!$B$5*F72/10*100+Assumptions!$B$6*MIN(H72/Assumptions!$B$12,1)*100+Assumptions!$B$7*J72+Assumptions!$B$8*IF(I72="Yes",100,0),1)</f>
        <v>48.8</v>
      </c>
      <c r="L72" s="21" t="str">
        <f aca="false">LOOKUP(K72,Assumptions!$D$4:$D$7,Assumptions!$E$4:$E$7)</f>
        <v>Foundation</v>
      </c>
      <c r="M72" s="21" t="n">
        <f aca="false">COUNTIFS(Applications!$B$2:$B$3144,A72)</f>
        <v>7</v>
      </c>
      <c r="N72" s="21" t="n">
        <f aca="false">COUNTIFS(Applications!$B$2:$B$3144,A72,Applications!$F$2:$F$3144,"Offered")</f>
        <v>1</v>
      </c>
      <c r="O72" s="21" t="str">
        <f aca="false">IF(COUNTIFS(Applications!$B$2:$B$3144,A72,Applications!$H$2:$H$3144,"Yes")&gt;0,"Yes","No")</f>
        <v>Yes</v>
      </c>
      <c r="P72" s="32" t="n">
        <f aca="false">SUMIFS(Applications!$G$2:$G$3144,Applications!$B$2:$B$3144,A72,Applications!$H$2:$H$3144,"Yes")</f>
        <v>5.5</v>
      </c>
      <c r="Q72" s="21" t="str">
        <f aca="false">IF(O72="Yes",INDEX(Companies!$B$2:$B$31,MATCH(INDEX(Applications!$C$2:$C$3144,MATCH(A72,Applications!$P$2:$P$3144,0)),Companies!$A$2:$A$31,0)),"-")</f>
        <v>RetailRocket</v>
      </c>
    </row>
    <row r="73" customFormat="false" ht="15" hidden="false" customHeight="false" outlineLevel="0" collapsed="false">
      <c r="A73" s="21" t="s">
        <v>253</v>
      </c>
      <c r="B73" s="21" t="s">
        <v>254</v>
      </c>
      <c r="C73" s="21" t="s">
        <v>112</v>
      </c>
      <c r="D73" s="21" t="s">
        <v>67</v>
      </c>
      <c r="E73" s="21" t="s">
        <v>92</v>
      </c>
      <c r="F73" s="21" t="n">
        <v>7.56</v>
      </c>
      <c r="G73" s="21" t="n">
        <v>77</v>
      </c>
      <c r="H73" s="21" t="n">
        <v>8</v>
      </c>
      <c r="I73" s="21" t="s">
        <v>120</v>
      </c>
      <c r="J73" s="21" t="n">
        <v>79</v>
      </c>
      <c r="K73" s="32" t="n">
        <f aca="false">ROUND(Assumptions!$B$4*MIN(G73/Assumptions!$B$11,1)*100+Assumptions!$B$5*F73/10*100+Assumptions!$B$6*MIN(H73/Assumptions!$B$12,1)*100+Assumptions!$B$7*J73+Assumptions!$B$8*IF(I73="Yes",100,0),1)</f>
        <v>65.5</v>
      </c>
      <c r="L73" s="21" t="str">
        <f aca="false">LOOKUP(K73,Assumptions!$D$4:$D$7,Assumptions!$E$4:$E$7)</f>
        <v>Job-Ready</v>
      </c>
      <c r="M73" s="21" t="n">
        <f aca="false">COUNTIFS(Applications!$B$2:$B$3144,A73)</f>
        <v>2</v>
      </c>
      <c r="N73" s="21" t="n">
        <f aca="false">COUNTIFS(Applications!$B$2:$B$3144,A73,Applications!$F$2:$F$3144,"Offered")</f>
        <v>1</v>
      </c>
      <c r="O73" s="21" t="str">
        <f aca="false">IF(COUNTIFS(Applications!$B$2:$B$3144,A73,Applications!$H$2:$H$3144,"Yes")&gt;0,"Yes","No")</f>
        <v>Yes</v>
      </c>
      <c r="P73" s="32" t="n">
        <f aca="false">SUMIFS(Applications!$G$2:$G$3144,Applications!$B$2:$B$3144,A73,Applications!$H$2:$H$3144,"Yes")</f>
        <v>6.7</v>
      </c>
      <c r="Q73" s="21" t="str">
        <f aca="false">IF(O73="Yes",INDEX(Companies!$B$2:$B$31,MATCH(INDEX(Applications!$C$2:$C$3144,MATCH(A73,Applications!$P$2:$P$3144,0)),Companies!$A$2:$A$31,0)),"-")</f>
        <v>Sapphire Infotech</v>
      </c>
    </row>
    <row r="74" customFormat="false" ht="15" hidden="false" customHeight="false" outlineLevel="0" collapsed="false">
      <c r="A74" s="21" t="s">
        <v>255</v>
      </c>
      <c r="B74" s="21" t="s">
        <v>256</v>
      </c>
      <c r="C74" s="21" t="s">
        <v>112</v>
      </c>
      <c r="D74" s="21" t="s">
        <v>65</v>
      </c>
      <c r="E74" s="21" t="s">
        <v>92</v>
      </c>
      <c r="F74" s="21" t="n">
        <v>6.75</v>
      </c>
      <c r="G74" s="21" t="n">
        <v>121</v>
      </c>
      <c r="H74" s="21" t="n">
        <v>2</v>
      </c>
      <c r="I74" s="21" t="s">
        <v>113</v>
      </c>
      <c r="J74" s="21" t="n">
        <v>49</v>
      </c>
      <c r="K74" s="32" t="n">
        <f aca="false">ROUND(Assumptions!$B$4*MIN(G74/Assumptions!$B$11,1)*100+Assumptions!$B$5*F74/10*100+Assumptions!$B$6*MIN(H74/Assumptions!$B$12,1)*100+Assumptions!$B$7*J74+Assumptions!$B$8*IF(I74="Yes",100,0),1)</f>
        <v>38.6</v>
      </c>
      <c r="L74" s="21" t="str">
        <f aca="false">LOOKUP(K74,Assumptions!$D$4:$D$7,Assumptions!$E$4:$E$7)</f>
        <v>Foundation</v>
      </c>
      <c r="M74" s="21" t="n">
        <f aca="false">COUNTIFS(Applications!$B$2:$B$3144,A74)</f>
        <v>3</v>
      </c>
      <c r="N74" s="21" t="n">
        <f aca="false">COUNTIFS(Applications!$B$2:$B$3144,A74,Applications!$F$2:$F$3144,"Offered")</f>
        <v>0</v>
      </c>
      <c r="O74" s="21" t="str">
        <f aca="false">IF(COUNTIFS(Applications!$B$2:$B$3144,A74,Applications!$H$2:$H$3144,"Yes")&gt;0,"Yes","No")</f>
        <v>No</v>
      </c>
      <c r="P74" s="32" t="n">
        <f aca="false">SUMIFS(Applications!$G$2:$G$3144,Applications!$B$2:$B$3144,A74,Applications!$H$2:$H$3144,"Yes")</f>
        <v>0</v>
      </c>
      <c r="Q74" s="21" t="str">
        <f aca="false">IF(O74="Yes",INDEX(Companies!$B$2:$B$31,MATCH(INDEX(Applications!$C$2:$C$3144,MATCH(A74,Applications!$P$2:$P$3144,0)),Companies!$A$2:$A$31,0)),"-")</f>
        <v>-</v>
      </c>
    </row>
    <row r="75" customFormat="false" ht="15" hidden="false" customHeight="false" outlineLevel="0" collapsed="false">
      <c r="A75" s="21" t="s">
        <v>257</v>
      </c>
      <c r="B75" s="21" t="s">
        <v>258</v>
      </c>
      <c r="C75" s="21" t="s">
        <v>112</v>
      </c>
      <c r="D75" s="21" t="s">
        <v>66</v>
      </c>
      <c r="E75" s="21" t="s">
        <v>91</v>
      </c>
      <c r="F75" s="21" t="n">
        <v>7.59</v>
      </c>
      <c r="G75" s="21" t="n">
        <v>220</v>
      </c>
      <c r="H75" s="21" t="n">
        <v>3</v>
      </c>
      <c r="I75" s="21" t="s">
        <v>120</v>
      </c>
      <c r="J75" s="21" t="n">
        <v>46</v>
      </c>
      <c r="K75" s="32" t="n">
        <f aca="false">ROUND(Assumptions!$B$4*MIN(G75/Assumptions!$B$11,1)*100+Assumptions!$B$5*F75/10*100+Assumptions!$B$6*MIN(H75/Assumptions!$B$12,1)*100+Assumptions!$B$7*J75+Assumptions!$B$8*IF(I75="Yes",100,0),1)</f>
        <v>59.6</v>
      </c>
      <c r="L75" s="21" t="str">
        <f aca="false">LOOKUP(K75,Assumptions!$D$4:$D$7,Assumptions!$E$4:$E$7)</f>
        <v>Developing</v>
      </c>
      <c r="M75" s="21" t="n">
        <f aca="false">COUNTIFS(Applications!$B$2:$B$3144,A75)</f>
        <v>4</v>
      </c>
      <c r="N75" s="21" t="n">
        <f aca="false">COUNTIFS(Applications!$B$2:$B$3144,A75,Applications!$F$2:$F$3144,"Offered")</f>
        <v>0</v>
      </c>
      <c r="O75" s="21" t="str">
        <f aca="false">IF(COUNTIFS(Applications!$B$2:$B$3144,A75,Applications!$H$2:$H$3144,"Yes")&gt;0,"Yes","No")</f>
        <v>No</v>
      </c>
      <c r="P75" s="32" t="n">
        <f aca="false">SUMIFS(Applications!$G$2:$G$3144,Applications!$B$2:$B$3144,A75,Applications!$H$2:$H$3144,"Yes")</f>
        <v>0</v>
      </c>
      <c r="Q75" s="21" t="str">
        <f aca="false">IF(O75="Yes",INDEX(Companies!$B$2:$B$31,MATCH(INDEX(Applications!$C$2:$C$3144,MATCH(A75,Applications!$P$2:$P$3144,0)),Companies!$A$2:$A$31,0)),"-")</f>
        <v>-</v>
      </c>
    </row>
    <row r="76" customFormat="false" ht="15" hidden="false" customHeight="false" outlineLevel="0" collapsed="false">
      <c r="A76" s="21" t="s">
        <v>259</v>
      </c>
      <c r="B76" s="21" t="s">
        <v>111</v>
      </c>
      <c r="C76" s="21" t="s">
        <v>112</v>
      </c>
      <c r="D76" s="21" t="s">
        <v>67</v>
      </c>
      <c r="E76" s="21" t="s">
        <v>91</v>
      </c>
      <c r="F76" s="21" t="n">
        <v>6.94</v>
      </c>
      <c r="G76" s="21" t="n">
        <v>413</v>
      </c>
      <c r="H76" s="21" t="n">
        <v>4</v>
      </c>
      <c r="I76" s="21" t="s">
        <v>120</v>
      </c>
      <c r="J76" s="21" t="n">
        <v>49</v>
      </c>
      <c r="K76" s="32" t="n">
        <f aca="false">ROUND(Assumptions!$B$4*MIN(G76/Assumptions!$B$11,1)*100+Assumptions!$B$5*F76/10*100+Assumptions!$B$6*MIN(H76/Assumptions!$B$12,1)*100+Assumptions!$B$7*J76+Assumptions!$B$8*IF(I76="Yes",100,0),1)</f>
        <v>74.5</v>
      </c>
      <c r="L76" s="21" t="str">
        <f aca="false">LOOKUP(K76,Assumptions!$D$4:$D$7,Assumptions!$E$4:$E$7)</f>
        <v>Job-Ready</v>
      </c>
      <c r="M76" s="21" t="n">
        <f aca="false">COUNTIFS(Applications!$B$2:$B$3144,A76)</f>
        <v>5</v>
      </c>
      <c r="N76" s="21" t="n">
        <f aca="false">COUNTIFS(Applications!$B$2:$B$3144,A76,Applications!$F$2:$F$3144,"Offered")</f>
        <v>3</v>
      </c>
      <c r="O76" s="21" t="str">
        <f aca="false">IF(COUNTIFS(Applications!$B$2:$B$3144,A76,Applications!$H$2:$H$3144,"Yes")&gt;0,"Yes","No")</f>
        <v>Yes</v>
      </c>
      <c r="P76" s="32" t="n">
        <f aca="false">SUMIFS(Applications!$G$2:$G$3144,Applications!$B$2:$B$3144,A76,Applications!$H$2:$H$3144,"Yes")</f>
        <v>7.5</v>
      </c>
      <c r="Q76" s="21" t="str">
        <f aca="false">IF(O76="Yes",INDEX(Companies!$B$2:$B$31,MATCH(INDEX(Applications!$C$2:$C$3144,MATCH(A76,Applications!$P$2:$P$3144,0)),Companies!$A$2:$A$31,0)),"-")</f>
        <v>TechBridge Consulting</v>
      </c>
    </row>
    <row r="77" customFormat="false" ht="15" hidden="false" customHeight="false" outlineLevel="0" collapsed="false">
      <c r="A77" s="21" t="s">
        <v>260</v>
      </c>
      <c r="B77" s="21" t="s">
        <v>261</v>
      </c>
      <c r="C77" s="21" t="s">
        <v>112</v>
      </c>
      <c r="D77" s="21" t="s">
        <v>64</v>
      </c>
      <c r="E77" s="21" t="s">
        <v>91</v>
      </c>
      <c r="F77" s="21" t="n">
        <v>9.19</v>
      </c>
      <c r="G77" s="21" t="n">
        <v>435</v>
      </c>
      <c r="H77" s="21" t="n">
        <v>2</v>
      </c>
      <c r="I77" s="21" t="s">
        <v>113</v>
      </c>
      <c r="J77" s="21" t="n">
        <v>78</v>
      </c>
      <c r="K77" s="32" t="n">
        <f aca="false">ROUND(Assumptions!$B$4*MIN(G77/Assumptions!$B$11,1)*100+Assumptions!$B$5*F77/10*100+Assumptions!$B$6*MIN(H77/Assumptions!$B$12,1)*100+Assumptions!$B$7*J77+Assumptions!$B$8*IF(I77="Yes",100,0),1)</f>
        <v>68.1</v>
      </c>
      <c r="L77" s="21" t="str">
        <f aca="false">LOOKUP(K77,Assumptions!$D$4:$D$7,Assumptions!$E$4:$E$7)</f>
        <v>Job-Ready</v>
      </c>
      <c r="M77" s="21" t="n">
        <f aca="false">COUNTIFS(Applications!$B$2:$B$3144,A77)</f>
        <v>0</v>
      </c>
      <c r="N77" s="21" t="n">
        <f aca="false">COUNTIFS(Applications!$B$2:$B$3144,A77,Applications!$F$2:$F$3144,"Offered")</f>
        <v>0</v>
      </c>
      <c r="O77" s="21" t="str">
        <f aca="false">IF(COUNTIFS(Applications!$B$2:$B$3144,A77,Applications!$H$2:$H$3144,"Yes")&gt;0,"Yes","No")</f>
        <v>No</v>
      </c>
      <c r="P77" s="32" t="n">
        <f aca="false">SUMIFS(Applications!$G$2:$G$3144,Applications!$B$2:$B$3144,A77,Applications!$H$2:$H$3144,"Yes")</f>
        <v>0</v>
      </c>
      <c r="Q77" s="21" t="str">
        <f aca="false">IF(O77="Yes",INDEX(Companies!$B$2:$B$31,MATCH(INDEX(Applications!$C$2:$C$3144,MATCH(A77,Applications!$P$2:$P$3144,0)),Companies!$A$2:$A$31,0)),"-")</f>
        <v>-</v>
      </c>
    </row>
    <row r="78" customFormat="false" ht="15" hidden="false" customHeight="false" outlineLevel="0" collapsed="false">
      <c r="A78" s="21" t="s">
        <v>262</v>
      </c>
      <c r="B78" s="21" t="s">
        <v>263</v>
      </c>
      <c r="C78" s="21" t="s">
        <v>112</v>
      </c>
      <c r="D78" s="21" t="s">
        <v>63</v>
      </c>
      <c r="E78" s="21" t="s">
        <v>91</v>
      </c>
      <c r="F78" s="21" t="n">
        <v>6.46</v>
      </c>
      <c r="G78" s="21" t="n">
        <v>210</v>
      </c>
      <c r="H78" s="21" t="n">
        <v>2</v>
      </c>
      <c r="I78" s="21" t="s">
        <v>113</v>
      </c>
      <c r="J78" s="21" t="n">
        <v>78</v>
      </c>
      <c r="K78" s="32" t="n">
        <f aca="false">ROUND(Assumptions!$B$4*MIN(G78/Assumptions!$B$11,1)*100+Assumptions!$B$5*F78/10*100+Assumptions!$B$6*MIN(H78/Assumptions!$B$12,1)*100+Assumptions!$B$7*J78+Assumptions!$B$8*IF(I78="Yes",100,0),1)</f>
        <v>49.1</v>
      </c>
      <c r="L78" s="21" t="str">
        <f aca="false">LOOKUP(K78,Assumptions!$D$4:$D$7,Assumptions!$E$4:$E$7)</f>
        <v>Foundation</v>
      </c>
      <c r="M78" s="21" t="n">
        <f aca="false">COUNTIFS(Applications!$B$2:$B$3144,A78)</f>
        <v>5</v>
      </c>
      <c r="N78" s="21" t="n">
        <f aca="false">COUNTIFS(Applications!$B$2:$B$3144,A78,Applications!$F$2:$F$3144,"Offered")</f>
        <v>1</v>
      </c>
      <c r="O78" s="21" t="str">
        <f aca="false">IF(COUNTIFS(Applications!$B$2:$B$3144,A78,Applications!$H$2:$H$3144,"Yes")&gt;0,"Yes","No")</f>
        <v>Yes</v>
      </c>
      <c r="P78" s="32" t="n">
        <f aca="false">SUMIFS(Applications!$G$2:$G$3144,Applications!$B$2:$B$3144,A78,Applications!$H$2:$H$3144,"Yes")</f>
        <v>5.9</v>
      </c>
      <c r="Q78" s="21" t="str">
        <f aca="false">IF(O78="Yes",INDEX(Companies!$B$2:$B$31,MATCH(INDEX(Applications!$C$2:$C$3144,MATCH(A78,Applications!$P$2:$P$3144,0)),Companies!$A$2:$A$31,0)),"-")</f>
        <v>HealthLink Digital</v>
      </c>
    </row>
    <row r="79" customFormat="false" ht="15" hidden="false" customHeight="false" outlineLevel="0" collapsed="false">
      <c r="A79" s="21" t="s">
        <v>264</v>
      </c>
      <c r="B79" s="21" t="s">
        <v>265</v>
      </c>
      <c r="C79" s="21" t="s">
        <v>112</v>
      </c>
      <c r="D79" s="21" t="s">
        <v>66</v>
      </c>
      <c r="E79" s="21" t="s">
        <v>90</v>
      </c>
      <c r="F79" s="21" t="n">
        <v>5</v>
      </c>
      <c r="G79" s="21" t="n">
        <v>289</v>
      </c>
      <c r="H79" s="21" t="n">
        <v>3</v>
      </c>
      <c r="I79" s="21" t="s">
        <v>120</v>
      </c>
      <c r="J79" s="21" t="n">
        <v>81</v>
      </c>
      <c r="K79" s="32" t="n">
        <f aca="false">ROUND(Assumptions!$B$4*MIN(G79/Assumptions!$B$11,1)*100+Assumptions!$B$5*F79/10*100+Assumptions!$B$6*MIN(H79/Assumptions!$B$12,1)*100+Assumptions!$B$7*J79+Assumptions!$B$8*IF(I79="Yes",100,0),1)</f>
        <v>65.5</v>
      </c>
      <c r="L79" s="21" t="str">
        <f aca="false">LOOKUP(K79,Assumptions!$D$4:$D$7,Assumptions!$E$4:$E$7)</f>
        <v>Job-Ready</v>
      </c>
      <c r="M79" s="21" t="n">
        <f aca="false">COUNTIFS(Applications!$B$2:$B$3144,A79)</f>
        <v>8</v>
      </c>
      <c r="N79" s="21" t="n">
        <f aca="false">COUNTIFS(Applications!$B$2:$B$3144,A79,Applications!$F$2:$F$3144,"Offered")</f>
        <v>3</v>
      </c>
      <c r="O79" s="21" t="str">
        <f aca="false">IF(COUNTIFS(Applications!$B$2:$B$3144,A79,Applications!$H$2:$H$3144,"Yes")&gt;0,"Yes","No")</f>
        <v>Yes</v>
      </c>
      <c r="P79" s="32" t="n">
        <f aca="false">SUMIFS(Applications!$G$2:$G$3144,Applications!$B$2:$B$3144,A79,Applications!$H$2:$H$3144,"Yes")</f>
        <v>9.7</v>
      </c>
      <c r="Q79" s="21" t="str">
        <f aca="false">IF(O79="Yes",INDEX(Companies!$B$2:$B$31,MATCH(INDEX(Applications!$C$2:$C$3144,MATCH(A79,Applications!$P$2:$P$3144,0)),Companies!$A$2:$A$31,0)),"-")</f>
        <v>CloudKraft</v>
      </c>
    </row>
    <row r="80" customFormat="false" ht="15" hidden="false" customHeight="false" outlineLevel="0" collapsed="false">
      <c r="A80" s="21" t="s">
        <v>266</v>
      </c>
      <c r="B80" s="21" t="s">
        <v>267</v>
      </c>
      <c r="C80" s="21" t="s">
        <v>112</v>
      </c>
      <c r="D80" s="21" t="s">
        <v>64</v>
      </c>
      <c r="E80" s="21" t="s">
        <v>92</v>
      </c>
      <c r="F80" s="21" t="n">
        <v>7.87</v>
      </c>
      <c r="G80" s="21" t="n">
        <v>950</v>
      </c>
      <c r="H80" s="21" t="n">
        <v>2</v>
      </c>
      <c r="I80" s="21" t="s">
        <v>113</v>
      </c>
      <c r="J80" s="21" t="n">
        <v>58</v>
      </c>
      <c r="K80" s="32" t="n">
        <f aca="false">ROUND(Assumptions!$B$4*MIN(G80/Assumptions!$B$11,1)*100+Assumptions!$B$5*F80/10*100+Assumptions!$B$6*MIN(H80/Assumptions!$B$12,1)*100+Assumptions!$B$7*J80+Assumptions!$B$8*IF(I80="Yes",100,0),1)</f>
        <v>65.3</v>
      </c>
      <c r="L80" s="21" t="str">
        <f aca="false">LOOKUP(K80,Assumptions!$D$4:$D$7,Assumptions!$E$4:$E$7)</f>
        <v>Job-Ready</v>
      </c>
      <c r="M80" s="21" t="n">
        <f aca="false">COUNTIFS(Applications!$B$2:$B$3144,A80)</f>
        <v>0</v>
      </c>
      <c r="N80" s="21" t="n">
        <f aca="false">COUNTIFS(Applications!$B$2:$B$3144,A80,Applications!$F$2:$F$3144,"Offered")</f>
        <v>0</v>
      </c>
      <c r="O80" s="21" t="str">
        <f aca="false">IF(COUNTIFS(Applications!$B$2:$B$3144,A80,Applications!$H$2:$H$3144,"Yes")&gt;0,"Yes","No")</f>
        <v>No</v>
      </c>
      <c r="P80" s="32" t="n">
        <f aca="false">SUMIFS(Applications!$G$2:$G$3144,Applications!$B$2:$B$3144,A80,Applications!$H$2:$H$3144,"Yes")</f>
        <v>0</v>
      </c>
      <c r="Q80" s="21" t="str">
        <f aca="false">IF(O80="Yes",INDEX(Companies!$B$2:$B$31,MATCH(INDEX(Applications!$C$2:$C$3144,MATCH(A80,Applications!$P$2:$P$3144,0)),Companies!$A$2:$A$31,0)),"-")</f>
        <v>-</v>
      </c>
    </row>
    <row r="81" customFormat="false" ht="15" hidden="false" customHeight="false" outlineLevel="0" collapsed="false">
      <c r="A81" s="21" t="s">
        <v>268</v>
      </c>
      <c r="B81" s="21" t="s">
        <v>269</v>
      </c>
      <c r="C81" s="21" t="s">
        <v>112</v>
      </c>
      <c r="D81" s="21" t="s">
        <v>67</v>
      </c>
      <c r="E81" s="21" t="s">
        <v>90</v>
      </c>
      <c r="F81" s="21" t="n">
        <v>7.25</v>
      </c>
      <c r="G81" s="21" t="n">
        <v>242</v>
      </c>
      <c r="H81" s="21" t="n">
        <v>6</v>
      </c>
      <c r="I81" s="21" t="s">
        <v>113</v>
      </c>
      <c r="J81" s="21" t="n">
        <v>40</v>
      </c>
      <c r="K81" s="32" t="n">
        <f aca="false">ROUND(Assumptions!$B$4*MIN(G81/Assumptions!$B$11,1)*100+Assumptions!$B$5*F81/10*100+Assumptions!$B$6*MIN(H81/Assumptions!$B$12,1)*100+Assumptions!$B$7*J81+Assumptions!$B$8*IF(I81="Yes",100,0),1)</f>
        <v>57</v>
      </c>
      <c r="L81" s="21" t="str">
        <f aca="false">LOOKUP(K81,Assumptions!$D$4:$D$7,Assumptions!$E$4:$E$7)</f>
        <v>Developing</v>
      </c>
      <c r="M81" s="21" t="n">
        <f aca="false">COUNTIFS(Applications!$B$2:$B$3144,A81)</f>
        <v>7</v>
      </c>
      <c r="N81" s="21" t="n">
        <f aca="false">COUNTIFS(Applications!$B$2:$B$3144,A81,Applications!$F$2:$F$3144,"Offered")</f>
        <v>1</v>
      </c>
      <c r="O81" s="21" t="str">
        <f aca="false">IF(COUNTIFS(Applications!$B$2:$B$3144,A81,Applications!$H$2:$H$3144,"Yes")&gt;0,"Yes","No")</f>
        <v>Yes</v>
      </c>
      <c r="P81" s="32" t="n">
        <f aca="false">SUMIFS(Applications!$G$2:$G$3144,Applications!$B$2:$B$3144,A81,Applications!$H$2:$H$3144,"Yes")</f>
        <v>6.4</v>
      </c>
      <c r="Q81" s="21" t="str">
        <f aca="false">IF(O81="Yes",INDEX(Companies!$B$2:$B$31,MATCH(INDEX(Applications!$C$2:$C$3144,MATCH(A81,Applications!$P$2:$P$3144,0)),Companies!$A$2:$A$31,0)),"-")</f>
        <v>AlphaGrid Tech</v>
      </c>
    </row>
    <row r="82" customFormat="false" ht="15" hidden="false" customHeight="false" outlineLevel="0" collapsed="false">
      <c r="A82" s="21" t="s">
        <v>270</v>
      </c>
      <c r="B82" s="21" t="s">
        <v>271</v>
      </c>
      <c r="C82" s="21" t="s">
        <v>112</v>
      </c>
      <c r="D82" s="21" t="s">
        <v>67</v>
      </c>
      <c r="E82" s="21" t="s">
        <v>92</v>
      </c>
      <c r="F82" s="21" t="n">
        <v>8.07</v>
      </c>
      <c r="G82" s="21" t="n">
        <v>110</v>
      </c>
      <c r="H82" s="21" t="n">
        <v>6</v>
      </c>
      <c r="I82" s="21" t="s">
        <v>113</v>
      </c>
      <c r="J82" s="21" t="n">
        <v>60</v>
      </c>
      <c r="K82" s="32" t="n">
        <f aca="false">ROUND(Assumptions!$B$4*MIN(G82/Assumptions!$B$11,1)*100+Assumptions!$B$5*F82/10*100+Assumptions!$B$6*MIN(H82/Assumptions!$B$12,1)*100+Assumptions!$B$7*J82+Assumptions!$B$8*IF(I82="Yes",100,0),1)</f>
        <v>54.7</v>
      </c>
      <c r="L82" s="21" t="str">
        <f aca="false">LOOKUP(K82,Assumptions!$D$4:$D$7,Assumptions!$E$4:$E$7)</f>
        <v>Developing</v>
      </c>
      <c r="M82" s="21" t="n">
        <f aca="false">COUNTIFS(Applications!$B$2:$B$3144,A82)</f>
        <v>5</v>
      </c>
      <c r="N82" s="21" t="n">
        <f aca="false">COUNTIFS(Applications!$B$2:$B$3144,A82,Applications!$F$2:$F$3144,"Offered")</f>
        <v>2</v>
      </c>
      <c r="O82" s="21" t="str">
        <f aca="false">IF(COUNTIFS(Applications!$B$2:$B$3144,A82,Applications!$H$2:$H$3144,"Yes")&gt;0,"Yes","No")</f>
        <v>Yes</v>
      </c>
      <c r="P82" s="32" t="n">
        <f aca="false">SUMIFS(Applications!$G$2:$G$3144,Applications!$B$2:$B$3144,A82,Applications!$H$2:$H$3144,"Yes")</f>
        <v>5.3</v>
      </c>
      <c r="Q82" s="21" t="str">
        <f aca="false">IF(O82="Yes",INDEX(Companies!$B$2:$B$31,MATCH(INDEX(Applications!$C$2:$C$3144,MATCH(A82,Applications!$P$2:$P$3144,0)),Companies!$A$2:$A$31,0)),"-")</f>
        <v>TechBridge Consulting</v>
      </c>
    </row>
    <row r="83" customFormat="false" ht="15" hidden="false" customHeight="false" outlineLevel="0" collapsed="false">
      <c r="A83" s="21" t="s">
        <v>272</v>
      </c>
      <c r="B83" s="21" t="s">
        <v>273</v>
      </c>
      <c r="C83" s="21" t="s">
        <v>112</v>
      </c>
      <c r="D83" s="21" t="s">
        <v>65</v>
      </c>
      <c r="E83" s="21" t="s">
        <v>91</v>
      </c>
      <c r="F83" s="21" t="n">
        <v>7.62</v>
      </c>
      <c r="G83" s="21" t="n">
        <v>246</v>
      </c>
      <c r="H83" s="21" t="n">
        <v>3</v>
      </c>
      <c r="I83" s="21" t="s">
        <v>120</v>
      </c>
      <c r="J83" s="21" t="n">
        <v>71</v>
      </c>
      <c r="K83" s="32" t="n">
        <f aca="false">ROUND(Assumptions!$B$4*MIN(G83/Assumptions!$B$11,1)*100+Assumptions!$B$5*F83/10*100+Assumptions!$B$6*MIN(H83/Assumptions!$B$12,1)*100+Assumptions!$B$7*J83+Assumptions!$B$8*IF(I83="Yes",100,0),1)</f>
        <v>66.2</v>
      </c>
      <c r="L83" s="21" t="str">
        <f aca="false">LOOKUP(K83,Assumptions!$D$4:$D$7,Assumptions!$E$4:$E$7)</f>
        <v>Job-Ready</v>
      </c>
      <c r="M83" s="21" t="n">
        <f aca="false">COUNTIFS(Applications!$B$2:$B$3144,A83)</f>
        <v>2</v>
      </c>
      <c r="N83" s="21" t="n">
        <f aca="false">COUNTIFS(Applications!$B$2:$B$3144,A83,Applications!$F$2:$F$3144,"Offered")</f>
        <v>0</v>
      </c>
      <c r="O83" s="21" t="str">
        <f aca="false">IF(COUNTIFS(Applications!$B$2:$B$3144,A83,Applications!$H$2:$H$3144,"Yes")&gt;0,"Yes","No")</f>
        <v>No</v>
      </c>
      <c r="P83" s="32" t="n">
        <f aca="false">SUMIFS(Applications!$G$2:$G$3144,Applications!$B$2:$B$3144,A83,Applications!$H$2:$H$3144,"Yes")</f>
        <v>0</v>
      </c>
      <c r="Q83" s="21" t="str">
        <f aca="false">IF(O83="Yes",INDEX(Companies!$B$2:$B$31,MATCH(INDEX(Applications!$C$2:$C$3144,MATCH(A83,Applications!$P$2:$P$3144,0)),Companies!$A$2:$A$31,0)),"-")</f>
        <v>-</v>
      </c>
    </row>
    <row r="84" customFormat="false" ht="15" hidden="false" customHeight="false" outlineLevel="0" collapsed="false">
      <c r="A84" s="21" t="s">
        <v>274</v>
      </c>
      <c r="B84" s="21" t="s">
        <v>275</v>
      </c>
      <c r="C84" s="21" t="s">
        <v>112</v>
      </c>
      <c r="D84" s="21" t="s">
        <v>64</v>
      </c>
      <c r="E84" s="21" t="s">
        <v>90</v>
      </c>
      <c r="F84" s="21" t="n">
        <v>6.39</v>
      </c>
      <c r="G84" s="21" t="n">
        <v>933</v>
      </c>
      <c r="H84" s="21" t="n">
        <v>3</v>
      </c>
      <c r="I84" s="21" t="s">
        <v>120</v>
      </c>
      <c r="J84" s="21" t="n">
        <v>57</v>
      </c>
      <c r="K84" s="32" t="n">
        <f aca="false">ROUND(Assumptions!$B$4*MIN(G84/Assumptions!$B$11,1)*100+Assumptions!$B$5*F84/10*100+Assumptions!$B$6*MIN(H84/Assumptions!$B$12,1)*100+Assumptions!$B$7*J84+Assumptions!$B$8*IF(I84="Yes",100,0),1)</f>
        <v>76.2</v>
      </c>
      <c r="L84" s="21" t="str">
        <f aca="false">LOOKUP(K84,Assumptions!$D$4:$D$7,Assumptions!$E$4:$E$7)</f>
        <v>Job-Ready</v>
      </c>
      <c r="M84" s="21" t="n">
        <f aca="false">COUNTIFS(Applications!$B$2:$B$3144,A84)</f>
        <v>6</v>
      </c>
      <c r="N84" s="21" t="n">
        <f aca="false">COUNTIFS(Applications!$B$2:$B$3144,A84,Applications!$F$2:$F$3144,"Offered")</f>
        <v>3</v>
      </c>
      <c r="O84" s="21" t="str">
        <f aca="false">IF(COUNTIFS(Applications!$B$2:$B$3144,A84,Applications!$H$2:$H$3144,"Yes")&gt;0,"Yes","No")</f>
        <v>Yes</v>
      </c>
      <c r="P84" s="32" t="n">
        <f aca="false">SUMIFS(Applications!$G$2:$G$3144,Applications!$B$2:$B$3144,A84,Applications!$H$2:$H$3144,"Yes")</f>
        <v>12.2</v>
      </c>
      <c r="Q84" s="21" t="str">
        <f aca="false">IF(O84="Yes",INDEX(Companies!$B$2:$B$31,MATCH(INDEX(Applications!$C$2:$C$3144,MATCH(A84,Applications!$P$2:$P$3144,0)),Companies!$A$2:$A$31,0)),"-")</f>
        <v>MediSphere</v>
      </c>
    </row>
    <row r="85" customFormat="false" ht="15" hidden="false" customHeight="false" outlineLevel="0" collapsed="false">
      <c r="A85" s="21" t="s">
        <v>276</v>
      </c>
      <c r="B85" s="21" t="s">
        <v>277</v>
      </c>
      <c r="C85" s="21" t="s">
        <v>112</v>
      </c>
      <c r="D85" s="21" t="s">
        <v>66</v>
      </c>
      <c r="E85" s="21" t="s">
        <v>92</v>
      </c>
      <c r="F85" s="21" t="n">
        <v>7.87</v>
      </c>
      <c r="G85" s="21" t="n">
        <v>323</v>
      </c>
      <c r="H85" s="21" t="n">
        <v>4</v>
      </c>
      <c r="I85" s="21" t="s">
        <v>113</v>
      </c>
      <c r="J85" s="21" t="n">
        <v>64</v>
      </c>
      <c r="K85" s="32" t="n">
        <f aca="false">ROUND(Assumptions!$B$4*MIN(G85/Assumptions!$B$11,1)*100+Assumptions!$B$5*F85/10*100+Assumptions!$B$6*MIN(H85/Assumptions!$B$12,1)*100+Assumptions!$B$7*J85+Assumptions!$B$8*IF(I85="Yes",100,0),1)</f>
        <v>63.9</v>
      </c>
      <c r="L85" s="21" t="str">
        <f aca="false">LOOKUP(K85,Assumptions!$D$4:$D$7,Assumptions!$E$4:$E$7)</f>
        <v>Developing</v>
      </c>
      <c r="M85" s="21" t="n">
        <f aca="false">COUNTIFS(Applications!$B$2:$B$3144,A85)</f>
        <v>9</v>
      </c>
      <c r="N85" s="21" t="n">
        <f aca="false">COUNTIFS(Applications!$B$2:$B$3144,A85,Applications!$F$2:$F$3144,"Offered")</f>
        <v>2</v>
      </c>
      <c r="O85" s="21" t="str">
        <f aca="false">IF(COUNTIFS(Applications!$B$2:$B$3144,A85,Applications!$H$2:$H$3144,"Yes")&gt;0,"Yes","No")</f>
        <v>Yes</v>
      </c>
      <c r="P85" s="32" t="n">
        <f aca="false">SUMIFS(Applications!$G$2:$G$3144,Applications!$B$2:$B$3144,A85,Applications!$H$2:$H$3144,"Yes")</f>
        <v>5.6</v>
      </c>
      <c r="Q85" s="21" t="str">
        <f aca="false">IF(O85="Yes",INDEX(Companies!$B$2:$B$31,MATCH(INDEX(Applications!$C$2:$C$3144,MATCH(A85,Applications!$P$2:$P$3144,0)),Companies!$A$2:$A$31,0)),"-")</f>
        <v>Bharat Digital</v>
      </c>
    </row>
    <row r="86" customFormat="false" ht="15" hidden="false" customHeight="false" outlineLevel="0" collapsed="false">
      <c r="A86" s="21" t="s">
        <v>278</v>
      </c>
      <c r="B86" s="21" t="s">
        <v>156</v>
      </c>
      <c r="C86" s="21" t="s">
        <v>112</v>
      </c>
      <c r="D86" s="21" t="s">
        <v>64</v>
      </c>
      <c r="E86" s="21" t="s">
        <v>91</v>
      </c>
      <c r="F86" s="21" t="n">
        <v>7.5</v>
      </c>
      <c r="G86" s="21" t="n">
        <v>766</v>
      </c>
      <c r="H86" s="21" t="n">
        <v>6</v>
      </c>
      <c r="I86" s="21" t="s">
        <v>120</v>
      </c>
      <c r="J86" s="21" t="n">
        <v>54</v>
      </c>
      <c r="K86" s="32" t="n">
        <f aca="false">ROUND(Assumptions!$B$4*MIN(G86/Assumptions!$B$11,1)*100+Assumptions!$B$5*F86/10*100+Assumptions!$B$6*MIN(H86/Assumptions!$B$12,1)*100+Assumptions!$B$7*J86+Assumptions!$B$8*IF(I86="Yes",100,0),1)</f>
        <v>85.8</v>
      </c>
      <c r="L86" s="21" t="str">
        <f aca="false">LOOKUP(K86,Assumptions!$D$4:$D$7,Assumptions!$E$4:$E$7)</f>
        <v>Elite</v>
      </c>
      <c r="M86" s="21" t="n">
        <f aca="false">COUNTIFS(Applications!$B$2:$B$3144,A86)</f>
        <v>0</v>
      </c>
      <c r="N86" s="21" t="n">
        <f aca="false">COUNTIFS(Applications!$B$2:$B$3144,A86,Applications!$F$2:$F$3144,"Offered")</f>
        <v>0</v>
      </c>
      <c r="O86" s="21" t="str">
        <f aca="false">IF(COUNTIFS(Applications!$B$2:$B$3144,A86,Applications!$H$2:$H$3144,"Yes")&gt;0,"Yes","No")</f>
        <v>No</v>
      </c>
      <c r="P86" s="32" t="n">
        <f aca="false">SUMIFS(Applications!$G$2:$G$3144,Applications!$B$2:$B$3144,A86,Applications!$H$2:$H$3144,"Yes")</f>
        <v>0</v>
      </c>
      <c r="Q86" s="21" t="str">
        <f aca="false">IF(O86="Yes",INDEX(Companies!$B$2:$B$31,MATCH(INDEX(Applications!$C$2:$C$3144,MATCH(A86,Applications!$P$2:$P$3144,0)),Companies!$A$2:$A$31,0)),"-")</f>
        <v>-</v>
      </c>
    </row>
    <row r="87" customFormat="false" ht="15" hidden="false" customHeight="false" outlineLevel="0" collapsed="false">
      <c r="A87" s="21" t="s">
        <v>279</v>
      </c>
      <c r="B87" s="21" t="s">
        <v>280</v>
      </c>
      <c r="C87" s="21" t="s">
        <v>112</v>
      </c>
      <c r="D87" s="21" t="s">
        <v>63</v>
      </c>
      <c r="E87" s="21" t="s">
        <v>92</v>
      </c>
      <c r="F87" s="21" t="n">
        <v>6.38</v>
      </c>
      <c r="G87" s="21" t="n">
        <v>197</v>
      </c>
      <c r="H87" s="21" t="n">
        <v>3</v>
      </c>
      <c r="I87" s="21" t="s">
        <v>120</v>
      </c>
      <c r="J87" s="21" t="n">
        <v>63</v>
      </c>
      <c r="K87" s="32" t="n">
        <f aca="false">ROUND(Assumptions!$B$4*MIN(G87/Assumptions!$B$11,1)*100+Assumptions!$B$5*F87/10*100+Assumptions!$B$6*MIN(H87/Assumptions!$B$12,1)*100+Assumptions!$B$7*J87+Assumptions!$B$8*IF(I87="Yes",100,0),1)</f>
        <v>59.2</v>
      </c>
      <c r="L87" s="21" t="str">
        <f aca="false">LOOKUP(K87,Assumptions!$D$4:$D$7,Assumptions!$E$4:$E$7)</f>
        <v>Developing</v>
      </c>
      <c r="M87" s="21" t="n">
        <f aca="false">COUNTIFS(Applications!$B$2:$B$3144,A87)</f>
        <v>6</v>
      </c>
      <c r="N87" s="21" t="n">
        <f aca="false">COUNTIFS(Applications!$B$2:$B$3144,A87,Applications!$F$2:$F$3144,"Offered")</f>
        <v>2</v>
      </c>
      <c r="O87" s="21" t="str">
        <f aca="false">IF(COUNTIFS(Applications!$B$2:$B$3144,A87,Applications!$H$2:$H$3144,"Yes")&gt;0,"Yes","No")</f>
        <v>Yes</v>
      </c>
      <c r="P87" s="32" t="n">
        <f aca="false">SUMIFS(Applications!$G$2:$G$3144,Applications!$B$2:$B$3144,A87,Applications!$H$2:$H$3144,"Yes")</f>
        <v>6.4</v>
      </c>
      <c r="Q87" s="21" t="str">
        <f aca="false">IF(O87="Yes",INDEX(Companies!$B$2:$B$31,MATCH(INDEX(Applications!$C$2:$C$3144,MATCH(A87,Applications!$P$2:$P$3144,0)),Companies!$A$2:$A$31,0)),"-")</f>
        <v>AlphaGrid Tech</v>
      </c>
    </row>
    <row r="88" customFormat="false" ht="15" hidden="false" customHeight="false" outlineLevel="0" collapsed="false">
      <c r="A88" s="21" t="s">
        <v>281</v>
      </c>
      <c r="B88" s="21" t="s">
        <v>282</v>
      </c>
      <c r="C88" s="21" t="s">
        <v>112</v>
      </c>
      <c r="D88" s="21" t="s">
        <v>65</v>
      </c>
      <c r="E88" s="21" t="s">
        <v>90</v>
      </c>
      <c r="F88" s="21" t="n">
        <v>7.09</v>
      </c>
      <c r="G88" s="21" t="n">
        <v>283</v>
      </c>
      <c r="H88" s="21" t="n">
        <v>0</v>
      </c>
      <c r="I88" s="21" t="s">
        <v>120</v>
      </c>
      <c r="J88" s="21" t="n">
        <v>68</v>
      </c>
      <c r="K88" s="32" t="n">
        <f aca="false">ROUND(Assumptions!$B$4*MIN(G88/Assumptions!$B$11,1)*100+Assumptions!$B$5*F88/10*100+Assumptions!$B$6*MIN(H88/Assumptions!$B$12,1)*100+Assumptions!$B$7*J88+Assumptions!$B$8*IF(I88="Yes",100,0),1)</f>
        <v>54.8</v>
      </c>
      <c r="L88" s="21" t="str">
        <f aca="false">LOOKUP(K88,Assumptions!$D$4:$D$7,Assumptions!$E$4:$E$7)</f>
        <v>Developing</v>
      </c>
      <c r="M88" s="21" t="n">
        <f aca="false">COUNTIFS(Applications!$B$2:$B$3144,A88)</f>
        <v>7</v>
      </c>
      <c r="N88" s="21" t="n">
        <f aca="false">COUNTIFS(Applications!$B$2:$B$3144,A88,Applications!$F$2:$F$3144,"Offered")</f>
        <v>0</v>
      </c>
      <c r="O88" s="21" t="str">
        <f aca="false">IF(COUNTIFS(Applications!$B$2:$B$3144,A88,Applications!$H$2:$H$3144,"Yes")&gt;0,"Yes","No")</f>
        <v>No</v>
      </c>
      <c r="P88" s="32" t="n">
        <f aca="false">SUMIFS(Applications!$G$2:$G$3144,Applications!$B$2:$B$3144,A88,Applications!$H$2:$H$3144,"Yes")</f>
        <v>0</v>
      </c>
      <c r="Q88" s="21" t="str">
        <f aca="false">IF(O88="Yes",INDEX(Companies!$B$2:$B$31,MATCH(INDEX(Applications!$C$2:$C$3144,MATCH(A88,Applications!$P$2:$P$3144,0)),Companies!$A$2:$A$31,0)),"-")</f>
        <v>-</v>
      </c>
    </row>
    <row r="89" customFormat="false" ht="15" hidden="false" customHeight="false" outlineLevel="0" collapsed="false">
      <c r="A89" s="21" t="s">
        <v>283</v>
      </c>
      <c r="B89" s="21" t="s">
        <v>284</v>
      </c>
      <c r="C89" s="21" t="s">
        <v>112</v>
      </c>
      <c r="D89" s="21" t="s">
        <v>64</v>
      </c>
      <c r="E89" s="21" t="s">
        <v>92</v>
      </c>
      <c r="F89" s="21" t="n">
        <v>6.5</v>
      </c>
      <c r="G89" s="21" t="n">
        <v>421</v>
      </c>
      <c r="H89" s="21" t="n">
        <v>1</v>
      </c>
      <c r="I89" s="21" t="s">
        <v>113</v>
      </c>
      <c r="J89" s="21" t="n">
        <v>98</v>
      </c>
      <c r="K89" s="32" t="n">
        <f aca="false">ROUND(Assumptions!$B$4*MIN(G89/Assumptions!$B$11,1)*100+Assumptions!$B$5*F89/10*100+Assumptions!$B$6*MIN(H89/Assumptions!$B$12,1)*100+Assumptions!$B$7*J89+Assumptions!$B$8*IF(I89="Yes",100,0),1)</f>
        <v>61.9</v>
      </c>
      <c r="L89" s="21" t="str">
        <f aca="false">LOOKUP(K89,Assumptions!$D$4:$D$7,Assumptions!$E$4:$E$7)</f>
        <v>Developing</v>
      </c>
      <c r="M89" s="21" t="n">
        <f aca="false">COUNTIFS(Applications!$B$2:$B$3144,A89)</f>
        <v>9</v>
      </c>
      <c r="N89" s="21" t="n">
        <f aca="false">COUNTIFS(Applications!$B$2:$B$3144,A89,Applications!$F$2:$F$3144,"Offered")</f>
        <v>1</v>
      </c>
      <c r="O89" s="21" t="str">
        <f aca="false">IF(COUNTIFS(Applications!$B$2:$B$3144,A89,Applications!$H$2:$H$3144,"Yes")&gt;0,"Yes","No")</f>
        <v>Yes</v>
      </c>
      <c r="P89" s="32" t="n">
        <f aca="false">SUMIFS(Applications!$G$2:$G$3144,Applications!$B$2:$B$3144,A89,Applications!$H$2:$H$3144,"Yes")</f>
        <v>13</v>
      </c>
      <c r="Q89" s="21" t="str">
        <f aca="false">IF(O89="Yes",INDEX(Companies!$B$2:$B$31,MATCH(INDEX(Applications!$C$2:$C$3144,MATCH(A89,Applications!$P$2:$P$3144,0)),Companies!$A$2:$A$31,0)),"-")</f>
        <v>CyberNest</v>
      </c>
    </row>
    <row r="90" customFormat="false" ht="15" hidden="false" customHeight="false" outlineLevel="0" collapsed="false">
      <c r="A90" s="21" t="s">
        <v>285</v>
      </c>
      <c r="B90" s="21" t="s">
        <v>286</v>
      </c>
      <c r="C90" s="21" t="s">
        <v>112</v>
      </c>
      <c r="D90" s="21" t="s">
        <v>63</v>
      </c>
      <c r="E90" s="21" t="s">
        <v>90</v>
      </c>
      <c r="F90" s="21" t="n">
        <v>7.36</v>
      </c>
      <c r="G90" s="21" t="n">
        <v>273</v>
      </c>
      <c r="H90" s="21" t="n">
        <v>4</v>
      </c>
      <c r="I90" s="21" t="s">
        <v>113</v>
      </c>
      <c r="J90" s="21" t="n">
        <v>53</v>
      </c>
      <c r="K90" s="32" t="n">
        <f aca="false">ROUND(Assumptions!$B$4*MIN(G90/Assumptions!$B$11,1)*100+Assumptions!$B$5*F90/10*100+Assumptions!$B$6*MIN(H90/Assumptions!$B$12,1)*100+Assumptions!$B$7*J90+Assumptions!$B$8*IF(I90="Yes",100,0),1)</f>
        <v>57.7</v>
      </c>
      <c r="L90" s="21" t="str">
        <f aca="false">LOOKUP(K90,Assumptions!$D$4:$D$7,Assumptions!$E$4:$E$7)</f>
        <v>Developing</v>
      </c>
      <c r="M90" s="21" t="n">
        <f aca="false">COUNTIFS(Applications!$B$2:$B$3144,A90)</f>
        <v>7</v>
      </c>
      <c r="N90" s="21" t="n">
        <f aca="false">COUNTIFS(Applications!$B$2:$B$3144,A90,Applications!$F$2:$F$3144,"Offered")</f>
        <v>3</v>
      </c>
      <c r="O90" s="21" t="str">
        <f aca="false">IF(COUNTIFS(Applications!$B$2:$B$3144,A90,Applications!$H$2:$H$3144,"Yes")&gt;0,"Yes","No")</f>
        <v>Yes</v>
      </c>
      <c r="P90" s="32" t="n">
        <f aca="false">SUMIFS(Applications!$G$2:$G$3144,Applications!$B$2:$B$3144,A90,Applications!$H$2:$H$3144,"Yes")</f>
        <v>5.5</v>
      </c>
      <c r="Q90" s="21" t="str">
        <f aca="false">IF(O90="Yes",INDEX(Companies!$B$2:$B$31,MATCH(INDEX(Applications!$C$2:$C$3144,MATCH(A90,Applications!$P$2:$P$3144,0)),Companies!$A$2:$A$31,0)),"-")</f>
        <v>TechBridge Consulting</v>
      </c>
    </row>
    <row r="91" customFormat="false" ht="15" hidden="false" customHeight="false" outlineLevel="0" collapsed="false">
      <c r="A91" s="21" t="s">
        <v>287</v>
      </c>
      <c r="B91" s="21" t="s">
        <v>288</v>
      </c>
      <c r="C91" s="21" t="s">
        <v>112</v>
      </c>
      <c r="D91" s="21" t="s">
        <v>65</v>
      </c>
      <c r="E91" s="21" t="s">
        <v>91</v>
      </c>
      <c r="F91" s="21" t="n">
        <v>6.91</v>
      </c>
      <c r="G91" s="21" t="n">
        <v>294</v>
      </c>
      <c r="H91" s="21" t="n">
        <v>5</v>
      </c>
      <c r="I91" s="21" t="s">
        <v>113</v>
      </c>
      <c r="J91" s="21" t="n">
        <v>46</v>
      </c>
      <c r="K91" s="32" t="n">
        <f aca="false">ROUND(Assumptions!$B$4*MIN(G91/Assumptions!$B$11,1)*100+Assumptions!$B$5*F91/10*100+Assumptions!$B$6*MIN(H91/Assumptions!$B$12,1)*100+Assumptions!$B$7*J91+Assumptions!$B$8*IF(I91="Yes",100,0),1)</f>
        <v>60.7</v>
      </c>
      <c r="L91" s="21" t="str">
        <f aca="false">LOOKUP(K91,Assumptions!$D$4:$D$7,Assumptions!$E$4:$E$7)</f>
        <v>Developing</v>
      </c>
      <c r="M91" s="21" t="n">
        <f aca="false">COUNTIFS(Applications!$B$2:$B$3144,A91)</f>
        <v>5</v>
      </c>
      <c r="N91" s="21" t="n">
        <f aca="false">COUNTIFS(Applications!$B$2:$B$3144,A91,Applications!$F$2:$F$3144,"Offered")</f>
        <v>2</v>
      </c>
      <c r="O91" s="21" t="str">
        <f aca="false">IF(COUNTIFS(Applications!$B$2:$B$3144,A91,Applications!$H$2:$H$3144,"Yes")&gt;0,"Yes","No")</f>
        <v>Yes</v>
      </c>
      <c r="P91" s="32" t="n">
        <f aca="false">SUMIFS(Applications!$G$2:$G$3144,Applications!$B$2:$B$3144,A91,Applications!$H$2:$H$3144,"Yes")</f>
        <v>5.9</v>
      </c>
      <c r="Q91" s="21" t="str">
        <f aca="false">IF(O91="Yes",INDEX(Companies!$B$2:$B$31,MATCH(INDEX(Applications!$C$2:$C$3144,MATCH(A91,Applications!$P$2:$P$3144,0)),Companies!$A$2:$A$31,0)),"-")</f>
        <v>HealthLink Digital</v>
      </c>
    </row>
    <row r="92" customFormat="false" ht="15" hidden="false" customHeight="false" outlineLevel="0" collapsed="false">
      <c r="A92" s="21" t="s">
        <v>289</v>
      </c>
      <c r="B92" s="21" t="s">
        <v>290</v>
      </c>
      <c r="C92" s="21" t="s">
        <v>112</v>
      </c>
      <c r="D92" s="21" t="s">
        <v>64</v>
      </c>
      <c r="E92" s="21" t="s">
        <v>92</v>
      </c>
      <c r="F92" s="21" t="n">
        <v>8.67</v>
      </c>
      <c r="G92" s="21" t="n">
        <v>717</v>
      </c>
      <c r="H92" s="21" t="n">
        <v>5</v>
      </c>
      <c r="I92" s="21" t="s">
        <v>120</v>
      </c>
      <c r="J92" s="21" t="n">
        <v>66</v>
      </c>
      <c r="K92" s="32" t="n">
        <f aca="false">ROUND(Assumptions!$B$4*MIN(G92/Assumptions!$B$11,1)*100+Assumptions!$B$5*F92/10*100+Assumptions!$B$6*MIN(H92/Assumptions!$B$12,1)*100+Assumptions!$B$7*J92+Assumptions!$B$8*IF(I92="Yes",100,0),1)</f>
        <v>90.5</v>
      </c>
      <c r="L92" s="21" t="str">
        <f aca="false">LOOKUP(K92,Assumptions!$D$4:$D$7,Assumptions!$E$4:$E$7)</f>
        <v>Elite</v>
      </c>
      <c r="M92" s="21" t="n">
        <f aca="false">COUNTIFS(Applications!$B$2:$B$3144,A92)</f>
        <v>6</v>
      </c>
      <c r="N92" s="21" t="n">
        <f aca="false">COUNTIFS(Applications!$B$2:$B$3144,A92,Applications!$F$2:$F$3144,"Offered")</f>
        <v>4</v>
      </c>
      <c r="O92" s="21" t="str">
        <f aca="false">IF(COUNTIFS(Applications!$B$2:$B$3144,A92,Applications!$H$2:$H$3144,"Yes")&gt;0,"Yes","No")</f>
        <v>Yes</v>
      </c>
      <c r="P92" s="32" t="n">
        <f aca="false">SUMIFS(Applications!$G$2:$G$3144,Applications!$B$2:$B$3144,A92,Applications!$H$2:$H$3144,"Yes")</f>
        <v>24.9</v>
      </c>
      <c r="Q92" s="21" t="str">
        <f aca="false">IF(O92="Yes",INDEX(Companies!$B$2:$B$31,MATCH(INDEX(Applications!$C$2:$C$3144,MATCH(A92,Applications!$P$2:$P$3144,0)),Companies!$A$2:$A$31,0)),"-")</f>
        <v>Vertex AI Works</v>
      </c>
    </row>
    <row r="93" customFormat="false" ht="15" hidden="false" customHeight="false" outlineLevel="0" collapsed="false">
      <c r="A93" s="21" t="s">
        <v>291</v>
      </c>
      <c r="B93" s="21" t="s">
        <v>292</v>
      </c>
      <c r="C93" s="21" t="s">
        <v>112</v>
      </c>
      <c r="D93" s="21" t="s">
        <v>67</v>
      </c>
      <c r="E93" s="21" t="s">
        <v>90</v>
      </c>
      <c r="F93" s="21" t="n">
        <v>6.83</v>
      </c>
      <c r="G93" s="21" t="n">
        <v>226</v>
      </c>
      <c r="H93" s="21" t="n">
        <v>3</v>
      </c>
      <c r="I93" s="21" t="s">
        <v>113</v>
      </c>
      <c r="J93" s="21" t="n">
        <v>49</v>
      </c>
      <c r="K93" s="32" t="n">
        <f aca="false">ROUND(Assumptions!$B$4*MIN(G93/Assumptions!$B$11,1)*100+Assumptions!$B$5*F93/10*100+Assumptions!$B$6*MIN(H93/Assumptions!$B$12,1)*100+Assumptions!$B$7*J93+Assumptions!$B$8*IF(I93="Yes",100,0),1)</f>
        <v>49</v>
      </c>
      <c r="L93" s="21" t="str">
        <f aca="false">LOOKUP(K93,Assumptions!$D$4:$D$7,Assumptions!$E$4:$E$7)</f>
        <v>Foundation</v>
      </c>
      <c r="M93" s="21" t="n">
        <f aca="false">COUNTIFS(Applications!$B$2:$B$3144,A93)</f>
        <v>5</v>
      </c>
      <c r="N93" s="21" t="n">
        <f aca="false">COUNTIFS(Applications!$B$2:$B$3144,A93,Applications!$F$2:$F$3144,"Offered")</f>
        <v>1</v>
      </c>
      <c r="O93" s="21" t="str">
        <f aca="false">IF(COUNTIFS(Applications!$B$2:$B$3144,A93,Applications!$H$2:$H$3144,"Yes")&gt;0,"Yes","No")</f>
        <v>Yes</v>
      </c>
      <c r="P93" s="32" t="n">
        <f aca="false">SUMIFS(Applications!$G$2:$G$3144,Applications!$B$2:$B$3144,A93,Applications!$H$2:$H$3144,"Yes")</f>
        <v>5.9</v>
      </c>
      <c r="Q93" s="21" t="str">
        <f aca="false">IF(O93="Yes",INDEX(Companies!$B$2:$B$31,MATCH(INDEX(Applications!$C$2:$C$3144,MATCH(A93,Applications!$P$2:$P$3144,0)),Companies!$A$2:$A$31,0)),"-")</f>
        <v>AlphaGrid Tech</v>
      </c>
    </row>
    <row r="94" customFormat="false" ht="15" hidden="false" customHeight="false" outlineLevel="0" collapsed="false">
      <c r="A94" s="21" t="s">
        <v>293</v>
      </c>
      <c r="B94" s="21" t="s">
        <v>294</v>
      </c>
      <c r="C94" s="21" t="s">
        <v>112</v>
      </c>
      <c r="D94" s="21" t="s">
        <v>65</v>
      </c>
      <c r="E94" s="21" t="s">
        <v>90</v>
      </c>
      <c r="F94" s="21" t="n">
        <v>7.35</v>
      </c>
      <c r="G94" s="21" t="n">
        <v>302</v>
      </c>
      <c r="H94" s="21" t="n">
        <v>5</v>
      </c>
      <c r="I94" s="21" t="s">
        <v>120</v>
      </c>
      <c r="J94" s="21" t="n">
        <v>62</v>
      </c>
      <c r="K94" s="32" t="n">
        <f aca="false">ROUND(Assumptions!$B$4*MIN(G94/Assumptions!$B$11,1)*100+Assumptions!$B$5*F94/10*100+Assumptions!$B$6*MIN(H94/Assumptions!$B$12,1)*100+Assumptions!$B$7*J94+Assumptions!$B$8*IF(I94="Yes",100,0),1)</f>
        <v>75.2</v>
      </c>
      <c r="L94" s="21" t="str">
        <f aca="false">LOOKUP(K94,Assumptions!$D$4:$D$7,Assumptions!$E$4:$E$7)</f>
        <v>Job-Ready</v>
      </c>
      <c r="M94" s="21" t="n">
        <f aca="false">COUNTIFS(Applications!$B$2:$B$3144,A94)</f>
        <v>6</v>
      </c>
      <c r="N94" s="21" t="n">
        <f aca="false">COUNTIFS(Applications!$B$2:$B$3144,A94,Applications!$F$2:$F$3144,"Offered")</f>
        <v>2</v>
      </c>
      <c r="O94" s="21" t="str">
        <f aca="false">IF(COUNTIFS(Applications!$B$2:$B$3144,A94,Applications!$H$2:$H$3144,"Yes")&gt;0,"Yes","No")</f>
        <v>Yes</v>
      </c>
      <c r="P94" s="32" t="n">
        <f aca="false">SUMIFS(Applications!$G$2:$G$3144,Applications!$B$2:$B$3144,A94,Applications!$H$2:$H$3144,"Yes")</f>
        <v>6.5</v>
      </c>
      <c r="Q94" s="21" t="str">
        <f aca="false">IF(O94="Yes",INDEX(Companies!$B$2:$B$31,MATCH(INDEX(Applications!$C$2:$C$3144,MATCH(A94,Applications!$P$2:$P$3144,0)),Companies!$A$2:$A$31,0)),"-")</f>
        <v>Pioneer Softech</v>
      </c>
    </row>
    <row r="95" customFormat="false" ht="15" hidden="false" customHeight="false" outlineLevel="0" collapsed="false">
      <c r="A95" s="21" t="s">
        <v>295</v>
      </c>
      <c r="B95" s="21" t="s">
        <v>296</v>
      </c>
      <c r="C95" s="21" t="s">
        <v>112</v>
      </c>
      <c r="D95" s="21" t="s">
        <v>67</v>
      </c>
      <c r="E95" s="21" t="s">
        <v>90</v>
      </c>
      <c r="F95" s="21" t="n">
        <v>8.42</v>
      </c>
      <c r="G95" s="21" t="n">
        <v>420</v>
      </c>
      <c r="H95" s="21" t="n">
        <v>4</v>
      </c>
      <c r="I95" s="21" t="s">
        <v>113</v>
      </c>
      <c r="J95" s="21" t="n">
        <v>82</v>
      </c>
      <c r="K95" s="32" t="n">
        <f aca="false">ROUND(Assumptions!$B$4*MIN(G95/Assumptions!$B$11,1)*100+Assumptions!$B$5*F95/10*100+Assumptions!$B$6*MIN(H95/Assumptions!$B$12,1)*100+Assumptions!$B$7*J95+Assumptions!$B$8*IF(I95="Yes",100,0),1)</f>
        <v>74.4</v>
      </c>
      <c r="L95" s="21" t="str">
        <f aca="false">LOOKUP(K95,Assumptions!$D$4:$D$7,Assumptions!$E$4:$E$7)</f>
        <v>Job-Ready</v>
      </c>
      <c r="M95" s="21" t="n">
        <f aca="false">COUNTIFS(Applications!$B$2:$B$3144,A95)</f>
        <v>6</v>
      </c>
      <c r="N95" s="21" t="n">
        <f aca="false">COUNTIFS(Applications!$B$2:$B$3144,A95,Applications!$F$2:$F$3144,"Offered")</f>
        <v>1</v>
      </c>
      <c r="O95" s="21" t="str">
        <f aca="false">IF(COUNTIFS(Applications!$B$2:$B$3144,A95,Applications!$H$2:$H$3144,"Yes")&gt;0,"Yes","No")</f>
        <v>Yes</v>
      </c>
      <c r="P95" s="32" t="n">
        <f aca="false">SUMIFS(Applications!$G$2:$G$3144,Applications!$B$2:$B$3144,A95,Applications!$H$2:$H$3144,"Yes")</f>
        <v>5.9</v>
      </c>
      <c r="Q95" s="21" t="str">
        <f aca="false">IF(O95="Yes",INDEX(Companies!$B$2:$B$31,MATCH(INDEX(Applications!$C$2:$C$3144,MATCH(A95,Applications!$P$2:$P$3144,0)),Companies!$A$2:$A$31,0)),"-")</f>
        <v>CodeCrest Solutions</v>
      </c>
    </row>
    <row r="96" customFormat="false" ht="15" hidden="false" customHeight="false" outlineLevel="0" collapsed="false">
      <c r="A96" s="21" t="s">
        <v>297</v>
      </c>
      <c r="B96" s="21" t="s">
        <v>298</v>
      </c>
      <c r="C96" s="21" t="s">
        <v>112</v>
      </c>
      <c r="D96" s="21" t="s">
        <v>64</v>
      </c>
      <c r="E96" s="21" t="s">
        <v>90</v>
      </c>
      <c r="F96" s="21" t="n">
        <v>7.17</v>
      </c>
      <c r="G96" s="21" t="n">
        <v>416</v>
      </c>
      <c r="H96" s="21" t="n">
        <v>4</v>
      </c>
      <c r="I96" s="21" t="s">
        <v>120</v>
      </c>
      <c r="J96" s="21" t="n">
        <v>45</v>
      </c>
      <c r="K96" s="32" t="n">
        <f aca="false">ROUND(Assumptions!$B$4*MIN(G96/Assumptions!$B$11,1)*100+Assumptions!$B$5*F96/10*100+Assumptions!$B$6*MIN(H96/Assumptions!$B$12,1)*100+Assumptions!$B$7*J96+Assumptions!$B$8*IF(I96="Yes",100,0),1)</f>
        <v>74.3</v>
      </c>
      <c r="L96" s="21" t="str">
        <f aca="false">LOOKUP(K96,Assumptions!$D$4:$D$7,Assumptions!$E$4:$E$7)</f>
        <v>Job-Ready</v>
      </c>
      <c r="M96" s="21" t="n">
        <f aca="false">COUNTIFS(Applications!$B$2:$B$3144,A96)</f>
        <v>11</v>
      </c>
      <c r="N96" s="21" t="n">
        <f aca="false">COUNTIFS(Applications!$B$2:$B$3144,A96,Applications!$F$2:$F$3144,"Offered")</f>
        <v>4</v>
      </c>
      <c r="O96" s="21" t="str">
        <f aca="false">IF(COUNTIFS(Applications!$B$2:$B$3144,A96,Applications!$H$2:$H$3144,"Yes")&gt;0,"Yes","No")</f>
        <v>Yes</v>
      </c>
      <c r="P96" s="32" t="n">
        <f aca="false">SUMIFS(Applications!$G$2:$G$3144,Applications!$B$2:$B$3144,A96,Applications!$H$2:$H$3144,"Yes")</f>
        <v>13.4</v>
      </c>
      <c r="Q96" s="21" t="str">
        <f aca="false">IF(O96="Yes",INDEX(Companies!$B$2:$B$31,MATCH(INDEX(Applications!$C$2:$C$3144,MATCH(A96,Applications!$P$2:$P$3144,0)),Companies!$A$2:$A$31,0)),"-")</f>
        <v>CyberNest</v>
      </c>
    </row>
    <row r="97" customFormat="false" ht="15" hidden="false" customHeight="false" outlineLevel="0" collapsed="false">
      <c r="A97" s="21" t="s">
        <v>299</v>
      </c>
      <c r="B97" s="21" t="s">
        <v>300</v>
      </c>
      <c r="C97" s="21" t="s">
        <v>112</v>
      </c>
      <c r="D97" s="21" t="s">
        <v>65</v>
      </c>
      <c r="E97" s="21" t="s">
        <v>91</v>
      </c>
      <c r="F97" s="21" t="n">
        <v>7.42</v>
      </c>
      <c r="G97" s="21" t="n">
        <v>61</v>
      </c>
      <c r="H97" s="21" t="n">
        <v>3</v>
      </c>
      <c r="I97" s="21" t="s">
        <v>113</v>
      </c>
      <c r="J97" s="21" t="n">
        <v>50</v>
      </c>
      <c r="K97" s="32" t="n">
        <f aca="false">ROUND(Assumptions!$B$4*MIN(G97/Assumptions!$B$11,1)*100+Assumptions!$B$5*F97/10*100+Assumptions!$B$6*MIN(H97/Assumptions!$B$12,1)*100+Assumptions!$B$7*J97+Assumptions!$B$8*IF(I97="Yes",100,0),1)</f>
        <v>40.5</v>
      </c>
      <c r="L97" s="21" t="str">
        <f aca="false">LOOKUP(K97,Assumptions!$D$4:$D$7,Assumptions!$E$4:$E$7)</f>
        <v>Foundation</v>
      </c>
      <c r="M97" s="21" t="n">
        <f aca="false">COUNTIFS(Applications!$B$2:$B$3144,A97)</f>
        <v>7</v>
      </c>
      <c r="N97" s="21" t="n">
        <f aca="false">COUNTIFS(Applications!$B$2:$B$3144,A97,Applications!$F$2:$F$3144,"Offered")</f>
        <v>0</v>
      </c>
      <c r="O97" s="21" t="str">
        <f aca="false">IF(COUNTIFS(Applications!$B$2:$B$3144,A97,Applications!$H$2:$H$3144,"Yes")&gt;0,"Yes","No")</f>
        <v>No</v>
      </c>
      <c r="P97" s="32" t="n">
        <f aca="false">SUMIFS(Applications!$G$2:$G$3144,Applications!$B$2:$B$3144,A97,Applications!$H$2:$H$3144,"Yes")</f>
        <v>0</v>
      </c>
      <c r="Q97" s="21" t="str">
        <f aca="false">IF(O97="Yes",INDEX(Companies!$B$2:$B$31,MATCH(INDEX(Applications!$C$2:$C$3144,MATCH(A97,Applications!$P$2:$P$3144,0)),Companies!$A$2:$A$31,0)),"-")</f>
        <v>-</v>
      </c>
    </row>
    <row r="98" customFormat="false" ht="15" hidden="false" customHeight="false" outlineLevel="0" collapsed="false">
      <c r="A98" s="21" t="s">
        <v>301</v>
      </c>
      <c r="B98" s="21" t="s">
        <v>302</v>
      </c>
      <c r="C98" s="21" t="s">
        <v>112</v>
      </c>
      <c r="D98" s="21" t="s">
        <v>67</v>
      </c>
      <c r="E98" s="21" t="s">
        <v>90</v>
      </c>
      <c r="F98" s="21" t="n">
        <v>7.22</v>
      </c>
      <c r="G98" s="21" t="n">
        <v>308</v>
      </c>
      <c r="H98" s="21" t="n">
        <v>4</v>
      </c>
      <c r="I98" s="21" t="s">
        <v>120</v>
      </c>
      <c r="J98" s="21" t="n">
        <v>89</v>
      </c>
      <c r="K98" s="32" t="n">
        <f aca="false">ROUND(Assumptions!$B$4*MIN(G98/Assumptions!$B$11,1)*100+Assumptions!$B$5*F98/10*100+Assumptions!$B$6*MIN(H98/Assumptions!$B$12,1)*100+Assumptions!$B$7*J98+Assumptions!$B$8*IF(I98="Yes",100,0),1)</f>
        <v>76.7</v>
      </c>
      <c r="L98" s="21" t="str">
        <f aca="false">LOOKUP(K98,Assumptions!$D$4:$D$7,Assumptions!$E$4:$E$7)</f>
        <v>Job-Ready</v>
      </c>
      <c r="M98" s="21" t="n">
        <f aca="false">COUNTIFS(Applications!$B$2:$B$3144,A98)</f>
        <v>7</v>
      </c>
      <c r="N98" s="21" t="n">
        <f aca="false">COUNTIFS(Applications!$B$2:$B$3144,A98,Applications!$F$2:$F$3144,"Offered")</f>
        <v>5</v>
      </c>
      <c r="O98" s="21" t="str">
        <f aca="false">IF(COUNTIFS(Applications!$B$2:$B$3144,A98,Applications!$H$2:$H$3144,"Yes")&gt;0,"Yes","No")</f>
        <v>Yes</v>
      </c>
      <c r="P98" s="32" t="n">
        <f aca="false">SUMIFS(Applications!$G$2:$G$3144,Applications!$B$2:$B$3144,A98,Applications!$H$2:$H$3144,"Yes")</f>
        <v>6.9</v>
      </c>
      <c r="Q98" s="21" t="str">
        <f aca="false">IF(O98="Yes",INDEX(Companies!$B$2:$B$31,MATCH(INDEX(Applications!$C$2:$C$3144,MATCH(A98,Applications!$P$2:$P$3144,0)),Companies!$A$2:$A$31,0)),"-")</f>
        <v>TechBridge Consulting</v>
      </c>
    </row>
    <row r="99" customFormat="false" ht="15" hidden="false" customHeight="false" outlineLevel="0" collapsed="false">
      <c r="A99" s="21" t="s">
        <v>303</v>
      </c>
      <c r="B99" s="21" t="s">
        <v>304</v>
      </c>
      <c r="C99" s="21" t="s">
        <v>112</v>
      </c>
      <c r="D99" s="21" t="s">
        <v>67</v>
      </c>
      <c r="E99" s="21" t="s">
        <v>90</v>
      </c>
      <c r="F99" s="21" t="n">
        <v>6.55</v>
      </c>
      <c r="G99" s="21" t="n">
        <v>117</v>
      </c>
      <c r="H99" s="21" t="n">
        <v>1</v>
      </c>
      <c r="I99" s="21" t="s">
        <v>113</v>
      </c>
      <c r="J99" s="21" t="n">
        <v>52</v>
      </c>
      <c r="K99" s="32" t="n">
        <f aca="false">ROUND(Assumptions!$B$4*MIN(G99/Assumptions!$B$11,1)*100+Assumptions!$B$5*F99/10*100+Assumptions!$B$6*MIN(H99/Assumptions!$B$12,1)*100+Assumptions!$B$7*J99+Assumptions!$B$8*IF(I99="Yes",100,0),1)</f>
        <v>34.5</v>
      </c>
      <c r="L99" s="21" t="str">
        <f aca="false">LOOKUP(K99,Assumptions!$D$4:$D$7,Assumptions!$E$4:$E$7)</f>
        <v>Foundation</v>
      </c>
      <c r="M99" s="21" t="n">
        <f aca="false">COUNTIFS(Applications!$B$2:$B$3144,A99)</f>
        <v>3</v>
      </c>
      <c r="N99" s="21" t="n">
        <f aca="false">COUNTIFS(Applications!$B$2:$B$3144,A99,Applications!$F$2:$F$3144,"Offered")</f>
        <v>0</v>
      </c>
      <c r="O99" s="21" t="str">
        <f aca="false">IF(COUNTIFS(Applications!$B$2:$B$3144,A99,Applications!$H$2:$H$3144,"Yes")&gt;0,"Yes","No")</f>
        <v>No</v>
      </c>
      <c r="P99" s="32" t="n">
        <f aca="false">SUMIFS(Applications!$G$2:$G$3144,Applications!$B$2:$B$3144,A99,Applications!$H$2:$H$3144,"Yes")</f>
        <v>0</v>
      </c>
      <c r="Q99" s="21" t="str">
        <f aca="false">IF(O99="Yes",INDEX(Companies!$B$2:$B$31,MATCH(INDEX(Applications!$C$2:$C$3144,MATCH(A99,Applications!$P$2:$P$3144,0)),Companies!$A$2:$A$31,0)),"-")</f>
        <v>-</v>
      </c>
    </row>
    <row r="100" customFormat="false" ht="15" hidden="false" customHeight="false" outlineLevel="0" collapsed="false">
      <c r="A100" s="21" t="s">
        <v>305</v>
      </c>
      <c r="B100" s="21" t="s">
        <v>306</v>
      </c>
      <c r="C100" s="21" t="s">
        <v>112</v>
      </c>
      <c r="D100" s="21" t="s">
        <v>66</v>
      </c>
      <c r="E100" s="21" t="s">
        <v>91</v>
      </c>
      <c r="F100" s="21" t="n">
        <v>7.77</v>
      </c>
      <c r="G100" s="21" t="n">
        <v>366</v>
      </c>
      <c r="H100" s="21" t="n">
        <v>3</v>
      </c>
      <c r="I100" s="21" t="s">
        <v>120</v>
      </c>
      <c r="J100" s="21" t="n">
        <v>30</v>
      </c>
      <c r="K100" s="32" t="n">
        <f aca="false">ROUND(Assumptions!$B$4*MIN(G100/Assumptions!$B$11,1)*100+Assumptions!$B$5*F100/10*100+Assumptions!$B$6*MIN(H100/Assumptions!$B$12,1)*100+Assumptions!$B$7*J100+Assumptions!$B$8*IF(I100="Yes",100,0),1)</f>
        <v>65.5</v>
      </c>
      <c r="L100" s="21" t="str">
        <f aca="false">LOOKUP(K100,Assumptions!$D$4:$D$7,Assumptions!$E$4:$E$7)</f>
        <v>Job-Ready</v>
      </c>
      <c r="M100" s="21" t="n">
        <f aca="false">COUNTIFS(Applications!$B$2:$B$3144,A100)</f>
        <v>5</v>
      </c>
      <c r="N100" s="21" t="n">
        <f aca="false">COUNTIFS(Applications!$B$2:$B$3144,A100,Applications!$F$2:$F$3144,"Offered")</f>
        <v>2</v>
      </c>
      <c r="O100" s="21" t="str">
        <f aca="false">IF(COUNTIFS(Applications!$B$2:$B$3144,A100,Applications!$H$2:$H$3144,"Yes")&gt;0,"Yes","No")</f>
        <v>Yes</v>
      </c>
      <c r="P100" s="32" t="n">
        <f aca="false">SUMIFS(Applications!$G$2:$G$3144,Applications!$B$2:$B$3144,A100,Applications!$H$2:$H$3144,"Yes")</f>
        <v>6.4</v>
      </c>
      <c r="Q100" s="21" t="str">
        <f aca="false">IF(O100="Yes",INDEX(Companies!$B$2:$B$31,MATCH(INDEX(Applications!$C$2:$C$3144,MATCH(A100,Applications!$P$2:$P$3144,0)),Companies!$A$2:$A$31,0)),"-")</f>
        <v>RetailRocket</v>
      </c>
    </row>
    <row r="101" customFormat="false" ht="15" hidden="false" customHeight="false" outlineLevel="0" collapsed="false">
      <c r="A101" s="21" t="s">
        <v>307</v>
      </c>
      <c r="B101" s="21" t="s">
        <v>308</v>
      </c>
      <c r="C101" s="21" t="s">
        <v>112</v>
      </c>
      <c r="D101" s="21" t="s">
        <v>67</v>
      </c>
      <c r="E101" s="21" t="s">
        <v>92</v>
      </c>
      <c r="F101" s="21" t="n">
        <v>8.66</v>
      </c>
      <c r="G101" s="21" t="n">
        <v>315</v>
      </c>
      <c r="H101" s="21" t="n">
        <v>1</v>
      </c>
      <c r="I101" s="21" t="s">
        <v>120</v>
      </c>
      <c r="J101" s="21" t="n">
        <v>53</v>
      </c>
      <c r="K101" s="32" t="n">
        <f aca="false">ROUND(Assumptions!$B$4*MIN(G101/Assumptions!$B$11,1)*100+Assumptions!$B$5*F101/10*100+Assumptions!$B$6*MIN(H101/Assumptions!$B$12,1)*100+Assumptions!$B$7*J101+Assumptions!$B$8*IF(I101="Yes",100,0),1)</f>
        <v>60.8</v>
      </c>
      <c r="L101" s="21" t="str">
        <f aca="false">LOOKUP(K101,Assumptions!$D$4:$D$7,Assumptions!$E$4:$E$7)</f>
        <v>Developing</v>
      </c>
      <c r="M101" s="21" t="n">
        <f aca="false">COUNTIFS(Applications!$B$2:$B$3144,A101)</f>
        <v>1</v>
      </c>
      <c r="N101" s="21" t="n">
        <f aca="false">COUNTIFS(Applications!$B$2:$B$3144,A101,Applications!$F$2:$F$3144,"Offered")</f>
        <v>0</v>
      </c>
      <c r="O101" s="21" t="str">
        <f aca="false">IF(COUNTIFS(Applications!$B$2:$B$3144,A101,Applications!$H$2:$H$3144,"Yes")&gt;0,"Yes","No")</f>
        <v>No</v>
      </c>
      <c r="P101" s="32" t="n">
        <f aca="false">SUMIFS(Applications!$G$2:$G$3144,Applications!$B$2:$B$3144,A101,Applications!$H$2:$H$3144,"Yes")</f>
        <v>0</v>
      </c>
      <c r="Q101" s="21" t="str">
        <f aca="false">IF(O101="Yes",INDEX(Companies!$B$2:$B$31,MATCH(INDEX(Applications!$C$2:$C$3144,MATCH(A101,Applications!$P$2:$P$3144,0)),Companies!$A$2:$A$31,0)),"-")</f>
        <v>-</v>
      </c>
    </row>
    <row r="102" customFormat="false" ht="15" hidden="false" customHeight="false" outlineLevel="0" collapsed="false">
      <c r="A102" s="21" t="s">
        <v>309</v>
      </c>
      <c r="B102" s="21" t="s">
        <v>310</v>
      </c>
      <c r="C102" s="21" t="s">
        <v>112</v>
      </c>
      <c r="D102" s="21" t="s">
        <v>65</v>
      </c>
      <c r="E102" s="21" t="s">
        <v>90</v>
      </c>
      <c r="F102" s="21" t="n">
        <v>6.49</v>
      </c>
      <c r="G102" s="21" t="n">
        <v>82</v>
      </c>
      <c r="H102" s="21" t="n">
        <v>4</v>
      </c>
      <c r="I102" s="21" t="s">
        <v>120</v>
      </c>
      <c r="J102" s="21" t="n">
        <v>70</v>
      </c>
      <c r="K102" s="32" t="n">
        <f aca="false">ROUND(Assumptions!$B$4*MIN(G102/Assumptions!$B$11,1)*100+Assumptions!$B$5*F102/10*100+Assumptions!$B$6*MIN(H102/Assumptions!$B$12,1)*100+Assumptions!$B$7*J102+Assumptions!$B$8*IF(I102="Yes",100,0),1)</f>
        <v>57.9</v>
      </c>
      <c r="L102" s="21" t="str">
        <f aca="false">LOOKUP(K102,Assumptions!$D$4:$D$7,Assumptions!$E$4:$E$7)</f>
        <v>Developing</v>
      </c>
      <c r="M102" s="21" t="n">
        <f aca="false">COUNTIFS(Applications!$B$2:$B$3144,A102)</f>
        <v>4</v>
      </c>
      <c r="N102" s="21" t="n">
        <f aca="false">COUNTIFS(Applications!$B$2:$B$3144,A102,Applications!$F$2:$F$3144,"Offered")</f>
        <v>1</v>
      </c>
      <c r="O102" s="21" t="str">
        <f aca="false">IF(COUNTIFS(Applications!$B$2:$B$3144,A102,Applications!$H$2:$H$3144,"Yes")&gt;0,"Yes","No")</f>
        <v>Yes</v>
      </c>
      <c r="P102" s="32" t="n">
        <f aca="false">SUMIFS(Applications!$G$2:$G$3144,Applications!$B$2:$B$3144,A102,Applications!$H$2:$H$3144,"Yes")</f>
        <v>5.5</v>
      </c>
      <c r="Q102" s="21" t="str">
        <f aca="false">IF(O102="Yes",INDEX(Companies!$B$2:$B$31,MATCH(INDEX(Applications!$C$2:$C$3144,MATCH(A102,Applications!$P$2:$P$3144,0)),Companies!$A$2:$A$31,0)),"-")</f>
        <v>Pioneer Softech</v>
      </c>
    </row>
    <row r="103" customFormat="false" ht="15" hidden="false" customHeight="false" outlineLevel="0" collapsed="false">
      <c r="A103" s="21" t="s">
        <v>311</v>
      </c>
      <c r="B103" s="21" t="s">
        <v>312</v>
      </c>
      <c r="C103" s="21" t="s">
        <v>112</v>
      </c>
      <c r="D103" s="21" t="s">
        <v>67</v>
      </c>
      <c r="E103" s="21" t="s">
        <v>91</v>
      </c>
      <c r="F103" s="21" t="n">
        <v>9.02</v>
      </c>
      <c r="G103" s="21" t="n">
        <v>191</v>
      </c>
      <c r="H103" s="21" t="n">
        <v>5</v>
      </c>
      <c r="I103" s="21" t="s">
        <v>113</v>
      </c>
      <c r="J103" s="21" t="n">
        <v>50</v>
      </c>
      <c r="K103" s="32" t="n">
        <f aca="false">ROUND(Assumptions!$B$4*MIN(G103/Assumptions!$B$11,1)*100+Assumptions!$B$5*F103/10*100+Assumptions!$B$6*MIN(H103/Assumptions!$B$12,1)*100+Assumptions!$B$7*J103+Assumptions!$B$8*IF(I103="Yes",100,0),1)</f>
        <v>59.5</v>
      </c>
      <c r="L103" s="21" t="str">
        <f aca="false">LOOKUP(K103,Assumptions!$D$4:$D$7,Assumptions!$E$4:$E$7)</f>
        <v>Developing</v>
      </c>
      <c r="M103" s="21" t="n">
        <f aca="false">COUNTIFS(Applications!$B$2:$B$3144,A103)</f>
        <v>6</v>
      </c>
      <c r="N103" s="21" t="n">
        <f aca="false">COUNTIFS(Applications!$B$2:$B$3144,A103,Applications!$F$2:$F$3144,"Offered")</f>
        <v>4</v>
      </c>
      <c r="O103" s="21" t="str">
        <f aca="false">IF(COUNTIFS(Applications!$B$2:$B$3144,A103,Applications!$H$2:$H$3144,"Yes")&gt;0,"Yes","No")</f>
        <v>Yes</v>
      </c>
      <c r="P103" s="32" t="n">
        <f aca="false">SUMIFS(Applications!$G$2:$G$3144,Applications!$B$2:$B$3144,A103,Applications!$H$2:$H$3144,"Yes")</f>
        <v>10.1</v>
      </c>
      <c r="Q103" s="21" t="str">
        <f aca="false">IF(O103="Yes",INDEX(Companies!$B$2:$B$31,MATCH(INDEX(Applications!$C$2:$C$3144,MATCH(A103,Applications!$P$2:$P$3144,0)),Companies!$A$2:$A$31,0)),"-")</f>
        <v>InsightWorks</v>
      </c>
    </row>
    <row r="104" customFormat="false" ht="15" hidden="false" customHeight="false" outlineLevel="0" collapsed="false">
      <c r="A104" s="21" t="s">
        <v>313</v>
      </c>
      <c r="B104" s="21" t="s">
        <v>314</v>
      </c>
      <c r="C104" s="21" t="s">
        <v>112</v>
      </c>
      <c r="D104" s="21" t="s">
        <v>64</v>
      </c>
      <c r="E104" s="21" t="s">
        <v>91</v>
      </c>
      <c r="F104" s="21" t="n">
        <v>8.2</v>
      </c>
      <c r="G104" s="21" t="n">
        <v>467</v>
      </c>
      <c r="H104" s="21" t="n">
        <v>3</v>
      </c>
      <c r="I104" s="21" t="s">
        <v>113</v>
      </c>
      <c r="J104" s="21" t="n">
        <v>61</v>
      </c>
      <c r="K104" s="32" t="n">
        <f aca="false">ROUND(Assumptions!$B$4*MIN(G104/Assumptions!$B$11,1)*100+Assumptions!$B$5*F104/10*100+Assumptions!$B$6*MIN(H104/Assumptions!$B$12,1)*100+Assumptions!$B$7*J104+Assumptions!$B$8*IF(I104="Yes",100,0),1)</f>
        <v>68.6</v>
      </c>
      <c r="L104" s="21" t="str">
        <f aca="false">LOOKUP(K104,Assumptions!$D$4:$D$7,Assumptions!$E$4:$E$7)</f>
        <v>Job-Ready</v>
      </c>
      <c r="M104" s="21" t="n">
        <f aca="false">COUNTIFS(Applications!$B$2:$B$3144,A104)</f>
        <v>7</v>
      </c>
      <c r="N104" s="21" t="n">
        <f aca="false">COUNTIFS(Applications!$B$2:$B$3144,A104,Applications!$F$2:$F$3144,"Offered")</f>
        <v>2</v>
      </c>
      <c r="O104" s="21" t="str">
        <f aca="false">IF(COUNTIFS(Applications!$B$2:$B$3144,A104,Applications!$H$2:$H$3144,"Yes")&gt;0,"Yes","No")</f>
        <v>Yes</v>
      </c>
      <c r="P104" s="32" t="n">
        <f aca="false">SUMIFS(Applications!$G$2:$G$3144,Applications!$B$2:$B$3144,A104,Applications!$H$2:$H$3144,"Yes")</f>
        <v>13.7</v>
      </c>
      <c r="Q104" s="21" t="str">
        <f aca="false">IF(O104="Yes",INDEX(Companies!$B$2:$B$31,MATCH(INDEX(Applications!$C$2:$C$3144,MATCH(A104,Applications!$P$2:$P$3144,0)),Companies!$A$2:$A$31,0)),"-")</f>
        <v>InsightWorks</v>
      </c>
    </row>
    <row r="105" customFormat="false" ht="15" hidden="false" customHeight="false" outlineLevel="0" collapsed="false">
      <c r="A105" s="21" t="s">
        <v>315</v>
      </c>
      <c r="B105" s="21" t="s">
        <v>316</v>
      </c>
      <c r="C105" s="21" t="s">
        <v>112</v>
      </c>
      <c r="D105" s="21" t="s">
        <v>67</v>
      </c>
      <c r="E105" s="21" t="s">
        <v>92</v>
      </c>
      <c r="F105" s="21" t="n">
        <v>8.09</v>
      </c>
      <c r="G105" s="21" t="n">
        <v>344</v>
      </c>
      <c r="H105" s="21" t="n">
        <v>4</v>
      </c>
      <c r="I105" s="21" t="s">
        <v>120</v>
      </c>
      <c r="J105" s="21" t="n">
        <v>84</v>
      </c>
      <c r="K105" s="32" t="n">
        <f aca="false">ROUND(Assumptions!$B$4*MIN(G105/Assumptions!$B$11,1)*100+Assumptions!$B$5*F105/10*100+Assumptions!$B$6*MIN(H105/Assumptions!$B$12,1)*100+Assumptions!$B$7*J105+Assumptions!$B$8*IF(I105="Yes",100,0),1)</f>
        <v>79.6</v>
      </c>
      <c r="L105" s="21" t="str">
        <f aca="false">LOOKUP(K105,Assumptions!$D$4:$D$7,Assumptions!$E$4:$E$7)</f>
        <v>Job-Ready</v>
      </c>
      <c r="M105" s="21" t="n">
        <f aca="false">COUNTIFS(Applications!$B$2:$B$3144,A105)</f>
        <v>7</v>
      </c>
      <c r="N105" s="21" t="n">
        <f aca="false">COUNTIFS(Applications!$B$2:$B$3144,A105,Applications!$F$2:$F$3144,"Offered")</f>
        <v>2</v>
      </c>
      <c r="O105" s="21" t="str">
        <f aca="false">IF(COUNTIFS(Applications!$B$2:$B$3144,A105,Applications!$H$2:$H$3144,"Yes")&gt;0,"Yes","No")</f>
        <v>Yes</v>
      </c>
      <c r="P105" s="32" t="n">
        <f aca="false">SUMIFS(Applications!$G$2:$G$3144,Applications!$B$2:$B$3144,A105,Applications!$H$2:$H$3144,"Yes")</f>
        <v>13</v>
      </c>
      <c r="Q105" s="21" t="str">
        <f aca="false">IF(O105="Yes",INDEX(Companies!$B$2:$B$31,MATCH(INDEX(Applications!$C$2:$C$3144,MATCH(A105,Applications!$P$2:$P$3144,0)),Companies!$A$2:$A$31,0)),"-")</f>
        <v>InsightWorks</v>
      </c>
    </row>
    <row r="106" customFormat="false" ht="15" hidden="false" customHeight="false" outlineLevel="0" collapsed="false">
      <c r="A106" s="21" t="s">
        <v>317</v>
      </c>
      <c r="B106" s="21" t="s">
        <v>318</v>
      </c>
      <c r="C106" s="21" t="s">
        <v>112</v>
      </c>
      <c r="D106" s="21" t="s">
        <v>65</v>
      </c>
      <c r="E106" s="21" t="s">
        <v>92</v>
      </c>
      <c r="F106" s="21" t="n">
        <v>5.55</v>
      </c>
      <c r="G106" s="21" t="n">
        <v>45</v>
      </c>
      <c r="H106" s="21" t="n">
        <v>0</v>
      </c>
      <c r="I106" s="21" t="s">
        <v>113</v>
      </c>
      <c r="J106" s="21" t="n">
        <v>43</v>
      </c>
      <c r="K106" s="32" t="n">
        <f aca="false">ROUND(Assumptions!$B$4*MIN(G106/Assumptions!$B$11,1)*100+Assumptions!$B$5*F106/10*100+Assumptions!$B$6*MIN(H106/Assumptions!$B$12,1)*100+Assumptions!$B$7*J106+Assumptions!$B$8*IF(I106="Yes",100,0),1)</f>
        <v>22.4</v>
      </c>
      <c r="L106" s="21" t="str">
        <f aca="false">LOOKUP(K106,Assumptions!$D$4:$D$7,Assumptions!$E$4:$E$7)</f>
        <v>Foundation</v>
      </c>
      <c r="M106" s="21" t="n">
        <f aca="false">COUNTIFS(Applications!$B$2:$B$3144,A106)</f>
        <v>3</v>
      </c>
      <c r="N106" s="21" t="n">
        <f aca="false">COUNTIFS(Applications!$B$2:$B$3144,A106,Applications!$F$2:$F$3144,"Offered")</f>
        <v>0</v>
      </c>
      <c r="O106" s="21" t="str">
        <f aca="false">IF(COUNTIFS(Applications!$B$2:$B$3144,A106,Applications!$H$2:$H$3144,"Yes")&gt;0,"Yes","No")</f>
        <v>No</v>
      </c>
      <c r="P106" s="32" t="n">
        <f aca="false">SUMIFS(Applications!$G$2:$G$3144,Applications!$B$2:$B$3144,A106,Applications!$H$2:$H$3144,"Yes")</f>
        <v>0</v>
      </c>
      <c r="Q106" s="21" t="str">
        <f aca="false">IF(O106="Yes",INDEX(Companies!$B$2:$B$31,MATCH(INDEX(Applications!$C$2:$C$3144,MATCH(A106,Applications!$P$2:$P$3144,0)),Companies!$A$2:$A$31,0)),"-")</f>
        <v>-</v>
      </c>
    </row>
    <row r="107" customFormat="false" ht="15" hidden="false" customHeight="false" outlineLevel="0" collapsed="false">
      <c r="A107" s="21" t="s">
        <v>319</v>
      </c>
      <c r="B107" s="21" t="s">
        <v>320</v>
      </c>
      <c r="C107" s="21" t="s">
        <v>112</v>
      </c>
      <c r="D107" s="21" t="s">
        <v>64</v>
      </c>
      <c r="E107" s="21" t="s">
        <v>91</v>
      </c>
      <c r="F107" s="21" t="n">
        <v>7.65</v>
      </c>
      <c r="G107" s="21" t="n">
        <v>375</v>
      </c>
      <c r="H107" s="21" t="n">
        <v>6</v>
      </c>
      <c r="I107" s="21" t="s">
        <v>113</v>
      </c>
      <c r="J107" s="21" t="n">
        <v>32</v>
      </c>
      <c r="K107" s="32" t="n">
        <f aca="false">ROUND(Assumptions!$B$4*MIN(G107/Assumptions!$B$11,1)*100+Assumptions!$B$5*F107/10*100+Assumptions!$B$6*MIN(H107/Assumptions!$B$12,1)*100+Assumptions!$B$7*J107+Assumptions!$B$8*IF(I107="Yes",100,0),1)</f>
        <v>64.2</v>
      </c>
      <c r="L107" s="21" t="str">
        <f aca="false">LOOKUP(K107,Assumptions!$D$4:$D$7,Assumptions!$E$4:$E$7)</f>
        <v>Developing</v>
      </c>
      <c r="M107" s="21" t="n">
        <f aca="false">COUNTIFS(Applications!$B$2:$B$3144,A107)</f>
        <v>6</v>
      </c>
      <c r="N107" s="21" t="n">
        <f aca="false">COUNTIFS(Applications!$B$2:$B$3144,A107,Applications!$F$2:$F$3144,"Offered")</f>
        <v>0</v>
      </c>
      <c r="O107" s="21" t="str">
        <f aca="false">IF(COUNTIFS(Applications!$B$2:$B$3144,A107,Applications!$H$2:$H$3144,"Yes")&gt;0,"Yes","No")</f>
        <v>No</v>
      </c>
      <c r="P107" s="32" t="n">
        <f aca="false">SUMIFS(Applications!$G$2:$G$3144,Applications!$B$2:$B$3144,A107,Applications!$H$2:$H$3144,"Yes")</f>
        <v>0</v>
      </c>
      <c r="Q107" s="21" t="str">
        <f aca="false">IF(O107="Yes",INDEX(Companies!$B$2:$B$31,MATCH(INDEX(Applications!$C$2:$C$3144,MATCH(A107,Applications!$P$2:$P$3144,0)),Companies!$A$2:$A$31,0)),"-")</f>
        <v>-</v>
      </c>
    </row>
    <row r="108" customFormat="false" ht="15" hidden="false" customHeight="false" outlineLevel="0" collapsed="false">
      <c r="A108" s="21" t="s">
        <v>321</v>
      </c>
      <c r="B108" s="21" t="s">
        <v>322</v>
      </c>
      <c r="C108" s="21" t="s">
        <v>112</v>
      </c>
      <c r="D108" s="21" t="s">
        <v>64</v>
      </c>
      <c r="E108" s="21" t="s">
        <v>91</v>
      </c>
      <c r="F108" s="21" t="n">
        <v>5.27</v>
      </c>
      <c r="G108" s="21" t="n">
        <v>269</v>
      </c>
      <c r="H108" s="21" t="n">
        <v>2</v>
      </c>
      <c r="I108" s="21" t="s">
        <v>113</v>
      </c>
      <c r="J108" s="21" t="n">
        <v>52</v>
      </c>
      <c r="K108" s="32" t="n">
        <f aca="false">ROUND(Assumptions!$B$4*MIN(G108/Assumptions!$B$11,1)*100+Assumptions!$B$5*F108/10*100+Assumptions!$B$6*MIN(H108/Assumptions!$B$12,1)*100+Assumptions!$B$7*J108+Assumptions!$B$8*IF(I108="Yes",100,0),1)</f>
        <v>45.1</v>
      </c>
      <c r="L108" s="21" t="str">
        <f aca="false">LOOKUP(K108,Assumptions!$D$4:$D$7,Assumptions!$E$4:$E$7)</f>
        <v>Foundation</v>
      </c>
      <c r="M108" s="21" t="n">
        <f aca="false">COUNTIFS(Applications!$B$2:$B$3144,A108)</f>
        <v>7</v>
      </c>
      <c r="N108" s="21" t="n">
        <f aca="false">COUNTIFS(Applications!$B$2:$B$3144,A108,Applications!$F$2:$F$3144,"Offered")</f>
        <v>1</v>
      </c>
      <c r="O108" s="21" t="str">
        <f aca="false">IF(COUNTIFS(Applications!$B$2:$B$3144,A108,Applications!$H$2:$H$3144,"Yes")&gt;0,"Yes","No")</f>
        <v>Yes</v>
      </c>
      <c r="P108" s="32" t="n">
        <f aca="false">SUMIFS(Applications!$G$2:$G$3144,Applications!$B$2:$B$3144,A108,Applications!$H$2:$H$3144,"Yes")</f>
        <v>5.6</v>
      </c>
      <c r="Q108" s="21" t="str">
        <f aca="false">IF(O108="Yes",INDEX(Companies!$B$2:$B$31,MATCH(INDEX(Applications!$C$2:$C$3144,MATCH(A108,Applications!$P$2:$P$3144,0)),Companies!$A$2:$A$31,0)),"-")</f>
        <v>TechBridge Consulting</v>
      </c>
    </row>
    <row r="109" customFormat="false" ht="15" hidden="false" customHeight="false" outlineLevel="0" collapsed="false">
      <c r="A109" s="21" t="s">
        <v>323</v>
      </c>
      <c r="B109" s="21" t="s">
        <v>324</v>
      </c>
      <c r="C109" s="21" t="s">
        <v>112</v>
      </c>
      <c r="D109" s="21" t="s">
        <v>66</v>
      </c>
      <c r="E109" s="21" t="s">
        <v>92</v>
      </c>
      <c r="F109" s="21" t="n">
        <v>7.32</v>
      </c>
      <c r="G109" s="21" t="n">
        <v>288</v>
      </c>
      <c r="H109" s="21" t="n">
        <v>3</v>
      </c>
      <c r="I109" s="21" t="s">
        <v>113</v>
      </c>
      <c r="J109" s="21" t="n">
        <v>65</v>
      </c>
      <c r="K109" s="32" t="n">
        <f aca="false">ROUND(Assumptions!$B$4*MIN(G109/Assumptions!$B$11,1)*100+Assumptions!$B$5*F109/10*100+Assumptions!$B$6*MIN(H109/Assumptions!$B$12,1)*100+Assumptions!$B$7*J109+Assumptions!$B$8*IF(I109="Yes",100,0),1)</f>
        <v>56.9</v>
      </c>
      <c r="L109" s="21" t="str">
        <f aca="false">LOOKUP(K109,Assumptions!$D$4:$D$7,Assumptions!$E$4:$E$7)</f>
        <v>Developing</v>
      </c>
      <c r="M109" s="21" t="n">
        <f aca="false">COUNTIFS(Applications!$B$2:$B$3144,A109)</f>
        <v>6</v>
      </c>
      <c r="N109" s="21" t="n">
        <f aca="false">COUNTIFS(Applications!$B$2:$B$3144,A109,Applications!$F$2:$F$3144,"Offered")</f>
        <v>2</v>
      </c>
      <c r="O109" s="21" t="str">
        <f aca="false">IF(COUNTIFS(Applications!$B$2:$B$3144,A109,Applications!$H$2:$H$3144,"Yes")&gt;0,"Yes","No")</f>
        <v>Yes</v>
      </c>
      <c r="P109" s="32" t="n">
        <f aca="false">SUMIFS(Applications!$G$2:$G$3144,Applications!$B$2:$B$3144,A109,Applications!$H$2:$H$3144,"Yes")</f>
        <v>5.8</v>
      </c>
      <c r="Q109" s="21" t="str">
        <f aca="false">IF(O109="Yes",INDEX(Companies!$B$2:$B$31,MATCH(INDEX(Applications!$C$2:$C$3144,MATCH(A109,Applications!$P$2:$P$3144,0)),Companies!$A$2:$A$31,0)),"-")</f>
        <v>RetailRocket</v>
      </c>
    </row>
    <row r="110" customFormat="false" ht="15" hidden="false" customHeight="false" outlineLevel="0" collapsed="false">
      <c r="A110" s="21" t="s">
        <v>325</v>
      </c>
      <c r="B110" s="21" t="s">
        <v>326</v>
      </c>
      <c r="C110" s="21" t="s">
        <v>112</v>
      </c>
      <c r="D110" s="21" t="s">
        <v>66</v>
      </c>
      <c r="E110" s="21" t="s">
        <v>90</v>
      </c>
      <c r="F110" s="21" t="n">
        <v>7.39</v>
      </c>
      <c r="G110" s="21" t="n">
        <v>343</v>
      </c>
      <c r="H110" s="21" t="n">
        <v>3</v>
      </c>
      <c r="I110" s="21" t="s">
        <v>113</v>
      </c>
      <c r="J110" s="21" t="n">
        <v>68</v>
      </c>
      <c r="K110" s="32" t="n">
        <f aca="false">ROUND(Assumptions!$B$4*MIN(G110/Assumptions!$B$11,1)*100+Assumptions!$B$5*F110/10*100+Assumptions!$B$6*MIN(H110/Assumptions!$B$12,1)*100+Assumptions!$B$7*J110+Assumptions!$B$8*IF(I110="Yes",100,0),1)</f>
        <v>61</v>
      </c>
      <c r="L110" s="21" t="str">
        <f aca="false">LOOKUP(K110,Assumptions!$D$4:$D$7,Assumptions!$E$4:$E$7)</f>
        <v>Developing</v>
      </c>
      <c r="M110" s="21" t="n">
        <f aca="false">COUNTIFS(Applications!$B$2:$B$3144,A110)</f>
        <v>3</v>
      </c>
      <c r="N110" s="21" t="n">
        <f aca="false">COUNTIFS(Applications!$B$2:$B$3144,A110,Applications!$F$2:$F$3144,"Offered")</f>
        <v>1</v>
      </c>
      <c r="O110" s="21" t="str">
        <f aca="false">IF(COUNTIFS(Applications!$B$2:$B$3144,A110,Applications!$H$2:$H$3144,"Yes")&gt;0,"Yes","No")</f>
        <v>Yes</v>
      </c>
      <c r="P110" s="32" t="n">
        <f aca="false">SUMIFS(Applications!$G$2:$G$3144,Applications!$B$2:$B$3144,A110,Applications!$H$2:$H$3144,"Yes")</f>
        <v>4.5</v>
      </c>
      <c r="Q110" s="21" t="str">
        <f aca="false">IF(O110="Yes",INDEX(Companies!$B$2:$B$31,MATCH(INDEX(Applications!$C$2:$C$3144,MATCH(A110,Applications!$P$2:$P$3144,0)),Companies!$A$2:$A$31,0)),"-")</f>
        <v>Metro Systems</v>
      </c>
    </row>
    <row r="111" customFormat="false" ht="15" hidden="false" customHeight="false" outlineLevel="0" collapsed="false">
      <c r="A111" s="21" t="s">
        <v>327</v>
      </c>
      <c r="B111" s="21" t="s">
        <v>126</v>
      </c>
      <c r="C111" s="21" t="s">
        <v>112</v>
      </c>
      <c r="D111" s="21" t="s">
        <v>64</v>
      </c>
      <c r="E111" s="21" t="s">
        <v>91</v>
      </c>
      <c r="F111" s="21" t="n">
        <v>6.78</v>
      </c>
      <c r="G111" s="21" t="n">
        <v>591</v>
      </c>
      <c r="H111" s="21" t="n">
        <v>3</v>
      </c>
      <c r="I111" s="21" t="s">
        <v>113</v>
      </c>
      <c r="J111" s="21" t="n">
        <v>74</v>
      </c>
      <c r="K111" s="32" t="n">
        <f aca="false">ROUND(Assumptions!$B$4*MIN(G111/Assumptions!$B$11,1)*100+Assumptions!$B$5*F111/10*100+Assumptions!$B$6*MIN(H111/Assumptions!$B$12,1)*100+Assumptions!$B$7*J111+Assumptions!$B$8*IF(I111="Yes",100,0),1)</f>
        <v>70.4</v>
      </c>
      <c r="L111" s="21" t="str">
        <f aca="false">LOOKUP(K111,Assumptions!$D$4:$D$7,Assumptions!$E$4:$E$7)</f>
        <v>Job-Ready</v>
      </c>
      <c r="M111" s="21" t="n">
        <f aca="false">COUNTIFS(Applications!$B$2:$B$3144,A111)</f>
        <v>6</v>
      </c>
      <c r="N111" s="21" t="n">
        <f aca="false">COUNTIFS(Applications!$B$2:$B$3144,A111,Applications!$F$2:$F$3144,"Offered")</f>
        <v>2</v>
      </c>
      <c r="O111" s="21" t="str">
        <f aca="false">IF(COUNTIFS(Applications!$B$2:$B$3144,A111,Applications!$H$2:$H$3144,"Yes")&gt;0,"Yes","No")</f>
        <v>Yes</v>
      </c>
      <c r="P111" s="32" t="n">
        <f aca="false">SUMIFS(Applications!$G$2:$G$3144,Applications!$B$2:$B$3144,A111,Applications!$H$2:$H$3144,"Yes")</f>
        <v>10.7</v>
      </c>
      <c r="Q111" s="21" t="str">
        <f aca="false">IF(O111="Yes",INDEX(Companies!$B$2:$B$31,MATCH(INDEX(Applications!$C$2:$C$3144,MATCH(A111,Applications!$P$2:$P$3144,0)),Companies!$A$2:$A$31,0)),"-")</f>
        <v>MediSphere</v>
      </c>
    </row>
    <row r="112" customFormat="false" ht="15" hidden="false" customHeight="false" outlineLevel="0" collapsed="false">
      <c r="A112" s="21" t="s">
        <v>328</v>
      </c>
      <c r="B112" s="21" t="s">
        <v>329</v>
      </c>
      <c r="C112" s="21" t="s">
        <v>112</v>
      </c>
      <c r="D112" s="21" t="s">
        <v>63</v>
      </c>
      <c r="E112" s="21" t="s">
        <v>92</v>
      </c>
      <c r="F112" s="21" t="n">
        <v>6.34</v>
      </c>
      <c r="G112" s="21" t="n">
        <v>263</v>
      </c>
      <c r="H112" s="21" t="n">
        <v>4</v>
      </c>
      <c r="I112" s="21" t="s">
        <v>113</v>
      </c>
      <c r="J112" s="21" t="n">
        <v>74</v>
      </c>
      <c r="K112" s="32" t="n">
        <f aca="false">ROUND(Assumptions!$B$4*MIN(G112/Assumptions!$B$11,1)*100+Assumptions!$B$5*F112/10*100+Assumptions!$B$6*MIN(H112/Assumptions!$B$12,1)*100+Assumptions!$B$7*J112+Assumptions!$B$8*IF(I112="Yes",100,0),1)</f>
        <v>59.3</v>
      </c>
      <c r="L112" s="21" t="str">
        <f aca="false">LOOKUP(K112,Assumptions!$D$4:$D$7,Assumptions!$E$4:$E$7)</f>
        <v>Developing</v>
      </c>
      <c r="M112" s="21" t="n">
        <f aca="false">COUNTIFS(Applications!$B$2:$B$3144,A112)</f>
        <v>5</v>
      </c>
      <c r="N112" s="21" t="n">
        <f aca="false">COUNTIFS(Applications!$B$2:$B$3144,A112,Applications!$F$2:$F$3144,"Offered")</f>
        <v>1</v>
      </c>
      <c r="O112" s="21" t="str">
        <f aca="false">IF(COUNTIFS(Applications!$B$2:$B$3144,A112,Applications!$H$2:$H$3144,"Yes")&gt;0,"Yes","No")</f>
        <v>Yes</v>
      </c>
      <c r="P112" s="32" t="n">
        <f aca="false">SUMIFS(Applications!$G$2:$G$3144,Applications!$B$2:$B$3144,A112,Applications!$H$2:$H$3144,"Yes")</f>
        <v>4.7</v>
      </c>
      <c r="Q112" s="21" t="str">
        <f aca="false">IF(O112="Yes",INDEX(Companies!$B$2:$B$31,MATCH(INDEX(Applications!$C$2:$C$3144,MATCH(A112,Applications!$P$2:$P$3144,0)),Companies!$A$2:$A$31,0)),"-")</f>
        <v>CodeCrest Solutions</v>
      </c>
    </row>
    <row r="113" customFormat="false" ht="15" hidden="false" customHeight="false" outlineLevel="0" collapsed="false">
      <c r="A113" s="21" t="s">
        <v>330</v>
      </c>
      <c r="B113" s="21" t="s">
        <v>331</v>
      </c>
      <c r="C113" s="21" t="s">
        <v>112</v>
      </c>
      <c r="D113" s="21" t="s">
        <v>63</v>
      </c>
      <c r="E113" s="21" t="s">
        <v>90</v>
      </c>
      <c r="F113" s="21" t="n">
        <v>7.84</v>
      </c>
      <c r="G113" s="21" t="n">
        <v>114</v>
      </c>
      <c r="H113" s="21" t="n">
        <v>8</v>
      </c>
      <c r="I113" s="21" t="s">
        <v>113</v>
      </c>
      <c r="J113" s="21" t="n">
        <v>66</v>
      </c>
      <c r="K113" s="32" t="n">
        <f aca="false">ROUND(Assumptions!$B$4*MIN(G113/Assumptions!$B$11,1)*100+Assumptions!$B$5*F113/10*100+Assumptions!$B$6*MIN(H113/Assumptions!$B$12,1)*100+Assumptions!$B$7*J113+Assumptions!$B$8*IF(I113="Yes",100,0),1)</f>
        <v>55.7</v>
      </c>
      <c r="L113" s="21" t="str">
        <f aca="false">LOOKUP(K113,Assumptions!$D$4:$D$7,Assumptions!$E$4:$E$7)</f>
        <v>Developing</v>
      </c>
      <c r="M113" s="21" t="n">
        <f aca="false">COUNTIFS(Applications!$B$2:$B$3144,A113)</f>
        <v>4</v>
      </c>
      <c r="N113" s="21" t="n">
        <f aca="false">COUNTIFS(Applications!$B$2:$B$3144,A113,Applications!$F$2:$F$3144,"Offered")</f>
        <v>1</v>
      </c>
      <c r="O113" s="21" t="str">
        <f aca="false">IF(COUNTIFS(Applications!$B$2:$B$3144,A113,Applications!$H$2:$H$3144,"Yes")&gt;0,"Yes","No")</f>
        <v>Yes</v>
      </c>
      <c r="P113" s="32" t="n">
        <f aca="false">SUMIFS(Applications!$G$2:$G$3144,Applications!$B$2:$B$3144,A113,Applications!$H$2:$H$3144,"Yes")</f>
        <v>4.8</v>
      </c>
      <c r="Q113" s="21" t="str">
        <f aca="false">IF(O113="Yes",INDEX(Companies!$B$2:$B$31,MATCH(INDEX(Applications!$C$2:$C$3144,MATCH(A113,Applications!$P$2:$P$3144,0)),Companies!$A$2:$A$31,0)),"-")</f>
        <v>Sapphire Infotech</v>
      </c>
    </row>
    <row r="114" customFormat="false" ht="15" hidden="false" customHeight="false" outlineLevel="0" collapsed="false">
      <c r="A114" s="21" t="s">
        <v>332</v>
      </c>
      <c r="B114" s="21" t="s">
        <v>333</v>
      </c>
      <c r="C114" s="21" t="s">
        <v>112</v>
      </c>
      <c r="D114" s="21" t="s">
        <v>63</v>
      </c>
      <c r="E114" s="21" t="s">
        <v>91</v>
      </c>
      <c r="F114" s="21" t="n">
        <v>7.21</v>
      </c>
      <c r="G114" s="21" t="n">
        <v>201</v>
      </c>
      <c r="H114" s="21" t="n">
        <v>1</v>
      </c>
      <c r="I114" s="21" t="s">
        <v>120</v>
      </c>
      <c r="J114" s="21" t="n">
        <v>66</v>
      </c>
      <c r="K114" s="32" t="n">
        <f aca="false">ROUND(Assumptions!$B$4*MIN(G114/Assumptions!$B$11,1)*100+Assumptions!$B$5*F114/10*100+Assumptions!$B$6*MIN(H114/Assumptions!$B$12,1)*100+Assumptions!$B$7*J114+Assumptions!$B$8*IF(I114="Yes",100,0),1)</f>
        <v>53.7</v>
      </c>
      <c r="L114" s="21" t="str">
        <f aca="false">LOOKUP(K114,Assumptions!$D$4:$D$7,Assumptions!$E$4:$E$7)</f>
        <v>Developing</v>
      </c>
      <c r="M114" s="21" t="n">
        <f aca="false">COUNTIFS(Applications!$B$2:$B$3144,A114)</f>
        <v>5</v>
      </c>
      <c r="N114" s="21" t="n">
        <f aca="false">COUNTIFS(Applications!$B$2:$B$3144,A114,Applications!$F$2:$F$3144,"Offered")</f>
        <v>1</v>
      </c>
      <c r="O114" s="21" t="str">
        <f aca="false">IF(COUNTIFS(Applications!$B$2:$B$3144,A114,Applications!$H$2:$H$3144,"Yes")&gt;0,"Yes","No")</f>
        <v>Yes</v>
      </c>
      <c r="P114" s="32" t="n">
        <f aca="false">SUMIFS(Applications!$G$2:$G$3144,Applications!$B$2:$B$3144,A114,Applications!$H$2:$H$3144,"Yes")</f>
        <v>5.5</v>
      </c>
      <c r="Q114" s="21" t="str">
        <f aca="false">IF(O114="Yes",INDEX(Companies!$B$2:$B$31,MATCH(INDEX(Applications!$C$2:$C$3144,MATCH(A114,Applications!$P$2:$P$3144,0)),Companies!$A$2:$A$31,0)),"-")</f>
        <v>TechBridge Consulting</v>
      </c>
    </row>
    <row r="115" customFormat="false" ht="15" hidden="false" customHeight="false" outlineLevel="0" collapsed="false">
      <c r="A115" s="21" t="s">
        <v>334</v>
      </c>
      <c r="B115" s="21" t="s">
        <v>335</v>
      </c>
      <c r="C115" s="21" t="s">
        <v>112</v>
      </c>
      <c r="D115" s="21" t="s">
        <v>66</v>
      </c>
      <c r="E115" s="21" t="s">
        <v>91</v>
      </c>
      <c r="F115" s="21" t="n">
        <v>7.01</v>
      </c>
      <c r="G115" s="21" t="n">
        <v>300</v>
      </c>
      <c r="H115" s="21" t="n">
        <v>5</v>
      </c>
      <c r="I115" s="21" t="s">
        <v>120</v>
      </c>
      <c r="J115" s="21" t="n">
        <v>59</v>
      </c>
      <c r="K115" s="32" t="n">
        <f aca="false">ROUND(Assumptions!$B$4*MIN(G115/Assumptions!$B$11,1)*100+Assumptions!$B$5*F115/10*100+Assumptions!$B$6*MIN(H115/Assumptions!$B$12,1)*100+Assumptions!$B$7*J115+Assumptions!$B$8*IF(I115="Yes",100,0),1)</f>
        <v>73.8</v>
      </c>
      <c r="L115" s="21" t="str">
        <f aca="false">LOOKUP(K115,Assumptions!$D$4:$D$7,Assumptions!$E$4:$E$7)</f>
        <v>Job-Ready</v>
      </c>
      <c r="M115" s="21" t="n">
        <f aca="false">COUNTIFS(Applications!$B$2:$B$3144,A115)</f>
        <v>10</v>
      </c>
      <c r="N115" s="21" t="n">
        <f aca="false">COUNTIFS(Applications!$B$2:$B$3144,A115,Applications!$F$2:$F$3144,"Offered")</f>
        <v>4</v>
      </c>
      <c r="O115" s="21" t="str">
        <f aca="false">IF(COUNTIFS(Applications!$B$2:$B$3144,A115,Applications!$H$2:$H$3144,"Yes")&gt;0,"Yes","No")</f>
        <v>Yes</v>
      </c>
      <c r="P115" s="32" t="n">
        <f aca="false">SUMIFS(Applications!$G$2:$G$3144,Applications!$B$2:$B$3144,A115,Applications!$H$2:$H$3144,"Yes")</f>
        <v>14.6</v>
      </c>
      <c r="Q115" s="21" t="str">
        <f aca="false">IF(O115="Yes",INDEX(Companies!$B$2:$B$31,MATCH(INDEX(Applications!$C$2:$C$3144,MATCH(A115,Applications!$P$2:$P$3144,0)),Companies!$A$2:$A$31,0)),"-")</f>
        <v>DataBridge Analytics</v>
      </c>
    </row>
    <row r="116" customFormat="false" ht="15" hidden="false" customHeight="false" outlineLevel="0" collapsed="false">
      <c r="A116" s="21" t="s">
        <v>336</v>
      </c>
      <c r="B116" s="21" t="s">
        <v>263</v>
      </c>
      <c r="C116" s="21" t="s">
        <v>112</v>
      </c>
      <c r="D116" s="21" t="s">
        <v>67</v>
      </c>
      <c r="E116" s="21" t="s">
        <v>91</v>
      </c>
      <c r="F116" s="21" t="n">
        <v>7.73</v>
      </c>
      <c r="G116" s="21" t="n">
        <v>354</v>
      </c>
      <c r="H116" s="21" t="n">
        <v>5</v>
      </c>
      <c r="I116" s="21" t="s">
        <v>120</v>
      </c>
      <c r="J116" s="21" t="n">
        <v>93</v>
      </c>
      <c r="K116" s="32" t="n">
        <f aca="false">ROUND(Assumptions!$B$4*MIN(G116/Assumptions!$B$11,1)*100+Assumptions!$B$5*F116/10*100+Assumptions!$B$6*MIN(H116/Assumptions!$B$12,1)*100+Assumptions!$B$7*J116+Assumptions!$B$8*IF(I116="Yes",100,0),1)</f>
        <v>85.3</v>
      </c>
      <c r="L116" s="21" t="str">
        <f aca="false">LOOKUP(K116,Assumptions!$D$4:$D$7,Assumptions!$E$4:$E$7)</f>
        <v>Elite</v>
      </c>
      <c r="M116" s="21" t="n">
        <f aca="false">COUNTIFS(Applications!$B$2:$B$3144,A116)</f>
        <v>9</v>
      </c>
      <c r="N116" s="21" t="n">
        <f aca="false">COUNTIFS(Applications!$B$2:$B$3144,A116,Applications!$F$2:$F$3144,"Offered")</f>
        <v>6</v>
      </c>
      <c r="O116" s="21" t="str">
        <f aca="false">IF(COUNTIFS(Applications!$B$2:$B$3144,A116,Applications!$H$2:$H$3144,"Yes")&gt;0,"Yes","No")</f>
        <v>Yes</v>
      </c>
      <c r="P116" s="32" t="n">
        <f aca="false">SUMIFS(Applications!$G$2:$G$3144,Applications!$B$2:$B$3144,A116,Applications!$H$2:$H$3144,"Yes")</f>
        <v>26.1</v>
      </c>
      <c r="Q116" s="21" t="str">
        <f aca="false">IF(O116="Yes",INDEX(Companies!$B$2:$B$31,MATCH(INDEX(Applications!$C$2:$C$3144,MATCH(A116,Applications!$P$2:$P$3144,0)),Companies!$A$2:$A$31,0)),"-")</f>
        <v>Nimbus Cloud Systems</v>
      </c>
    </row>
    <row r="117" customFormat="false" ht="15" hidden="false" customHeight="false" outlineLevel="0" collapsed="false">
      <c r="A117" s="21" t="s">
        <v>337</v>
      </c>
      <c r="B117" s="21" t="s">
        <v>338</v>
      </c>
      <c r="C117" s="21" t="s">
        <v>112</v>
      </c>
      <c r="D117" s="21" t="s">
        <v>66</v>
      </c>
      <c r="E117" s="21" t="s">
        <v>91</v>
      </c>
      <c r="F117" s="21" t="n">
        <v>7.3</v>
      </c>
      <c r="G117" s="21" t="n">
        <v>213</v>
      </c>
      <c r="H117" s="21" t="n">
        <v>4</v>
      </c>
      <c r="I117" s="21" t="s">
        <v>113</v>
      </c>
      <c r="J117" s="21" t="n">
        <v>72</v>
      </c>
      <c r="K117" s="32" t="n">
        <f aca="false">ROUND(Assumptions!$B$4*MIN(G117/Assumptions!$B$11,1)*100+Assumptions!$B$5*F117/10*100+Assumptions!$B$6*MIN(H117/Assumptions!$B$12,1)*100+Assumptions!$B$7*J117+Assumptions!$B$8*IF(I117="Yes",100,0),1)</f>
        <v>57.8</v>
      </c>
      <c r="L117" s="21" t="str">
        <f aca="false">LOOKUP(K117,Assumptions!$D$4:$D$7,Assumptions!$E$4:$E$7)</f>
        <v>Developing</v>
      </c>
      <c r="M117" s="21" t="n">
        <f aca="false">COUNTIFS(Applications!$B$2:$B$3144,A117)</f>
        <v>5</v>
      </c>
      <c r="N117" s="21" t="n">
        <f aca="false">COUNTIFS(Applications!$B$2:$B$3144,A117,Applications!$F$2:$F$3144,"Offered")</f>
        <v>2</v>
      </c>
      <c r="O117" s="21" t="str">
        <f aca="false">IF(COUNTIFS(Applications!$B$2:$B$3144,A117,Applications!$H$2:$H$3144,"Yes")&gt;0,"Yes","No")</f>
        <v>Yes</v>
      </c>
      <c r="P117" s="32" t="n">
        <f aca="false">SUMIFS(Applications!$G$2:$G$3144,Applications!$B$2:$B$3144,A117,Applications!$H$2:$H$3144,"Yes")</f>
        <v>7.9</v>
      </c>
      <c r="Q117" s="21" t="str">
        <f aca="false">IF(O117="Yes",INDEX(Companies!$B$2:$B$31,MATCH(INDEX(Applications!$C$2:$C$3144,MATCH(A117,Applications!$P$2:$P$3144,0)),Companies!$A$2:$A$31,0)),"-")</f>
        <v>CyberNest</v>
      </c>
    </row>
    <row r="118" customFormat="false" ht="15" hidden="false" customHeight="false" outlineLevel="0" collapsed="false">
      <c r="A118" s="21" t="s">
        <v>339</v>
      </c>
      <c r="B118" s="21" t="s">
        <v>340</v>
      </c>
      <c r="C118" s="21" t="s">
        <v>112</v>
      </c>
      <c r="D118" s="21" t="s">
        <v>63</v>
      </c>
      <c r="E118" s="21" t="s">
        <v>90</v>
      </c>
      <c r="F118" s="21" t="n">
        <v>6.03</v>
      </c>
      <c r="G118" s="21" t="n">
        <v>248</v>
      </c>
      <c r="H118" s="21" t="n">
        <v>5</v>
      </c>
      <c r="I118" s="21" t="s">
        <v>113</v>
      </c>
      <c r="J118" s="21" t="n">
        <v>82</v>
      </c>
      <c r="K118" s="32" t="n">
        <f aca="false">ROUND(Assumptions!$B$4*MIN(G118/Assumptions!$B$11,1)*100+Assumptions!$B$5*F118/10*100+Assumptions!$B$6*MIN(H118/Assumptions!$B$12,1)*100+Assumptions!$B$7*J118+Assumptions!$B$8*IF(I118="Yes",100,0),1)</f>
        <v>63.3</v>
      </c>
      <c r="L118" s="21" t="str">
        <f aca="false">LOOKUP(K118,Assumptions!$D$4:$D$7,Assumptions!$E$4:$E$7)</f>
        <v>Developing</v>
      </c>
      <c r="M118" s="21" t="n">
        <f aca="false">COUNTIFS(Applications!$B$2:$B$3144,A118)</f>
        <v>11</v>
      </c>
      <c r="N118" s="21" t="n">
        <f aca="false">COUNTIFS(Applications!$B$2:$B$3144,A118,Applications!$F$2:$F$3144,"Offered")</f>
        <v>3</v>
      </c>
      <c r="O118" s="21" t="str">
        <f aca="false">IF(COUNTIFS(Applications!$B$2:$B$3144,A118,Applications!$H$2:$H$3144,"Yes")&gt;0,"Yes","No")</f>
        <v>Yes</v>
      </c>
      <c r="P118" s="32" t="n">
        <f aca="false">SUMIFS(Applications!$G$2:$G$3144,Applications!$B$2:$B$3144,A118,Applications!$H$2:$H$3144,"Yes")</f>
        <v>6.9</v>
      </c>
      <c r="Q118" s="21" t="str">
        <f aca="false">IF(O118="Yes",INDEX(Companies!$B$2:$B$31,MATCH(INDEX(Applications!$C$2:$C$3144,MATCH(A118,Applications!$P$2:$P$3144,0)),Companies!$A$2:$A$31,0)),"-")</f>
        <v>Sapphire Infotech</v>
      </c>
    </row>
    <row r="119" customFormat="false" ht="15" hidden="false" customHeight="false" outlineLevel="0" collapsed="false">
      <c r="A119" s="21" t="s">
        <v>341</v>
      </c>
      <c r="B119" s="21" t="s">
        <v>342</v>
      </c>
      <c r="C119" s="21" t="s">
        <v>112</v>
      </c>
      <c r="D119" s="21" t="s">
        <v>65</v>
      </c>
      <c r="E119" s="21" t="s">
        <v>92</v>
      </c>
      <c r="F119" s="21" t="n">
        <v>8.86</v>
      </c>
      <c r="G119" s="21" t="n">
        <v>139</v>
      </c>
      <c r="H119" s="21" t="n">
        <v>2</v>
      </c>
      <c r="I119" s="21" t="s">
        <v>113</v>
      </c>
      <c r="J119" s="21" t="n">
        <v>82</v>
      </c>
      <c r="K119" s="32" t="n">
        <f aca="false">ROUND(Assumptions!$B$4*MIN(G119/Assumptions!$B$11,1)*100+Assumptions!$B$5*F119/10*100+Assumptions!$B$6*MIN(H119/Assumptions!$B$12,1)*100+Assumptions!$B$7*J119+Assumptions!$B$8*IF(I119="Yes",100,0),1)</f>
        <v>50.5</v>
      </c>
      <c r="L119" s="21" t="str">
        <f aca="false">LOOKUP(K119,Assumptions!$D$4:$D$7,Assumptions!$E$4:$E$7)</f>
        <v>Developing</v>
      </c>
      <c r="M119" s="21" t="n">
        <f aca="false">COUNTIFS(Applications!$B$2:$B$3144,A119)</f>
        <v>8</v>
      </c>
      <c r="N119" s="21" t="n">
        <f aca="false">COUNTIFS(Applications!$B$2:$B$3144,A119,Applications!$F$2:$F$3144,"Offered")</f>
        <v>1</v>
      </c>
      <c r="O119" s="21" t="str">
        <f aca="false">IF(COUNTIFS(Applications!$B$2:$B$3144,A119,Applications!$H$2:$H$3144,"Yes")&gt;0,"Yes","No")</f>
        <v>Yes</v>
      </c>
      <c r="P119" s="32" t="n">
        <f aca="false">SUMIFS(Applications!$G$2:$G$3144,Applications!$B$2:$B$3144,A119,Applications!$H$2:$H$3144,"Yes")</f>
        <v>11.4</v>
      </c>
      <c r="Q119" s="21" t="str">
        <f aca="false">IF(O119="Yes",INDEX(Companies!$B$2:$B$31,MATCH(INDEX(Applications!$C$2:$C$3144,MATCH(A119,Applications!$P$2:$P$3144,0)),Companies!$A$2:$A$31,0)),"-")</f>
        <v>InsightWorks</v>
      </c>
    </row>
    <row r="120" customFormat="false" ht="15" hidden="false" customHeight="false" outlineLevel="0" collapsed="false">
      <c r="A120" s="21" t="s">
        <v>343</v>
      </c>
      <c r="B120" s="21" t="s">
        <v>308</v>
      </c>
      <c r="C120" s="21" t="s">
        <v>112</v>
      </c>
      <c r="D120" s="21" t="s">
        <v>65</v>
      </c>
      <c r="E120" s="21" t="s">
        <v>91</v>
      </c>
      <c r="F120" s="21" t="n">
        <v>9.11</v>
      </c>
      <c r="G120" s="21" t="n">
        <v>197</v>
      </c>
      <c r="H120" s="21" t="n">
        <v>6</v>
      </c>
      <c r="I120" s="21" t="s">
        <v>120</v>
      </c>
      <c r="J120" s="21" t="n">
        <v>37</v>
      </c>
      <c r="K120" s="32" t="n">
        <f aca="false">ROUND(Assumptions!$B$4*MIN(G120/Assumptions!$B$11,1)*100+Assumptions!$B$5*F120/10*100+Assumptions!$B$6*MIN(H120/Assumptions!$B$12,1)*100+Assumptions!$B$7*J120+Assumptions!$B$8*IF(I120="Yes",100,0),1)</f>
        <v>67.4</v>
      </c>
      <c r="L120" s="21" t="str">
        <f aca="false">LOOKUP(K120,Assumptions!$D$4:$D$7,Assumptions!$E$4:$E$7)</f>
        <v>Job-Ready</v>
      </c>
      <c r="M120" s="21" t="n">
        <f aca="false">COUNTIFS(Applications!$B$2:$B$3144,A120)</f>
        <v>3</v>
      </c>
      <c r="N120" s="21" t="n">
        <f aca="false">COUNTIFS(Applications!$B$2:$B$3144,A120,Applications!$F$2:$F$3144,"Offered")</f>
        <v>0</v>
      </c>
      <c r="O120" s="21" t="str">
        <f aca="false">IF(COUNTIFS(Applications!$B$2:$B$3144,A120,Applications!$H$2:$H$3144,"Yes")&gt;0,"Yes","No")</f>
        <v>No</v>
      </c>
      <c r="P120" s="32" t="n">
        <f aca="false">SUMIFS(Applications!$G$2:$G$3144,Applications!$B$2:$B$3144,A120,Applications!$H$2:$H$3144,"Yes")</f>
        <v>0</v>
      </c>
      <c r="Q120" s="21" t="str">
        <f aca="false">IF(O120="Yes",INDEX(Companies!$B$2:$B$31,MATCH(INDEX(Applications!$C$2:$C$3144,MATCH(A120,Applications!$P$2:$P$3144,0)),Companies!$A$2:$A$31,0)),"-")</f>
        <v>-</v>
      </c>
    </row>
    <row r="121" customFormat="false" ht="15" hidden="false" customHeight="false" outlineLevel="0" collapsed="false">
      <c r="A121" s="21" t="s">
        <v>344</v>
      </c>
      <c r="B121" s="21" t="s">
        <v>206</v>
      </c>
      <c r="C121" s="21" t="s">
        <v>112</v>
      </c>
      <c r="D121" s="21" t="s">
        <v>67</v>
      </c>
      <c r="E121" s="21" t="s">
        <v>91</v>
      </c>
      <c r="F121" s="21" t="n">
        <v>5.47</v>
      </c>
      <c r="G121" s="21" t="n">
        <v>231</v>
      </c>
      <c r="H121" s="21" t="n">
        <v>2</v>
      </c>
      <c r="I121" s="21" t="s">
        <v>120</v>
      </c>
      <c r="J121" s="21" t="n">
        <v>68</v>
      </c>
      <c r="K121" s="32" t="n">
        <f aca="false">ROUND(Assumptions!$B$4*MIN(G121/Assumptions!$B$11,1)*100+Assumptions!$B$5*F121/10*100+Assumptions!$B$6*MIN(H121/Assumptions!$B$12,1)*100+Assumptions!$B$7*J121+Assumptions!$B$8*IF(I121="Yes",100,0),1)</f>
        <v>56.4</v>
      </c>
      <c r="L121" s="21" t="str">
        <f aca="false">LOOKUP(K121,Assumptions!$D$4:$D$7,Assumptions!$E$4:$E$7)</f>
        <v>Developing</v>
      </c>
      <c r="M121" s="21" t="n">
        <f aca="false">COUNTIFS(Applications!$B$2:$B$3144,A121)</f>
        <v>6</v>
      </c>
      <c r="N121" s="21" t="n">
        <f aca="false">COUNTIFS(Applications!$B$2:$B$3144,A121,Applications!$F$2:$F$3144,"Offered")</f>
        <v>2</v>
      </c>
      <c r="O121" s="21" t="str">
        <f aca="false">IF(COUNTIFS(Applications!$B$2:$B$3144,A121,Applications!$H$2:$H$3144,"Yes")&gt;0,"Yes","No")</f>
        <v>Yes</v>
      </c>
      <c r="P121" s="32" t="n">
        <f aca="false">SUMIFS(Applications!$G$2:$G$3144,Applications!$B$2:$B$3144,A121,Applications!$H$2:$H$3144,"Yes")</f>
        <v>5.8</v>
      </c>
      <c r="Q121" s="21" t="str">
        <f aca="false">IF(O121="Yes",INDEX(Companies!$B$2:$B$31,MATCH(INDEX(Applications!$C$2:$C$3144,MATCH(A121,Applications!$P$2:$P$3144,0)),Companies!$A$2:$A$31,0)),"-")</f>
        <v>Pioneer Softech</v>
      </c>
    </row>
    <row r="122" customFormat="false" ht="15" hidden="false" customHeight="false" outlineLevel="0" collapsed="false">
      <c r="A122" s="21" t="s">
        <v>345</v>
      </c>
      <c r="B122" s="21" t="s">
        <v>346</v>
      </c>
      <c r="C122" s="21" t="s">
        <v>112</v>
      </c>
      <c r="D122" s="21" t="s">
        <v>65</v>
      </c>
      <c r="E122" s="21" t="s">
        <v>92</v>
      </c>
      <c r="F122" s="21" t="n">
        <v>8.2</v>
      </c>
      <c r="G122" s="21" t="n">
        <v>104</v>
      </c>
      <c r="H122" s="21" t="n">
        <v>2</v>
      </c>
      <c r="I122" s="21" t="s">
        <v>120</v>
      </c>
      <c r="J122" s="21" t="n">
        <v>61</v>
      </c>
      <c r="K122" s="32" t="n">
        <f aca="false">ROUND(Assumptions!$B$4*MIN(G122/Assumptions!$B$11,1)*100+Assumptions!$B$5*F122/10*100+Assumptions!$B$6*MIN(H122/Assumptions!$B$12,1)*100+Assumptions!$B$7*J122+Assumptions!$B$8*IF(I122="Yes",100,0),1)</f>
        <v>52.8</v>
      </c>
      <c r="L122" s="21" t="str">
        <f aca="false">LOOKUP(K122,Assumptions!$D$4:$D$7,Assumptions!$E$4:$E$7)</f>
        <v>Developing</v>
      </c>
      <c r="M122" s="21" t="n">
        <f aca="false">COUNTIFS(Applications!$B$2:$B$3144,A122)</f>
        <v>5</v>
      </c>
      <c r="N122" s="21" t="n">
        <f aca="false">COUNTIFS(Applications!$B$2:$B$3144,A122,Applications!$F$2:$F$3144,"Offered")</f>
        <v>0</v>
      </c>
      <c r="O122" s="21" t="str">
        <f aca="false">IF(COUNTIFS(Applications!$B$2:$B$3144,A122,Applications!$H$2:$H$3144,"Yes")&gt;0,"Yes","No")</f>
        <v>No</v>
      </c>
      <c r="P122" s="32" t="n">
        <f aca="false">SUMIFS(Applications!$G$2:$G$3144,Applications!$B$2:$B$3144,A122,Applications!$H$2:$H$3144,"Yes")</f>
        <v>0</v>
      </c>
      <c r="Q122" s="21" t="str">
        <f aca="false">IF(O122="Yes",INDEX(Companies!$B$2:$B$31,MATCH(INDEX(Applications!$C$2:$C$3144,MATCH(A122,Applications!$P$2:$P$3144,0)),Companies!$A$2:$A$31,0)),"-")</f>
        <v>-</v>
      </c>
    </row>
    <row r="123" customFormat="false" ht="15" hidden="false" customHeight="false" outlineLevel="0" collapsed="false">
      <c r="A123" s="21" t="s">
        <v>347</v>
      </c>
      <c r="B123" s="21" t="s">
        <v>348</v>
      </c>
      <c r="C123" s="21" t="s">
        <v>112</v>
      </c>
      <c r="D123" s="21" t="s">
        <v>65</v>
      </c>
      <c r="E123" s="21" t="s">
        <v>90</v>
      </c>
      <c r="F123" s="21" t="n">
        <v>6.51</v>
      </c>
      <c r="G123" s="21" t="n">
        <v>194</v>
      </c>
      <c r="H123" s="21" t="n">
        <v>4</v>
      </c>
      <c r="I123" s="21" t="s">
        <v>120</v>
      </c>
      <c r="J123" s="21" t="n">
        <v>59</v>
      </c>
      <c r="K123" s="32" t="n">
        <f aca="false">ROUND(Assumptions!$B$4*MIN(G123/Assumptions!$B$11,1)*100+Assumptions!$B$5*F123/10*100+Assumptions!$B$6*MIN(H123/Assumptions!$B$12,1)*100+Assumptions!$B$7*J123+Assumptions!$B$8*IF(I123="Yes",100,0),1)</f>
        <v>62.5</v>
      </c>
      <c r="L123" s="21" t="str">
        <f aca="false">LOOKUP(K123,Assumptions!$D$4:$D$7,Assumptions!$E$4:$E$7)</f>
        <v>Developing</v>
      </c>
      <c r="M123" s="21" t="n">
        <f aca="false">COUNTIFS(Applications!$B$2:$B$3144,A123)</f>
        <v>5</v>
      </c>
      <c r="N123" s="21" t="n">
        <f aca="false">COUNTIFS(Applications!$B$2:$B$3144,A123,Applications!$F$2:$F$3144,"Offered")</f>
        <v>2</v>
      </c>
      <c r="O123" s="21" t="str">
        <f aca="false">IF(COUNTIFS(Applications!$B$2:$B$3144,A123,Applications!$H$2:$H$3144,"Yes")&gt;0,"Yes","No")</f>
        <v>Yes</v>
      </c>
      <c r="P123" s="32" t="n">
        <f aca="false">SUMIFS(Applications!$G$2:$G$3144,Applications!$B$2:$B$3144,A123,Applications!$H$2:$H$3144,"Yes")</f>
        <v>13.9</v>
      </c>
      <c r="Q123" s="21" t="str">
        <f aca="false">IF(O123="Yes",INDEX(Companies!$B$2:$B$31,MATCH(INDEX(Applications!$C$2:$C$3144,MATCH(A123,Applications!$P$2:$P$3144,0)),Companies!$A$2:$A$31,0)),"-")</f>
        <v>CyberNest</v>
      </c>
    </row>
    <row r="124" customFormat="false" ht="15" hidden="false" customHeight="false" outlineLevel="0" collapsed="false">
      <c r="A124" s="21" t="s">
        <v>349</v>
      </c>
      <c r="B124" s="21" t="s">
        <v>252</v>
      </c>
      <c r="C124" s="21" t="s">
        <v>112</v>
      </c>
      <c r="D124" s="21" t="s">
        <v>66</v>
      </c>
      <c r="E124" s="21" t="s">
        <v>92</v>
      </c>
      <c r="F124" s="21" t="n">
        <v>9.3</v>
      </c>
      <c r="G124" s="21" t="n">
        <v>255</v>
      </c>
      <c r="H124" s="21" t="n">
        <v>3</v>
      </c>
      <c r="I124" s="21" t="s">
        <v>113</v>
      </c>
      <c r="J124" s="21" t="n">
        <v>51</v>
      </c>
      <c r="K124" s="32" t="n">
        <f aca="false">ROUND(Assumptions!$B$4*MIN(G124/Assumptions!$B$11,1)*100+Assumptions!$B$5*F124/10*100+Assumptions!$B$6*MIN(H124/Assumptions!$B$12,1)*100+Assumptions!$B$7*J124+Assumptions!$B$8*IF(I124="Yes",100,0),1)</f>
        <v>56.1</v>
      </c>
      <c r="L124" s="21" t="str">
        <f aca="false">LOOKUP(K124,Assumptions!$D$4:$D$7,Assumptions!$E$4:$E$7)</f>
        <v>Developing</v>
      </c>
      <c r="M124" s="21" t="n">
        <f aca="false">COUNTIFS(Applications!$B$2:$B$3144,A124)</f>
        <v>3</v>
      </c>
      <c r="N124" s="21" t="n">
        <f aca="false">COUNTIFS(Applications!$B$2:$B$3144,A124,Applications!$F$2:$F$3144,"Offered")</f>
        <v>1</v>
      </c>
      <c r="O124" s="21" t="str">
        <f aca="false">IF(COUNTIFS(Applications!$B$2:$B$3144,A124,Applications!$H$2:$H$3144,"Yes")&gt;0,"Yes","No")</f>
        <v>Yes</v>
      </c>
      <c r="P124" s="32" t="n">
        <f aca="false">SUMIFS(Applications!$G$2:$G$3144,Applications!$B$2:$B$3144,A124,Applications!$H$2:$H$3144,"Yes")</f>
        <v>5</v>
      </c>
      <c r="Q124" s="21" t="str">
        <f aca="false">IF(O124="Yes",INDEX(Companies!$B$2:$B$31,MATCH(INDEX(Applications!$C$2:$C$3144,MATCH(A124,Applications!$P$2:$P$3144,0)),Companies!$A$2:$A$31,0)),"-")</f>
        <v>Metro Systems</v>
      </c>
    </row>
    <row r="125" customFormat="false" ht="15" hidden="false" customHeight="false" outlineLevel="0" collapsed="false">
      <c r="A125" s="21" t="s">
        <v>350</v>
      </c>
      <c r="B125" s="21" t="s">
        <v>351</v>
      </c>
      <c r="C125" s="21" t="s">
        <v>112</v>
      </c>
      <c r="D125" s="21" t="s">
        <v>65</v>
      </c>
      <c r="E125" s="21" t="s">
        <v>92</v>
      </c>
      <c r="F125" s="21" t="n">
        <v>6.36</v>
      </c>
      <c r="G125" s="21" t="n">
        <v>149</v>
      </c>
      <c r="H125" s="21" t="n">
        <v>2</v>
      </c>
      <c r="I125" s="21" t="s">
        <v>113</v>
      </c>
      <c r="J125" s="21" t="n">
        <v>70</v>
      </c>
      <c r="K125" s="32" t="n">
        <f aca="false">ROUND(Assumptions!$B$4*MIN(G125/Assumptions!$B$11,1)*100+Assumptions!$B$5*F125/10*100+Assumptions!$B$6*MIN(H125/Assumptions!$B$12,1)*100+Assumptions!$B$7*J125+Assumptions!$B$8*IF(I125="Yes",100,0),1)</f>
        <v>43.7</v>
      </c>
      <c r="L125" s="21" t="str">
        <f aca="false">LOOKUP(K125,Assumptions!$D$4:$D$7,Assumptions!$E$4:$E$7)</f>
        <v>Foundation</v>
      </c>
      <c r="M125" s="21" t="n">
        <f aca="false">COUNTIFS(Applications!$B$2:$B$3144,A125)</f>
        <v>4</v>
      </c>
      <c r="N125" s="21" t="n">
        <f aca="false">COUNTIFS(Applications!$B$2:$B$3144,A125,Applications!$F$2:$F$3144,"Offered")</f>
        <v>0</v>
      </c>
      <c r="O125" s="21" t="str">
        <f aca="false">IF(COUNTIFS(Applications!$B$2:$B$3144,A125,Applications!$H$2:$H$3144,"Yes")&gt;0,"Yes","No")</f>
        <v>No</v>
      </c>
      <c r="P125" s="32" t="n">
        <f aca="false">SUMIFS(Applications!$G$2:$G$3144,Applications!$B$2:$B$3144,A125,Applications!$H$2:$H$3144,"Yes")</f>
        <v>0</v>
      </c>
      <c r="Q125" s="21" t="str">
        <f aca="false">IF(O125="Yes",INDEX(Companies!$B$2:$B$31,MATCH(INDEX(Applications!$C$2:$C$3144,MATCH(A125,Applications!$P$2:$P$3144,0)),Companies!$A$2:$A$31,0)),"-")</f>
        <v>-</v>
      </c>
    </row>
    <row r="126" customFormat="false" ht="15" hidden="false" customHeight="false" outlineLevel="0" collapsed="false">
      <c r="A126" s="21" t="s">
        <v>352</v>
      </c>
      <c r="B126" s="21" t="s">
        <v>353</v>
      </c>
      <c r="C126" s="21" t="s">
        <v>112</v>
      </c>
      <c r="D126" s="21" t="s">
        <v>66</v>
      </c>
      <c r="E126" s="21" t="s">
        <v>91</v>
      </c>
      <c r="F126" s="21" t="n">
        <v>6.45</v>
      </c>
      <c r="G126" s="21" t="n">
        <v>585</v>
      </c>
      <c r="H126" s="21" t="n">
        <v>7</v>
      </c>
      <c r="I126" s="21" t="s">
        <v>113</v>
      </c>
      <c r="J126" s="21" t="n">
        <v>58</v>
      </c>
      <c r="K126" s="32" t="n">
        <f aca="false">ROUND(Assumptions!$B$4*MIN(G126/Assumptions!$B$11,1)*100+Assumptions!$B$5*F126/10*100+Assumptions!$B$6*MIN(H126/Assumptions!$B$12,1)*100+Assumptions!$B$7*J126+Assumptions!$B$8*IF(I126="Yes",100,0),1)</f>
        <v>74.5</v>
      </c>
      <c r="L126" s="21" t="str">
        <f aca="false">LOOKUP(K126,Assumptions!$D$4:$D$7,Assumptions!$E$4:$E$7)</f>
        <v>Job-Ready</v>
      </c>
      <c r="M126" s="21" t="n">
        <f aca="false">COUNTIFS(Applications!$B$2:$B$3144,A126)</f>
        <v>5</v>
      </c>
      <c r="N126" s="21" t="n">
        <f aca="false">COUNTIFS(Applications!$B$2:$B$3144,A126,Applications!$F$2:$F$3144,"Offered")</f>
        <v>3</v>
      </c>
      <c r="O126" s="21" t="str">
        <f aca="false">IF(COUNTIFS(Applications!$B$2:$B$3144,A126,Applications!$H$2:$H$3144,"Yes")&gt;0,"Yes","No")</f>
        <v>Yes</v>
      </c>
      <c r="P126" s="32" t="n">
        <f aca="false">SUMIFS(Applications!$G$2:$G$3144,Applications!$B$2:$B$3144,A126,Applications!$H$2:$H$3144,"Yes")</f>
        <v>18.8</v>
      </c>
      <c r="Q126" s="21" t="str">
        <f aca="false">IF(O126="Yes",INDEX(Companies!$B$2:$B$31,MATCH(INDEX(Applications!$C$2:$C$3144,MATCH(A126,Applications!$P$2:$P$3144,0)),Companies!$A$2:$A$31,0)),"-")</f>
        <v>Quantora Labs</v>
      </c>
    </row>
    <row r="127" customFormat="false" ht="15" hidden="false" customHeight="false" outlineLevel="0" collapsed="false">
      <c r="A127" s="21" t="s">
        <v>354</v>
      </c>
      <c r="B127" s="21" t="s">
        <v>355</v>
      </c>
      <c r="C127" s="21" t="s">
        <v>112</v>
      </c>
      <c r="D127" s="21" t="s">
        <v>66</v>
      </c>
      <c r="E127" s="21" t="s">
        <v>90</v>
      </c>
      <c r="F127" s="21" t="n">
        <v>7.86</v>
      </c>
      <c r="G127" s="21" t="n">
        <v>91</v>
      </c>
      <c r="H127" s="21" t="n">
        <v>5</v>
      </c>
      <c r="I127" s="21" t="s">
        <v>113</v>
      </c>
      <c r="J127" s="21" t="n">
        <v>59</v>
      </c>
      <c r="K127" s="32" t="n">
        <f aca="false">ROUND(Assumptions!$B$4*MIN(G127/Assumptions!$B$11,1)*100+Assumptions!$B$5*F127/10*100+Assumptions!$B$6*MIN(H127/Assumptions!$B$12,1)*100+Assumptions!$B$7*J127+Assumptions!$B$8*IF(I127="Yes",100,0),1)</f>
        <v>53</v>
      </c>
      <c r="L127" s="21" t="str">
        <f aca="false">LOOKUP(K127,Assumptions!$D$4:$D$7,Assumptions!$E$4:$E$7)</f>
        <v>Developing</v>
      </c>
      <c r="M127" s="21" t="n">
        <f aca="false">COUNTIFS(Applications!$B$2:$B$3144,A127)</f>
        <v>3</v>
      </c>
      <c r="N127" s="21" t="n">
        <f aca="false">COUNTIFS(Applications!$B$2:$B$3144,A127,Applications!$F$2:$F$3144,"Offered")</f>
        <v>1</v>
      </c>
      <c r="O127" s="21" t="str">
        <f aca="false">IF(COUNTIFS(Applications!$B$2:$B$3144,A127,Applications!$H$2:$H$3144,"Yes")&gt;0,"Yes","No")</f>
        <v>Yes</v>
      </c>
      <c r="P127" s="32" t="n">
        <f aca="false">SUMIFS(Applications!$G$2:$G$3144,Applications!$B$2:$B$3144,A127,Applications!$H$2:$H$3144,"Yes")</f>
        <v>5.4</v>
      </c>
      <c r="Q127" s="21" t="str">
        <f aca="false">IF(O127="Yes",INDEX(Companies!$B$2:$B$31,MATCH(INDEX(Applications!$C$2:$C$3144,MATCH(A127,Applications!$P$2:$P$3144,0)),Companies!$A$2:$A$31,0)),"-")</f>
        <v>InfoNova Services</v>
      </c>
    </row>
    <row r="128" customFormat="false" ht="15" hidden="false" customHeight="false" outlineLevel="0" collapsed="false">
      <c r="A128" s="21" t="s">
        <v>356</v>
      </c>
      <c r="B128" s="21" t="s">
        <v>357</v>
      </c>
      <c r="C128" s="21" t="s">
        <v>112</v>
      </c>
      <c r="D128" s="21" t="s">
        <v>63</v>
      </c>
      <c r="E128" s="21" t="s">
        <v>91</v>
      </c>
      <c r="F128" s="21" t="n">
        <v>6.47</v>
      </c>
      <c r="G128" s="21" t="n">
        <v>128</v>
      </c>
      <c r="H128" s="21" t="n">
        <v>4</v>
      </c>
      <c r="I128" s="21" t="s">
        <v>113</v>
      </c>
      <c r="J128" s="21" t="n">
        <v>66</v>
      </c>
      <c r="K128" s="32" t="n">
        <f aca="false">ROUND(Assumptions!$B$4*MIN(G128/Assumptions!$B$11,1)*100+Assumptions!$B$5*F128/10*100+Assumptions!$B$6*MIN(H128/Assumptions!$B$12,1)*100+Assumptions!$B$7*J128+Assumptions!$B$8*IF(I128="Yes",100,0),1)</f>
        <v>49.8</v>
      </c>
      <c r="L128" s="21" t="str">
        <f aca="false">LOOKUP(K128,Assumptions!$D$4:$D$7,Assumptions!$E$4:$E$7)</f>
        <v>Foundation</v>
      </c>
      <c r="M128" s="21" t="n">
        <f aca="false">COUNTIFS(Applications!$B$2:$B$3144,A128)</f>
        <v>5</v>
      </c>
      <c r="N128" s="21" t="n">
        <f aca="false">COUNTIFS(Applications!$B$2:$B$3144,A128,Applications!$F$2:$F$3144,"Offered")</f>
        <v>1</v>
      </c>
      <c r="O128" s="21" t="str">
        <f aca="false">IF(COUNTIFS(Applications!$B$2:$B$3144,A128,Applications!$H$2:$H$3144,"Yes")&gt;0,"Yes","No")</f>
        <v>Yes</v>
      </c>
      <c r="P128" s="32" t="n">
        <f aca="false">SUMIFS(Applications!$G$2:$G$3144,Applications!$B$2:$B$3144,A128,Applications!$H$2:$H$3144,"Yes")</f>
        <v>6.7</v>
      </c>
      <c r="Q128" s="21" t="str">
        <f aca="false">IF(O128="Yes",INDEX(Companies!$B$2:$B$31,MATCH(INDEX(Applications!$C$2:$C$3144,MATCH(A128,Applications!$P$2:$P$3144,0)),Companies!$A$2:$A$31,0)),"-")</f>
        <v>DataHarbor</v>
      </c>
    </row>
    <row r="129" customFormat="false" ht="15" hidden="false" customHeight="false" outlineLevel="0" collapsed="false">
      <c r="A129" s="21" t="s">
        <v>358</v>
      </c>
      <c r="B129" s="21" t="s">
        <v>359</v>
      </c>
      <c r="C129" s="21" t="s">
        <v>112</v>
      </c>
      <c r="D129" s="21" t="s">
        <v>66</v>
      </c>
      <c r="E129" s="21" t="s">
        <v>90</v>
      </c>
      <c r="F129" s="21" t="n">
        <v>7.53</v>
      </c>
      <c r="G129" s="21" t="n">
        <v>390</v>
      </c>
      <c r="H129" s="21" t="n">
        <v>1</v>
      </c>
      <c r="I129" s="21" t="s">
        <v>113</v>
      </c>
      <c r="J129" s="21" t="n">
        <v>69</v>
      </c>
      <c r="K129" s="32" t="n">
        <f aca="false">ROUND(Assumptions!$B$4*MIN(G129/Assumptions!$B$11,1)*100+Assumptions!$B$5*F129/10*100+Assumptions!$B$6*MIN(H129/Assumptions!$B$12,1)*100+Assumptions!$B$7*J129+Assumptions!$B$8*IF(I129="Yes",100,0),1)</f>
        <v>56.3</v>
      </c>
      <c r="L129" s="21" t="str">
        <f aca="false">LOOKUP(K129,Assumptions!$D$4:$D$7,Assumptions!$E$4:$E$7)</f>
        <v>Developing</v>
      </c>
      <c r="M129" s="21" t="n">
        <f aca="false">COUNTIFS(Applications!$B$2:$B$3144,A129)</f>
        <v>8</v>
      </c>
      <c r="N129" s="21" t="n">
        <f aca="false">COUNTIFS(Applications!$B$2:$B$3144,A129,Applications!$F$2:$F$3144,"Offered")</f>
        <v>2</v>
      </c>
      <c r="O129" s="21" t="str">
        <f aca="false">IF(COUNTIFS(Applications!$B$2:$B$3144,A129,Applications!$H$2:$H$3144,"Yes")&gt;0,"Yes","No")</f>
        <v>Yes</v>
      </c>
      <c r="P129" s="32" t="n">
        <f aca="false">SUMIFS(Applications!$G$2:$G$3144,Applications!$B$2:$B$3144,A129,Applications!$H$2:$H$3144,"Yes")</f>
        <v>5.8</v>
      </c>
      <c r="Q129" s="21" t="str">
        <f aca="false">IF(O129="Yes",INDEX(Companies!$B$2:$B$31,MATCH(INDEX(Applications!$C$2:$C$3144,MATCH(A129,Applications!$P$2:$P$3144,0)),Companies!$A$2:$A$31,0)),"-")</f>
        <v>Pioneer Softech</v>
      </c>
    </row>
    <row r="130" customFormat="false" ht="15" hidden="false" customHeight="false" outlineLevel="0" collapsed="false">
      <c r="A130" s="21" t="s">
        <v>360</v>
      </c>
      <c r="B130" s="21" t="s">
        <v>361</v>
      </c>
      <c r="C130" s="21" t="s">
        <v>112</v>
      </c>
      <c r="D130" s="21" t="s">
        <v>67</v>
      </c>
      <c r="E130" s="21" t="s">
        <v>92</v>
      </c>
      <c r="F130" s="21" t="n">
        <v>5.39</v>
      </c>
      <c r="G130" s="21" t="n">
        <v>404</v>
      </c>
      <c r="H130" s="21" t="n">
        <v>6</v>
      </c>
      <c r="I130" s="21" t="s">
        <v>113</v>
      </c>
      <c r="J130" s="21" t="n">
        <v>65</v>
      </c>
      <c r="K130" s="32" t="n">
        <f aca="false">ROUND(Assumptions!$B$4*MIN(G130/Assumptions!$B$11,1)*100+Assumptions!$B$5*F130/10*100+Assumptions!$B$6*MIN(H130/Assumptions!$B$12,1)*100+Assumptions!$B$7*J130+Assumptions!$B$8*IF(I130="Yes",100,0),1)</f>
        <v>68</v>
      </c>
      <c r="L130" s="21" t="str">
        <f aca="false">LOOKUP(K130,Assumptions!$D$4:$D$7,Assumptions!$E$4:$E$7)</f>
        <v>Job-Ready</v>
      </c>
      <c r="M130" s="21" t="n">
        <f aca="false">COUNTIFS(Applications!$B$2:$B$3144,A130)</f>
        <v>3</v>
      </c>
      <c r="N130" s="21" t="n">
        <f aca="false">COUNTIFS(Applications!$B$2:$B$3144,A130,Applications!$F$2:$F$3144,"Offered")</f>
        <v>1</v>
      </c>
      <c r="O130" s="21" t="str">
        <f aca="false">IF(COUNTIFS(Applications!$B$2:$B$3144,A130,Applications!$H$2:$H$3144,"Yes")&gt;0,"Yes","No")</f>
        <v>Yes</v>
      </c>
      <c r="P130" s="32" t="n">
        <f aca="false">SUMIFS(Applications!$G$2:$G$3144,Applications!$B$2:$B$3144,A130,Applications!$H$2:$H$3144,"Yes")</f>
        <v>12.5</v>
      </c>
      <c r="Q130" s="21" t="str">
        <f aca="false">IF(O130="Yes",INDEX(Companies!$B$2:$B$31,MATCH(INDEX(Applications!$C$2:$C$3144,MATCH(A130,Applications!$P$2:$P$3144,0)),Companies!$A$2:$A$31,0)),"-")</f>
        <v>CartNest</v>
      </c>
    </row>
    <row r="131" customFormat="false" ht="15" hidden="false" customHeight="false" outlineLevel="0" collapsed="false">
      <c r="A131" s="21" t="s">
        <v>362</v>
      </c>
      <c r="B131" s="21" t="s">
        <v>363</v>
      </c>
      <c r="C131" s="21" t="s">
        <v>112</v>
      </c>
      <c r="D131" s="21" t="s">
        <v>67</v>
      </c>
      <c r="E131" s="21" t="s">
        <v>92</v>
      </c>
      <c r="F131" s="21" t="n">
        <v>8.52</v>
      </c>
      <c r="G131" s="21" t="n">
        <v>466</v>
      </c>
      <c r="H131" s="21" t="n">
        <v>2</v>
      </c>
      <c r="I131" s="21" t="s">
        <v>113</v>
      </c>
      <c r="J131" s="21" t="n">
        <v>58</v>
      </c>
      <c r="K131" s="32" t="n">
        <f aca="false">ROUND(Assumptions!$B$4*MIN(G131/Assumptions!$B$11,1)*100+Assumptions!$B$5*F131/10*100+Assumptions!$B$6*MIN(H131/Assumptions!$B$12,1)*100+Assumptions!$B$7*J131+Assumptions!$B$8*IF(I131="Yes",100,0),1)</f>
        <v>64.6</v>
      </c>
      <c r="L131" s="21" t="str">
        <f aca="false">LOOKUP(K131,Assumptions!$D$4:$D$7,Assumptions!$E$4:$E$7)</f>
        <v>Developing</v>
      </c>
      <c r="M131" s="21" t="n">
        <f aca="false">COUNTIFS(Applications!$B$2:$B$3144,A131)</f>
        <v>5</v>
      </c>
      <c r="N131" s="21" t="n">
        <f aca="false">COUNTIFS(Applications!$B$2:$B$3144,A131,Applications!$F$2:$F$3144,"Offered")</f>
        <v>2</v>
      </c>
      <c r="O131" s="21" t="str">
        <f aca="false">IF(COUNTIFS(Applications!$B$2:$B$3144,A131,Applications!$H$2:$H$3144,"Yes")&gt;0,"Yes","No")</f>
        <v>Yes</v>
      </c>
      <c r="P131" s="32" t="n">
        <f aca="false">SUMIFS(Applications!$G$2:$G$3144,Applications!$B$2:$B$3144,A131,Applications!$H$2:$H$3144,"Yes")</f>
        <v>10.4</v>
      </c>
      <c r="Q131" s="21" t="str">
        <f aca="false">IF(O131="Yes",INDEX(Companies!$B$2:$B$31,MATCH(INDEX(Applications!$C$2:$C$3144,MATCH(A131,Applications!$P$2:$P$3144,0)),Companies!$A$2:$A$31,0)),"-")</f>
        <v>PayRiver</v>
      </c>
    </row>
    <row r="132" customFormat="false" ht="15" hidden="false" customHeight="false" outlineLevel="0" collapsed="false">
      <c r="A132" s="21" t="s">
        <v>364</v>
      </c>
      <c r="B132" s="21" t="s">
        <v>365</v>
      </c>
      <c r="C132" s="21" t="s">
        <v>112</v>
      </c>
      <c r="D132" s="21" t="s">
        <v>64</v>
      </c>
      <c r="E132" s="21" t="s">
        <v>90</v>
      </c>
      <c r="F132" s="21" t="n">
        <v>7.46</v>
      </c>
      <c r="G132" s="21" t="n">
        <v>496</v>
      </c>
      <c r="H132" s="21" t="n">
        <v>3</v>
      </c>
      <c r="I132" s="21" t="s">
        <v>120</v>
      </c>
      <c r="J132" s="21" t="n">
        <v>70</v>
      </c>
      <c r="K132" s="32" t="n">
        <f aca="false">ROUND(Assumptions!$B$4*MIN(G132/Assumptions!$B$11,1)*100+Assumptions!$B$5*F132/10*100+Assumptions!$B$6*MIN(H132/Assumptions!$B$12,1)*100+Assumptions!$B$7*J132+Assumptions!$B$8*IF(I132="Yes",100,0),1)</f>
        <v>80.7</v>
      </c>
      <c r="L132" s="21" t="str">
        <f aca="false">LOOKUP(K132,Assumptions!$D$4:$D$7,Assumptions!$E$4:$E$7)</f>
        <v>Elite</v>
      </c>
      <c r="M132" s="21" t="n">
        <f aca="false">COUNTIFS(Applications!$B$2:$B$3144,A132)</f>
        <v>8</v>
      </c>
      <c r="N132" s="21" t="n">
        <f aca="false">COUNTIFS(Applications!$B$2:$B$3144,A132,Applications!$F$2:$F$3144,"Offered")</f>
        <v>6</v>
      </c>
      <c r="O132" s="21" t="str">
        <f aca="false">IF(COUNTIFS(Applications!$B$2:$B$3144,A132,Applications!$H$2:$H$3144,"Yes")&gt;0,"Yes","No")</f>
        <v>Yes</v>
      </c>
      <c r="P132" s="32" t="n">
        <f aca="false">SUMIFS(Applications!$G$2:$G$3144,Applications!$B$2:$B$3144,A132,Applications!$H$2:$H$3144,"Yes")</f>
        <v>13.2</v>
      </c>
      <c r="Q132" s="21" t="str">
        <f aca="false">IF(O132="Yes",INDEX(Companies!$B$2:$B$31,MATCH(INDEX(Applications!$C$2:$C$3144,MATCH(A132,Applications!$P$2:$P$3144,0)),Companies!$A$2:$A$31,0)),"-")</f>
        <v>LearnLoop</v>
      </c>
    </row>
    <row r="133" customFormat="false" ht="15" hidden="false" customHeight="false" outlineLevel="0" collapsed="false">
      <c r="A133" s="21" t="s">
        <v>366</v>
      </c>
      <c r="B133" s="21" t="s">
        <v>367</v>
      </c>
      <c r="C133" s="21" t="s">
        <v>112</v>
      </c>
      <c r="D133" s="21" t="s">
        <v>65</v>
      </c>
      <c r="E133" s="21" t="s">
        <v>90</v>
      </c>
      <c r="F133" s="21" t="n">
        <v>7.67</v>
      </c>
      <c r="G133" s="21" t="n">
        <v>283</v>
      </c>
      <c r="H133" s="21" t="n">
        <v>1</v>
      </c>
      <c r="I133" s="21" t="s">
        <v>113</v>
      </c>
      <c r="J133" s="21" t="n">
        <v>44</v>
      </c>
      <c r="K133" s="32" t="n">
        <f aca="false">ROUND(Assumptions!$B$4*MIN(G133/Assumptions!$B$11,1)*100+Assumptions!$B$5*F133/10*100+Assumptions!$B$6*MIN(H133/Assumptions!$B$12,1)*100+Assumptions!$B$7*J133+Assumptions!$B$8*IF(I133="Yes",100,0),1)</f>
        <v>45.1</v>
      </c>
      <c r="L133" s="21" t="str">
        <f aca="false">LOOKUP(K133,Assumptions!$D$4:$D$7,Assumptions!$E$4:$E$7)</f>
        <v>Foundation</v>
      </c>
      <c r="M133" s="21" t="n">
        <f aca="false">COUNTIFS(Applications!$B$2:$B$3144,A133)</f>
        <v>0</v>
      </c>
      <c r="N133" s="21" t="n">
        <f aca="false">COUNTIFS(Applications!$B$2:$B$3144,A133,Applications!$F$2:$F$3144,"Offered")</f>
        <v>0</v>
      </c>
      <c r="O133" s="21" t="str">
        <f aca="false">IF(COUNTIFS(Applications!$B$2:$B$3144,A133,Applications!$H$2:$H$3144,"Yes")&gt;0,"Yes","No")</f>
        <v>No</v>
      </c>
      <c r="P133" s="32" t="n">
        <f aca="false">SUMIFS(Applications!$G$2:$G$3144,Applications!$B$2:$B$3144,A133,Applications!$H$2:$H$3144,"Yes")</f>
        <v>0</v>
      </c>
      <c r="Q133" s="21" t="str">
        <f aca="false">IF(O133="Yes",INDEX(Companies!$B$2:$B$31,MATCH(INDEX(Applications!$C$2:$C$3144,MATCH(A133,Applications!$P$2:$P$3144,0)),Companies!$A$2:$A$31,0)),"-")</f>
        <v>-</v>
      </c>
    </row>
    <row r="134" customFormat="false" ht="15" hidden="false" customHeight="false" outlineLevel="0" collapsed="false">
      <c r="A134" s="21" t="s">
        <v>368</v>
      </c>
      <c r="B134" s="21" t="s">
        <v>369</v>
      </c>
      <c r="C134" s="21" t="s">
        <v>112</v>
      </c>
      <c r="D134" s="21" t="s">
        <v>65</v>
      </c>
      <c r="E134" s="21" t="s">
        <v>90</v>
      </c>
      <c r="F134" s="21" t="n">
        <v>7.75</v>
      </c>
      <c r="G134" s="21" t="n">
        <v>277</v>
      </c>
      <c r="H134" s="21" t="n">
        <v>6</v>
      </c>
      <c r="I134" s="21" t="s">
        <v>120</v>
      </c>
      <c r="J134" s="21" t="n">
        <v>41</v>
      </c>
      <c r="K134" s="32" t="n">
        <f aca="false">ROUND(Assumptions!$B$4*MIN(G134/Assumptions!$B$11,1)*100+Assumptions!$B$5*F134/10*100+Assumptions!$B$6*MIN(H134/Assumptions!$B$12,1)*100+Assumptions!$B$7*J134+Assumptions!$B$8*IF(I134="Yes",100,0),1)</f>
        <v>70.3</v>
      </c>
      <c r="L134" s="21" t="str">
        <f aca="false">LOOKUP(K134,Assumptions!$D$4:$D$7,Assumptions!$E$4:$E$7)</f>
        <v>Job-Ready</v>
      </c>
      <c r="M134" s="21" t="n">
        <f aca="false">COUNTIFS(Applications!$B$2:$B$3144,A134)</f>
        <v>9</v>
      </c>
      <c r="N134" s="21" t="n">
        <f aca="false">COUNTIFS(Applications!$B$2:$B$3144,A134,Applications!$F$2:$F$3144,"Offered")</f>
        <v>4</v>
      </c>
      <c r="O134" s="21" t="str">
        <f aca="false">IF(COUNTIFS(Applications!$B$2:$B$3144,A134,Applications!$H$2:$H$3144,"Yes")&gt;0,"Yes","No")</f>
        <v>Yes</v>
      </c>
      <c r="P134" s="32" t="n">
        <f aca="false">SUMIFS(Applications!$G$2:$G$3144,Applications!$B$2:$B$3144,A134,Applications!$H$2:$H$3144,"Yes")</f>
        <v>12.4</v>
      </c>
      <c r="Q134" s="21" t="str">
        <f aca="false">IF(O134="Yes",INDEX(Companies!$B$2:$B$31,MATCH(INDEX(Applications!$C$2:$C$3144,MATCH(A134,Applications!$P$2:$P$3144,0)),Companies!$A$2:$A$31,0)),"-")</f>
        <v>CyberNest</v>
      </c>
    </row>
    <row r="135" customFormat="false" ht="15" hidden="false" customHeight="false" outlineLevel="0" collapsed="false">
      <c r="A135" s="21" t="s">
        <v>370</v>
      </c>
      <c r="B135" s="21" t="s">
        <v>371</v>
      </c>
      <c r="C135" s="21" t="s">
        <v>112</v>
      </c>
      <c r="D135" s="21" t="s">
        <v>65</v>
      </c>
      <c r="E135" s="21" t="s">
        <v>91</v>
      </c>
      <c r="F135" s="21" t="n">
        <v>7.34</v>
      </c>
      <c r="G135" s="21" t="n">
        <v>112</v>
      </c>
      <c r="H135" s="21" t="n">
        <v>4</v>
      </c>
      <c r="I135" s="21" t="s">
        <v>113</v>
      </c>
      <c r="J135" s="21" t="n">
        <v>37</v>
      </c>
      <c r="K135" s="32" t="n">
        <f aca="false">ROUND(Assumptions!$B$4*MIN(G135/Assumptions!$B$11,1)*100+Assumptions!$B$5*F135/10*100+Assumptions!$B$6*MIN(H135/Assumptions!$B$12,1)*100+Assumptions!$B$7*J135+Assumptions!$B$8*IF(I135="Yes",100,0),1)</f>
        <v>44.8</v>
      </c>
      <c r="L135" s="21" t="str">
        <f aca="false">LOOKUP(K135,Assumptions!$D$4:$D$7,Assumptions!$E$4:$E$7)</f>
        <v>Foundation</v>
      </c>
      <c r="M135" s="21" t="n">
        <f aca="false">COUNTIFS(Applications!$B$2:$B$3144,A135)</f>
        <v>0</v>
      </c>
      <c r="N135" s="21" t="n">
        <f aca="false">COUNTIFS(Applications!$B$2:$B$3144,A135,Applications!$F$2:$F$3144,"Offered")</f>
        <v>0</v>
      </c>
      <c r="O135" s="21" t="str">
        <f aca="false">IF(COUNTIFS(Applications!$B$2:$B$3144,A135,Applications!$H$2:$H$3144,"Yes")&gt;0,"Yes","No")</f>
        <v>No</v>
      </c>
      <c r="P135" s="32" t="n">
        <f aca="false">SUMIFS(Applications!$G$2:$G$3144,Applications!$B$2:$B$3144,A135,Applications!$H$2:$H$3144,"Yes")</f>
        <v>0</v>
      </c>
      <c r="Q135" s="21" t="str">
        <f aca="false">IF(O135="Yes",INDEX(Companies!$B$2:$B$31,MATCH(INDEX(Applications!$C$2:$C$3144,MATCH(A135,Applications!$P$2:$P$3144,0)),Companies!$A$2:$A$31,0)),"-")</f>
        <v>-</v>
      </c>
    </row>
    <row r="136" customFormat="false" ht="15" hidden="false" customHeight="false" outlineLevel="0" collapsed="false">
      <c r="A136" s="21" t="s">
        <v>372</v>
      </c>
      <c r="B136" s="21" t="s">
        <v>373</v>
      </c>
      <c r="C136" s="21" t="s">
        <v>112</v>
      </c>
      <c r="D136" s="21" t="s">
        <v>64</v>
      </c>
      <c r="E136" s="21" t="s">
        <v>92</v>
      </c>
      <c r="F136" s="21" t="n">
        <v>6.51</v>
      </c>
      <c r="G136" s="21" t="n">
        <v>451</v>
      </c>
      <c r="H136" s="21" t="n">
        <v>3</v>
      </c>
      <c r="I136" s="21" t="s">
        <v>120</v>
      </c>
      <c r="J136" s="21" t="n">
        <v>52</v>
      </c>
      <c r="K136" s="32" t="n">
        <f aca="false">ROUND(Assumptions!$B$4*MIN(G136/Assumptions!$B$11,1)*100+Assumptions!$B$5*F136/10*100+Assumptions!$B$6*MIN(H136/Assumptions!$B$12,1)*100+Assumptions!$B$7*J136+Assumptions!$B$8*IF(I136="Yes",100,0),1)</f>
        <v>72.5</v>
      </c>
      <c r="L136" s="21" t="str">
        <f aca="false">LOOKUP(K136,Assumptions!$D$4:$D$7,Assumptions!$E$4:$E$7)</f>
        <v>Job-Ready</v>
      </c>
      <c r="M136" s="21" t="n">
        <f aca="false">COUNTIFS(Applications!$B$2:$B$3144,A136)</f>
        <v>7</v>
      </c>
      <c r="N136" s="21" t="n">
        <f aca="false">COUNTIFS(Applications!$B$2:$B$3144,A136,Applications!$F$2:$F$3144,"Offered")</f>
        <v>4</v>
      </c>
      <c r="O136" s="21" t="str">
        <f aca="false">IF(COUNTIFS(Applications!$B$2:$B$3144,A136,Applications!$H$2:$H$3144,"Yes")&gt;0,"Yes","No")</f>
        <v>Yes</v>
      </c>
      <c r="P136" s="32" t="n">
        <f aca="false">SUMIFS(Applications!$G$2:$G$3144,Applications!$B$2:$B$3144,A136,Applications!$H$2:$H$3144,"Yes")</f>
        <v>14</v>
      </c>
      <c r="Q136" s="21" t="str">
        <f aca="false">IF(O136="Yes",INDEX(Companies!$B$2:$B$31,MATCH(INDEX(Applications!$C$2:$C$3144,MATCH(A136,Applications!$P$2:$P$3144,0)),Companies!$A$2:$A$31,0)),"-")</f>
        <v>FinStack</v>
      </c>
    </row>
    <row r="137" customFormat="false" ht="15" hidden="false" customHeight="false" outlineLevel="0" collapsed="false">
      <c r="A137" s="21" t="s">
        <v>374</v>
      </c>
      <c r="B137" s="21" t="s">
        <v>375</v>
      </c>
      <c r="C137" s="21" t="s">
        <v>112</v>
      </c>
      <c r="D137" s="21" t="s">
        <v>66</v>
      </c>
      <c r="E137" s="21" t="s">
        <v>92</v>
      </c>
      <c r="F137" s="21" t="n">
        <v>7.91</v>
      </c>
      <c r="G137" s="21" t="n">
        <v>211</v>
      </c>
      <c r="H137" s="21" t="n">
        <v>3</v>
      </c>
      <c r="I137" s="21" t="s">
        <v>120</v>
      </c>
      <c r="J137" s="21" t="n">
        <v>47</v>
      </c>
      <c r="K137" s="32" t="n">
        <f aca="false">ROUND(Assumptions!$B$4*MIN(G137/Assumptions!$B$11,1)*100+Assumptions!$B$5*F137/10*100+Assumptions!$B$6*MIN(H137/Assumptions!$B$12,1)*100+Assumptions!$B$7*J137+Assumptions!$B$8*IF(I137="Yes",100,0),1)</f>
        <v>59.9</v>
      </c>
      <c r="L137" s="21" t="str">
        <f aca="false">LOOKUP(K137,Assumptions!$D$4:$D$7,Assumptions!$E$4:$E$7)</f>
        <v>Developing</v>
      </c>
      <c r="M137" s="21" t="n">
        <f aca="false">COUNTIFS(Applications!$B$2:$B$3144,A137)</f>
        <v>7</v>
      </c>
      <c r="N137" s="21" t="n">
        <f aca="false">COUNTIFS(Applications!$B$2:$B$3144,A137,Applications!$F$2:$F$3144,"Offered")</f>
        <v>2</v>
      </c>
      <c r="O137" s="21" t="str">
        <f aca="false">IF(COUNTIFS(Applications!$B$2:$B$3144,A137,Applications!$H$2:$H$3144,"Yes")&gt;0,"Yes","No")</f>
        <v>Yes</v>
      </c>
      <c r="P137" s="32" t="n">
        <f aca="false">SUMIFS(Applications!$G$2:$G$3144,Applications!$B$2:$B$3144,A137,Applications!$H$2:$H$3144,"Yes")</f>
        <v>13.4</v>
      </c>
      <c r="Q137" s="21" t="str">
        <f aca="false">IF(O137="Yes",INDEX(Companies!$B$2:$B$31,MATCH(INDEX(Applications!$C$2:$C$3144,MATCH(A137,Applications!$P$2:$P$3144,0)),Companies!$A$2:$A$31,0)),"-")</f>
        <v>CloudKraft</v>
      </c>
    </row>
    <row r="138" customFormat="false" ht="15" hidden="false" customHeight="false" outlineLevel="0" collapsed="false">
      <c r="A138" s="21" t="s">
        <v>376</v>
      </c>
      <c r="B138" s="21" t="s">
        <v>377</v>
      </c>
      <c r="C138" s="21" t="s">
        <v>112</v>
      </c>
      <c r="D138" s="21" t="s">
        <v>65</v>
      </c>
      <c r="E138" s="21" t="s">
        <v>90</v>
      </c>
      <c r="F138" s="21" t="n">
        <v>8.08</v>
      </c>
      <c r="G138" s="21" t="n">
        <v>122</v>
      </c>
      <c r="H138" s="21" t="n">
        <v>2</v>
      </c>
      <c r="I138" s="21" t="s">
        <v>113</v>
      </c>
      <c r="J138" s="21" t="n">
        <v>59</v>
      </c>
      <c r="K138" s="32" t="n">
        <f aca="false">ROUND(Assumptions!$B$4*MIN(G138/Assumptions!$B$11,1)*100+Assumptions!$B$5*F138/10*100+Assumptions!$B$6*MIN(H138/Assumptions!$B$12,1)*100+Assumptions!$B$7*J138+Assumptions!$B$8*IF(I138="Yes",100,0),1)</f>
        <v>43.3</v>
      </c>
      <c r="L138" s="21" t="str">
        <f aca="false">LOOKUP(K138,Assumptions!$D$4:$D$7,Assumptions!$E$4:$E$7)</f>
        <v>Foundation</v>
      </c>
      <c r="M138" s="21" t="n">
        <f aca="false">COUNTIFS(Applications!$B$2:$B$3144,A138)</f>
        <v>5</v>
      </c>
      <c r="N138" s="21" t="n">
        <f aca="false">COUNTIFS(Applications!$B$2:$B$3144,A138,Applications!$F$2:$F$3144,"Offered")</f>
        <v>0</v>
      </c>
      <c r="O138" s="21" t="str">
        <f aca="false">IF(COUNTIFS(Applications!$B$2:$B$3144,A138,Applications!$H$2:$H$3144,"Yes")&gt;0,"Yes","No")</f>
        <v>No</v>
      </c>
      <c r="P138" s="32" t="n">
        <f aca="false">SUMIFS(Applications!$G$2:$G$3144,Applications!$B$2:$B$3144,A138,Applications!$H$2:$H$3144,"Yes")</f>
        <v>0</v>
      </c>
      <c r="Q138" s="21" t="str">
        <f aca="false">IF(O138="Yes",INDEX(Companies!$B$2:$B$31,MATCH(INDEX(Applications!$C$2:$C$3144,MATCH(A138,Applications!$P$2:$P$3144,0)),Companies!$A$2:$A$31,0)),"-")</f>
        <v>-</v>
      </c>
    </row>
    <row r="139" customFormat="false" ht="15" hidden="false" customHeight="false" outlineLevel="0" collapsed="false">
      <c r="A139" s="21" t="s">
        <v>378</v>
      </c>
      <c r="B139" s="21" t="s">
        <v>379</v>
      </c>
      <c r="C139" s="21" t="s">
        <v>112</v>
      </c>
      <c r="D139" s="21" t="s">
        <v>64</v>
      </c>
      <c r="E139" s="21" t="s">
        <v>92</v>
      </c>
      <c r="F139" s="21" t="n">
        <v>6.38</v>
      </c>
      <c r="G139" s="21" t="n">
        <v>586</v>
      </c>
      <c r="H139" s="21" t="n">
        <v>2</v>
      </c>
      <c r="I139" s="21" t="s">
        <v>113</v>
      </c>
      <c r="J139" s="21" t="n">
        <v>55</v>
      </c>
      <c r="K139" s="32" t="n">
        <f aca="false">ROUND(Assumptions!$B$4*MIN(G139/Assumptions!$B$11,1)*100+Assumptions!$B$5*F139/10*100+Assumptions!$B$6*MIN(H139/Assumptions!$B$12,1)*100+Assumptions!$B$7*J139+Assumptions!$B$8*IF(I139="Yes",100,0),1)</f>
        <v>61.8</v>
      </c>
      <c r="L139" s="21" t="str">
        <f aca="false">LOOKUP(K139,Assumptions!$D$4:$D$7,Assumptions!$E$4:$E$7)</f>
        <v>Developing</v>
      </c>
      <c r="M139" s="21" t="n">
        <f aca="false">COUNTIFS(Applications!$B$2:$B$3144,A139)</f>
        <v>6</v>
      </c>
      <c r="N139" s="21" t="n">
        <f aca="false">COUNTIFS(Applications!$B$2:$B$3144,A139,Applications!$F$2:$F$3144,"Offered")</f>
        <v>4</v>
      </c>
      <c r="O139" s="21" t="str">
        <f aca="false">IF(COUNTIFS(Applications!$B$2:$B$3144,A139,Applications!$H$2:$H$3144,"Yes")&gt;0,"Yes","No")</f>
        <v>Yes</v>
      </c>
      <c r="P139" s="32" t="n">
        <f aca="false">SUMIFS(Applications!$G$2:$G$3144,Applications!$B$2:$B$3144,A139,Applications!$H$2:$H$3144,"Yes")</f>
        <v>15</v>
      </c>
      <c r="Q139" s="21" t="str">
        <f aca="false">IF(O139="Yes",INDEX(Companies!$B$2:$B$31,MATCH(INDEX(Applications!$C$2:$C$3144,MATCH(A139,Applications!$P$2:$P$3144,0)),Companies!$A$2:$A$31,0)),"-")</f>
        <v>Vertex AI Works</v>
      </c>
    </row>
    <row r="140" customFormat="false" ht="15" hidden="false" customHeight="false" outlineLevel="0" collapsed="false">
      <c r="A140" s="21" t="s">
        <v>380</v>
      </c>
      <c r="B140" s="21" t="s">
        <v>381</v>
      </c>
      <c r="C140" s="21" t="s">
        <v>112</v>
      </c>
      <c r="D140" s="21" t="s">
        <v>65</v>
      </c>
      <c r="E140" s="21" t="s">
        <v>91</v>
      </c>
      <c r="F140" s="21" t="n">
        <v>9.21</v>
      </c>
      <c r="G140" s="21" t="n">
        <v>128</v>
      </c>
      <c r="H140" s="21" t="n">
        <v>4</v>
      </c>
      <c r="I140" s="21" t="s">
        <v>120</v>
      </c>
      <c r="J140" s="21" t="n">
        <v>47</v>
      </c>
      <c r="K140" s="32" t="n">
        <f aca="false">ROUND(Assumptions!$B$4*MIN(G140/Assumptions!$B$11,1)*100+Assumptions!$B$5*F140/10*100+Assumptions!$B$6*MIN(H140/Assumptions!$B$12,1)*100+Assumptions!$B$7*J140+Assumptions!$B$8*IF(I140="Yes",100,0),1)</f>
        <v>61.5</v>
      </c>
      <c r="L140" s="21" t="str">
        <f aca="false">LOOKUP(K140,Assumptions!$D$4:$D$7,Assumptions!$E$4:$E$7)</f>
        <v>Developing</v>
      </c>
      <c r="M140" s="21" t="n">
        <f aca="false">COUNTIFS(Applications!$B$2:$B$3144,A140)</f>
        <v>3</v>
      </c>
      <c r="N140" s="21" t="n">
        <f aca="false">COUNTIFS(Applications!$B$2:$B$3144,A140,Applications!$F$2:$F$3144,"Offered")</f>
        <v>1</v>
      </c>
      <c r="O140" s="21" t="str">
        <f aca="false">IF(COUNTIFS(Applications!$B$2:$B$3144,A140,Applications!$H$2:$H$3144,"Yes")&gt;0,"Yes","No")</f>
        <v>Yes</v>
      </c>
      <c r="P140" s="32" t="n">
        <f aca="false">SUMIFS(Applications!$G$2:$G$3144,Applications!$B$2:$B$3144,A140,Applications!$H$2:$H$3144,"Yes")</f>
        <v>10.3</v>
      </c>
      <c r="Q140" s="21" t="str">
        <f aca="false">IF(O140="Yes",INDEX(Companies!$B$2:$B$31,MATCH(INDEX(Applications!$C$2:$C$3144,MATCH(A140,Applications!$P$2:$P$3144,0)),Companies!$A$2:$A$31,0)),"-")</f>
        <v>FinStack</v>
      </c>
    </row>
    <row r="141" customFormat="false" ht="15" hidden="false" customHeight="false" outlineLevel="0" collapsed="false">
      <c r="A141" s="21" t="s">
        <v>382</v>
      </c>
      <c r="B141" s="21" t="s">
        <v>383</v>
      </c>
      <c r="C141" s="21" t="s">
        <v>112</v>
      </c>
      <c r="D141" s="21" t="s">
        <v>63</v>
      </c>
      <c r="E141" s="21" t="s">
        <v>91</v>
      </c>
      <c r="F141" s="21" t="n">
        <v>8.05</v>
      </c>
      <c r="G141" s="21" t="n">
        <v>99</v>
      </c>
      <c r="H141" s="21" t="n">
        <v>1</v>
      </c>
      <c r="I141" s="21" t="s">
        <v>113</v>
      </c>
      <c r="J141" s="21" t="n">
        <v>77</v>
      </c>
      <c r="K141" s="32" t="n">
        <f aca="false">ROUND(Assumptions!$B$4*MIN(G141/Assumptions!$B$11,1)*100+Assumptions!$B$5*F141/10*100+Assumptions!$B$6*MIN(H141/Assumptions!$B$12,1)*100+Assumptions!$B$7*J141+Assumptions!$B$8*IF(I141="Yes",100,0),1)</f>
        <v>41.4</v>
      </c>
      <c r="L141" s="21" t="str">
        <f aca="false">LOOKUP(K141,Assumptions!$D$4:$D$7,Assumptions!$E$4:$E$7)</f>
        <v>Foundation</v>
      </c>
      <c r="M141" s="21" t="n">
        <f aca="false">COUNTIFS(Applications!$B$2:$B$3144,A141)</f>
        <v>9</v>
      </c>
      <c r="N141" s="21" t="n">
        <f aca="false">COUNTIFS(Applications!$B$2:$B$3144,A141,Applications!$F$2:$F$3144,"Offered")</f>
        <v>1</v>
      </c>
      <c r="O141" s="21" t="str">
        <f aca="false">IF(COUNTIFS(Applications!$B$2:$B$3144,A141,Applications!$H$2:$H$3144,"Yes")&gt;0,"Yes","No")</f>
        <v>Yes</v>
      </c>
      <c r="P141" s="32" t="n">
        <f aca="false">SUMIFS(Applications!$G$2:$G$3144,Applications!$B$2:$B$3144,A141,Applications!$H$2:$H$3144,"Yes")</f>
        <v>11.1</v>
      </c>
      <c r="Q141" s="21" t="str">
        <f aca="false">IF(O141="Yes",INDEX(Companies!$B$2:$B$31,MATCH(INDEX(Applications!$C$2:$C$3144,MATCH(A141,Applications!$P$2:$P$3144,0)),Companies!$A$2:$A$31,0)),"-")</f>
        <v>FinStack</v>
      </c>
    </row>
    <row r="142" customFormat="false" ht="15" hidden="false" customHeight="false" outlineLevel="0" collapsed="false">
      <c r="A142" s="21" t="s">
        <v>384</v>
      </c>
      <c r="B142" s="21" t="s">
        <v>385</v>
      </c>
      <c r="C142" s="21" t="s">
        <v>112</v>
      </c>
      <c r="D142" s="21" t="s">
        <v>67</v>
      </c>
      <c r="E142" s="21" t="s">
        <v>91</v>
      </c>
      <c r="F142" s="21" t="n">
        <v>7.57</v>
      </c>
      <c r="G142" s="21" t="n">
        <v>261</v>
      </c>
      <c r="H142" s="21" t="n">
        <v>4</v>
      </c>
      <c r="I142" s="21" t="s">
        <v>113</v>
      </c>
      <c r="J142" s="21" t="n">
        <v>59</v>
      </c>
      <c r="K142" s="32" t="n">
        <f aca="false">ROUND(Assumptions!$B$4*MIN(G142/Assumptions!$B$11,1)*100+Assumptions!$B$5*F142/10*100+Assumptions!$B$6*MIN(H142/Assumptions!$B$12,1)*100+Assumptions!$B$7*J142+Assumptions!$B$8*IF(I142="Yes",100,0),1)</f>
        <v>58.6</v>
      </c>
      <c r="L142" s="21" t="str">
        <f aca="false">LOOKUP(K142,Assumptions!$D$4:$D$7,Assumptions!$E$4:$E$7)</f>
        <v>Developing</v>
      </c>
      <c r="M142" s="21" t="n">
        <f aca="false">COUNTIFS(Applications!$B$2:$B$3144,A142)</f>
        <v>7</v>
      </c>
      <c r="N142" s="21" t="n">
        <f aca="false">COUNTIFS(Applications!$B$2:$B$3144,A142,Applications!$F$2:$F$3144,"Offered")</f>
        <v>2</v>
      </c>
      <c r="O142" s="21" t="str">
        <f aca="false">IF(COUNTIFS(Applications!$B$2:$B$3144,A142,Applications!$H$2:$H$3144,"Yes")&gt;0,"Yes","No")</f>
        <v>Yes</v>
      </c>
      <c r="P142" s="32" t="n">
        <f aca="false">SUMIFS(Applications!$G$2:$G$3144,Applications!$B$2:$B$3144,A142,Applications!$H$2:$H$3144,"Yes")</f>
        <v>6.5</v>
      </c>
      <c r="Q142" s="21" t="str">
        <f aca="false">IF(O142="Yes",INDEX(Companies!$B$2:$B$31,MATCH(INDEX(Applications!$C$2:$C$3144,MATCH(A142,Applications!$P$2:$P$3144,0)),Companies!$A$2:$A$31,0)),"-")</f>
        <v>Bharat Digital</v>
      </c>
    </row>
    <row r="143" customFormat="false" ht="15" hidden="false" customHeight="false" outlineLevel="0" collapsed="false">
      <c r="A143" s="21" t="s">
        <v>386</v>
      </c>
      <c r="B143" s="21" t="s">
        <v>387</v>
      </c>
      <c r="C143" s="21" t="s">
        <v>112</v>
      </c>
      <c r="D143" s="21" t="s">
        <v>64</v>
      </c>
      <c r="E143" s="21" t="s">
        <v>90</v>
      </c>
      <c r="F143" s="21" t="n">
        <v>8.83</v>
      </c>
      <c r="G143" s="21" t="n">
        <v>614</v>
      </c>
      <c r="H143" s="21" t="n">
        <v>3</v>
      </c>
      <c r="I143" s="21" t="s">
        <v>120</v>
      </c>
      <c r="J143" s="21" t="n">
        <v>74</v>
      </c>
      <c r="K143" s="32" t="n">
        <f aca="false">ROUND(Assumptions!$B$4*MIN(G143/Assumptions!$B$11,1)*100+Assumptions!$B$5*F143/10*100+Assumptions!$B$6*MIN(H143/Assumptions!$B$12,1)*100+Assumptions!$B$7*J143+Assumptions!$B$8*IF(I143="Yes",100,0),1)</f>
        <v>84.5</v>
      </c>
      <c r="L143" s="21" t="str">
        <f aca="false">LOOKUP(K143,Assumptions!$D$4:$D$7,Assumptions!$E$4:$E$7)</f>
        <v>Elite</v>
      </c>
      <c r="M143" s="21" t="n">
        <f aca="false">COUNTIFS(Applications!$B$2:$B$3144,A143)</f>
        <v>5</v>
      </c>
      <c r="N143" s="21" t="n">
        <f aca="false">COUNTIFS(Applications!$B$2:$B$3144,A143,Applications!$F$2:$F$3144,"Offered")</f>
        <v>2</v>
      </c>
      <c r="O143" s="21" t="str">
        <f aca="false">IF(COUNTIFS(Applications!$B$2:$B$3144,A143,Applications!$H$2:$H$3144,"Yes")&gt;0,"Yes","No")</f>
        <v>Yes</v>
      </c>
      <c r="P143" s="32" t="n">
        <f aca="false">SUMIFS(Applications!$G$2:$G$3144,Applications!$B$2:$B$3144,A143,Applications!$H$2:$H$3144,"Yes")</f>
        <v>13.4</v>
      </c>
      <c r="Q143" s="21" t="str">
        <f aca="false">IF(O143="Yes",INDEX(Companies!$B$2:$B$31,MATCH(INDEX(Applications!$C$2:$C$3144,MATCH(A143,Applications!$P$2:$P$3144,0)),Companies!$A$2:$A$31,0)),"-")</f>
        <v>CloudKraft</v>
      </c>
    </row>
    <row r="144" customFormat="false" ht="15" hidden="false" customHeight="false" outlineLevel="0" collapsed="false">
      <c r="A144" s="21" t="s">
        <v>388</v>
      </c>
      <c r="B144" s="21" t="s">
        <v>389</v>
      </c>
      <c r="C144" s="21" t="s">
        <v>112</v>
      </c>
      <c r="D144" s="21" t="s">
        <v>64</v>
      </c>
      <c r="E144" s="21" t="s">
        <v>90</v>
      </c>
      <c r="F144" s="21" t="n">
        <v>6.99</v>
      </c>
      <c r="G144" s="21" t="n">
        <v>805</v>
      </c>
      <c r="H144" s="21" t="n">
        <v>3</v>
      </c>
      <c r="I144" s="21" t="s">
        <v>113</v>
      </c>
      <c r="J144" s="21" t="n">
        <v>51</v>
      </c>
      <c r="K144" s="32" t="n">
        <f aca="false">ROUND(Assumptions!$B$4*MIN(G144/Assumptions!$B$11,1)*100+Assumptions!$B$5*F144/10*100+Assumptions!$B$6*MIN(H144/Assumptions!$B$12,1)*100+Assumptions!$B$7*J144+Assumptions!$B$8*IF(I144="Yes",100,0),1)</f>
        <v>66.2</v>
      </c>
      <c r="L144" s="21" t="str">
        <f aca="false">LOOKUP(K144,Assumptions!$D$4:$D$7,Assumptions!$E$4:$E$7)</f>
        <v>Job-Ready</v>
      </c>
      <c r="M144" s="21" t="n">
        <f aca="false">COUNTIFS(Applications!$B$2:$B$3144,A144)</f>
        <v>5</v>
      </c>
      <c r="N144" s="21" t="n">
        <f aca="false">COUNTIFS(Applications!$B$2:$B$3144,A144,Applications!$F$2:$F$3144,"Offered")</f>
        <v>1</v>
      </c>
      <c r="O144" s="21" t="str">
        <f aca="false">IF(COUNTIFS(Applications!$B$2:$B$3144,A144,Applications!$H$2:$H$3144,"Yes")&gt;0,"Yes","No")</f>
        <v>Yes</v>
      </c>
      <c r="P144" s="32" t="n">
        <f aca="false">SUMIFS(Applications!$G$2:$G$3144,Applications!$B$2:$B$3144,A144,Applications!$H$2:$H$3144,"Yes")</f>
        <v>6</v>
      </c>
      <c r="Q144" s="21" t="str">
        <f aca="false">IF(O144="Yes",INDEX(Companies!$B$2:$B$31,MATCH(INDEX(Applications!$C$2:$C$3144,MATCH(A144,Applications!$P$2:$P$3144,0)),Companies!$A$2:$A$31,0)),"-")</f>
        <v>Sapphire Infotech</v>
      </c>
    </row>
    <row r="145" customFormat="false" ht="15" hidden="false" customHeight="false" outlineLevel="0" collapsed="false">
      <c r="A145" s="21" t="s">
        <v>390</v>
      </c>
      <c r="B145" s="21" t="s">
        <v>342</v>
      </c>
      <c r="C145" s="21" t="s">
        <v>112</v>
      </c>
      <c r="D145" s="21" t="s">
        <v>64</v>
      </c>
      <c r="E145" s="21" t="s">
        <v>91</v>
      </c>
      <c r="F145" s="21" t="n">
        <v>7.37</v>
      </c>
      <c r="G145" s="21" t="n">
        <v>233</v>
      </c>
      <c r="H145" s="21" t="n">
        <v>4</v>
      </c>
      <c r="I145" s="21" t="s">
        <v>113</v>
      </c>
      <c r="J145" s="21" t="n">
        <v>43</v>
      </c>
      <c r="K145" s="32" t="n">
        <f aca="false">ROUND(Assumptions!$B$4*MIN(G145/Assumptions!$B$11,1)*100+Assumptions!$B$5*F145/10*100+Assumptions!$B$6*MIN(H145/Assumptions!$B$12,1)*100+Assumptions!$B$7*J145+Assumptions!$B$8*IF(I145="Yes",100,0),1)</f>
        <v>53.3</v>
      </c>
      <c r="L145" s="21" t="str">
        <f aca="false">LOOKUP(K145,Assumptions!$D$4:$D$7,Assumptions!$E$4:$E$7)</f>
        <v>Developing</v>
      </c>
      <c r="M145" s="21" t="n">
        <f aca="false">COUNTIFS(Applications!$B$2:$B$3144,A145)</f>
        <v>3</v>
      </c>
      <c r="N145" s="21" t="n">
        <f aca="false">COUNTIFS(Applications!$B$2:$B$3144,A145,Applications!$F$2:$F$3144,"Offered")</f>
        <v>0</v>
      </c>
      <c r="O145" s="21" t="str">
        <f aca="false">IF(COUNTIFS(Applications!$B$2:$B$3144,A145,Applications!$H$2:$H$3144,"Yes")&gt;0,"Yes","No")</f>
        <v>No</v>
      </c>
      <c r="P145" s="32" t="n">
        <f aca="false">SUMIFS(Applications!$G$2:$G$3144,Applications!$B$2:$B$3144,A145,Applications!$H$2:$H$3144,"Yes")</f>
        <v>0</v>
      </c>
      <c r="Q145" s="21" t="str">
        <f aca="false">IF(O145="Yes",INDEX(Companies!$B$2:$B$31,MATCH(INDEX(Applications!$C$2:$C$3144,MATCH(A145,Applications!$P$2:$P$3144,0)),Companies!$A$2:$A$31,0)),"-")</f>
        <v>-</v>
      </c>
    </row>
    <row r="146" customFormat="false" ht="15" hidden="false" customHeight="false" outlineLevel="0" collapsed="false">
      <c r="A146" s="21" t="s">
        <v>391</v>
      </c>
      <c r="B146" s="21" t="s">
        <v>392</v>
      </c>
      <c r="C146" s="21" t="s">
        <v>112</v>
      </c>
      <c r="D146" s="21" t="s">
        <v>65</v>
      </c>
      <c r="E146" s="21" t="s">
        <v>92</v>
      </c>
      <c r="F146" s="21" t="n">
        <v>6.29</v>
      </c>
      <c r="G146" s="21" t="n">
        <v>183</v>
      </c>
      <c r="H146" s="21" t="n">
        <v>2</v>
      </c>
      <c r="I146" s="21" t="s">
        <v>113</v>
      </c>
      <c r="J146" s="21" t="n">
        <v>48</v>
      </c>
      <c r="K146" s="32" t="n">
        <f aca="false">ROUND(Assumptions!$B$4*MIN(G146/Assumptions!$B$11,1)*100+Assumptions!$B$5*F146/10*100+Assumptions!$B$6*MIN(H146/Assumptions!$B$12,1)*100+Assumptions!$B$7*J146+Assumptions!$B$8*IF(I146="Yes",100,0),1)</f>
        <v>41.2</v>
      </c>
      <c r="L146" s="21" t="str">
        <f aca="false">LOOKUP(K146,Assumptions!$D$4:$D$7,Assumptions!$E$4:$E$7)</f>
        <v>Foundation</v>
      </c>
      <c r="M146" s="21" t="n">
        <f aca="false">COUNTIFS(Applications!$B$2:$B$3144,A146)</f>
        <v>6</v>
      </c>
      <c r="N146" s="21" t="n">
        <f aca="false">COUNTIFS(Applications!$B$2:$B$3144,A146,Applications!$F$2:$F$3144,"Offered")</f>
        <v>1</v>
      </c>
      <c r="O146" s="21" t="str">
        <f aca="false">IF(COUNTIFS(Applications!$B$2:$B$3144,A146,Applications!$H$2:$H$3144,"Yes")&gt;0,"Yes","No")</f>
        <v>Yes</v>
      </c>
      <c r="P146" s="32" t="n">
        <f aca="false">SUMIFS(Applications!$G$2:$G$3144,Applications!$B$2:$B$3144,A146,Applications!$H$2:$H$3144,"Yes")</f>
        <v>5.2</v>
      </c>
      <c r="Q146" s="21" t="str">
        <f aca="false">IF(O146="Yes",INDEX(Companies!$B$2:$B$31,MATCH(INDEX(Applications!$C$2:$C$3144,MATCH(A146,Applications!$P$2:$P$3144,0)),Companies!$A$2:$A$31,0)),"-")</f>
        <v>Metro Systems</v>
      </c>
    </row>
    <row r="147" customFormat="false" ht="15" hidden="false" customHeight="false" outlineLevel="0" collapsed="false">
      <c r="A147" s="21" t="s">
        <v>393</v>
      </c>
      <c r="B147" s="21" t="s">
        <v>394</v>
      </c>
      <c r="C147" s="21" t="s">
        <v>112</v>
      </c>
      <c r="D147" s="21" t="s">
        <v>65</v>
      </c>
      <c r="E147" s="21" t="s">
        <v>92</v>
      </c>
      <c r="F147" s="21" t="n">
        <v>6.07</v>
      </c>
      <c r="G147" s="21" t="n">
        <v>192</v>
      </c>
      <c r="H147" s="21" t="n">
        <v>1</v>
      </c>
      <c r="I147" s="21" t="s">
        <v>113</v>
      </c>
      <c r="J147" s="21" t="n">
        <v>57</v>
      </c>
      <c r="K147" s="32" t="n">
        <f aca="false">ROUND(Assumptions!$B$4*MIN(G147/Assumptions!$B$11,1)*100+Assumptions!$B$5*F147/10*100+Assumptions!$B$6*MIN(H147/Assumptions!$B$12,1)*100+Assumptions!$B$7*J147+Assumptions!$B$8*IF(I147="Yes",100,0),1)</f>
        <v>39.1</v>
      </c>
      <c r="L147" s="21" t="str">
        <f aca="false">LOOKUP(K147,Assumptions!$D$4:$D$7,Assumptions!$E$4:$E$7)</f>
        <v>Foundation</v>
      </c>
      <c r="M147" s="21" t="n">
        <f aca="false">COUNTIFS(Applications!$B$2:$B$3144,A147)</f>
        <v>4</v>
      </c>
      <c r="N147" s="21" t="n">
        <f aca="false">COUNTIFS(Applications!$B$2:$B$3144,A147,Applications!$F$2:$F$3144,"Offered")</f>
        <v>1</v>
      </c>
      <c r="O147" s="21" t="str">
        <f aca="false">IF(COUNTIFS(Applications!$B$2:$B$3144,A147,Applications!$H$2:$H$3144,"Yes")&gt;0,"Yes","No")</f>
        <v>Yes</v>
      </c>
      <c r="P147" s="32" t="n">
        <f aca="false">SUMIFS(Applications!$G$2:$G$3144,Applications!$B$2:$B$3144,A147,Applications!$H$2:$H$3144,"Yes")</f>
        <v>5.2</v>
      </c>
      <c r="Q147" s="21" t="str">
        <f aca="false">IF(O147="Yes",INDEX(Companies!$B$2:$B$31,MATCH(INDEX(Applications!$C$2:$C$3144,MATCH(A147,Applications!$P$2:$P$3144,0)),Companies!$A$2:$A$31,0)),"-")</f>
        <v>Sapphire Infotech</v>
      </c>
    </row>
    <row r="148" customFormat="false" ht="15" hidden="false" customHeight="false" outlineLevel="0" collapsed="false">
      <c r="A148" s="21" t="s">
        <v>395</v>
      </c>
      <c r="B148" s="21" t="s">
        <v>396</v>
      </c>
      <c r="C148" s="21" t="s">
        <v>112</v>
      </c>
      <c r="D148" s="21" t="s">
        <v>64</v>
      </c>
      <c r="E148" s="21" t="s">
        <v>91</v>
      </c>
      <c r="F148" s="21" t="n">
        <v>7.37</v>
      </c>
      <c r="G148" s="21" t="n">
        <v>349</v>
      </c>
      <c r="H148" s="21" t="n">
        <v>5</v>
      </c>
      <c r="I148" s="21" t="s">
        <v>113</v>
      </c>
      <c r="J148" s="21" t="n">
        <v>61</v>
      </c>
      <c r="K148" s="32" t="n">
        <f aca="false">ROUND(Assumptions!$B$4*MIN(G148/Assumptions!$B$11,1)*100+Assumptions!$B$5*F148/10*100+Assumptions!$B$6*MIN(H148/Assumptions!$B$12,1)*100+Assumptions!$B$7*J148+Assumptions!$B$8*IF(I148="Yes",100,0),1)</f>
        <v>67.9</v>
      </c>
      <c r="L148" s="21" t="str">
        <f aca="false">LOOKUP(K148,Assumptions!$D$4:$D$7,Assumptions!$E$4:$E$7)</f>
        <v>Job-Ready</v>
      </c>
      <c r="M148" s="21" t="n">
        <f aca="false">COUNTIFS(Applications!$B$2:$B$3144,A148)</f>
        <v>4</v>
      </c>
      <c r="N148" s="21" t="n">
        <f aca="false">COUNTIFS(Applications!$B$2:$B$3144,A148,Applications!$F$2:$F$3144,"Offered")</f>
        <v>1</v>
      </c>
      <c r="O148" s="21" t="str">
        <f aca="false">IF(COUNTIFS(Applications!$B$2:$B$3144,A148,Applications!$H$2:$H$3144,"Yes")&gt;0,"Yes","No")</f>
        <v>Yes</v>
      </c>
      <c r="P148" s="32" t="n">
        <f aca="false">SUMIFS(Applications!$G$2:$G$3144,Applications!$B$2:$B$3144,A148,Applications!$H$2:$H$3144,"Yes")</f>
        <v>5.7</v>
      </c>
      <c r="Q148" s="21" t="str">
        <f aca="false">IF(O148="Yes",INDEX(Companies!$B$2:$B$31,MATCH(INDEX(Applications!$C$2:$C$3144,MATCH(A148,Applications!$P$2:$P$3144,0)),Companies!$A$2:$A$31,0)),"-")</f>
        <v>AlphaGrid Tech</v>
      </c>
    </row>
    <row r="149" customFormat="false" ht="15" hidden="false" customHeight="false" outlineLevel="0" collapsed="false">
      <c r="A149" s="21" t="s">
        <v>397</v>
      </c>
      <c r="B149" s="21" t="s">
        <v>398</v>
      </c>
      <c r="C149" s="21" t="s">
        <v>112</v>
      </c>
      <c r="D149" s="21" t="s">
        <v>64</v>
      </c>
      <c r="E149" s="21" t="s">
        <v>92</v>
      </c>
      <c r="F149" s="21" t="n">
        <v>5.72</v>
      </c>
      <c r="G149" s="21" t="n">
        <v>548</v>
      </c>
      <c r="H149" s="21" t="n">
        <v>8</v>
      </c>
      <c r="I149" s="21" t="s">
        <v>113</v>
      </c>
      <c r="J149" s="21" t="n">
        <v>49</v>
      </c>
      <c r="K149" s="32" t="n">
        <f aca="false">ROUND(Assumptions!$B$4*MIN(G149/Assumptions!$B$11,1)*100+Assumptions!$B$5*F149/10*100+Assumptions!$B$6*MIN(H149/Assumptions!$B$12,1)*100+Assumptions!$B$7*J149+Assumptions!$B$8*IF(I149="Yes",100,0),1)</f>
        <v>71.2</v>
      </c>
      <c r="L149" s="21" t="str">
        <f aca="false">LOOKUP(K149,Assumptions!$D$4:$D$7,Assumptions!$E$4:$E$7)</f>
        <v>Job-Ready</v>
      </c>
      <c r="M149" s="21" t="n">
        <f aca="false">COUNTIFS(Applications!$B$2:$B$3144,A149)</f>
        <v>7</v>
      </c>
      <c r="N149" s="21" t="n">
        <f aca="false">COUNTIFS(Applications!$B$2:$B$3144,A149,Applications!$F$2:$F$3144,"Offered")</f>
        <v>4</v>
      </c>
      <c r="O149" s="21" t="str">
        <f aca="false">IF(COUNTIFS(Applications!$B$2:$B$3144,A149,Applications!$H$2:$H$3144,"Yes")&gt;0,"Yes","No")</f>
        <v>Yes</v>
      </c>
      <c r="P149" s="32" t="n">
        <f aca="false">SUMIFS(Applications!$G$2:$G$3144,Applications!$B$2:$B$3144,A149,Applications!$H$2:$H$3144,"Yes")</f>
        <v>16.1</v>
      </c>
      <c r="Q149" s="21" t="str">
        <f aca="false">IF(O149="Yes",INDEX(Companies!$B$2:$B$31,MATCH(INDEX(Applications!$C$2:$C$3144,MATCH(A149,Applications!$P$2:$P$3144,0)),Companies!$A$2:$A$31,0)),"-")</f>
        <v>SkillForge</v>
      </c>
    </row>
    <row r="150" customFormat="false" ht="15" hidden="false" customHeight="false" outlineLevel="0" collapsed="false">
      <c r="A150" s="21" t="s">
        <v>399</v>
      </c>
      <c r="B150" s="21" t="s">
        <v>119</v>
      </c>
      <c r="C150" s="21" t="s">
        <v>112</v>
      </c>
      <c r="D150" s="21" t="s">
        <v>66</v>
      </c>
      <c r="E150" s="21" t="s">
        <v>92</v>
      </c>
      <c r="F150" s="21" t="n">
        <v>6.71</v>
      </c>
      <c r="G150" s="21" t="n">
        <v>211</v>
      </c>
      <c r="H150" s="21" t="n">
        <v>3</v>
      </c>
      <c r="I150" s="21" t="s">
        <v>113</v>
      </c>
      <c r="J150" s="21" t="n">
        <v>65</v>
      </c>
      <c r="K150" s="32" t="n">
        <f aca="false">ROUND(Assumptions!$B$4*MIN(G150/Assumptions!$B$11,1)*100+Assumptions!$B$5*F150/10*100+Assumptions!$B$6*MIN(H150/Assumptions!$B$12,1)*100+Assumptions!$B$7*J150+Assumptions!$B$8*IF(I150="Yes",100,0),1)</f>
        <v>51.1</v>
      </c>
      <c r="L150" s="21" t="str">
        <f aca="false">LOOKUP(K150,Assumptions!$D$4:$D$7,Assumptions!$E$4:$E$7)</f>
        <v>Developing</v>
      </c>
      <c r="M150" s="21" t="n">
        <f aca="false">COUNTIFS(Applications!$B$2:$B$3144,A150)</f>
        <v>7</v>
      </c>
      <c r="N150" s="21" t="n">
        <f aca="false">COUNTIFS(Applications!$B$2:$B$3144,A150,Applications!$F$2:$F$3144,"Offered")</f>
        <v>0</v>
      </c>
      <c r="O150" s="21" t="str">
        <f aca="false">IF(COUNTIFS(Applications!$B$2:$B$3144,A150,Applications!$H$2:$H$3144,"Yes")&gt;0,"Yes","No")</f>
        <v>No</v>
      </c>
      <c r="P150" s="32" t="n">
        <f aca="false">SUMIFS(Applications!$G$2:$G$3144,Applications!$B$2:$B$3144,A150,Applications!$H$2:$H$3144,"Yes")</f>
        <v>0</v>
      </c>
      <c r="Q150" s="21" t="str">
        <f aca="false">IF(O150="Yes",INDEX(Companies!$B$2:$B$31,MATCH(INDEX(Applications!$C$2:$C$3144,MATCH(A150,Applications!$P$2:$P$3144,0)),Companies!$A$2:$A$31,0)),"-")</f>
        <v>-</v>
      </c>
    </row>
    <row r="151" customFormat="false" ht="15" hidden="false" customHeight="false" outlineLevel="0" collapsed="false">
      <c r="A151" s="21" t="s">
        <v>400</v>
      </c>
      <c r="B151" s="21" t="s">
        <v>401</v>
      </c>
      <c r="C151" s="21" t="s">
        <v>112</v>
      </c>
      <c r="D151" s="21" t="s">
        <v>66</v>
      </c>
      <c r="E151" s="21" t="s">
        <v>91</v>
      </c>
      <c r="F151" s="21" t="n">
        <v>6.97</v>
      </c>
      <c r="G151" s="21" t="n">
        <v>239</v>
      </c>
      <c r="H151" s="21" t="n">
        <v>4</v>
      </c>
      <c r="I151" s="21" t="s">
        <v>120</v>
      </c>
      <c r="J151" s="21" t="n">
        <v>71</v>
      </c>
      <c r="K151" s="32" t="n">
        <f aca="false">ROUND(Assumptions!$B$4*MIN(G151/Assumptions!$B$11,1)*100+Assumptions!$B$5*F151/10*100+Assumptions!$B$6*MIN(H151/Assumptions!$B$12,1)*100+Assumptions!$B$7*J151+Assumptions!$B$8*IF(I151="Yes",100,0),1)</f>
        <v>68.5</v>
      </c>
      <c r="L151" s="21" t="str">
        <f aca="false">LOOKUP(K151,Assumptions!$D$4:$D$7,Assumptions!$E$4:$E$7)</f>
        <v>Job-Ready</v>
      </c>
      <c r="M151" s="21" t="n">
        <f aca="false">COUNTIFS(Applications!$B$2:$B$3144,A151)</f>
        <v>6</v>
      </c>
      <c r="N151" s="21" t="n">
        <f aca="false">COUNTIFS(Applications!$B$2:$B$3144,A151,Applications!$F$2:$F$3144,"Offered")</f>
        <v>3</v>
      </c>
      <c r="O151" s="21" t="str">
        <f aca="false">IF(COUNTIFS(Applications!$B$2:$B$3144,A151,Applications!$H$2:$H$3144,"Yes")&gt;0,"Yes","No")</f>
        <v>Yes</v>
      </c>
      <c r="P151" s="32" t="n">
        <f aca="false">SUMIFS(Applications!$G$2:$G$3144,Applications!$B$2:$B$3144,A151,Applications!$H$2:$H$3144,"Yes")</f>
        <v>8.5</v>
      </c>
      <c r="Q151" s="21" t="str">
        <f aca="false">IF(O151="Yes",INDEX(Companies!$B$2:$B$31,MATCH(INDEX(Applications!$C$2:$C$3144,MATCH(A151,Applications!$P$2:$P$3144,0)),Companies!$A$2:$A$31,0)),"-")</f>
        <v>AlphaGrid Tech</v>
      </c>
    </row>
    <row r="152" customFormat="false" ht="15" hidden="false" customHeight="false" outlineLevel="0" collapsed="false">
      <c r="A152" s="21" t="s">
        <v>402</v>
      </c>
      <c r="B152" s="21" t="s">
        <v>403</v>
      </c>
      <c r="C152" s="21" t="s">
        <v>112</v>
      </c>
      <c r="D152" s="21" t="s">
        <v>67</v>
      </c>
      <c r="E152" s="21" t="s">
        <v>90</v>
      </c>
      <c r="F152" s="21" t="n">
        <v>8.1</v>
      </c>
      <c r="G152" s="21" t="n">
        <v>325</v>
      </c>
      <c r="H152" s="21" t="n">
        <v>0</v>
      </c>
      <c r="I152" s="21" t="s">
        <v>113</v>
      </c>
      <c r="J152" s="21" t="n">
        <v>67</v>
      </c>
      <c r="K152" s="32" t="n">
        <f aca="false">ROUND(Assumptions!$B$4*MIN(G152/Assumptions!$B$11,1)*100+Assumptions!$B$5*F152/10*100+Assumptions!$B$6*MIN(H152/Assumptions!$B$12,1)*100+Assumptions!$B$7*J152+Assumptions!$B$8*IF(I152="Yes",100,0),1)</f>
        <v>49.1</v>
      </c>
      <c r="L152" s="21" t="str">
        <f aca="false">LOOKUP(K152,Assumptions!$D$4:$D$7,Assumptions!$E$4:$E$7)</f>
        <v>Foundation</v>
      </c>
      <c r="M152" s="21" t="n">
        <f aca="false">COUNTIFS(Applications!$B$2:$B$3144,A152)</f>
        <v>6</v>
      </c>
      <c r="N152" s="21" t="n">
        <f aca="false">COUNTIFS(Applications!$B$2:$B$3144,A152,Applications!$F$2:$F$3144,"Offered")</f>
        <v>0</v>
      </c>
      <c r="O152" s="21" t="str">
        <f aca="false">IF(COUNTIFS(Applications!$B$2:$B$3144,A152,Applications!$H$2:$H$3144,"Yes")&gt;0,"Yes","No")</f>
        <v>No</v>
      </c>
      <c r="P152" s="32" t="n">
        <f aca="false">SUMIFS(Applications!$G$2:$G$3144,Applications!$B$2:$B$3144,A152,Applications!$H$2:$H$3144,"Yes")</f>
        <v>0</v>
      </c>
      <c r="Q152" s="21" t="str">
        <f aca="false">IF(O152="Yes",INDEX(Companies!$B$2:$B$31,MATCH(INDEX(Applications!$C$2:$C$3144,MATCH(A152,Applications!$P$2:$P$3144,0)),Companies!$A$2:$A$31,0)),"-")</f>
        <v>-</v>
      </c>
    </row>
    <row r="153" customFormat="false" ht="15" hidden="false" customHeight="false" outlineLevel="0" collapsed="false">
      <c r="A153" s="21" t="s">
        <v>404</v>
      </c>
      <c r="B153" s="21" t="s">
        <v>405</v>
      </c>
      <c r="C153" s="21" t="s">
        <v>112</v>
      </c>
      <c r="D153" s="21" t="s">
        <v>65</v>
      </c>
      <c r="E153" s="21" t="s">
        <v>91</v>
      </c>
      <c r="F153" s="21" t="n">
        <v>8.77</v>
      </c>
      <c r="G153" s="21" t="n">
        <v>269</v>
      </c>
      <c r="H153" s="21" t="n">
        <v>0</v>
      </c>
      <c r="I153" s="21" t="s">
        <v>120</v>
      </c>
      <c r="J153" s="21" t="n">
        <v>71</v>
      </c>
      <c r="K153" s="32" t="n">
        <f aca="false">ROUND(Assumptions!$B$4*MIN(G153/Assumptions!$B$11,1)*100+Assumptions!$B$5*F153/10*100+Assumptions!$B$6*MIN(H153/Assumptions!$B$12,1)*100+Assumptions!$B$7*J153+Assumptions!$B$8*IF(I153="Yes",100,0),1)</f>
        <v>57.9</v>
      </c>
      <c r="L153" s="21" t="str">
        <f aca="false">LOOKUP(K153,Assumptions!$D$4:$D$7,Assumptions!$E$4:$E$7)</f>
        <v>Developing</v>
      </c>
      <c r="M153" s="21" t="n">
        <f aca="false">COUNTIFS(Applications!$B$2:$B$3144,A153)</f>
        <v>0</v>
      </c>
      <c r="N153" s="21" t="n">
        <f aca="false">COUNTIFS(Applications!$B$2:$B$3144,A153,Applications!$F$2:$F$3144,"Offered")</f>
        <v>0</v>
      </c>
      <c r="O153" s="21" t="str">
        <f aca="false">IF(COUNTIFS(Applications!$B$2:$B$3144,A153,Applications!$H$2:$H$3144,"Yes")&gt;0,"Yes","No")</f>
        <v>No</v>
      </c>
      <c r="P153" s="32" t="n">
        <f aca="false">SUMIFS(Applications!$G$2:$G$3144,Applications!$B$2:$B$3144,A153,Applications!$H$2:$H$3144,"Yes")</f>
        <v>0</v>
      </c>
      <c r="Q153" s="21" t="str">
        <f aca="false">IF(O153="Yes",INDEX(Companies!$B$2:$B$31,MATCH(INDEX(Applications!$C$2:$C$3144,MATCH(A153,Applications!$P$2:$P$3144,0)),Companies!$A$2:$A$31,0)),"-")</f>
        <v>-</v>
      </c>
    </row>
    <row r="154" customFormat="false" ht="15" hidden="false" customHeight="false" outlineLevel="0" collapsed="false">
      <c r="A154" s="21" t="s">
        <v>406</v>
      </c>
      <c r="B154" s="21" t="s">
        <v>407</v>
      </c>
      <c r="C154" s="21" t="s">
        <v>112</v>
      </c>
      <c r="D154" s="21" t="s">
        <v>65</v>
      </c>
      <c r="E154" s="21" t="s">
        <v>90</v>
      </c>
      <c r="F154" s="21" t="n">
        <v>6.99</v>
      </c>
      <c r="G154" s="21" t="n">
        <v>117</v>
      </c>
      <c r="H154" s="21" t="n">
        <v>4</v>
      </c>
      <c r="I154" s="21" t="s">
        <v>120</v>
      </c>
      <c r="J154" s="21" t="n">
        <v>72</v>
      </c>
      <c r="K154" s="32" t="n">
        <f aca="false">ROUND(Assumptions!$B$4*MIN(G154/Assumptions!$B$11,1)*100+Assumptions!$B$5*F154/10*100+Assumptions!$B$6*MIN(H154/Assumptions!$B$12,1)*100+Assumptions!$B$7*J154+Assumptions!$B$8*IF(I154="Yes",100,0),1)</f>
        <v>61.4</v>
      </c>
      <c r="L154" s="21" t="str">
        <f aca="false">LOOKUP(K154,Assumptions!$D$4:$D$7,Assumptions!$E$4:$E$7)</f>
        <v>Developing</v>
      </c>
      <c r="M154" s="21" t="n">
        <f aca="false">COUNTIFS(Applications!$B$2:$B$3144,A154)</f>
        <v>4</v>
      </c>
      <c r="N154" s="21" t="n">
        <f aca="false">COUNTIFS(Applications!$B$2:$B$3144,A154,Applications!$F$2:$F$3144,"Offered")</f>
        <v>2</v>
      </c>
      <c r="O154" s="21" t="str">
        <f aca="false">IF(COUNTIFS(Applications!$B$2:$B$3144,A154,Applications!$H$2:$H$3144,"Yes")&gt;0,"Yes","No")</f>
        <v>Yes</v>
      </c>
      <c r="P154" s="32" t="n">
        <f aca="false">SUMIFS(Applications!$G$2:$G$3144,Applications!$B$2:$B$3144,A154,Applications!$H$2:$H$3144,"Yes")</f>
        <v>11.6</v>
      </c>
      <c r="Q154" s="21" t="str">
        <f aca="false">IF(O154="Yes",INDEX(Companies!$B$2:$B$31,MATCH(INDEX(Applications!$C$2:$C$3144,MATCH(A154,Applications!$P$2:$P$3144,0)),Companies!$A$2:$A$31,0)),"-")</f>
        <v>VitalByte</v>
      </c>
    </row>
    <row r="155" customFormat="false" ht="15" hidden="false" customHeight="false" outlineLevel="0" collapsed="false">
      <c r="A155" s="21" t="s">
        <v>408</v>
      </c>
      <c r="B155" s="21" t="s">
        <v>409</v>
      </c>
      <c r="C155" s="21" t="s">
        <v>112</v>
      </c>
      <c r="D155" s="21" t="s">
        <v>66</v>
      </c>
      <c r="E155" s="21" t="s">
        <v>90</v>
      </c>
      <c r="F155" s="21" t="n">
        <v>5.69</v>
      </c>
      <c r="G155" s="21" t="n">
        <v>273</v>
      </c>
      <c r="H155" s="21" t="n">
        <v>4</v>
      </c>
      <c r="I155" s="21" t="s">
        <v>113</v>
      </c>
      <c r="J155" s="21" t="n">
        <v>31</v>
      </c>
      <c r="K155" s="32" t="n">
        <f aca="false">ROUND(Assumptions!$B$4*MIN(G155/Assumptions!$B$11,1)*100+Assumptions!$B$5*F155/10*100+Assumptions!$B$6*MIN(H155/Assumptions!$B$12,1)*100+Assumptions!$B$7*J155+Assumptions!$B$8*IF(I155="Yes",100,0),1)</f>
        <v>50</v>
      </c>
      <c r="L155" s="21" t="str">
        <f aca="false">LOOKUP(K155,Assumptions!$D$4:$D$7,Assumptions!$E$4:$E$7)</f>
        <v>Developing</v>
      </c>
      <c r="M155" s="21" t="n">
        <f aca="false">COUNTIFS(Applications!$B$2:$B$3144,A155)</f>
        <v>4</v>
      </c>
      <c r="N155" s="21" t="n">
        <f aca="false">COUNTIFS(Applications!$B$2:$B$3144,A155,Applications!$F$2:$F$3144,"Offered")</f>
        <v>1</v>
      </c>
      <c r="O155" s="21" t="str">
        <f aca="false">IF(COUNTIFS(Applications!$B$2:$B$3144,A155,Applications!$H$2:$H$3144,"Yes")&gt;0,"Yes","No")</f>
        <v>Yes</v>
      </c>
      <c r="P155" s="32" t="n">
        <f aca="false">SUMIFS(Applications!$G$2:$G$3144,Applications!$B$2:$B$3144,A155,Applications!$H$2:$H$3144,"Yes")</f>
        <v>9.6</v>
      </c>
      <c r="Q155" s="21" t="str">
        <f aca="false">IF(O155="Yes",INDEX(Companies!$B$2:$B$31,MATCH(INDEX(Applications!$C$2:$C$3144,MATCH(A155,Applications!$P$2:$P$3144,0)),Companies!$A$2:$A$31,0)),"-")</f>
        <v>SkillForge</v>
      </c>
    </row>
    <row r="156" customFormat="false" ht="15" hidden="false" customHeight="false" outlineLevel="0" collapsed="false">
      <c r="A156" s="21" t="s">
        <v>410</v>
      </c>
      <c r="B156" s="21" t="s">
        <v>411</v>
      </c>
      <c r="C156" s="21" t="s">
        <v>112</v>
      </c>
      <c r="D156" s="21" t="s">
        <v>67</v>
      </c>
      <c r="E156" s="21" t="s">
        <v>91</v>
      </c>
      <c r="F156" s="21" t="n">
        <v>7.91</v>
      </c>
      <c r="G156" s="21" t="n">
        <v>200</v>
      </c>
      <c r="H156" s="21" t="n">
        <v>3</v>
      </c>
      <c r="I156" s="21" t="s">
        <v>113</v>
      </c>
      <c r="J156" s="21" t="n">
        <v>45</v>
      </c>
      <c r="K156" s="32" t="n">
        <f aca="false">ROUND(Assumptions!$B$4*MIN(G156/Assumptions!$B$11,1)*100+Assumptions!$B$5*F156/10*100+Assumptions!$B$6*MIN(H156/Assumptions!$B$12,1)*100+Assumptions!$B$7*J156+Assumptions!$B$8*IF(I156="Yes",100,0),1)</f>
        <v>48.8</v>
      </c>
      <c r="L156" s="21" t="str">
        <f aca="false">LOOKUP(K156,Assumptions!$D$4:$D$7,Assumptions!$E$4:$E$7)</f>
        <v>Foundation</v>
      </c>
      <c r="M156" s="21" t="n">
        <f aca="false">COUNTIFS(Applications!$B$2:$B$3144,A156)</f>
        <v>6</v>
      </c>
      <c r="N156" s="21" t="n">
        <f aca="false">COUNTIFS(Applications!$B$2:$B$3144,A156,Applications!$F$2:$F$3144,"Offered")</f>
        <v>0</v>
      </c>
      <c r="O156" s="21" t="str">
        <f aca="false">IF(COUNTIFS(Applications!$B$2:$B$3144,A156,Applications!$H$2:$H$3144,"Yes")&gt;0,"Yes","No")</f>
        <v>No</v>
      </c>
      <c r="P156" s="32" t="n">
        <f aca="false">SUMIFS(Applications!$G$2:$G$3144,Applications!$B$2:$B$3144,A156,Applications!$H$2:$H$3144,"Yes")</f>
        <v>0</v>
      </c>
      <c r="Q156" s="21" t="str">
        <f aca="false">IF(O156="Yes",INDEX(Companies!$B$2:$B$31,MATCH(INDEX(Applications!$C$2:$C$3144,MATCH(A156,Applications!$P$2:$P$3144,0)),Companies!$A$2:$A$31,0)),"-")</f>
        <v>-</v>
      </c>
    </row>
    <row r="157" customFormat="false" ht="15" hidden="false" customHeight="false" outlineLevel="0" collapsed="false">
      <c r="A157" s="21" t="s">
        <v>412</v>
      </c>
      <c r="B157" s="21" t="s">
        <v>413</v>
      </c>
      <c r="C157" s="21" t="s">
        <v>112</v>
      </c>
      <c r="D157" s="21" t="s">
        <v>67</v>
      </c>
      <c r="E157" s="21" t="s">
        <v>92</v>
      </c>
      <c r="F157" s="21" t="n">
        <v>7.89</v>
      </c>
      <c r="G157" s="21" t="n">
        <v>165</v>
      </c>
      <c r="H157" s="21" t="n">
        <v>3</v>
      </c>
      <c r="I157" s="21" t="s">
        <v>113</v>
      </c>
      <c r="J157" s="21" t="n">
        <v>76</v>
      </c>
      <c r="K157" s="32" t="n">
        <f aca="false">ROUND(Assumptions!$B$4*MIN(G157/Assumptions!$B$11,1)*100+Assumptions!$B$5*F157/10*100+Assumptions!$B$6*MIN(H157/Assumptions!$B$12,1)*100+Assumptions!$B$7*J157+Assumptions!$B$8*IF(I157="Yes",100,0),1)</f>
        <v>52.9</v>
      </c>
      <c r="L157" s="21" t="str">
        <f aca="false">LOOKUP(K157,Assumptions!$D$4:$D$7,Assumptions!$E$4:$E$7)</f>
        <v>Developing</v>
      </c>
      <c r="M157" s="21" t="n">
        <f aca="false">COUNTIFS(Applications!$B$2:$B$3144,A157)</f>
        <v>2</v>
      </c>
      <c r="N157" s="21" t="n">
        <f aca="false">COUNTIFS(Applications!$B$2:$B$3144,A157,Applications!$F$2:$F$3144,"Offered")</f>
        <v>1</v>
      </c>
      <c r="O157" s="21" t="str">
        <f aca="false">IF(COUNTIFS(Applications!$B$2:$B$3144,A157,Applications!$H$2:$H$3144,"Yes")&gt;0,"Yes","No")</f>
        <v>Yes</v>
      </c>
      <c r="P157" s="32" t="n">
        <f aca="false">SUMIFS(Applications!$G$2:$G$3144,Applications!$B$2:$B$3144,A157,Applications!$H$2:$H$3144,"Yes")</f>
        <v>20.5</v>
      </c>
      <c r="Q157" s="21" t="str">
        <f aca="false">IF(O157="Yes",INDEX(Companies!$B$2:$B$31,MATCH(INDEX(Applications!$C$2:$C$3144,MATCH(A157,Applications!$P$2:$P$3144,0)),Companies!$A$2:$A$31,0)),"-")</f>
        <v>Zenith Pay</v>
      </c>
    </row>
    <row r="158" customFormat="false" ht="15" hidden="false" customHeight="false" outlineLevel="0" collapsed="false">
      <c r="A158" s="21" t="s">
        <v>414</v>
      </c>
      <c r="B158" s="21" t="s">
        <v>401</v>
      </c>
      <c r="C158" s="21" t="s">
        <v>112</v>
      </c>
      <c r="D158" s="21" t="s">
        <v>67</v>
      </c>
      <c r="E158" s="21" t="s">
        <v>90</v>
      </c>
      <c r="F158" s="21" t="n">
        <v>8.42</v>
      </c>
      <c r="G158" s="21" t="n">
        <v>75</v>
      </c>
      <c r="H158" s="21" t="n">
        <v>5</v>
      </c>
      <c r="I158" s="21" t="s">
        <v>120</v>
      </c>
      <c r="J158" s="21" t="n">
        <v>56</v>
      </c>
      <c r="K158" s="32" t="n">
        <f aca="false">ROUND(Assumptions!$B$4*MIN(G158/Assumptions!$B$11,1)*100+Assumptions!$B$5*F158/10*100+Assumptions!$B$6*MIN(H158/Assumptions!$B$12,1)*100+Assumptions!$B$7*J158+Assumptions!$B$8*IF(I158="Yes",100,0),1)</f>
        <v>62.5</v>
      </c>
      <c r="L158" s="21" t="str">
        <f aca="false">LOOKUP(K158,Assumptions!$D$4:$D$7,Assumptions!$E$4:$E$7)</f>
        <v>Developing</v>
      </c>
      <c r="M158" s="21" t="n">
        <f aca="false">COUNTIFS(Applications!$B$2:$B$3144,A158)</f>
        <v>9</v>
      </c>
      <c r="N158" s="21" t="n">
        <f aca="false">COUNTIFS(Applications!$B$2:$B$3144,A158,Applications!$F$2:$F$3144,"Offered")</f>
        <v>3</v>
      </c>
      <c r="O158" s="21" t="str">
        <f aca="false">IF(COUNTIFS(Applications!$B$2:$B$3144,A158,Applications!$H$2:$H$3144,"Yes")&gt;0,"Yes","No")</f>
        <v>Yes</v>
      </c>
      <c r="P158" s="32" t="n">
        <f aca="false">SUMIFS(Applications!$G$2:$G$3144,Applications!$B$2:$B$3144,A158,Applications!$H$2:$H$3144,"Yes")</f>
        <v>6</v>
      </c>
      <c r="Q158" s="21" t="str">
        <f aca="false">IF(O158="Yes",INDEX(Companies!$B$2:$B$31,MATCH(INDEX(Applications!$C$2:$C$3144,MATCH(A158,Applications!$P$2:$P$3144,0)),Companies!$A$2:$A$31,0)),"-")</f>
        <v>CodeCrest Solutions</v>
      </c>
    </row>
    <row r="159" customFormat="false" ht="15" hidden="false" customHeight="false" outlineLevel="0" collapsed="false">
      <c r="A159" s="21" t="s">
        <v>415</v>
      </c>
      <c r="B159" s="21" t="s">
        <v>416</v>
      </c>
      <c r="C159" s="21" t="s">
        <v>112</v>
      </c>
      <c r="D159" s="21" t="s">
        <v>63</v>
      </c>
      <c r="E159" s="21" t="s">
        <v>90</v>
      </c>
      <c r="F159" s="21" t="n">
        <v>8.94</v>
      </c>
      <c r="G159" s="21" t="n">
        <v>216</v>
      </c>
      <c r="H159" s="21" t="n">
        <v>3</v>
      </c>
      <c r="I159" s="21" t="s">
        <v>113</v>
      </c>
      <c r="J159" s="21" t="n">
        <v>31</v>
      </c>
      <c r="K159" s="32" t="n">
        <f aca="false">ROUND(Assumptions!$B$4*MIN(G159/Assumptions!$B$11,1)*100+Assumptions!$B$5*F159/10*100+Assumptions!$B$6*MIN(H159/Assumptions!$B$12,1)*100+Assumptions!$B$7*J159+Assumptions!$B$8*IF(I159="Yes",100,0),1)</f>
        <v>49</v>
      </c>
      <c r="L159" s="21" t="str">
        <f aca="false">LOOKUP(K159,Assumptions!$D$4:$D$7,Assumptions!$E$4:$E$7)</f>
        <v>Foundation</v>
      </c>
      <c r="M159" s="21" t="n">
        <f aca="false">COUNTIFS(Applications!$B$2:$B$3144,A159)</f>
        <v>3</v>
      </c>
      <c r="N159" s="21" t="n">
        <f aca="false">COUNTIFS(Applications!$B$2:$B$3144,A159,Applications!$F$2:$F$3144,"Offered")</f>
        <v>0</v>
      </c>
      <c r="O159" s="21" t="str">
        <f aca="false">IF(COUNTIFS(Applications!$B$2:$B$3144,A159,Applications!$H$2:$H$3144,"Yes")&gt;0,"Yes","No")</f>
        <v>No</v>
      </c>
      <c r="P159" s="32" t="n">
        <f aca="false">SUMIFS(Applications!$G$2:$G$3144,Applications!$B$2:$B$3144,A159,Applications!$H$2:$H$3144,"Yes")</f>
        <v>0</v>
      </c>
      <c r="Q159" s="21" t="str">
        <f aca="false">IF(O159="Yes",INDEX(Companies!$B$2:$B$31,MATCH(INDEX(Applications!$C$2:$C$3144,MATCH(A159,Applications!$P$2:$P$3144,0)),Companies!$A$2:$A$31,0)),"-")</f>
        <v>-</v>
      </c>
    </row>
    <row r="160" customFormat="false" ht="15" hidden="false" customHeight="false" outlineLevel="0" collapsed="false">
      <c r="A160" s="21" t="s">
        <v>417</v>
      </c>
      <c r="B160" s="21" t="s">
        <v>418</v>
      </c>
      <c r="C160" s="21" t="s">
        <v>112</v>
      </c>
      <c r="D160" s="21" t="s">
        <v>67</v>
      </c>
      <c r="E160" s="21" t="s">
        <v>91</v>
      </c>
      <c r="F160" s="21" t="n">
        <v>6.68</v>
      </c>
      <c r="G160" s="21" t="n">
        <v>156</v>
      </c>
      <c r="H160" s="21" t="n">
        <v>4</v>
      </c>
      <c r="I160" s="21" t="s">
        <v>113</v>
      </c>
      <c r="J160" s="21" t="n">
        <v>74</v>
      </c>
      <c r="K160" s="32" t="n">
        <f aca="false">ROUND(Assumptions!$B$4*MIN(G160/Assumptions!$B$11,1)*100+Assumptions!$B$5*F160/10*100+Assumptions!$B$6*MIN(H160/Assumptions!$B$12,1)*100+Assumptions!$B$7*J160+Assumptions!$B$8*IF(I160="Yes",100,0),1)</f>
        <v>53.5</v>
      </c>
      <c r="L160" s="21" t="str">
        <f aca="false">LOOKUP(K160,Assumptions!$D$4:$D$7,Assumptions!$E$4:$E$7)</f>
        <v>Developing</v>
      </c>
      <c r="M160" s="21" t="n">
        <f aca="false">COUNTIFS(Applications!$B$2:$B$3144,A160)</f>
        <v>4</v>
      </c>
      <c r="N160" s="21" t="n">
        <f aca="false">COUNTIFS(Applications!$B$2:$B$3144,A160,Applications!$F$2:$F$3144,"Offered")</f>
        <v>0</v>
      </c>
      <c r="O160" s="21" t="str">
        <f aca="false">IF(COUNTIFS(Applications!$B$2:$B$3144,A160,Applications!$H$2:$H$3144,"Yes")&gt;0,"Yes","No")</f>
        <v>No</v>
      </c>
      <c r="P160" s="32" t="n">
        <f aca="false">SUMIFS(Applications!$G$2:$G$3144,Applications!$B$2:$B$3144,A160,Applications!$H$2:$H$3144,"Yes")</f>
        <v>0</v>
      </c>
      <c r="Q160" s="21" t="str">
        <f aca="false">IF(O160="Yes",INDEX(Companies!$B$2:$B$31,MATCH(INDEX(Applications!$C$2:$C$3144,MATCH(A160,Applications!$P$2:$P$3144,0)),Companies!$A$2:$A$31,0)),"-")</f>
        <v>-</v>
      </c>
    </row>
    <row r="161" customFormat="false" ht="15" hidden="false" customHeight="false" outlineLevel="0" collapsed="false">
      <c r="A161" s="21" t="s">
        <v>419</v>
      </c>
      <c r="B161" s="21" t="s">
        <v>403</v>
      </c>
      <c r="C161" s="21" t="s">
        <v>112</v>
      </c>
      <c r="D161" s="21" t="s">
        <v>63</v>
      </c>
      <c r="E161" s="21" t="s">
        <v>90</v>
      </c>
      <c r="F161" s="21" t="n">
        <v>7.65</v>
      </c>
      <c r="G161" s="21" t="n">
        <v>154</v>
      </c>
      <c r="H161" s="21" t="n">
        <v>2</v>
      </c>
      <c r="I161" s="21" t="s">
        <v>120</v>
      </c>
      <c r="J161" s="21" t="n">
        <v>60</v>
      </c>
      <c r="K161" s="32" t="n">
        <f aca="false">ROUND(Assumptions!$B$4*MIN(G161/Assumptions!$B$11,1)*100+Assumptions!$B$5*F161/10*100+Assumptions!$B$6*MIN(H161/Assumptions!$B$12,1)*100+Assumptions!$B$7*J161+Assumptions!$B$8*IF(I161="Yes",100,0),1)</f>
        <v>54.5</v>
      </c>
      <c r="L161" s="21" t="str">
        <f aca="false">LOOKUP(K161,Assumptions!$D$4:$D$7,Assumptions!$E$4:$E$7)</f>
        <v>Developing</v>
      </c>
      <c r="M161" s="21" t="n">
        <f aca="false">COUNTIFS(Applications!$B$2:$B$3144,A161)</f>
        <v>6</v>
      </c>
      <c r="N161" s="21" t="n">
        <f aca="false">COUNTIFS(Applications!$B$2:$B$3144,A161,Applications!$F$2:$F$3144,"Offered")</f>
        <v>1</v>
      </c>
      <c r="O161" s="21" t="str">
        <f aca="false">IF(COUNTIFS(Applications!$B$2:$B$3144,A161,Applications!$H$2:$H$3144,"Yes")&gt;0,"Yes","No")</f>
        <v>Yes</v>
      </c>
      <c r="P161" s="32" t="n">
        <f aca="false">SUMIFS(Applications!$G$2:$G$3144,Applications!$B$2:$B$3144,A161,Applications!$H$2:$H$3144,"Yes")</f>
        <v>4.3</v>
      </c>
      <c r="Q161" s="21" t="str">
        <f aca="false">IF(O161="Yes",INDEX(Companies!$B$2:$B$31,MATCH(INDEX(Applications!$C$2:$C$3144,MATCH(A161,Applications!$P$2:$P$3144,0)),Companies!$A$2:$A$31,0)),"-")</f>
        <v>LearnEasy</v>
      </c>
    </row>
    <row r="162" customFormat="false" ht="15" hidden="false" customHeight="false" outlineLevel="0" collapsed="false">
      <c r="A162" s="21" t="s">
        <v>420</v>
      </c>
      <c r="B162" s="21" t="s">
        <v>421</v>
      </c>
      <c r="C162" s="21" t="s">
        <v>112</v>
      </c>
      <c r="D162" s="21" t="s">
        <v>66</v>
      </c>
      <c r="E162" s="21" t="s">
        <v>91</v>
      </c>
      <c r="F162" s="21" t="n">
        <v>7.22</v>
      </c>
      <c r="G162" s="21" t="n">
        <v>251</v>
      </c>
      <c r="H162" s="21" t="n">
        <v>2</v>
      </c>
      <c r="I162" s="21" t="s">
        <v>120</v>
      </c>
      <c r="J162" s="21" t="n">
        <v>84</v>
      </c>
      <c r="K162" s="32" t="n">
        <f aca="false">ROUND(Assumptions!$B$4*MIN(G162/Assumptions!$B$11,1)*100+Assumptions!$B$5*F162/10*100+Assumptions!$B$6*MIN(H162/Assumptions!$B$12,1)*100+Assumptions!$B$7*J162+Assumptions!$B$8*IF(I162="Yes",100,0),1)</f>
        <v>64.3</v>
      </c>
      <c r="L162" s="21" t="str">
        <f aca="false">LOOKUP(K162,Assumptions!$D$4:$D$7,Assumptions!$E$4:$E$7)</f>
        <v>Developing</v>
      </c>
      <c r="M162" s="21" t="n">
        <f aca="false">COUNTIFS(Applications!$B$2:$B$3144,A162)</f>
        <v>5</v>
      </c>
      <c r="N162" s="21" t="n">
        <f aca="false">COUNTIFS(Applications!$B$2:$B$3144,A162,Applications!$F$2:$F$3144,"Offered")</f>
        <v>1</v>
      </c>
      <c r="O162" s="21" t="str">
        <f aca="false">IF(COUNTIFS(Applications!$B$2:$B$3144,A162,Applications!$H$2:$H$3144,"Yes")&gt;0,"Yes","No")</f>
        <v>Yes</v>
      </c>
      <c r="P162" s="32" t="n">
        <f aca="false">SUMIFS(Applications!$G$2:$G$3144,Applications!$B$2:$B$3144,A162,Applications!$H$2:$H$3144,"Yes")</f>
        <v>6.6</v>
      </c>
      <c r="Q162" s="21" t="str">
        <f aca="false">IF(O162="Yes",INDEX(Companies!$B$2:$B$31,MATCH(INDEX(Applications!$C$2:$C$3144,MATCH(A162,Applications!$P$2:$P$3144,0)),Companies!$A$2:$A$31,0)),"-")</f>
        <v>DataHarbor</v>
      </c>
    </row>
    <row r="163" customFormat="false" ht="15" hidden="false" customHeight="false" outlineLevel="0" collapsed="false">
      <c r="A163" s="21" t="s">
        <v>422</v>
      </c>
      <c r="B163" s="21" t="s">
        <v>423</v>
      </c>
      <c r="C163" s="21" t="s">
        <v>112</v>
      </c>
      <c r="D163" s="21" t="s">
        <v>66</v>
      </c>
      <c r="E163" s="21" t="s">
        <v>92</v>
      </c>
      <c r="F163" s="21" t="n">
        <v>7.53</v>
      </c>
      <c r="G163" s="21" t="n">
        <v>208</v>
      </c>
      <c r="H163" s="21" t="n">
        <v>0</v>
      </c>
      <c r="I163" s="21" t="s">
        <v>113</v>
      </c>
      <c r="J163" s="21" t="n">
        <v>51</v>
      </c>
      <c r="K163" s="32" t="n">
        <f aca="false">ROUND(Assumptions!$B$4*MIN(G163/Assumptions!$B$11,1)*100+Assumptions!$B$5*F163/10*100+Assumptions!$B$6*MIN(H163/Assumptions!$B$12,1)*100+Assumptions!$B$7*J163+Assumptions!$B$8*IF(I163="Yes",100,0),1)</f>
        <v>37.7</v>
      </c>
      <c r="L163" s="21" t="str">
        <f aca="false">LOOKUP(K163,Assumptions!$D$4:$D$7,Assumptions!$E$4:$E$7)</f>
        <v>Foundation</v>
      </c>
      <c r="M163" s="21" t="n">
        <f aca="false">COUNTIFS(Applications!$B$2:$B$3144,A163)</f>
        <v>3</v>
      </c>
      <c r="N163" s="21" t="n">
        <f aca="false">COUNTIFS(Applications!$B$2:$B$3144,A163,Applications!$F$2:$F$3144,"Offered")</f>
        <v>0</v>
      </c>
      <c r="O163" s="21" t="str">
        <f aca="false">IF(COUNTIFS(Applications!$B$2:$B$3144,A163,Applications!$H$2:$H$3144,"Yes")&gt;0,"Yes","No")</f>
        <v>No</v>
      </c>
      <c r="P163" s="32" t="n">
        <f aca="false">SUMIFS(Applications!$G$2:$G$3144,Applications!$B$2:$B$3144,A163,Applications!$H$2:$H$3144,"Yes")</f>
        <v>0</v>
      </c>
      <c r="Q163" s="21" t="str">
        <f aca="false">IF(O163="Yes",INDEX(Companies!$B$2:$B$31,MATCH(INDEX(Applications!$C$2:$C$3144,MATCH(A163,Applications!$P$2:$P$3144,0)),Companies!$A$2:$A$31,0)),"-")</f>
        <v>-</v>
      </c>
    </row>
    <row r="164" customFormat="false" ht="15" hidden="false" customHeight="false" outlineLevel="0" collapsed="false">
      <c r="A164" s="21" t="s">
        <v>424</v>
      </c>
      <c r="B164" s="21" t="s">
        <v>296</v>
      </c>
      <c r="C164" s="21" t="s">
        <v>112</v>
      </c>
      <c r="D164" s="21" t="s">
        <v>66</v>
      </c>
      <c r="E164" s="21" t="s">
        <v>92</v>
      </c>
      <c r="F164" s="21" t="n">
        <v>7.99</v>
      </c>
      <c r="G164" s="21" t="n">
        <v>268</v>
      </c>
      <c r="H164" s="21" t="n">
        <v>6</v>
      </c>
      <c r="I164" s="21" t="s">
        <v>113</v>
      </c>
      <c r="J164" s="21" t="n">
        <v>68</v>
      </c>
      <c r="K164" s="32" t="n">
        <f aca="false">ROUND(Assumptions!$B$4*MIN(G164/Assumptions!$B$11,1)*100+Assumptions!$B$5*F164/10*100+Assumptions!$B$6*MIN(H164/Assumptions!$B$12,1)*100+Assumptions!$B$7*J164+Assumptions!$B$8*IF(I164="Yes",100,0),1)</f>
        <v>65.7</v>
      </c>
      <c r="L164" s="21" t="str">
        <f aca="false">LOOKUP(K164,Assumptions!$D$4:$D$7,Assumptions!$E$4:$E$7)</f>
        <v>Job-Ready</v>
      </c>
      <c r="M164" s="21" t="n">
        <f aca="false">COUNTIFS(Applications!$B$2:$B$3144,A164)</f>
        <v>4</v>
      </c>
      <c r="N164" s="21" t="n">
        <f aca="false">COUNTIFS(Applications!$B$2:$B$3144,A164,Applications!$F$2:$F$3144,"Offered")</f>
        <v>0</v>
      </c>
      <c r="O164" s="21" t="str">
        <f aca="false">IF(COUNTIFS(Applications!$B$2:$B$3144,A164,Applications!$H$2:$H$3144,"Yes")&gt;0,"Yes","No")</f>
        <v>No</v>
      </c>
      <c r="P164" s="32" t="n">
        <f aca="false">SUMIFS(Applications!$G$2:$G$3144,Applications!$B$2:$B$3144,A164,Applications!$H$2:$H$3144,"Yes")</f>
        <v>0</v>
      </c>
      <c r="Q164" s="21" t="str">
        <f aca="false">IF(O164="Yes",INDEX(Companies!$B$2:$B$31,MATCH(INDEX(Applications!$C$2:$C$3144,MATCH(A164,Applications!$P$2:$P$3144,0)),Companies!$A$2:$A$31,0)),"-")</f>
        <v>-</v>
      </c>
    </row>
    <row r="165" customFormat="false" ht="15" hidden="false" customHeight="false" outlineLevel="0" collapsed="false">
      <c r="A165" s="21" t="s">
        <v>425</v>
      </c>
      <c r="B165" s="21" t="s">
        <v>426</v>
      </c>
      <c r="C165" s="21" t="s">
        <v>112</v>
      </c>
      <c r="D165" s="21" t="s">
        <v>67</v>
      </c>
      <c r="E165" s="21" t="s">
        <v>92</v>
      </c>
      <c r="F165" s="21" t="n">
        <v>7.42</v>
      </c>
      <c r="G165" s="21" t="n">
        <v>134</v>
      </c>
      <c r="H165" s="21" t="n">
        <v>4</v>
      </c>
      <c r="I165" s="21" t="s">
        <v>120</v>
      </c>
      <c r="J165" s="21" t="n">
        <v>84</v>
      </c>
      <c r="K165" s="32" t="n">
        <f aca="false">ROUND(Assumptions!$B$4*MIN(G165/Assumptions!$B$11,1)*100+Assumptions!$B$5*F165/10*100+Assumptions!$B$6*MIN(H165/Assumptions!$B$12,1)*100+Assumptions!$B$7*J165+Assumptions!$B$8*IF(I165="Yes",100,0),1)</f>
        <v>65.7</v>
      </c>
      <c r="L165" s="21" t="str">
        <f aca="false">LOOKUP(K165,Assumptions!$D$4:$D$7,Assumptions!$E$4:$E$7)</f>
        <v>Job-Ready</v>
      </c>
      <c r="M165" s="21" t="n">
        <f aca="false">COUNTIFS(Applications!$B$2:$B$3144,A165)</f>
        <v>5</v>
      </c>
      <c r="N165" s="21" t="n">
        <f aca="false">COUNTIFS(Applications!$B$2:$B$3144,A165,Applications!$F$2:$F$3144,"Offered")</f>
        <v>3</v>
      </c>
      <c r="O165" s="21" t="str">
        <f aca="false">IF(COUNTIFS(Applications!$B$2:$B$3144,A165,Applications!$H$2:$H$3144,"Yes")&gt;0,"Yes","No")</f>
        <v>Yes</v>
      </c>
      <c r="P165" s="32" t="n">
        <f aca="false">SUMIFS(Applications!$G$2:$G$3144,Applications!$B$2:$B$3144,A165,Applications!$H$2:$H$3144,"Yes")</f>
        <v>5.7</v>
      </c>
      <c r="Q165" s="21" t="str">
        <f aca="false">IF(O165="Yes",INDEX(Companies!$B$2:$B$31,MATCH(INDEX(Applications!$C$2:$C$3144,MATCH(A165,Applications!$P$2:$P$3144,0)),Companies!$A$2:$A$31,0)),"-")</f>
        <v>Sapphire Infotech</v>
      </c>
    </row>
    <row r="166" customFormat="false" ht="15" hidden="false" customHeight="false" outlineLevel="0" collapsed="false">
      <c r="A166" s="21" t="s">
        <v>427</v>
      </c>
      <c r="B166" s="21" t="s">
        <v>428</v>
      </c>
      <c r="C166" s="21" t="s">
        <v>112</v>
      </c>
      <c r="D166" s="21" t="s">
        <v>67</v>
      </c>
      <c r="E166" s="21" t="s">
        <v>90</v>
      </c>
      <c r="F166" s="21" t="n">
        <v>8.02</v>
      </c>
      <c r="G166" s="21" t="n">
        <v>325</v>
      </c>
      <c r="H166" s="21" t="n">
        <v>5</v>
      </c>
      <c r="I166" s="21" t="s">
        <v>113</v>
      </c>
      <c r="J166" s="21" t="n">
        <v>64</v>
      </c>
      <c r="K166" s="32" t="n">
        <f aca="false">ROUND(Assumptions!$B$4*MIN(G166/Assumptions!$B$11,1)*100+Assumptions!$B$5*F166/10*100+Assumptions!$B$6*MIN(H166/Assumptions!$B$12,1)*100+Assumptions!$B$7*J166+Assumptions!$B$8*IF(I166="Yes",100,0),1)</f>
        <v>68.3</v>
      </c>
      <c r="L166" s="21" t="str">
        <f aca="false">LOOKUP(K166,Assumptions!$D$4:$D$7,Assumptions!$E$4:$E$7)</f>
        <v>Job-Ready</v>
      </c>
      <c r="M166" s="21" t="n">
        <f aca="false">COUNTIFS(Applications!$B$2:$B$3144,A166)</f>
        <v>8</v>
      </c>
      <c r="N166" s="21" t="n">
        <f aca="false">COUNTIFS(Applications!$B$2:$B$3144,A166,Applications!$F$2:$F$3144,"Offered")</f>
        <v>2</v>
      </c>
      <c r="O166" s="21" t="str">
        <f aca="false">IF(COUNTIFS(Applications!$B$2:$B$3144,A166,Applications!$H$2:$H$3144,"Yes")&gt;0,"Yes","No")</f>
        <v>Yes</v>
      </c>
      <c r="P166" s="32" t="n">
        <f aca="false">SUMIFS(Applications!$G$2:$G$3144,Applications!$B$2:$B$3144,A166,Applications!$H$2:$H$3144,"Yes")</f>
        <v>5.9</v>
      </c>
      <c r="Q166" s="21" t="str">
        <f aca="false">IF(O166="Yes",INDEX(Companies!$B$2:$B$31,MATCH(INDEX(Applications!$C$2:$C$3144,MATCH(A166,Applications!$P$2:$P$3144,0)),Companies!$A$2:$A$31,0)),"-")</f>
        <v>Metro Systems</v>
      </c>
    </row>
    <row r="167" customFormat="false" ht="15" hidden="false" customHeight="false" outlineLevel="0" collapsed="false">
      <c r="A167" s="21" t="s">
        <v>429</v>
      </c>
      <c r="B167" s="21" t="s">
        <v>430</v>
      </c>
      <c r="C167" s="21" t="s">
        <v>112</v>
      </c>
      <c r="D167" s="21" t="s">
        <v>65</v>
      </c>
      <c r="E167" s="21" t="s">
        <v>90</v>
      </c>
      <c r="F167" s="21" t="n">
        <v>8.09</v>
      </c>
      <c r="G167" s="21" t="n">
        <v>133</v>
      </c>
      <c r="H167" s="21" t="n">
        <v>2</v>
      </c>
      <c r="I167" s="21" t="s">
        <v>113</v>
      </c>
      <c r="J167" s="21" t="n">
        <v>66</v>
      </c>
      <c r="K167" s="32" t="n">
        <f aca="false">ROUND(Assumptions!$B$4*MIN(G167/Assumptions!$B$11,1)*100+Assumptions!$B$5*F167/10*100+Assumptions!$B$6*MIN(H167/Assumptions!$B$12,1)*100+Assumptions!$B$7*J167+Assumptions!$B$8*IF(I167="Yes",100,0),1)</f>
        <v>45.4</v>
      </c>
      <c r="L167" s="21" t="str">
        <f aca="false">LOOKUP(K167,Assumptions!$D$4:$D$7,Assumptions!$E$4:$E$7)</f>
        <v>Foundation</v>
      </c>
      <c r="M167" s="21" t="n">
        <f aca="false">COUNTIFS(Applications!$B$2:$B$3144,A167)</f>
        <v>3</v>
      </c>
      <c r="N167" s="21" t="n">
        <f aca="false">COUNTIFS(Applications!$B$2:$B$3144,A167,Applications!$F$2:$F$3144,"Offered")</f>
        <v>0</v>
      </c>
      <c r="O167" s="21" t="str">
        <f aca="false">IF(COUNTIFS(Applications!$B$2:$B$3144,A167,Applications!$H$2:$H$3144,"Yes")&gt;0,"Yes","No")</f>
        <v>No</v>
      </c>
      <c r="P167" s="32" t="n">
        <f aca="false">SUMIFS(Applications!$G$2:$G$3144,Applications!$B$2:$B$3144,A167,Applications!$H$2:$H$3144,"Yes")</f>
        <v>0</v>
      </c>
      <c r="Q167" s="21" t="str">
        <f aca="false">IF(O167="Yes",INDEX(Companies!$B$2:$B$31,MATCH(INDEX(Applications!$C$2:$C$3144,MATCH(A167,Applications!$P$2:$P$3144,0)),Companies!$A$2:$A$31,0)),"-")</f>
        <v>-</v>
      </c>
    </row>
    <row r="168" customFormat="false" ht="15" hidden="false" customHeight="false" outlineLevel="0" collapsed="false">
      <c r="A168" s="21" t="s">
        <v>431</v>
      </c>
      <c r="B168" s="21" t="s">
        <v>432</v>
      </c>
      <c r="C168" s="21" t="s">
        <v>112</v>
      </c>
      <c r="D168" s="21" t="s">
        <v>66</v>
      </c>
      <c r="E168" s="21" t="s">
        <v>92</v>
      </c>
      <c r="F168" s="21" t="n">
        <v>6.81</v>
      </c>
      <c r="G168" s="21" t="n">
        <v>104</v>
      </c>
      <c r="H168" s="21" t="n">
        <v>4</v>
      </c>
      <c r="I168" s="21" t="s">
        <v>113</v>
      </c>
      <c r="J168" s="21" t="n">
        <v>78</v>
      </c>
      <c r="K168" s="32" t="n">
        <f aca="false">ROUND(Assumptions!$B$4*MIN(G168/Assumptions!$B$11,1)*100+Assumptions!$B$5*F168/10*100+Assumptions!$B$6*MIN(H168/Assumptions!$B$12,1)*100+Assumptions!$B$7*J168+Assumptions!$B$8*IF(I168="Yes",100,0),1)</f>
        <v>51.5</v>
      </c>
      <c r="L168" s="21" t="str">
        <f aca="false">LOOKUP(K168,Assumptions!$D$4:$D$7,Assumptions!$E$4:$E$7)</f>
        <v>Developing</v>
      </c>
      <c r="M168" s="21" t="n">
        <f aca="false">COUNTIFS(Applications!$B$2:$B$3144,A168)</f>
        <v>7</v>
      </c>
      <c r="N168" s="21" t="n">
        <f aca="false">COUNTIFS(Applications!$B$2:$B$3144,A168,Applications!$F$2:$F$3144,"Offered")</f>
        <v>0</v>
      </c>
      <c r="O168" s="21" t="str">
        <f aca="false">IF(COUNTIFS(Applications!$B$2:$B$3144,A168,Applications!$H$2:$H$3144,"Yes")&gt;0,"Yes","No")</f>
        <v>No</v>
      </c>
      <c r="P168" s="32" t="n">
        <f aca="false">SUMIFS(Applications!$G$2:$G$3144,Applications!$B$2:$B$3144,A168,Applications!$H$2:$H$3144,"Yes")</f>
        <v>0</v>
      </c>
      <c r="Q168" s="21" t="str">
        <f aca="false">IF(O168="Yes",INDEX(Companies!$B$2:$B$31,MATCH(INDEX(Applications!$C$2:$C$3144,MATCH(A168,Applications!$P$2:$P$3144,0)),Companies!$A$2:$A$31,0)),"-")</f>
        <v>-</v>
      </c>
    </row>
    <row r="169" customFormat="false" ht="15" hidden="false" customHeight="false" outlineLevel="0" collapsed="false">
      <c r="A169" s="21" t="s">
        <v>433</v>
      </c>
      <c r="B169" s="21" t="s">
        <v>401</v>
      </c>
      <c r="C169" s="21" t="s">
        <v>112</v>
      </c>
      <c r="D169" s="21" t="s">
        <v>67</v>
      </c>
      <c r="E169" s="21" t="s">
        <v>90</v>
      </c>
      <c r="F169" s="21" t="n">
        <v>8.02</v>
      </c>
      <c r="G169" s="21" t="n">
        <v>196</v>
      </c>
      <c r="H169" s="21" t="n">
        <v>4</v>
      </c>
      <c r="I169" s="21" t="s">
        <v>113</v>
      </c>
      <c r="J169" s="21" t="n">
        <v>57</v>
      </c>
      <c r="K169" s="32" t="n">
        <f aca="false">ROUND(Assumptions!$B$4*MIN(G169/Assumptions!$B$11,1)*100+Assumptions!$B$5*F169/10*100+Assumptions!$B$6*MIN(H169/Assumptions!$B$12,1)*100+Assumptions!$B$7*J169+Assumptions!$B$8*IF(I169="Yes",100,0),1)</f>
        <v>55.2</v>
      </c>
      <c r="L169" s="21" t="str">
        <f aca="false">LOOKUP(K169,Assumptions!$D$4:$D$7,Assumptions!$E$4:$E$7)</f>
        <v>Developing</v>
      </c>
      <c r="M169" s="21" t="n">
        <f aca="false">COUNTIFS(Applications!$B$2:$B$3144,A169)</f>
        <v>6</v>
      </c>
      <c r="N169" s="21" t="n">
        <f aca="false">COUNTIFS(Applications!$B$2:$B$3144,A169,Applications!$F$2:$F$3144,"Offered")</f>
        <v>1</v>
      </c>
      <c r="O169" s="21" t="str">
        <f aca="false">IF(COUNTIFS(Applications!$B$2:$B$3144,A169,Applications!$H$2:$H$3144,"Yes")&gt;0,"Yes","No")</f>
        <v>Yes</v>
      </c>
      <c r="P169" s="32" t="n">
        <f aca="false">SUMIFS(Applications!$G$2:$G$3144,Applications!$B$2:$B$3144,A169,Applications!$H$2:$H$3144,"Yes")</f>
        <v>5.5</v>
      </c>
      <c r="Q169" s="21" t="str">
        <f aca="false">IF(O169="Yes",INDEX(Companies!$B$2:$B$31,MATCH(INDEX(Applications!$C$2:$C$3144,MATCH(A169,Applications!$P$2:$P$3144,0)),Companies!$A$2:$A$31,0)),"-")</f>
        <v>CodeCrest Solutions</v>
      </c>
    </row>
    <row r="170" customFormat="false" ht="15" hidden="false" customHeight="false" outlineLevel="0" collapsed="false">
      <c r="A170" s="21" t="s">
        <v>434</v>
      </c>
      <c r="B170" s="21" t="s">
        <v>435</v>
      </c>
      <c r="C170" s="21" t="s">
        <v>112</v>
      </c>
      <c r="D170" s="21" t="s">
        <v>67</v>
      </c>
      <c r="E170" s="21" t="s">
        <v>90</v>
      </c>
      <c r="F170" s="21" t="n">
        <v>7.98</v>
      </c>
      <c r="G170" s="21" t="n">
        <v>231</v>
      </c>
      <c r="H170" s="21" t="n">
        <v>1</v>
      </c>
      <c r="I170" s="21" t="s">
        <v>120</v>
      </c>
      <c r="J170" s="21" t="n">
        <v>62</v>
      </c>
      <c r="K170" s="32" t="n">
        <f aca="false">ROUND(Assumptions!$B$4*MIN(G170/Assumptions!$B$11,1)*100+Assumptions!$B$5*F170/10*100+Assumptions!$B$6*MIN(H170/Assumptions!$B$12,1)*100+Assumptions!$B$7*J170+Assumptions!$B$8*IF(I170="Yes",100,0),1)</f>
        <v>56.2</v>
      </c>
      <c r="L170" s="21" t="str">
        <f aca="false">LOOKUP(K170,Assumptions!$D$4:$D$7,Assumptions!$E$4:$E$7)</f>
        <v>Developing</v>
      </c>
      <c r="M170" s="21" t="n">
        <f aca="false">COUNTIFS(Applications!$B$2:$B$3144,A170)</f>
        <v>4</v>
      </c>
      <c r="N170" s="21" t="n">
        <f aca="false">COUNTIFS(Applications!$B$2:$B$3144,A170,Applications!$F$2:$F$3144,"Offered")</f>
        <v>2</v>
      </c>
      <c r="O170" s="21" t="str">
        <f aca="false">IF(COUNTIFS(Applications!$B$2:$B$3144,A170,Applications!$H$2:$H$3144,"Yes")&gt;0,"Yes","No")</f>
        <v>Yes</v>
      </c>
      <c r="P170" s="32" t="n">
        <f aca="false">SUMIFS(Applications!$G$2:$G$3144,Applications!$B$2:$B$3144,A170,Applications!$H$2:$H$3144,"Yes")</f>
        <v>23.8</v>
      </c>
      <c r="Q170" s="21" t="str">
        <f aca="false">IF(O170="Yes",INDEX(Companies!$B$2:$B$31,MATCH(INDEX(Applications!$C$2:$C$3144,MATCH(A170,Applications!$P$2:$P$3144,0)),Companies!$A$2:$A$31,0)),"-")</f>
        <v>Nimbus Cloud Systems</v>
      </c>
    </row>
    <row r="171" customFormat="false" ht="15" hidden="false" customHeight="false" outlineLevel="0" collapsed="false">
      <c r="A171" s="21" t="s">
        <v>436</v>
      </c>
      <c r="B171" s="21" t="s">
        <v>437</v>
      </c>
      <c r="C171" s="21" t="s">
        <v>112</v>
      </c>
      <c r="D171" s="21" t="s">
        <v>67</v>
      </c>
      <c r="E171" s="21" t="s">
        <v>91</v>
      </c>
      <c r="F171" s="21" t="n">
        <v>5.56</v>
      </c>
      <c r="G171" s="21" t="n">
        <v>152</v>
      </c>
      <c r="H171" s="21" t="n">
        <v>0</v>
      </c>
      <c r="I171" s="21" t="s">
        <v>120</v>
      </c>
      <c r="J171" s="21" t="n">
        <v>64</v>
      </c>
      <c r="K171" s="32" t="n">
        <f aca="false">ROUND(Assumptions!$B$4*MIN(G171/Assumptions!$B$11,1)*100+Assumptions!$B$5*F171/10*100+Assumptions!$B$6*MIN(H171/Assumptions!$B$12,1)*100+Assumptions!$B$7*J171+Assumptions!$B$8*IF(I171="Yes",100,0),1)</f>
        <v>43</v>
      </c>
      <c r="L171" s="21" t="str">
        <f aca="false">LOOKUP(K171,Assumptions!$D$4:$D$7,Assumptions!$E$4:$E$7)</f>
        <v>Foundation</v>
      </c>
      <c r="M171" s="21" t="n">
        <f aca="false">COUNTIFS(Applications!$B$2:$B$3144,A171)</f>
        <v>4</v>
      </c>
      <c r="N171" s="21" t="n">
        <f aca="false">COUNTIFS(Applications!$B$2:$B$3144,A171,Applications!$F$2:$F$3144,"Offered")</f>
        <v>0</v>
      </c>
      <c r="O171" s="21" t="str">
        <f aca="false">IF(COUNTIFS(Applications!$B$2:$B$3144,A171,Applications!$H$2:$H$3144,"Yes")&gt;0,"Yes","No")</f>
        <v>No</v>
      </c>
      <c r="P171" s="32" t="n">
        <f aca="false">SUMIFS(Applications!$G$2:$G$3144,Applications!$B$2:$B$3144,A171,Applications!$H$2:$H$3144,"Yes")</f>
        <v>0</v>
      </c>
      <c r="Q171" s="21" t="str">
        <f aca="false">IF(O171="Yes",INDEX(Companies!$B$2:$B$31,MATCH(INDEX(Applications!$C$2:$C$3144,MATCH(A171,Applications!$P$2:$P$3144,0)),Companies!$A$2:$A$31,0)),"-")</f>
        <v>-</v>
      </c>
    </row>
    <row r="172" customFormat="false" ht="15" hidden="false" customHeight="false" outlineLevel="0" collapsed="false">
      <c r="A172" s="21" t="s">
        <v>438</v>
      </c>
      <c r="B172" s="21" t="s">
        <v>439</v>
      </c>
      <c r="C172" s="21" t="s">
        <v>112</v>
      </c>
      <c r="D172" s="21" t="s">
        <v>63</v>
      </c>
      <c r="E172" s="21" t="s">
        <v>91</v>
      </c>
      <c r="F172" s="21" t="n">
        <v>7.08</v>
      </c>
      <c r="G172" s="21" t="n">
        <v>155</v>
      </c>
      <c r="H172" s="21" t="n">
        <v>8</v>
      </c>
      <c r="I172" s="21" t="s">
        <v>113</v>
      </c>
      <c r="J172" s="21" t="n">
        <v>65</v>
      </c>
      <c r="K172" s="32" t="n">
        <f aca="false">ROUND(Assumptions!$B$4*MIN(G172/Assumptions!$B$11,1)*100+Assumptions!$B$5*F172/10*100+Assumptions!$B$6*MIN(H172/Assumptions!$B$12,1)*100+Assumptions!$B$7*J172+Assumptions!$B$8*IF(I172="Yes",100,0),1)</f>
        <v>56.5</v>
      </c>
      <c r="L172" s="21" t="str">
        <f aca="false">LOOKUP(K172,Assumptions!$D$4:$D$7,Assumptions!$E$4:$E$7)</f>
        <v>Developing</v>
      </c>
      <c r="M172" s="21" t="n">
        <f aca="false">COUNTIFS(Applications!$B$2:$B$3144,A172)</f>
        <v>11</v>
      </c>
      <c r="N172" s="21" t="n">
        <f aca="false">COUNTIFS(Applications!$B$2:$B$3144,A172,Applications!$F$2:$F$3144,"Offered")</f>
        <v>2</v>
      </c>
      <c r="O172" s="21" t="str">
        <f aca="false">IF(COUNTIFS(Applications!$B$2:$B$3144,A172,Applications!$H$2:$H$3144,"Yes")&gt;0,"Yes","No")</f>
        <v>Yes</v>
      </c>
      <c r="P172" s="32" t="n">
        <f aca="false">SUMIFS(Applications!$G$2:$G$3144,Applications!$B$2:$B$3144,A172,Applications!$H$2:$H$3144,"Yes")</f>
        <v>13.4</v>
      </c>
      <c r="Q172" s="21" t="str">
        <f aca="false">IF(O172="Yes",INDEX(Companies!$B$2:$B$31,MATCH(INDEX(Applications!$C$2:$C$3144,MATCH(A172,Applications!$P$2:$P$3144,0)),Companies!$A$2:$A$31,0)),"-")</f>
        <v>LearnLoop</v>
      </c>
    </row>
    <row r="173" customFormat="false" ht="15" hidden="false" customHeight="false" outlineLevel="0" collapsed="false">
      <c r="A173" s="21" t="s">
        <v>440</v>
      </c>
      <c r="B173" s="21" t="s">
        <v>277</v>
      </c>
      <c r="C173" s="21" t="s">
        <v>112</v>
      </c>
      <c r="D173" s="21" t="s">
        <v>67</v>
      </c>
      <c r="E173" s="21" t="s">
        <v>90</v>
      </c>
      <c r="F173" s="21" t="n">
        <v>7.25</v>
      </c>
      <c r="G173" s="21" t="n">
        <v>193</v>
      </c>
      <c r="H173" s="21" t="n">
        <v>2</v>
      </c>
      <c r="I173" s="21" t="s">
        <v>113</v>
      </c>
      <c r="J173" s="21" t="n">
        <v>68</v>
      </c>
      <c r="K173" s="32" t="n">
        <f aca="false">ROUND(Assumptions!$B$4*MIN(G173/Assumptions!$B$11,1)*100+Assumptions!$B$5*F173/10*100+Assumptions!$B$6*MIN(H173/Assumptions!$B$12,1)*100+Assumptions!$B$7*J173+Assumptions!$B$8*IF(I173="Yes",100,0),1)</f>
        <v>47.7</v>
      </c>
      <c r="L173" s="21" t="str">
        <f aca="false">LOOKUP(K173,Assumptions!$D$4:$D$7,Assumptions!$E$4:$E$7)</f>
        <v>Foundation</v>
      </c>
      <c r="M173" s="21" t="n">
        <f aca="false">COUNTIFS(Applications!$B$2:$B$3144,A173)</f>
        <v>6</v>
      </c>
      <c r="N173" s="21" t="n">
        <f aca="false">COUNTIFS(Applications!$B$2:$B$3144,A173,Applications!$F$2:$F$3144,"Offered")</f>
        <v>2</v>
      </c>
      <c r="O173" s="21" t="str">
        <f aca="false">IF(COUNTIFS(Applications!$B$2:$B$3144,A173,Applications!$H$2:$H$3144,"Yes")&gt;0,"Yes","No")</f>
        <v>Yes</v>
      </c>
      <c r="P173" s="32" t="n">
        <f aca="false">SUMIFS(Applications!$G$2:$G$3144,Applications!$B$2:$B$3144,A173,Applications!$H$2:$H$3144,"Yes")</f>
        <v>5.8</v>
      </c>
      <c r="Q173" s="21" t="str">
        <f aca="false">IF(O173="Yes",INDEX(Companies!$B$2:$B$31,MATCH(INDEX(Applications!$C$2:$C$3144,MATCH(A173,Applications!$P$2:$P$3144,0)),Companies!$A$2:$A$31,0)),"-")</f>
        <v>AlphaGrid Tech</v>
      </c>
    </row>
    <row r="174" customFormat="false" ht="15" hidden="false" customHeight="false" outlineLevel="0" collapsed="false">
      <c r="A174" s="21" t="s">
        <v>441</v>
      </c>
      <c r="B174" s="21" t="s">
        <v>442</v>
      </c>
      <c r="C174" s="21" t="s">
        <v>112</v>
      </c>
      <c r="D174" s="21" t="s">
        <v>66</v>
      </c>
      <c r="E174" s="21" t="s">
        <v>91</v>
      </c>
      <c r="F174" s="21" t="n">
        <v>7.27</v>
      </c>
      <c r="G174" s="21" t="n">
        <v>246</v>
      </c>
      <c r="H174" s="21" t="n">
        <v>4</v>
      </c>
      <c r="I174" s="21" t="s">
        <v>120</v>
      </c>
      <c r="J174" s="21" t="n">
        <v>61</v>
      </c>
      <c r="K174" s="32" t="n">
        <f aca="false">ROUND(Assumptions!$B$4*MIN(G174/Assumptions!$B$11,1)*100+Assumptions!$B$5*F174/10*100+Assumptions!$B$6*MIN(H174/Assumptions!$B$12,1)*100+Assumptions!$B$7*J174+Assumptions!$B$8*IF(I174="Yes",100,0),1)</f>
        <v>67.5</v>
      </c>
      <c r="L174" s="21" t="str">
        <f aca="false">LOOKUP(K174,Assumptions!$D$4:$D$7,Assumptions!$E$4:$E$7)</f>
        <v>Job-Ready</v>
      </c>
      <c r="M174" s="21" t="n">
        <f aca="false">COUNTIFS(Applications!$B$2:$B$3144,A174)</f>
        <v>6</v>
      </c>
      <c r="N174" s="21" t="n">
        <f aca="false">COUNTIFS(Applications!$B$2:$B$3144,A174,Applications!$F$2:$F$3144,"Offered")</f>
        <v>3</v>
      </c>
      <c r="O174" s="21" t="str">
        <f aca="false">IF(COUNTIFS(Applications!$B$2:$B$3144,A174,Applications!$H$2:$H$3144,"Yes")&gt;0,"Yes","No")</f>
        <v>Yes</v>
      </c>
      <c r="P174" s="32" t="n">
        <f aca="false">SUMIFS(Applications!$G$2:$G$3144,Applications!$B$2:$B$3144,A174,Applications!$H$2:$H$3144,"Yes")</f>
        <v>15.5</v>
      </c>
      <c r="Q174" s="21" t="str">
        <f aca="false">IF(O174="Yes",INDEX(Companies!$B$2:$B$31,MATCH(INDEX(Applications!$C$2:$C$3144,MATCH(A174,Applications!$P$2:$P$3144,0)),Companies!$A$2:$A$31,0)),"-")</f>
        <v>CloudKraft</v>
      </c>
    </row>
    <row r="175" customFormat="false" ht="15" hidden="false" customHeight="false" outlineLevel="0" collapsed="false">
      <c r="A175" s="21" t="s">
        <v>443</v>
      </c>
      <c r="B175" s="21" t="s">
        <v>444</v>
      </c>
      <c r="C175" s="21" t="s">
        <v>112</v>
      </c>
      <c r="D175" s="21" t="s">
        <v>67</v>
      </c>
      <c r="E175" s="21" t="s">
        <v>91</v>
      </c>
      <c r="F175" s="21" t="n">
        <v>7.88</v>
      </c>
      <c r="G175" s="21" t="n">
        <v>428</v>
      </c>
      <c r="H175" s="21" t="n">
        <v>6</v>
      </c>
      <c r="I175" s="21" t="s">
        <v>113</v>
      </c>
      <c r="J175" s="21" t="n">
        <v>79</v>
      </c>
      <c r="K175" s="32" t="n">
        <f aca="false">ROUND(Assumptions!$B$4*MIN(G175/Assumptions!$B$11,1)*100+Assumptions!$B$5*F175/10*100+Assumptions!$B$6*MIN(H175/Assumptions!$B$12,1)*100+Assumptions!$B$7*J175+Assumptions!$B$8*IF(I175="Yes",100,0),1)</f>
        <v>77.2</v>
      </c>
      <c r="L175" s="21" t="str">
        <f aca="false">LOOKUP(K175,Assumptions!$D$4:$D$7,Assumptions!$E$4:$E$7)</f>
        <v>Job-Ready</v>
      </c>
      <c r="M175" s="21" t="n">
        <f aca="false">COUNTIFS(Applications!$B$2:$B$3144,A175)</f>
        <v>6</v>
      </c>
      <c r="N175" s="21" t="n">
        <f aca="false">COUNTIFS(Applications!$B$2:$B$3144,A175,Applications!$F$2:$F$3144,"Offered")</f>
        <v>2</v>
      </c>
      <c r="O175" s="21" t="str">
        <f aca="false">IF(COUNTIFS(Applications!$B$2:$B$3144,A175,Applications!$H$2:$H$3144,"Yes")&gt;0,"Yes","No")</f>
        <v>Yes</v>
      </c>
      <c r="P175" s="32" t="n">
        <f aca="false">SUMIFS(Applications!$G$2:$G$3144,Applications!$B$2:$B$3144,A175,Applications!$H$2:$H$3144,"Yes")</f>
        <v>11</v>
      </c>
      <c r="Q175" s="21" t="str">
        <f aca="false">IF(O175="Yes",INDEX(Companies!$B$2:$B$31,MATCH(INDEX(Applications!$C$2:$C$3144,MATCH(A175,Applications!$P$2:$P$3144,0)),Companies!$A$2:$A$31,0)),"-")</f>
        <v>ShopSprint</v>
      </c>
    </row>
    <row r="176" customFormat="false" ht="15" hidden="false" customHeight="false" outlineLevel="0" collapsed="false">
      <c r="A176" s="21" t="s">
        <v>445</v>
      </c>
      <c r="B176" s="21" t="s">
        <v>446</v>
      </c>
      <c r="C176" s="21" t="s">
        <v>112</v>
      </c>
      <c r="D176" s="21" t="s">
        <v>67</v>
      </c>
      <c r="E176" s="21" t="s">
        <v>90</v>
      </c>
      <c r="F176" s="21" t="n">
        <v>7.85</v>
      </c>
      <c r="G176" s="21" t="n">
        <v>171</v>
      </c>
      <c r="H176" s="21" t="n">
        <v>2</v>
      </c>
      <c r="I176" s="21" t="s">
        <v>113</v>
      </c>
      <c r="J176" s="21" t="n">
        <v>61</v>
      </c>
      <c r="K176" s="32" t="n">
        <f aca="false">ROUND(Assumptions!$B$4*MIN(G176/Assumptions!$B$11,1)*100+Assumptions!$B$5*F176/10*100+Assumptions!$B$6*MIN(H176/Assumptions!$B$12,1)*100+Assumptions!$B$7*J176+Assumptions!$B$8*IF(I176="Yes",100,0),1)</f>
        <v>46.2</v>
      </c>
      <c r="L176" s="21" t="str">
        <f aca="false">LOOKUP(K176,Assumptions!$D$4:$D$7,Assumptions!$E$4:$E$7)</f>
        <v>Foundation</v>
      </c>
      <c r="M176" s="21" t="n">
        <f aca="false">COUNTIFS(Applications!$B$2:$B$3144,A176)</f>
        <v>2</v>
      </c>
      <c r="N176" s="21" t="n">
        <f aca="false">COUNTIFS(Applications!$B$2:$B$3144,A176,Applications!$F$2:$F$3144,"Offered")</f>
        <v>0</v>
      </c>
      <c r="O176" s="21" t="str">
        <f aca="false">IF(COUNTIFS(Applications!$B$2:$B$3144,A176,Applications!$H$2:$H$3144,"Yes")&gt;0,"Yes","No")</f>
        <v>No</v>
      </c>
      <c r="P176" s="32" t="n">
        <f aca="false">SUMIFS(Applications!$G$2:$G$3144,Applications!$B$2:$B$3144,A176,Applications!$H$2:$H$3144,"Yes")</f>
        <v>0</v>
      </c>
      <c r="Q176" s="21" t="str">
        <f aca="false">IF(O176="Yes",INDEX(Companies!$B$2:$B$31,MATCH(INDEX(Applications!$C$2:$C$3144,MATCH(A176,Applications!$P$2:$P$3144,0)),Companies!$A$2:$A$31,0)),"-")</f>
        <v>-</v>
      </c>
    </row>
    <row r="177" customFormat="false" ht="15" hidden="false" customHeight="false" outlineLevel="0" collapsed="false">
      <c r="A177" s="21" t="s">
        <v>447</v>
      </c>
      <c r="B177" s="21" t="s">
        <v>448</v>
      </c>
      <c r="C177" s="21" t="s">
        <v>112</v>
      </c>
      <c r="D177" s="21" t="s">
        <v>64</v>
      </c>
      <c r="E177" s="21" t="s">
        <v>92</v>
      </c>
      <c r="F177" s="21" t="n">
        <v>7.7</v>
      </c>
      <c r="G177" s="21" t="n">
        <v>642</v>
      </c>
      <c r="H177" s="21" t="n">
        <v>3</v>
      </c>
      <c r="I177" s="21" t="s">
        <v>120</v>
      </c>
      <c r="J177" s="21" t="n">
        <v>80</v>
      </c>
      <c r="K177" s="32" t="n">
        <f aca="false">ROUND(Assumptions!$B$4*MIN(G177/Assumptions!$B$11,1)*100+Assumptions!$B$5*F177/10*100+Assumptions!$B$6*MIN(H177/Assumptions!$B$12,1)*100+Assumptions!$B$7*J177+Assumptions!$B$8*IF(I177="Yes",100,0),1)</f>
        <v>83.4</v>
      </c>
      <c r="L177" s="21" t="str">
        <f aca="false">LOOKUP(K177,Assumptions!$D$4:$D$7,Assumptions!$E$4:$E$7)</f>
        <v>Elite</v>
      </c>
      <c r="M177" s="21" t="n">
        <f aca="false">COUNTIFS(Applications!$B$2:$B$3144,A177)</f>
        <v>7</v>
      </c>
      <c r="N177" s="21" t="n">
        <f aca="false">COUNTIFS(Applications!$B$2:$B$3144,A177,Applications!$F$2:$F$3144,"Offered")</f>
        <v>5</v>
      </c>
      <c r="O177" s="21" t="str">
        <f aca="false">IF(COUNTIFS(Applications!$B$2:$B$3144,A177,Applications!$H$2:$H$3144,"Yes")&gt;0,"Yes","No")</f>
        <v>Yes</v>
      </c>
      <c r="P177" s="32" t="n">
        <f aca="false">SUMIFS(Applications!$G$2:$G$3144,Applications!$B$2:$B$3144,A177,Applications!$H$2:$H$3144,"Yes")</f>
        <v>15.4</v>
      </c>
      <c r="Q177" s="21" t="str">
        <f aca="false">IF(O177="Yes",INDEX(Companies!$B$2:$B$31,MATCH(INDEX(Applications!$C$2:$C$3144,MATCH(A177,Applications!$P$2:$P$3144,0)),Companies!$A$2:$A$31,0)),"-")</f>
        <v>FinStack</v>
      </c>
    </row>
    <row r="178" customFormat="false" ht="15" hidden="false" customHeight="false" outlineLevel="0" collapsed="false">
      <c r="A178" s="21" t="s">
        <v>449</v>
      </c>
      <c r="B178" s="21" t="s">
        <v>450</v>
      </c>
      <c r="C178" s="21" t="s">
        <v>112</v>
      </c>
      <c r="D178" s="21" t="s">
        <v>65</v>
      </c>
      <c r="E178" s="21" t="s">
        <v>90</v>
      </c>
      <c r="F178" s="21" t="n">
        <v>9.8</v>
      </c>
      <c r="G178" s="21" t="n">
        <v>57</v>
      </c>
      <c r="H178" s="21" t="n">
        <v>3</v>
      </c>
      <c r="I178" s="21" t="s">
        <v>120</v>
      </c>
      <c r="J178" s="21" t="n">
        <v>66</v>
      </c>
      <c r="K178" s="32" t="n">
        <f aca="false">ROUND(Assumptions!$B$4*MIN(G178/Assumptions!$B$11,1)*100+Assumptions!$B$5*F178/10*100+Assumptions!$B$6*MIN(H178/Assumptions!$B$12,1)*100+Assumptions!$B$7*J178+Assumptions!$B$8*IF(I178="Yes",100,0),1)</f>
        <v>58.2</v>
      </c>
      <c r="L178" s="21" t="str">
        <f aca="false">LOOKUP(K178,Assumptions!$D$4:$D$7,Assumptions!$E$4:$E$7)</f>
        <v>Developing</v>
      </c>
      <c r="M178" s="21" t="n">
        <f aca="false">COUNTIFS(Applications!$B$2:$B$3144,A178)</f>
        <v>7</v>
      </c>
      <c r="N178" s="21" t="n">
        <f aca="false">COUNTIFS(Applications!$B$2:$B$3144,A178,Applications!$F$2:$F$3144,"Offered")</f>
        <v>2</v>
      </c>
      <c r="O178" s="21" t="str">
        <f aca="false">IF(COUNTIFS(Applications!$B$2:$B$3144,A178,Applications!$H$2:$H$3144,"Yes")&gt;0,"Yes","No")</f>
        <v>Yes</v>
      </c>
      <c r="P178" s="32" t="n">
        <f aca="false">SUMIFS(Applications!$G$2:$G$3144,Applications!$B$2:$B$3144,A178,Applications!$H$2:$H$3144,"Yes")</f>
        <v>5</v>
      </c>
      <c r="Q178" s="21" t="str">
        <f aca="false">IF(O178="Yes",INDEX(Companies!$B$2:$B$31,MATCH(INDEX(Applications!$C$2:$C$3144,MATCH(A178,Applications!$P$2:$P$3144,0)),Companies!$A$2:$A$31,0)),"-")</f>
        <v>Sapphire Infotech</v>
      </c>
    </row>
    <row r="179" customFormat="false" ht="15" hidden="false" customHeight="false" outlineLevel="0" collapsed="false">
      <c r="A179" s="21" t="s">
        <v>451</v>
      </c>
      <c r="B179" s="21" t="s">
        <v>409</v>
      </c>
      <c r="C179" s="21" t="s">
        <v>112</v>
      </c>
      <c r="D179" s="21" t="s">
        <v>67</v>
      </c>
      <c r="E179" s="21" t="s">
        <v>90</v>
      </c>
      <c r="F179" s="21" t="n">
        <v>8.04</v>
      </c>
      <c r="G179" s="21" t="n">
        <v>209</v>
      </c>
      <c r="H179" s="21" t="n">
        <v>5</v>
      </c>
      <c r="I179" s="21" t="s">
        <v>120</v>
      </c>
      <c r="J179" s="21" t="n">
        <v>90</v>
      </c>
      <c r="K179" s="32" t="n">
        <f aca="false">ROUND(Assumptions!$B$4*MIN(G179/Assumptions!$B$11,1)*100+Assumptions!$B$5*F179/10*100+Assumptions!$B$6*MIN(H179/Assumptions!$B$12,1)*100+Assumptions!$B$7*J179+Assumptions!$B$8*IF(I179="Yes",100,0),1)</f>
        <v>76.6</v>
      </c>
      <c r="L179" s="21" t="str">
        <f aca="false">LOOKUP(K179,Assumptions!$D$4:$D$7,Assumptions!$E$4:$E$7)</f>
        <v>Job-Ready</v>
      </c>
      <c r="M179" s="21" t="n">
        <f aca="false">COUNTIFS(Applications!$B$2:$B$3144,A179)</f>
        <v>12</v>
      </c>
      <c r="N179" s="21" t="n">
        <f aca="false">COUNTIFS(Applications!$B$2:$B$3144,A179,Applications!$F$2:$F$3144,"Offered")</f>
        <v>6</v>
      </c>
      <c r="O179" s="21" t="str">
        <f aca="false">IF(COUNTIFS(Applications!$B$2:$B$3144,A179,Applications!$H$2:$H$3144,"Yes")&gt;0,"Yes","No")</f>
        <v>Yes</v>
      </c>
      <c r="P179" s="32" t="n">
        <f aca="false">SUMIFS(Applications!$G$2:$G$3144,Applications!$B$2:$B$3144,A179,Applications!$H$2:$H$3144,"Yes")</f>
        <v>15.8</v>
      </c>
      <c r="Q179" s="21" t="str">
        <f aca="false">IF(O179="Yes",INDEX(Companies!$B$2:$B$31,MATCH(INDEX(Applications!$C$2:$C$3144,MATCH(A179,Applications!$P$2:$P$3144,0)),Companies!$A$2:$A$31,0)),"-")</f>
        <v>CyberNest</v>
      </c>
    </row>
    <row r="180" customFormat="false" ht="15" hidden="false" customHeight="false" outlineLevel="0" collapsed="false">
      <c r="A180" s="21" t="s">
        <v>452</v>
      </c>
      <c r="B180" s="21" t="s">
        <v>453</v>
      </c>
      <c r="C180" s="21" t="s">
        <v>112</v>
      </c>
      <c r="D180" s="21" t="s">
        <v>65</v>
      </c>
      <c r="E180" s="21" t="s">
        <v>90</v>
      </c>
      <c r="F180" s="21" t="n">
        <v>6.6</v>
      </c>
      <c r="G180" s="21" t="n">
        <v>168</v>
      </c>
      <c r="H180" s="21" t="n">
        <v>2</v>
      </c>
      <c r="I180" s="21" t="s">
        <v>113</v>
      </c>
      <c r="J180" s="21" t="n">
        <v>50</v>
      </c>
      <c r="K180" s="32" t="n">
        <f aca="false">ROUND(Assumptions!$B$4*MIN(G180/Assumptions!$B$11,1)*100+Assumptions!$B$5*F180/10*100+Assumptions!$B$6*MIN(H180/Assumptions!$B$12,1)*100+Assumptions!$B$7*J180+Assumptions!$B$8*IF(I180="Yes",100,0),1)</f>
        <v>41.3</v>
      </c>
      <c r="L180" s="21" t="str">
        <f aca="false">LOOKUP(K180,Assumptions!$D$4:$D$7,Assumptions!$E$4:$E$7)</f>
        <v>Foundation</v>
      </c>
      <c r="M180" s="21" t="n">
        <f aca="false">COUNTIFS(Applications!$B$2:$B$3144,A180)</f>
        <v>8</v>
      </c>
      <c r="N180" s="21" t="n">
        <f aca="false">COUNTIFS(Applications!$B$2:$B$3144,A180,Applications!$F$2:$F$3144,"Offered")</f>
        <v>0</v>
      </c>
      <c r="O180" s="21" t="str">
        <f aca="false">IF(COUNTIFS(Applications!$B$2:$B$3144,A180,Applications!$H$2:$H$3144,"Yes")&gt;0,"Yes","No")</f>
        <v>No</v>
      </c>
      <c r="P180" s="32" t="n">
        <f aca="false">SUMIFS(Applications!$G$2:$G$3144,Applications!$B$2:$B$3144,A180,Applications!$H$2:$H$3144,"Yes")</f>
        <v>0</v>
      </c>
      <c r="Q180" s="21" t="str">
        <f aca="false">IF(O180="Yes",INDEX(Companies!$B$2:$B$31,MATCH(INDEX(Applications!$C$2:$C$3144,MATCH(A180,Applications!$P$2:$P$3144,0)),Companies!$A$2:$A$31,0)),"-")</f>
        <v>-</v>
      </c>
    </row>
    <row r="181" customFormat="false" ht="15" hidden="false" customHeight="false" outlineLevel="0" collapsed="false">
      <c r="A181" s="21" t="s">
        <v>454</v>
      </c>
      <c r="B181" s="21" t="s">
        <v>455</v>
      </c>
      <c r="C181" s="21" t="s">
        <v>112</v>
      </c>
      <c r="D181" s="21" t="s">
        <v>65</v>
      </c>
      <c r="E181" s="21" t="s">
        <v>91</v>
      </c>
      <c r="F181" s="21" t="n">
        <v>8.04</v>
      </c>
      <c r="G181" s="21" t="n">
        <v>276</v>
      </c>
      <c r="H181" s="21" t="n">
        <v>3</v>
      </c>
      <c r="I181" s="21" t="s">
        <v>113</v>
      </c>
      <c r="J181" s="21" t="n">
        <v>75</v>
      </c>
      <c r="K181" s="32" t="n">
        <f aca="false">ROUND(Assumptions!$B$4*MIN(G181/Assumptions!$B$11,1)*100+Assumptions!$B$5*F181/10*100+Assumptions!$B$6*MIN(H181/Assumptions!$B$12,1)*100+Assumptions!$B$7*J181+Assumptions!$B$8*IF(I181="Yes",100,0),1)</f>
        <v>59.6</v>
      </c>
      <c r="L181" s="21" t="str">
        <f aca="false">LOOKUP(K181,Assumptions!$D$4:$D$7,Assumptions!$E$4:$E$7)</f>
        <v>Developing</v>
      </c>
      <c r="M181" s="21" t="n">
        <f aca="false">COUNTIFS(Applications!$B$2:$B$3144,A181)</f>
        <v>6</v>
      </c>
      <c r="N181" s="21" t="n">
        <f aca="false">COUNTIFS(Applications!$B$2:$B$3144,A181,Applications!$F$2:$F$3144,"Offered")</f>
        <v>1</v>
      </c>
      <c r="O181" s="21" t="str">
        <f aca="false">IF(COUNTIFS(Applications!$B$2:$B$3144,A181,Applications!$H$2:$H$3144,"Yes")&gt;0,"Yes","No")</f>
        <v>Yes</v>
      </c>
      <c r="P181" s="32" t="n">
        <f aca="false">SUMIFS(Applications!$G$2:$G$3144,Applications!$B$2:$B$3144,A181,Applications!$H$2:$H$3144,"Yes")</f>
        <v>6.3</v>
      </c>
      <c r="Q181" s="21" t="str">
        <f aca="false">IF(O181="Yes",INDEX(Companies!$B$2:$B$31,MATCH(INDEX(Applications!$C$2:$C$3144,MATCH(A181,Applications!$P$2:$P$3144,0)),Companies!$A$2:$A$31,0)),"-")</f>
        <v>Pioneer Softech</v>
      </c>
    </row>
    <row r="182" customFormat="false" ht="15" hidden="false" customHeight="false" outlineLevel="0" collapsed="false">
      <c r="A182" s="21" t="s">
        <v>456</v>
      </c>
      <c r="B182" s="21" t="s">
        <v>457</v>
      </c>
      <c r="C182" s="21" t="s">
        <v>458</v>
      </c>
      <c r="D182" s="21" t="s">
        <v>66</v>
      </c>
      <c r="E182" s="21" t="s">
        <v>91</v>
      </c>
      <c r="F182" s="21" t="n">
        <v>7.51</v>
      </c>
      <c r="G182" s="21" t="n">
        <v>239</v>
      </c>
      <c r="H182" s="21" t="n">
        <v>7</v>
      </c>
      <c r="I182" s="21" t="s">
        <v>113</v>
      </c>
      <c r="J182" s="21" t="n">
        <v>70</v>
      </c>
      <c r="K182" s="32" t="n">
        <f aca="false">ROUND(Assumptions!$B$4*MIN(G182/Assumptions!$B$11,1)*100+Assumptions!$B$5*F182/10*100+Assumptions!$B$6*MIN(H182/Assumptions!$B$12,1)*100+Assumptions!$B$7*J182+Assumptions!$B$8*IF(I182="Yes",100,0),1)</f>
        <v>63.4</v>
      </c>
      <c r="L182" s="21" t="str">
        <f aca="false">LOOKUP(K182,Assumptions!$D$4:$D$7,Assumptions!$E$4:$E$7)</f>
        <v>Developing</v>
      </c>
      <c r="M182" s="21" t="n">
        <f aca="false">COUNTIFS(Applications!$B$2:$B$3144,A182)</f>
        <v>1</v>
      </c>
      <c r="N182" s="21" t="n">
        <f aca="false">COUNTIFS(Applications!$B$2:$B$3144,A182,Applications!$F$2:$F$3144,"Offered")</f>
        <v>0</v>
      </c>
      <c r="O182" s="21" t="str">
        <f aca="false">IF(COUNTIFS(Applications!$B$2:$B$3144,A182,Applications!$H$2:$H$3144,"Yes")&gt;0,"Yes","No")</f>
        <v>No</v>
      </c>
      <c r="P182" s="32" t="n">
        <f aca="false">SUMIFS(Applications!$G$2:$G$3144,Applications!$B$2:$B$3144,A182,Applications!$H$2:$H$3144,"Yes")</f>
        <v>0</v>
      </c>
      <c r="Q182" s="21" t="str">
        <f aca="false">IF(O182="Yes",INDEX(Companies!$B$2:$B$31,MATCH(INDEX(Applications!$C$2:$C$3144,MATCH(A182,Applications!$P$2:$P$3144,0)),Companies!$A$2:$A$31,0)),"-")</f>
        <v>-</v>
      </c>
    </row>
    <row r="183" customFormat="false" ht="15" hidden="false" customHeight="false" outlineLevel="0" collapsed="false">
      <c r="A183" s="21" t="s">
        <v>459</v>
      </c>
      <c r="B183" s="21" t="s">
        <v>242</v>
      </c>
      <c r="C183" s="21" t="s">
        <v>458</v>
      </c>
      <c r="D183" s="21" t="s">
        <v>64</v>
      </c>
      <c r="E183" s="21" t="s">
        <v>91</v>
      </c>
      <c r="F183" s="21" t="n">
        <v>6.53</v>
      </c>
      <c r="G183" s="21" t="n">
        <v>222</v>
      </c>
      <c r="H183" s="21" t="n">
        <v>1</v>
      </c>
      <c r="I183" s="21" t="s">
        <v>113</v>
      </c>
      <c r="J183" s="21" t="n">
        <v>60</v>
      </c>
      <c r="K183" s="32" t="n">
        <f aca="false">ROUND(Assumptions!$B$4*MIN(G183/Assumptions!$B$11,1)*100+Assumptions!$B$5*F183/10*100+Assumptions!$B$6*MIN(H183/Assumptions!$B$12,1)*100+Assumptions!$B$7*J183+Assumptions!$B$8*IF(I183="Yes",100,0),1)</f>
        <v>42.4</v>
      </c>
      <c r="L183" s="21" t="str">
        <f aca="false">LOOKUP(K183,Assumptions!$D$4:$D$7,Assumptions!$E$4:$E$7)</f>
        <v>Foundation</v>
      </c>
      <c r="M183" s="21" t="n">
        <f aca="false">COUNTIFS(Applications!$B$2:$B$3144,A183)</f>
        <v>2</v>
      </c>
      <c r="N183" s="21" t="n">
        <f aca="false">COUNTIFS(Applications!$B$2:$B$3144,A183,Applications!$F$2:$F$3144,"Offered")</f>
        <v>0</v>
      </c>
      <c r="O183" s="21" t="str">
        <f aca="false">IF(COUNTIFS(Applications!$B$2:$B$3144,A183,Applications!$H$2:$H$3144,"Yes")&gt;0,"Yes","No")</f>
        <v>No</v>
      </c>
      <c r="P183" s="32" t="n">
        <f aca="false">SUMIFS(Applications!$G$2:$G$3144,Applications!$B$2:$B$3144,A183,Applications!$H$2:$H$3144,"Yes")</f>
        <v>0</v>
      </c>
      <c r="Q183" s="21" t="str">
        <f aca="false">IF(O183="Yes",INDEX(Companies!$B$2:$B$31,MATCH(INDEX(Applications!$C$2:$C$3144,MATCH(A183,Applications!$P$2:$P$3144,0)),Companies!$A$2:$A$31,0)),"-")</f>
        <v>-</v>
      </c>
    </row>
    <row r="184" customFormat="false" ht="15" hidden="false" customHeight="false" outlineLevel="0" collapsed="false">
      <c r="A184" s="21" t="s">
        <v>460</v>
      </c>
      <c r="B184" s="21" t="s">
        <v>331</v>
      </c>
      <c r="C184" s="21" t="s">
        <v>458</v>
      </c>
      <c r="D184" s="21" t="s">
        <v>67</v>
      </c>
      <c r="E184" s="21" t="s">
        <v>92</v>
      </c>
      <c r="F184" s="21" t="n">
        <v>6.77</v>
      </c>
      <c r="G184" s="21" t="n">
        <v>111</v>
      </c>
      <c r="H184" s="21" t="n">
        <v>1</v>
      </c>
      <c r="I184" s="21" t="s">
        <v>113</v>
      </c>
      <c r="J184" s="21" t="n">
        <v>51</v>
      </c>
      <c r="K184" s="32" t="n">
        <f aca="false">ROUND(Assumptions!$B$4*MIN(G184/Assumptions!$B$11,1)*100+Assumptions!$B$5*F184/10*100+Assumptions!$B$6*MIN(H184/Assumptions!$B$12,1)*100+Assumptions!$B$7*J184+Assumptions!$B$8*IF(I184="Yes",100,0),1)</f>
        <v>34.4</v>
      </c>
      <c r="L184" s="21" t="str">
        <f aca="false">LOOKUP(K184,Assumptions!$D$4:$D$7,Assumptions!$E$4:$E$7)</f>
        <v>Foundation</v>
      </c>
      <c r="M184" s="21" t="n">
        <f aca="false">COUNTIFS(Applications!$B$2:$B$3144,A184)</f>
        <v>5</v>
      </c>
      <c r="N184" s="21" t="n">
        <f aca="false">COUNTIFS(Applications!$B$2:$B$3144,A184,Applications!$F$2:$F$3144,"Offered")</f>
        <v>0</v>
      </c>
      <c r="O184" s="21" t="str">
        <f aca="false">IF(COUNTIFS(Applications!$B$2:$B$3144,A184,Applications!$H$2:$H$3144,"Yes")&gt;0,"Yes","No")</f>
        <v>No</v>
      </c>
      <c r="P184" s="32" t="n">
        <f aca="false">SUMIFS(Applications!$G$2:$G$3144,Applications!$B$2:$B$3144,A184,Applications!$H$2:$H$3144,"Yes")</f>
        <v>0</v>
      </c>
      <c r="Q184" s="21" t="str">
        <f aca="false">IF(O184="Yes",INDEX(Companies!$B$2:$B$31,MATCH(INDEX(Applications!$C$2:$C$3144,MATCH(A184,Applications!$P$2:$P$3144,0)),Companies!$A$2:$A$31,0)),"-")</f>
        <v>-</v>
      </c>
    </row>
    <row r="185" customFormat="false" ht="15" hidden="false" customHeight="false" outlineLevel="0" collapsed="false">
      <c r="A185" s="21" t="s">
        <v>461</v>
      </c>
      <c r="B185" s="21" t="s">
        <v>462</v>
      </c>
      <c r="C185" s="21" t="s">
        <v>458</v>
      </c>
      <c r="D185" s="21" t="s">
        <v>67</v>
      </c>
      <c r="E185" s="21" t="s">
        <v>92</v>
      </c>
      <c r="F185" s="21" t="n">
        <v>7.42</v>
      </c>
      <c r="G185" s="21" t="n">
        <v>358</v>
      </c>
      <c r="H185" s="21" t="n">
        <v>3</v>
      </c>
      <c r="I185" s="21" t="s">
        <v>113</v>
      </c>
      <c r="J185" s="21" t="n">
        <v>69</v>
      </c>
      <c r="K185" s="32" t="n">
        <f aca="false">ROUND(Assumptions!$B$4*MIN(G185/Assumptions!$B$11,1)*100+Assumptions!$B$5*F185/10*100+Assumptions!$B$6*MIN(H185/Assumptions!$B$12,1)*100+Assumptions!$B$7*J185+Assumptions!$B$8*IF(I185="Yes",100,0),1)</f>
        <v>62.1</v>
      </c>
      <c r="L185" s="21" t="str">
        <f aca="false">LOOKUP(K185,Assumptions!$D$4:$D$7,Assumptions!$E$4:$E$7)</f>
        <v>Developing</v>
      </c>
      <c r="M185" s="21" t="n">
        <f aca="false">COUNTIFS(Applications!$B$2:$B$3144,A185)</f>
        <v>3</v>
      </c>
      <c r="N185" s="21" t="n">
        <f aca="false">COUNTIFS(Applications!$B$2:$B$3144,A185,Applications!$F$2:$F$3144,"Offered")</f>
        <v>1</v>
      </c>
      <c r="O185" s="21" t="str">
        <f aca="false">IF(COUNTIFS(Applications!$B$2:$B$3144,A185,Applications!$H$2:$H$3144,"Yes")&gt;0,"Yes","No")</f>
        <v>Yes</v>
      </c>
      <c r="P185" s="32" t="n">
        <f aca="false">SUMIFS(Applications!$G$2:$G$3144,Applications!$B$2:$B$3144,A185,Applications!$H$2:$H$3144,"Yes")</f>
        <v>5.3</v>
      </c>
      <c r="Q185" s="21" t="str">
        <f aca="false">IF(O185="Yes",INDEX(Companies!$B$2:$B$31,MATCH(INDEX(Applications!$C$2:$C$3144,MATCH(A185,Applications!$P$2:$P$3144,0)),Companies!$A$2:$A$31,0)),"-")</f>
        <v>HealthLink Digital</v>
      </c>
    </row>
    <row r="186" customFormat="false" ht="15" hidden="false" customHeight="false" outlineLevel="0" collapsed="false">
      <c r="A186" s="21" t="s">
        <v>463</v>
      </c>
      <c r="B186" s="21" t="s">
        <v>236</v>
      </c>
      <c r="C186" s="21" t="s">
        <v>458</v>
      </c>
      <c r="D186" s="21" t="s">
        <v>63</v>
      </c>
      <c r="E186" s="21" t="s">
        <v>91</v>
      </c>
      <c r="F186" s="21" t="n">
        <v>7.32</v>
      </c>
      <c r="G186" s="21" t="n">
        <v>279</v>
      </c>
      <c r="H186" s="21" t="n">
        <v>4</v>
      </c>
      <c r="I186" s="21" t="s">
        <v>120</v>
      </c>
      <c r="J186" s="21" t="n">
        <v>70</v>
      </c>
      <c r="K186" s="32" t="n">
        <f aca="false">ROUND(Assumptions!$B$4*MIN(G186/Assumptions!$B$11,1)*100+Assumptions!$B$5*F186/10*100+Assumptions!$B$6*MIN(H186/Assumptions!$B$12,1)*100+Assumptions!$B$7*J186+Assumptions!$B$8*IF(I186="Yes",100,0),1)</f>
        <v>71.4</v>
      </c>
      <c r="L186" s="21" t="str">
        <f aca="false">LOOKUP(K186,Assumptions!$D$4:$D$7,Assumptions!$E$4:$E$7)</f>
        <v>Job-Ready</v>
      </c>
      <c r="M186" s="21" t="n">
        <f aca="false">COUNTIFS(Applications!$B$2:$B$3144,A186)</f>
        <v>4</v>
      </c>
      <c r="N186" s="21" t="n">
        <f aca="false">COUNTIFS(Applications!$B$2:$B$3144,A186,Applications!$F$2:$F$3144,"Offered")</f>
        <v>3</v>
      </c>
      <c r="O186" s="21" t="str">
        <f aca="false">IF(COUNTIFS(Applications!$B$2:$B$3144,A186,Applications!$H$2:$H$3144,"Yes")&gt;0,"Yes","No")</f>
        <v>Yes</v>
      </c>
      <c r="P186" s="32" t="n">
        <f aca="false">SUMIFS(Applications!$G$2:$G$3144,Applications!$B$2:$B$3144,A186,Applications!$H$2:$H$3144,"Yes")</f>
        <v>14.2</v>
      </c>
      <c r="Q186" s="21" t="str">
        <f aca="false">IF(O186="Yes",INDEX(Companies!$B$2:$B$31,MATCH(INDEX(Applications!$C$2:$C$3144,MATCH(A186,Applications!$P$2:$P$3144,0)),Companies!$A$2:$A$31,0)),"-")</f>
        <v>InsightWorks</v>
      </c>
    </row>
    <row r="187" customFormat="false" ht="15" hidden="false" customHeight="false" outlineLevel="0" collapsed="false">
      <c r="A187" s="21" t="s">
        <v>464</v>
      </c>
      <c r="B187" s="21" t="s">
        <v>465</v>
      </c>
      <c r="C187" s="21" t="s">
        <v>458</v>
      </c>
      <c r="D187" s="21" t="s">
        <v>67</v>
      </c>
      <c r="E187" s="21" t="s">
        <v>92</v>
      </c>
      <c r="F187" s="21" t="n">
        <v>6.35</v>
      </c>
      <c r="G187" s="21" t="n">
        <v>601</v>
      </c>
      <c r="H187" s="21" t="n">
        <v>4</v>
      </c>
      <c r="I187" s="21" t="s">
        <v>113</v>
      </c>
      <c r="J187" s="21" t="n">
        <v>67</v>
      </c>
      <c r="K187" s="32" t="n">
        <f aca="false">ROUND(Assumptions!$B$4*MIN(G187/Assumptions!$B$11,1)*100+Assumptions!$B$5*F187/10*100+Assumptions!$B$6*MIN(H187/Assumptions!$B$12,1)*100+Assumptions!$B$7*J187+Assumptions!$B$8*IF(I187="Yes",100,0),1)</f>
        <v>72.1</v>
      </c>
      <c r="L187" s="21" t="str">
        <f aca="false">LOOKUP(K187,Assumptions!$D$4:$D$7,Assumptions!$E$4:$E$7)</f>
        <v>Job-Ready</v>
      </c>
      <c r="M187" s="21" t="n">
        <f aca="false">COUNTIFS(Applications!$B$2:$B$3144,A187)</f>
        <v>5</v>
      </c>
      <c r="N187" s="21" t="n">
        <f aca="false">COUNTIFS(Applications!$B$2:$B$3144,A187,Applications!$F$2:$F$3144,"Offered")</f>
        <v>0</v>
      </c>
      <c r="O187" s="21" t="str">
        <f aca="false">IF(COUNTIFS(Applications!$B$2:$B$3144,A187,Applications!$H$2:$H$3144,"Yes")&gt;0,"Yes","No")</f>
        <v>No</v>
      </c>
      <c r="P187" s="32" t="n">
        <f aca="false">SUMIFS(Applications!$G$2:$G$3144,Applications!$B$2:$B$3144,A187,Applications!$H$2:$H$3144,"Yes")</f>
        <v>0</v>
      </c>
      <c r="Q187" s="21" t="str">
        <f aca="false">IF(O187="Yes",INDEX(Companies!$B$2:$B$31,MATCH(INDEX(Applications!$C$2:$C$3144,MATCH(A187,Applications!$P$2:$P$3144,0)),Companies!$A$2:$A$31,0)),"-")</f>
        <v>-</v>
      </c>
    </row>
    <row r="188" customFormat="false" ht="15" hidden="false" customHeight="false" outlineLevel="0" collapsed="false">
      <c r="A188" s="21" t="s">
        <v>466</v>
      </c>
      <c r="B188" s="21" t="s">
        <v>467</v>
      </c>
      <c r="C188" s="21" t="s">
        <v>458</v>
      </c>
      <c r="D188" s="21" t="s">
        <v>64</v>
      </c>
      <c r="E188" s="21" t="s">
        <v>91</v>
      </c>
      <c r="F188" s="21" t="n">
        <v>6.08</v>
      </c>
      <c r="G188" s="21" t="n">
        <v>596</v>
      </c>
      <c r="H188" s="21" t="n">
        <v>3</v>
      </c>
      <c r="I188" s="21" t="s">
        <v>113</v>
      </c>
      <c r="J188" s="21" t="n">
        <v>51</v>
      </c>
      <c r="K188" s="32" t="n">
        <f aca="false">ROUND(Assumptions!$B$4*MIN(G188/Assumptions!$B$11,1)*100+Assumptions!$B$5*F188/10*100+Assumptions!$B$6*MIN(H188/Assumptions!$B$12,1)*100+Assumptions!$B$7*J188+Assumptions!$B$8*IF(I188="Yes",100,0),1)</f>
        <v>64.4</v>
      </c>
      <c r="L188" s="21" t="str">
        <f aca="false">LOOKUP(K188,Assumptions!$D$4:$D$7,Assumptions!$E$4:$E$7)</f>
        <v>Developing</v>
      </c>
      <c r="M188" s="21" t="n">
        <f aca="false">COUNTIFS(Applications!$B$2:$B$3144,A188)</f>
        <v>4</v>
      </c>
      <c r="N188" s="21" t="n">
        <f aca="false">COUNTIFS(Applications!$B$2:$B$3144,A188,Applications!$F$2:$F$3144,"Offered")</f>
        <v>2</v>
      </c>
      <c r="O188" s="21" t="str">
        <f aca="false">IF(COUNTIFS(Applications!$B$2:$B$3144,A188,Applications!$H$2:$H$3144,"Yes")&gt;0,"Yes","No")</f>
        <v>Yes</v>
      </c>
      <c r="P188" s="32" t="n">
        <f aca="false">SUMIFS(Applications!$G$2:$G$3144,Applications!$B$2:$B$3144,A188,Applications!$H$2:$H$3144,"Yes")</f>
        <v>11.4</v>
      </c>
      <c r="Q188" s="21" t="str">
        <f aca="false">IF(O188="Yes",INDEX(Companies!$B$2:$B$31,MATCH(INDEX(Applications!$C$2:$C$3144,MATCH(A188,Applications!$P$2:$P$3144,0)),Companies!$A$2:$A$31,0)),"-")</f>
        <v>InsightWorks</v>
      </c>
    </row>
    <row r="189" customFormat="false" ht="15" hidden="false" customHeight="false" outlineLevel="0" collapsed="false">
      <c r="A189" s="21" t="s">
        <v>468</v>
      </c>
      <c r="B189" s="21" t="s">
        <v>469</v>
      </c>
      <c r="C189" s="21" t="s">
        <v>458</v>
      </c>
      <c r="D189" s="21" t="s">
        <v>67</v>
      </c>
      <c r="E189" s="21" t="s">
        <v>90</v>
      </c>
      <c r="F189" s="21" t="n">
        <v>6.7</v>
      </c>
      <c r="G189" s="21" t="n">
        <v>35</v>
      </c>
      <c r="H189" s="21" t="n">
        <v>5</v>
      </c>
      <c r="I189" s="21" t="s">
        <v>113</v>
      </c>
      <c r="J189" s="21" t="n">
        <v>65</v>
      </c>
      <c r="K189" s="32" t="n">
        <f aca="false">ROUND(Assumptions!$B$4*MIN(G189/Assumptions!$B$11,1)*100+Assumptions!$B$5*F189/10*100+Assumptions!$B$6*MIN(H189/Assumptions!$B$12,1)*100+Assumptions!$B$7*J189+Assumptions!$B$8*IF(I189="Yes",100,0),1)</f>
        <v>48.5</v>
      </c>
      <c r="L189" s="21" t="str">
        <f aca="false">LOOKUP(K189,Assumptions!$D$4:$D$7,Assumptions!$E$4:$E$7)</f>
        <v>Foundation</v>
      </c>
      <c r="M189" s="21" t="n">
        <f aca="false">COUNTIFS(Applications!$B$2:$B$3144,A189)</f>
        <v>8</v>
      </c>
      <c r="N189" s="21" t="n">
        <f aca="false">COUNTIFS(Applications!$B$2:$B$3144,A189,Applications!$F$2:$F$3144,"Offered")</f>
        <v>0</v>
      </c>
      <c r="O189" s="21" t="str">
        <f aca="false">IF(COUNTIFS(Applications!$B$2:$B$3144,A189,Applications!$H$2:$H$3144,"Yes")&gt;0,"Yes","No")</f>
        <v>No</v>
      </c>
      <c r="P189" s="32" t="n">
        <f aca="false">SUMIFS(Applications!$G$2:$G$3144,Applications!$B$2:$B$3144,A189,Applications!$H$2:$H$3144,"Yes")</f>
        <v>0</v>
      </c>
      <c r="Q189" s="21" t="str">
        <f aca="false">IF(O189="Yes",INDEX(Companies!$B$2:$B$31,MATCH(INDEX(Applications!$C$2:$C$3144,MATCH(A189,Applications!$P$2:$P$3144,0)),Companies!$A$2:$A$31,0)),"-")</f>
        <v>-</v>
      </c>
    </row>
    <row r="190" customFormat="false" ht="15" hidden="false" customHeight="false" outlineLevel="0" collapsed="false">
      <c r="A190" s="21" t="s">
        <v>470</v>
      </c>
      <c r="B190" s="21" t="s">
        <v>471</v>
      </c>
      <c r="C190" s="21" t="s">
        <v>458</v>
      </c>
      <c r="D190" s="21" t="s">
        <v>65</v>
      </c>
      <c r="E190" s="21" t="s">
        <v>91</v>
      </c>
      <c r="F190" s="21" t="n">
        <v>7.83</v>
      </c>
      <c r="G190" s="21" t="n">
        <v>141</v>
      </c>
      <c r="H190" s="21" t="n">
        <v>3</v>
      </c>
      <c r="I190" s="21" t="s">
        <v>120</v>
      </c>
      <c r="J190" s="21" t="n">
        <v>62</v>
      </c>
      <c r="K190" s="32" t="n">
        <f aca="false">ROUND(Assumptions!$B$4*MIN(G190/Assumptions!$B$11,1)*100+Assumptions!$B$5*F190/10*100+Assumptions!$B$6*MIN(H190/Assumptions!$B$12,1)*100+Assumptions!$B$7*J190+Assumptions!$B$8*IF(I190="Yes",100,0),1)</f>
        <v>58.5</v>
      </c>
      <c r="L190" s="21" t="str">
        <f aca="false">LOOKUP(K190,Assumptions!$D$4:$D$7,Assumptions!$E$4:$E$7)</f>
        <v>Developing</v>
      </c>
      <c r="M190" s="21" t="n">
        <f aca="false">COUNTIFS(Applications!$B$2:$B$3144,A190)</f>
        <v>8</v>
      </c>
      <c r="N190" s="21" t="n">
        <f aca="false">COUNTIFS(Applications!$B$2:$B$3144,A190,Applications!$F$2:$F$3144,"Offered")</f>
        <v>1</v>
      </c>
      <c r="O190" s="21" t="str">
        <f aca="false">IF(COUNTIFS(Applications!$B$2:$B$3144,A190,Applications!$H$2:$H$3144,"Yes")&gt;0,"Yes","No")</f>
        <v>Yes</v>
      </c>
      <c r="P190" s="32" t="n">
        <f aca="false">SUMIFS(Applications!$G$2:$G$3144,Applications!$B$2:$B$3144,A190,Applications!$H$2:$H$3144,"Yes")</f>
        <v>11.9</v>
      </c>
      <c r="Q190" s="21" t="str">
        <f aca="false">IF(O190="Yes",INDEX(Companies!$B$2:$B$31,MATCH(INDEX(Applications!$C$2:$C$3144,MATCH(A190,Applications!$P$2:$P$3144,0)),Companies!$A$2:$A$31,0)),"-")</f>
        <v>MediSphere</v>
      </c>
    </row>
    <row r="191" customFormat="false" ht="15" hidden="false" customHeight="false" outlineLevel="0" collapsed="false">
      <c r="A191" s="21" t="s">
        <v>472</v>
      </c>
      <c r="B191" s="21" t="s">
        <v>473</v>
      </c>
      <c r="C191" s="21" t="s">
        <v>458</v>
      </c>
      <c r="D191" s="21" t="s">
        <v>66</v>
      </c>
      <c r="E191" s="21" t="s">
        <v>92</v>
      </c>
      <c r="F191" s="21" t="n">
        <v>8.82</v>
      </c>
      <c r="G191" s="21" t="n">
        <v>260</v>
      </c>
      <c r="H191" s="21" t="n">
        <v>2</v>
      </c>
      <c r="I191" s="21" t="s">
        <v>120</v>
      </c>
      <c r="J191" s="21" t="n">
        <v>55</v>
      </c>
      <c r="K191" s="32" t="n">
        <f aca="false">ROUND(Assumptions!$B$4*MIN(G191/Assumptions!$B$11,1)*100+Assumptions!$B$5*F191/10*100+Assumptions!$B$6*MIN(H191/Assumptions!$B$12,1)*100+Assumptions!$B$7*J191+Assumptions!$B$8*IF(I191="Yes",100,0),1)</f>
        <v>62.2</v>
      </c>
      <c r="L191" s="21" t="str">
        <f aca="false">LOOKUP(K191,Assumptions!$D$4:$D$7,Assumptions!$E$4:$E$7)</f>
        <v>Developing</v>
      </c>
      <c r="M191" s="21" t="n">
        <f aca="false">COUNTIFS(Applications!$B$2:$B$3144,A191)</f>
        <v>7</v>
      </c>
      <c r="N191" s="21" t="n">
        <f aca="false">COUNTIFS(Applications!$B$2:$B$3144,A191,Applications!$F$2:$F$3144,"Offered")</f>
        <v>1</v>
      </c>
      <c r="O191" s="21" t="str">
        <f aca="false">IF(COUNTIFS(Applications!$B$2:$B$3144,A191,Applications!$H$2:$H$3144,"Yes")&gt;0,"Yes","No")</f>
        <v>Yes</v>
      </c>
      <c r="P191" s="32" t="n">
        <f aca="false">SUMIFS(Applications!$G$2:$G$3144,Applications!$B$2:$B$3144,A191,Applications!$H$2:$H$3144,"Yes")</f>
        <v>5.5</v>
      </c>
      <c r="Q191" s="21" t="str">
        <f aca="false">IF(O191="Yes",INDEX(Companies!$B$2:$B$31,MATCH(INDEX(Applications!$C$2:$C$3144,MATCH(A191,Applications!$P$2:$P$3144,0)),Companies!$A$2:$A$31,0)),"-")</f>
        <v>Bharat Digital</v>
      </c>
    </row>
    <row r="192" customFormat="false" ht="15" hidden="false" customHeight="false" outlineLevel="0" collapsed="false">
      <c r="A192" s="21" t="s">
        <v>474</v>
      </c>
      <c r="B192" s="21" t="s">
        <v>475</v>
      </c>
      <c r="C192" s="21" t="s">
        <v>458</v>
      </c>
      <c r="D192" s="21" t="s">
        <v>64</v>
      </c>
      <c r="E192" s="21" t="s">
        <v>90</v>
      </c>
      <c r="F192" s="21" t="n">
        <v>8.44</v>
      </c>
      <c r="G192" s="21" t="n">
        <v>719</v>
      </c>
      <c r="H192" s="21" t="n">
        <v>2</v>
      </c>
      <c r="I192" s="21" t="s">
        <v>113</v>
      </c>
      <c r="J192" s="21" t="n">
        <v>48</v>
      </c>
      <c r="K192" s="32" t="n">
        <f aca="false">ROUND(Assumptions!$B$4*MIN(G192/Assumptions!$B$11,1)*100+Assumptions!$B$5*F192/10*100+Assumptions!$B$6*MIN(H192/Assumptions!$B$12,1)*100+Assumptions!$B$7*J192+Assumptions!$B$8*IF(I192="Yes",100,0),1)</f>
        <v>64.5</v>
      </c>
      <c r="L192" s="21" t="str">
        <f aca="false">LOOKUP(K192,Assumptions!$D$4:$D$7,Assumptions!$E$4:$E$7)</f>
        <v>Developing</v>
      </c>
      <c r="M192" s="21" t="n">
        <f aca="false">COUNTIFS(Applications!$B$2:$B$3144,A192)</f>
        <v>3</v>
      </c>
      <c r="N192" s="21" t="n">
        <f aca="false">COUNTIFS(Applications!$B$2:$B$3144,A192,Applications!$F$2:$F$3144,"Offered")</f>
        <v>0</v>
      </c>
      <c r="O192" s="21" t="str">
        <f aca="false">IF(COUNTIFS(Applications!$B$2:$B$3144,A192,Applications!$H$2:$H$3144,"Yes")&gt;0,"Yes","No")</f>
        <v>No</v>
      </c>
      <c r="P192" s="32" t="n">
        <f aca="false">SUMIFS(Applications!$G$2:$G$3144,Applications!$B$2:$B$3144,A192,Applications!$H$2:$H$3144,"Yes")</f>
        <v>0</v>
      </c>
      <c r="Q192" s="21" t="str">
        <f aca="false">IF(O192="Yes",INDEX(Companies!$B$2:$B$31,MATCH(INDEX(Applications!$C$2:$C$3144,MATCH(A192,Applications!$P$2:$P$3144,0)),Companies!$A$2:$A$31,0)),"-")</f>
        <v>-</v>
      </c>
    </row>
    <row r="193" customFormat="false" ht="15" hidden="false" customHeight="false" outlineLevel="0" collapsed="false">
      <c r="A193" s="21" t="s">
        <v>476</v>
      </c>
      <c r="B193" s="21" t="s">
        <v>477</v>
      </c>
      <c r="C193" s="21" t="s">
        <v>458</v>
      </c>
      <c r="D193" s="21" t="s">
        <v>67</v>
      </c>
      <c r="E193" s="21" t="s">
        <v>90</v>
      </c>
      <c r="F193" s="21" t="n">
        <v>8.17</v>
      </c>
      <c r="G193" s="21" t="n">
        <v>354</v>
      </c>
      <c r="H193" s="21" t="n">
        <v>5</v>
      </c>
      <c r="I193" s="21" t="s">
        <v>120</v>
      </c>
      <c r="J193" s="21" t="n">
        <v>83</v>
      </c>
      <c r="K193" s="32" t="n">
        <f aca="false">ROUND(Assumptions!$B$4*MIN(G193/Assumptions!$B$11,1)*100+Assumptions!$B$5*F193/10*100+Assumptions!$B$6*MIN(H193/Assumptions!$B$12,1)*100+Assumptions!$B$7*J193+Assumptions!$B$8*IF(I193="Yes",100,0),1)</f>
        <v>84.2</v>
      </c>
      <c r="L193" s="21" t="str">
        <f aca="false">LOOKUP(K193,Assumptions!$D$4:$D$7,Assumptions!$E$4:$E$7)</f>
        <v>Elite</v>
      </c>
      <c r="M193" s="21" t="n">
        <f aca="false">COUNTIFS(Applications!$B$2:$B$3144,A193)</f>
        <v>8</v>
      </c>
      <c r="N193" s="21" t="n">
        <f aca="false">COUNTIFS(Applications!$B$2:$B$3144,A193,Applications!$F$2:$F$3144,"Offered")</f>
        <v>4</v>
      </c>
      <c r="O193" s="21" t="str">
        <f aca="false">IF(COUNTIFS(Applications!$B$2:$B$3144,A193,Applications!$H$2:$H$3144,"Yes")&gt;0,"Yes","No")</f>
        <v>Yes</v>
      </c>
      <c r="P193" s="32" t="n">
        <f aca="false">SUMIFS(Applications!$G$2:$G$3144,Applications!$B$2:$B$3144,A193,Applications!$H$2:$H$3144,"Yes")</f>
        <v>11.3</v>
      </c>
      <c r="Q193" s="21" t="str">
        <f aca="false">IF(O193="Yes",INDEX(Companies!$B$2:$B$31,MATCH(INDEX(Applications!$C$2:$C$3144,MATCH(A193,Applications!$P$2:$P$3144,0)),Companies!$A$2:$A$31,0)),"-")</f>
        <v>FinStack</v>
      </c>
    </row>
    <row r="194" customFormat="false" ht="15" hidden="false" customHeight="false" outlineLevel="0" collapsed="false">
      <c r="A194" s="21" t="s">
        <v>478</v>
      </c>
      <c r="B194" s="21" t="s">
        <v>430</v>
      </c>
      <c r="C194" s="21" t="s">
        <v>458</v>
      </c>
      <c r="D194" s="21" t="s">
        <v>64</v>
      </c>
      <c r="E194" s="21" t="s">
        <v>91</v>
      </c>
      <c r="F194" s="21" t="n">
        <v>7.93</v>
      </c>
      <c r="G194" s="21" t="n">
        <v>950</v>
      </c>
      <c r="H194" s="21" t="n">
        <v>2</v>
      </c>
      <c r="I194" s="21" t="s">
        <v>113</v>
      </c>
      <c r="J194" s="21" t="n">
        <v>46</v>
      </c>
      <c r="K194" s="32" t="n">
        <f aca="false">ROUND(Assumptions!$B$4*MIN(G194/Assumptions!$B$11,1)*100+Assumptions!$B$5*F194/10*100+Assumptions!$B$6*MIN(H194/Assumptions!$B$12,1)*100+Assumptions!$B$7*J194+Assumptions!$B$8*IF(I194="Yes",100,0),1)</f>
        <v>63.1</v>
      </c>
      <c r="L194" s="21" t="str">
        <f aca="false">LOOKUP(K194,Assumptions!$D$4:$D$7,Assumptions!$E$4:$E$7)</f>
        <v>Developing</v>
      </c>
      <c r="M194" s="21" t="n">
        <f aca="false">COUNTIFS(Applications!$B$2:$B$3144,A194)</f>
        <v>5</v>
      </c>
      <c r="N194" s="21" t="n">
        <f aca="false">COUNTIFS(Applications!$B$2:$B$3144,A194,Applications!$F$2:$F$3144,"Offered")</f>
        <v>2</v>
      </c>
      <c r="O194" s="21" t="str">
        <f aca="false">IF(COUNTIFS(Applications!$B$2:$B$3144,A194,Applications!$H$2:$H$3144,"Yes")&gt;0,"Yes","No")</f>
        <v>Yes</v>
      </c>
      <c r="P194" s="32" t="n">
        <f aca="false">SUMIFS(Applications!$G$2:$G$3144,Applications!$B$2:$B$3144,A194,Applications!$H$2:$H$3144,"Yes")</f>
        <v>4.9</v>
      </c>
      <c r="Q194" s="21" t="str">
        <f aca="false">IF(O194="Yes",INDEX(Companies!$B$2:$B$31,MATCH(INDEX(Applications!$C$2:$C$3144,MATCH(A194,Applications!$P$2:$P$3144,0)),Companies!$A$2:$A$31,0)),"-")</f>
        <v>Metro Systems</v>
      </c>
    </row>
    <row r="195" customFormat="false" ht="15" hidden="false" customHeight="false" outlineLevel="0" collapsed="false">
      <c r="A195" s="21" t="s">
        <v>479</v>
      </c>
      <c r="B195" s="21" t="s">
        <v>480</v>
      </c>
      <c r="C195" s="21" t="s">
        <v>458</v>
      </c>
      <c r="D195" s="21" t="s">
        <v>67</v>
      </c>
      <c r="E195" s="21" t="s">
        <v>90</v>
      </c>
      <c r="F195" s="21" t="n">
        <v>7.18</v>
      </c>
      <c r="G195" s="21" t="n">
        <v>48</v>
      </c>
      <c r="H195" s="21" t="n">
        <v>7</v>
      </c>
      <c r="I195" s="21" t="s">
        <v>113</v>
      </c>
      <c r="J195" s="21" t="n">
        <v>39</v>
      </c>
      <c r="K195" s="32" t="n">
        <f aca="false">ROUND(Assumptions!$B$4*MIN(G195/Assumptions!$B$11,1)*100+Assumptions!$B$5*F195/10*100+Assumptions!$B$6*MIN(H195/Assumptions!$B$12,1)*100+Assumptions!$B$7*J195+Assumptions!$B$8*IF(I195="Yes",100,0),1)</f>
        <v>45</v>
      </c>
      <c r="L195" s="21" t="str">
        <f aca="false">LOOKUP(K195,Assumptions!$D$4:$D$7,Assumptions!$E$4:$E$7)</f>
        <v>Foundation</v>
      </c>
      <c r="M195" s="21" t="n">
        <f aca="false">COUNTIFS(Applications!$B$2:$B$3144,A195)</f>
        <v>0</v>
      </c>
      <c r="N195" s="21" t="n">
        <f aca="false">COUNTIFS(Applications!$B$2:$B$3144,A195,Applications!$F$2:$F$3144,"Offered")</f>
        <v>0</v>
      </c>
      <c r="O195" s="21" t="str">
        <f aca="false">IF(COUNTIFS(Applications!$B$2:$B$3144,A195,Applications!$H$2:$H$3144,"Yes")&gt;0,"Yes","No")</f>
        <v>No</v>
      </c>
      <c r="P195" s="32" t="n">
        <f aca="false">SUMIFS(Applications!$G$2:$G$3144,Applications!$B$2:$B$3144,A195,Applications!$H$2:$H$3144,"Yes")</f>
        <v>0</v>
      </c>
      <c r="Q195" s="21" t="str">
        <f aca="false">IF(O195="Yes",INDEX(Companies!$B$2:$B$31,MATCH(INDEX(Applications!$C$2:$C$3144,MATCH(A195,Applications!$P$2:$P$3144,0)),Companies!$A$2:$A$31,0)),"-")</f>
        <v>-</v>
      </c>
    </row>
    <row r="196" customFormat="false" ht="15" hidden="false" customHeight="false" outlineLevel="0" collapsed="false">
      <c r="A196" s="21" t="s">
        <v>481</v>
      </c>
      <c r="B196" s="21" t="s">
        <v>229</v>
      </c>
      <c r="C196" s="21" t="s">
        <v>458</v>
      </c>
      <c r="D196" s="21" t="s">
        <v>64</v>
      </c>
      <c r="E196" s="21" t="s">
        <v>92</v>
      </c>
      <c r="F196" s="21" t="n">
        <v>5.74</v>
      </c>
      <c r="G196" s="21" t="n">
        <v>674</v>
      </c>
      <c r="H196" s="21" t="n">
        <v>3</v>
      </c>
      <c r="I196" s="21" t="s">
        <v>113</v>
      </c>
      <c r="J196" s="21" t="n">
        <v>52</v>
      </c>
      <c r="K196" s="32" t="n">
        <f aca="false">ROUND(Assumptions!$B$4*MIN(G196/Assumptions!$B$11,1)*100+Assumptions!$B$5*F196/10*100+Assumptions!$B$6*MIN(H196/Assumptions!$B$12,1)*100+Assumptions!$B$7*J196+Assumptions!$B$8*IF(I196="Yes",100,0),1)</f>
        <v>63.9</v>
      </c>
      <c r="L196" s="21" t="str">
        <f aca="false">LOOKUP(K196,Assumptions!$D$4:$D$7,Assumptions!$E$4:$E$7)</f>
        <v>Developing</v>
      </c>
      <c r="M196" s="21" t="n">
        <f aca="false">COUNTIFS(Applications!$B$2:$B$3144,A196)</f>
        <v>3</v>
      </c>
      <c r="N196" s="21" t="n">
        <f aca="false">COUNTIFS(Applications!$B$2:$B$3144,A196,Applications!$F$2:$F$3144,"Offered")</f>
        <v>0</v>
      </c>
      <c r="O196" s="21" t="str">
        <f aca="false">IF(COUNTIFS(Applications!$B$2:$B$3144,A196,Applications!$H$2:$H$3144,"Yes")&gt;0,"Yes","No")</f>
        <v>No</v>
      </c>
      <c r="P196" s="32" t="n">
        <f aca="false">SUMIFS(Applications!$G$2:$G$3144,Applications!$B$2:$B$3144,A196,Applications!$H$2:$H$3144,"Yes")</f>
        <v>0</v>
      </c>
      <c r="Q196" s="21" t="str">
        <f aca="false">IF(O196="Yes",INDEX(Companies!$B$2:$B$31,MATCH(INDEX(Applications!$C$2:$C$3144,MATCH(A196,Applications!$P$2:$P$3144,0)),Companies!$A$2:$A$31,0)),"-")</f>
        <v>-</v>
      </c>
    </row>
    <row r="197" customFormat="false" ht="15" hidden="false" customHeight="false" outlineLevel="0" collapsed="false">
      <c r="A197" s="21" t="s">
        <v>482</v>
      </c>
      <c r="B197" s="21" t="s">
        <v>483</v>
      </c>
      <c r="C197" s="21" t="s">
        <v>458</v>
      </c>
      <c r="D197" s="21" t="s">
        <v>65</v>
      </c>
      <c r="E197" s="21" t="s">
        <v>92</v>
      </c>
      <c r="F197" s="21" t="n">
        <v>7.75</v>
      </c>
      <c r="G197" s="21" t="n">
        <v>111</v>
      </c>
      <c r="H197" s="21" t="n">
        <v>2</v>
      </c>
      <c r="I197" s="21" t="s">
        <v>120</v>
      </c>
      <c r="J197" s="21" t="n">
        <v>57</v>
      </c>
      <c r="K197" s="32" t="n">
        <f aca="false">ROUND(Assumptions!$B$4*MIN(G197/Assumptions!$B$11,1)*100+Assumptions!$B$5*F197/10*100+Assumptions!$B$6*MIN(H197/Assumptions!$B$12,1)*100+Assumptions!$B$7*J197+Assumptions!$B$8*IF(I197="Yes",100,0),1)</f>
        <v>51.6</v>
      </c>
      <c r="L197" s="21" t="str">
        <f aca="false">LOOKUP(K197,Assumptions!$D$4:$D$7,Assumptions!$E$4:$E$7)</f>
        <v>Developing</v>
      </c>
      <c r="M197" s="21" t="n">
        <f aca="false">COUNTIFS(Applications!$B$2:$B$3144,A197)</f>
        <v>8</v>
      </c>
      <c r="N197" s="21" t="n">
        <f aca="false">COUNTIFS(Applications!$B$2:$B$3144,A197,Applications!$F$2:$F$3144,"Offered")</f>
        <v>1</v>
      </c>
      <c r="O197" s="21" t="str">
        <f aca="false">IF(COUNTIFS(Applications!$B$2:$B$3144,A197,Applications!$H$2:$H$3144,"Yes")&gt;0,"Yes","No")</f>
        <v>Yes</v>
      </c>
      <c r="P197" s="32" t="n">
        <f aca="false">SUMIFS(Applications!$G$2:$G$3144,Applications!$B$2:$B$3144,A197,Applications!$H$2:$H$3144,"Yes")</f>
        <v>12.4</v>
      </c>
      <c r="Q197" s="21" t="str">
        <f aca="false">IF(O197="Yes",INDEX(Companies!$B$2:$B$31,MATCH(INDEX(Applications!$C$2:$C$3144,MATCH(A197,Applications!$P$2:$P$3144,0)),Companies!$A$2:$A$31,0)),"-")</f>
        <v>MediSphere</v>
      </c>
    </row>
    <row r="198" customFormat="false" ht="15" hidden="false" customHeight="false" outlineLevel="0" collapsed="false">
      <c r="A198" s="21" t="s">
        <v>484</v>
      </c>
      <c r="B198" s="21" t="s">
        <v>485</v>
      </c>
      <c r="C198" s="21" t="s">
        <v>458</v>
      </c>
      <c r="D198" s="21" t="s">
        <v>64</v>
      </c>
      <c r="E198" s="21" t="s">
        <v>90</v>
      </c>
      <c r="F198" s="21" t="n">
        <v>8.92</v>
      </c>
      <c r="G198" s="21" t="n">
        <v>166</v>
      </c>
      <c r="H198" s="21" t="n">
        <v>6</v>
      </c>
      <c r="I198" s="21" t="s">
        <v>113</v>
      </c>
      <c r="J198" s="21" t="n">
        <v>83</v>
      </c>
      <c r="K198" s="32" t="n">
        <f aca="false">ROUND(Assumptions!$B$4*MIN(G198/Assumptions!$B$11,1)*100+Assumptions!$B$5*F198/10*100+Assumptions!$B$6*MIN(H198/Assumptions!$B$12,1)*100+Assumptions!$B$7*J198+Assumptions!$B$8*IF(I198="Yes",100,0),1)</f>
        <v>64.4</v>
      </c>
      <c r="L198" s="21" t="str">
        <f aca="false">LOOKUP(K198,Assumptions!$D$4:$D$7,Assumptions!$E$4:$E$7)</f>
        <v>Developing</v>
      </c>
      <c r="M198" s="21" t="n">
        <f aca="false">COUNTIFS(Applications!$B$2:$B$3144,A198)</f>
        <v>6</v>
      </c>
      <c r="N198" s="21" t="n">
        <f aca="false">COUNTIFS(Applications!$B$2:$B$3144,A198,Applications!$F$2:$F$3144,"Offered")</f>
        <v>2</v>
      </c>
      <c r="O198" s="21" t="str">
        <f aca="false">IF(COUNTIFS(Applications!$B$2:$B$3144,A198,Applications!$H$2:$H$3144,"Yes")&gt;0,"Yes","No")</f>
        <v>Yes</v>
      </c>
      <c r="P198" s="32" t="n">
        <f aca="false">SUMIFS(Applications!$G$2:$G$3144,Applications!$B$2:$B$3144,A198,Applications!$H$2:$H$3144,"Yes")</f>
        <v>6.9</v>
      </c>
      <c r="Q198" s="21" t="str">
        <f aca="false">IF(O198="Yes",INDEX(Companies!$B$2:$B$31,MATCH(INDEX(Applications!$C$2:$C$3144,MATCH(A198,Applications!$P$2:$P$3144,0)),Companies!$A$2:$A$31,0)),"-")</f>
        <v>InfoNova Services</v>
      </c>
    </row>
    <row r="199" customFormat="false" ht="15" hidden="false" customHeight="false" outlineLevel="0" collapsed="false">
      <c r="A199" s="21" t="s">
        <v>486</v>
      </c>
      <c r="B199" s="21" t="s">
        <v>357</v>
      </c>
      <c r="C199" s="21" t="s">
        <v>458</v>
      </c>
      <c r="D199" s="21" t="s">
        <v>67</v>
      </c>
      <c r="E199" s="21" t="s">
        <v>90</v>
      </c>
      <c r="F199" s="21" t="n">
        <v>9.4</v>
      </c>
      <c r="G199" s="21" t="n">
        <v>186</v>
      </c>
      <c r="H199" s="21" t="n">
        <v>1</v>
      </c>
      <c r="I199" s="21" t="s">
        <v>120</v>
      </c>
      <c r="J199" s="21" t="n">
        <v>47</v>
      </c>
      <c r="K199" s="32" t="n">
        <f aca="false">ROUND(Assumptions!$B$4*MIN(G199/Assumptions!$B$11,1)*100+Assumptions!$B$5*F199/10*100+Assumptions!$B$6*MIN(H199/Assumptions!$B$12,1)*100+Assumptions!$B$7*J199+Assumptions!$B$8*IF(I199="Yes",100,0),1)</f>
        <v>53.4</v>
      </c>
      <c r="L199" s="21" t="str">
        <f aca="false">LOOKUP(K199,Assumptions!$D$4:$D$7,Assumptions!$E$4:$E$7)</f>
        <v>Developing</v>
      </c>
      <c r="M199" s="21" t="n">
        <f aca="false">COUNTIFS(Applications!$B$2:$B$3144,A199)</f>
        <v>1</v>
      </c>
      <c r="N199" s="21" t="n">
        <f aca="false">COUNTIFS(Applications!$B$2:$B$3144,A199,Applications!$F$2:$F$3144,"Offered")</f>
        <v>0</v>
      </c>
      <c r="O199" s="21" t="str">
        <f aca="false">IF(COUNTIFS(Applications!$B$2:$B$3144,A199,Applications!$H$2:$H$3144,"Yes")&gt;0,"Yes","No")</f>
        <v>No</v>
      </c>
      <c r="P199" s="32" t="n">
        <f aca="false">SUMIFS(Applications!$G$2:$G$3144,Applications!$B$2:$B$3144,A199,Applications!$H$2:$H$3144,"Yes")</f>
        <v>0</v>
      </c>
      <c r="Q199" s="21" t="str">
        <f aca="false">IF(O199="Yes",INDEX(Companies!$B$2:$B$31,MATCH(INDEX(Applications!$C$2:$C$3144,MATCH(A199,Applications!$P$2:$P$3144,0)),Companies!$A$2:$A$31,0)),"-")</f>
        <v>-</v>
      </c>
    </row>
    <row r="200" customFormat="false" ht="15" hidden="false" customHeight="false" outlineLevel="0" collapsed="false">
      <c r="A200" s="21" t="s">
        <v>487</v>
      </c>
      <c r="B200" s="21" t="s">
        <v>488</v>
      </c>
      <c r="C200" s="21" t="s">
        <v>458</v>
      </c>
      <c r="D200" s="21" t="s">
        <v>66</v>
      </c>
      <c r="E200" s="21" t="s">
        <v>92</v>
      </c>
      <c r="F200" s="21" t="n">
        <v>6.62</v>
      </c>
      <c r="G200" s="21" t="n">
        <v>274</v>
      </c>
      <c r="H200" s="21" t="n">
        <v>6</v>
      </c>
      <c r="I200" s="21" t="s">
        <v>120</v>
      </c>
      <c r="J200" s="21" t="n">
        <v>55</v>
      </c>
      <c r="K200" s="32" t="n">
        <f aca="false">ROUND(Assumptions!$B$4*MIN(G200/Assumptions!$B$11,1)*100+Assumptions!$B$5*F200/10*100+Assumptions!$B$6*MIN(H200/Assumptions!$B$12,1)*100+Assumptions!$B$7*J200+Assumptions!$B$8*IF(I200="Yes",100,0),1)</f>
        <v>70.7</v>
      </c>
      <c r="L200" s="21" t="str">
        <f aca="false">LOOKUP(K200,Assumptions!$D$4:$D$7,Assumptions!$E$4:$E$7)</f>
        <v>Job-Ready</v>
      </c>
      <c r="M200" s="21" t="n">
        <f aca="false">COUNTIFS(Applications!$B$2:$B$3144,A200)</f>
        <v>11</v>
      </c>
      <c r="N200" s="21" t="n">
        <f aca="false">COUNTIFS(Applications!$B$2:$B$3144,A200,Applications!$F$2:$F$3144,"Offered")</f>
        <v>7</v>
      </c>
      <c r="O200" s="21" t="str">
        <f aca="false">IF(COUNTIFS(Applications!$B$2:$B$3144,A200,Applications!$H$2:$H$3144,"Yes")&gt;0,"Yes","No")</f>
        <v>Yes</v>
      </c>
      <c r="P200" s="32" t="n">
        <f aca="false">SUMIFS(Applications!$G$2:$G$3144,Applications!$B$2:$B$3144,A200,Applications!$H$2:$H$3144,"Yes")</f>
        <v>21.8</v>
      </c>
      <c r="Q200" s="21" t="str">
        <f aca="false">IF(O200="Yes",INDEX(Companies!$B$2:$B$31,MATCH(INDEX(Applications!$C$2:$C$3144,MATCH(A200,Applications!$P$2:$P$3144,0)),Companies!$A$2:$A$31,0)),"-")</f>
        <v>Quantora Labs</v>
      </c>
    </row>
    <row r="201" customFormat="false" ht="15" hidden="false" customHeight="false" outlineLevel="0" collapsed="false">
      <c r="A201" s="21" t="s">
        <v>489</v>
      </c>
      <c r="B201" s="21" t="s">
        <v>490</v>
      </c>
      <c r="C201" s="21" t="s">
        <v>458</v>
      </c>
      <c r="D201" s="21" t="s">
        <v>63</v>
      </c>
      <c r="E201" s="21" t="s">
        <v>90</v>
      </c>
      <c r="F201" s="21" t="n">
        <v>7.14</v>
      </c>
      <c r="G201" s="21" t="n">
        <v>288</v>
      </c>
      <c r="H201" s="21" t="n">
        <v>4</v>
      </c>
      <c r="I201" s="21" t="s">
        <v>120</v>
      </c>
      <c r="J201" s="21" t="n">
        <v>44</v>
      </c>
      <c r="K201" s="32" t="n">
        <f aca="false">ROUND(Assumptions!$B$4*MIN(G201/Assumptions!$B$11,1)*100+Assumptions!$B$5*F201/10*100+Assumptions!$B$6*MIN(H201/Assumptions!$B$12,1)*100+Assumptions!$B$7*J201+Assumptions!$B$8*IF(I201="Yes",100,0),1)</f>
        <v>66.4</v>
      </c>
      <c r="L201" s="21" t="str">
        <f aca="false">LOOKUP(K201,Assumptions!$D$4:$D$7,Assumptions!$E$4:$E$7)</f>
        <v>Job-Ready</v>
      </c>
      <c r="M201" s="21" t="n">
        <f aca="false">COUNTIFS(Applications!$B$2:$B$3144,A201)</f>
        <v>7</v>
      </c>
      <c r="N201" s="21" t="n">
        <f aca="false">COUNTIFS(Applications!$B$2:$B$3144,A201,Applications!$F$2:$F$3144,"Offered")</f>
        <v>3</v>
      </c>
      <c r="O201" s="21" t="str">
        <f aca="false">IF(COUNTIFS(Applications!$B$2:$B$3144,A201,Applications!$H$2:$H$3144,"Yes")&gt;0,"Yes","No")</f>
        <v>Yes</v>
      </c>
      <c r="P201" s="32" t="n">
        <f aca="false">SUMIFS(Applications!$G$2:$G$3144,Applications!$B$2:$B$3144,A201,Applications!$H$2:$H$3144,"Yes")</f>
        <v>7.6</v>
      </c>
      <c r="Q201" s="21" t="str">
        <f aca="false">IF(O201="Yes",INDEX(Companies!$B$2:$B$31,MATCH(INDEX(Applications!$C$2:$C$3144,MATCH(A201,Applications!$P$2:$P$3144,0)),Companies!$A$2:$A$31,0)),"-")</f>
        <v>TechBridge Consulting</v>
      </c>
    </row>
    <row r="202" customFormat="false" ht="15" hidden="false" customHeight="false" outlineLevel="0" collapsed="false">
      <c r="A202" s="21" t="s">
        <v>491</v>
      </c>
      <c r="B202" s="21" t="s">
        <v>492</v>
      </c>
      <c r="C202" s="21" t="s">
        <v>458</v>
      </c>
      <c r="D202" s="21" t="s">
        <v>64</v>
      </c>
      <c r="E202" s="21" t="s">
        <v>90</v>
      </c>
      <c r="F202" s="21" t="n">
        <v>6.87</v>
      </c>
      <c r="G202" s="21" t="n">
        <v>308</v>
      </c>
      <c r="H202" s="21" t="n">
        <v>4</v>
      </c>
      <c r="I202" s="21" t="s">
        <v>113</v>
      </c>
      <c r="J202" s="21" t="n">
        <v>70</v>
      </c>
      <c r="K202" s="32" t="n">
        <f aca="false">ROUND(Assumptions!$B$4*MIN(G202/Assumptions!$B$11,1)*100+Assumptions!$B$5*F202/10*100+Assumptions!$B$6*MIN(H202/Assumptions!$B$12,1)*100+Assumptions!$B$7*J202+Assumptions!$B$8*IF(I202="Yes",100,0),1)</f>
        <v>62.2</v>
      </c>
      <c r="L202" s="21" t="str">
        <f aca="false">LOOKUP(K202,Assumptions!$D$4:$D$7,Assumptions!$E$4:$E$7)</f>
        <v>Developing</v>
      </c>
      <c r="M202" s="21" t="n">
        <f aca="false">COUNTIFS(Applications!$B$2:$B$3144,A202)</f>
        <v>6</v>
      </c>
      <c r="N202" s="21" t="n">
        <f aca="false">COUNTIFS(Applications!$B$2:$B$3144,A202,Applications!$F$2:$F$3144,"Offered")</f>
        <v>1</v>
      </c>
      <c r="O202" s="21" t="str">
        <f aca="false">IF(COUNTIFS(Applications!$B$2:$B$3144,A202,Applications!$H$2:$H$3144,"Yes")&gt;0,"Yes","No")</f>
        <v>Yes</v>
      </c>
      <c r="P202" s="32" t="n">
        <f aca="false">SUMIFS(Applications!$G$2:$G$3144,Applications!$B$2:$B$3144,A202,Applications!$H$2:$H$3144,"Yes")</f>
        <v>5.2</v>
      </c>
      <c r="Q202" s="21" t="str">
        <f aca="false">IF(O202="Yes",INDEX(Companies!$B$2:$B$31,MATCH(INDEX(Applications!$C$2:$C$3144,MATCH(A202,Applications!$P$2:$P$3144,0)),Companies!$A$2:$A$31,0)),"-")</f>
        <v>InfoNova Services</v>
      </c>
    </row>
    <row r="203" customFormat="false" ht="15" hidden="false" customHeight="false" outlineLevel="0" collapsed="false">
      <c r="A203" s="21" t="s">
        <v>493</v>
      </c>
      <c r="B203" s="21" t="s">
        <v>494</v>
      </c>
      <c r="C203" s="21" t="s">
        <v>458</v>
      </c>
      <c r="D203" s="21" t="s">
        <v>64</v>
      </c>
      <c r="E203" s="21" t="s">
        <v>91</v>
      </c>
      <c r="F203" s="21" t="n">
        <v>7.69</v>
      </c>
      <c r="G203" s="21" t="n">
        <v>692</v>
      </c>
      <c r="H203" s="21" t="n">
        <v>4</v>
      </c>
      <c r="I203" s="21" t="s">
        <v>113</v>
      </c>
      <c r="J203" s="21" t="n">
        <v>63</v>
      </c>
      <c r="K203" s="32" t="n">
        <f aca="false">ROUND(Assumptions!$B$4*MIN(G203/Assumptions!$B$11,1)*100+Assumptions!$B$5*F203/10*100+Assumptions!$B$6*MIN(H203/Assumptions!$B$12,1)*100+Assumptions!$B$7*J203+Assumptions!$B$8*IF(I203="Yes",100,0),1)</f>
        <v>74</v>
      </c>
      <c r="L203" s="21" t="str">
        <f aca="false">LOOKUP(K203,Assumptions!$D$4:$D$7,Assumptions!$E$4:$E$7)</f>
        <v>Job-Ready</v>
      </c>
      <c r="M203" s="21" t="n">
        <f aca="false">COUNTIFS(Applications!$B$2:$B$3144,A203)</f>
        <v>4</v>
      </c>
      <c r="N203" s="21" t="n">
        <f aca="false">COUNTIFS(Applications!$B$2:$B$3144,A203,Applications!$F$2:$F$3144,"Offered")</f>
        <v>2</v>
      </c>
      <c r="O203" s="21" t="str">
        <f aca="false">IF(COUNTIFS(Applications!$B$2:$B$3144,A203,Applications!$H$2:$H$3144,"Yes")&gt;0,"Yes","No")</f>
        <v>Yes</v>
      </c>
      <c r="P203" s="32" t="n">
        <f aca="false">SUMIFS(Applications!$G$2:$G$3144,Applications!$B$2:$B$3144,A203,Applications!$H$2:$H$3144,"Yes")</f>
        <v>7.6</v>
      </c>
      <c r="Q203" s="21" t="str">
        <f aca="false">IF(O203="Yes",INDEX(Companies!$B$2:$B$31,MATCH(INDEX(Applications!$C$2:$C$3144,MATCH(A203,Applications!$P$2:$P$3144,0)),Companies!$A$2:$A$31,0)),"-")</f>
        <v>DataHarbor</v>
      </c>
    </row>
    <row r="204" customFormat="false" ht="15" hidden="false" customHeight="false" outlineLevel="0" collapsed="false">
      <c r="A204" s="21" t="s">
        <v>495</v>
      </c>
      <c r="B204" s="21" t="s">
        <v>496</v>
      </c>
      <c r="C204" s="21" t="s">
        <v>458</v>
      </c>
      <c r="D204" s="21" t="s">
        <v>66</v>
      </c>
      <c r="E204" s="21" t="s">
        <v>90</v>
      </c>
      <c r="F204" s="21" t="n">
        <v>7.71</v>
      </c>
      <c r="G204" s="21" t="n">
        <v>238</v>
      </c>
      <c r="H204" s="21" t="n">
        <v>2</v>
      </c>
      <c r="I204" s="21" t="s">
        <v>113</v>
      </c>
      <c r="J204" s="21" t="n">
        <v>92</v>
      </c>
      <c r="K204" s="32" t="n">
        <f aca="false">ROUND(Assumptions!$B$4*MIN(G204/Assumptions!$B$11,1)*100+Assumptions!$B$5*F204/10*100+Assumptions!$B$6*MIN(H204/Assumptions!$B$12,1)*100+Assumptions!$B$7*J204+Assumptions!$B$8*IF(I204="Yes",100,0),1)</f>
        <v>56.1</v>
      </c>
      <c r="L204" s="21" t="str">
        <f aca="false">LOOKUP(K204,Assumptions!$D$4:$D$7,Assumptions!$E$4:$E$7)</f>
        <v>Developing</v>
      </c>
      <c r="M204" s="21" t="n">
        <f aca="false">COUNTIFS(Applications!$B$2:$B$3144,A204)</f>
        <v>5</v>
      </c>
      <c r="N204" s="21" t="n">
        <f aca="false">COUNTIFS(Applications!$B$2:$B$3144,A204,Applications!$F$2:$F$3144,"Offered")</f>
        <v>0</v>
      </c>
      <c r="O204" s="21" t="str">
        <f aca="false">IF(COUNTIFS(Applications!$B$2:$B$3144,A204,Applications!$H$2:$H$3144,"Yes")&gt;0,"Yes","No")</f>
        <v>No</v>
      </c>
      <c r="P204" s="32" t="n">
        <f aca="false">SUMIFS(Applications!$G$2:$G$3144,Applications!$B$2:$B$3144,A204,Applications!$H$2:$H$3144,"Yes")</f>
        <v>0</v>
      </c>
      <c r="Q204" s="21" t="str">
        <f aca="false">IF(O204="Yes",INDEX(Companies!$B$2:$B$31,MATCH(INDEX(Applications!$C$2:$C$3144,MATCH(A204,Applications!$P$2:$P$3144,0)),Companies!$A$2:$A$31,0)),"-")</f>
        <v>-</v>
      </c>
    </row>
    <row r="205" customFormat="false" ht="15" hidden="false" customHeight="false" outlineLevel="0" collapsed="false">
      <c r="A205" s="21" t="s">
        <v>497</v>
      </c>
      <c r="B205" s="21" t="s">
        <v>498</v>
      </c>
      <c r="C205" s="21" t="s">
        <v>458</v>
      </c>
      <c r="D205" s="21" t="s">
        <v>65</v>
      </c>
      <c r="E205" s="21" t="s">
        <v>90</v>
      </c>
      <c r="F205" s="21" t="n">
        <v>8.61</v>
      </c>
      <c r="G205" s="21" t="n">
        <v>217</v>
      </c>
      <c r="H205" s="21" t="n">
        <v>1</v>
      </c>
      <c r="I205" s="21" t="s">
        <v>113</v>
      </c>
      <c r="J205" s="21" t="n">
        <v>74</v>
      </c>
      <c r="K205" s="32" t="n">
        <f aca="false">ROUND(Assumptions!$B$4*MIN(G205/Assumptions!$B$11,1)*100+Assumptions!$B$5*F205/10*100+Assumptions!$B$6*MIN(H205/Assumptions!$B$12,1)*100+Assumptions!$B$7*J205+Assumptions!$B$8*IF(I205="Yes",100,0),1)</f>
        <v>49</v>
      </c>
      <c r="L205" s="21" t="str">
        <f aca="false">LOOKUP(K205,Assumptions!$D$4:$D$7,Assumptions!$E$4:$E$7)</f>
        <v>Foundation</v>
      </c>
      <c r="M205" s="21" t="n">
        <f aca="false">COUNTIFS(Applications!$B$2:$B$3144,A205)</f>
        <v>8</v>
      </c>
      <c r="N205" s="21" t="n">
        <f aca="false">COUNTIFS(Applications!$B$2:$B$3144,A205,Applications!$F$2:$F$3144,"Offered")</f>
        <v>0</v>
      </c>
      <c r="O205" s="21" t="str">
        <f aca="false">IF(COUNTIFS(Applications!$B$2:$B$3144,A205,Applications!$H$2:$H$3144,"Yes")&gt;0,"Yes","No")</f>
        <v>No</v>
      </c>
      <c r="P205" s="32" t="n">
        <f aca="false">SUMIFS(Applications!$G$2:$G$3144,Applications!$B$2:$B$3144,A205,Applications!$H$2:$H$3144,"Yes")</f>
        <v>0</v>
      </c>
      <c r="Q205" s="21" t="str">
        <f aca="false">IF(O205="Yes",INDEX(Companies!$B$2:$B$31,MATCH(INDEX(Applications!$C$2:$C$3144,MATCH(A205,Applications!$P$2:$P$3144,0)),Companies!$A$2:$A$31,0)),"-")</f>
        <v>-</v>
      </c>
    </row>
    <row r="206" customFormat="false" ht="15" hidden="false" customHeight="false" outlineLevel="0" collapsed="false">
      <c r="A206" s="21" t="s">
        <v>499</v>
      </c>
      <c r="B206" s="21" t="s">
        <v>500</v>
      </c>
      <c r="C206" s="21" t="s">
        <v>458</v>
      </c>
      <c r="D206" s="21" t="s">
        <v>64</v>
      </c>
      <c r="E206" s="21" t="s">
        <v>91</v>
      </c>
      <c r="F206" s="21" t="n">
        <v>7.22</v>
      </c>
      <c r="G206" s="21" t="n">
        <v>342</v>
      </c>
      <c r="H206" s="21" t="n">
        <v>2</v>
      </c>
      <c r="I206" s="21" t="s">
        <v>113</v>
      </c>
      <c r="J206" s="21" t="n">
        <v>62</v>
      </c>
      <c r="K206" s="32" t="n">
        <f aca="false">ROUND(Assumptions!$B$4*MIN(G206/Assumptions!$B$11,1)*100+Assumptions!$B$5*F206/10*100+Assumptions!$B$6*MIN(H206/Assumptions!$B$12,1)*100+Assumptions!$B$7*J206+Assumptions!$B$8*IF(I206="Yes",100,0),1)</f>
        <v>55.4</v>
      </c>
      <c r="L206" s="21" t="str">
        <f aca="false">LOOKUP(K206,Assumptions!$D$4:$D$7,Assumptions!$E$4:$E$7)</f>
        <v>Developing</v>
      </c>
      <c r="M206" s="21" t="n">
        <f aca="false">COUNTIFS(Applications!$B$2:$B$3144,A206)</f>
        <v>5</v>
      </c>
      <c r="N206" s="21" t="n">
        <f aca="false">COUNTIFS(Applications!$B$2:$B$3144,A206,Applications!$F$2:$F$3144,"Offered")</f>
        <v>1</v>
      </c>
      <c r="O206" s="21" t="str">
        <f aca="false">IF(COUNTIFS(Applications!$B$2:$B$3144,A206,Applications!$H$2:$H$3144,"Yes")&gt;0,"Yes","No")</f>
        <v>Yes</v>
      </c>
      <c r="P206" s="32" t="n">
        <f aca="false">SUMIFS(Applications!$G$2:$G$3144,Applications!$B$2:$B$3144,A206,Applications!$H$2:$H$3144,"Yes")</f>
        <v>6.1</v>
      </c>
      <c r="Q206" s="21" t="str">
        <f aca="false">IF(O206="Yes",INDEX(Companies!$B$2:$B$31,MATCH(INDEX(Applications!$C$2:$C$3144,MATCH(A206,Applications!$P$2:$P$3144,0)),Companies!$A$2:$A$31,0)),"-")</f>
        <v>HealthLink Digital</v>
      </c>
    </row>
    <row r="207" customFormat="false" ht="15" hidden="false" customHeight="false" outlineLevel="0" collapsed="false">
      <c r="A207" s="21" t="s">
        <v>501</v>
      </c>
      <c r="B207" s="21" t="s">
        <v>502</v>
      </c>
      <c r="C207" s="21" t="s">
        <v>458</v>
      </c>
      <c r="D207" s="21" t="s">
        <v>64</v>
      </c>
      <c r="E207" s="21" t="s">
        <v>91</v>
      </c>
      <c r="F207" s="21" t="n">
        <v>7.31</v>
      </c>
      <c r="G207" s="21" t="n">
        <v>950</v>
      </c>
      <c r="H207" s="21" t="n">
        <v>1</v>
      </c>
      <c r="I207" s="21" t="s">
        <v>113</v>
      </c>
      <c r="J207" s="21" t="n">
        <v>88</v>
      </c>
      <c r="K207" s="32" t="n">
        <f aca="false">ROUND(Assumptions!$B$4*MIN(G207/Assumptions!$B$11,1)*100+Assumptions!$B$5*F207/10*100+Assumptions!$B$6*MIN(H207/Assumptions!$B$12,1)*100+Assumptions!$B$7*J207+Assumptions!$B$8*IF(I207="Yes",100,0),1)</f>
        <v>66.2</v>
      </c>
      <c r="L207" s="21" t="str">
        <f aca="false">LOOKUP(K207,Assumptions!$D$4:$D$7,Assumptions!$E$4:$E$7)</f>
        <v>Job-Ready</v>
      </c>
      <c r="M207" s="21" t="n">
        <f aca="false">COUNTIFS(Applications!$B$2:$B$3144,A207)</f>
        <v>7</v>
      </c>
      <c r="N207" s="21" t="n">
        <f aca="false">COUNTIFS(Applications!$B$2:$B$3144,A207,Applications!$F$2:$F$3144,"Offered")</f>
        <v>2</v>
      </c>
      <c r="O207" s="21" t="str">
        <f aca="false">IF(COUNTIFS(Applications!$B$2:$B$3144,A207,Applications!$H$2:$H$3144,"Yes")&gt;0,"Yes","No")</f>
        <v>Yes</v>
      </c>
      <c r="P207" s="32" t="n">
        <f aca="false">SUMIFS(Applications!$G$2:$G$3144,Applications!$B$2:$B$3144,A207,Applications!$H$2:$H$3144,"Yes")</f>
        <v>8.8</v>
      </c>
      <c r="Q207" s="21" t="str">
        <f aca="false">IF(O207="Yes",INDEX(Companies!$B$2:$B$31,MATCH(INDEX(Applications!$C$2:$C$3144,MATCH(A207,Applications!$P$2:$P$3144,0)),Companies!$A$2:$A$31,0)),"-")</f>
        <v>VitalByte</v>
      </c>
    </row>
    <row r="208" customFormat="false" ht="15" hidden="false" customHeight="false" outlineLevel="0" collapsed="false">
      <c r="A208" s="21" t="s">
        <v>503</v>
      </c>
      <c r="B208" s="21" t="s">
        <v>302</v>
      </c>
      <c r="C208" s="21" t="s">
        <v>458</v>
      </c>
      <c r="D208" s="21" t="s">
        <v>67</v>
      </c>
      <c r="E208" s="21" t="s">
        <v>91</v>
      </c>
      <c r="F208" s="21" t="n">
        <v>8.47</v>
      </c>
      <c r="G208" s="21" t="n">
        <v>190</v>
      </c>
      <c r="H208" s="21" t="n">
        <v>4</v>
      </c>
      <c r="I208" s="21" t="s">
        <v>120</v>
      </c>
      <c r="J208" s="21" t="n">
        <v>49</v>
      </c>
      <c r="K208" s="32" t="n">
        <f aca="false">ROUND(Assumptions!$B$4*MIN(G208/Assumptions!$B$11,1)*100+Assumptions!$B$5*F208/10*100+Assumptions!$B$6*MIN(H208/Assumptions!$B$12,1)*100+Assumptions!$B$7*J208+Assumptions!$B$8*IF(I208="Yes",100,0),1)</f>
        <v>64.1</v>
      </c>
      <c r="L208" s="21" t="str">
        <f aca="false">LOOKUP(K208,Assumptions!$D$4:$D$7,Assumptions!$E$4:$E$7)</f>
        <v>Developing</v>
      </c>
      <c r="M208" s="21" t="n">
        <f aca="false">COUNTIFS(Applications!$B$2:$B$3144,A208)</f>
        <v>5</v>
      </c>
      <c r="N208" s="21" t="n">
        <f aca="false">COUNTIFS(Applications!$B$2:$B$3144,A208,Applications!$F$2:$F$3144,"Offered")</f>
        <v>2</v>
      </c>
      <c r="O208" s="21" t="str">
        <f aca="false">IF(COUNTIFS(Applications!$B$2:$B$3144,A208,Applications!$H$2:$H$3144,"Yes")&gt;0,"Yes","No")</f>
        <v>Yes</v>
      </c>
      <c r="P208" s="32" t="n">
        <f aca="false">SUMIFS(Applications!$G$2:$G$3144,Applications!$B$2:$B$3144,A208,Applications!$H$2:$H$3144,"Yes")</f>
        <v>6.3</v>
      </c>
      <c r="Q208" s="21" t="str">
        <f aca="false">IF(O208="Yes",INDEX(Companies!$B$2:$B$31,MATCH(INDEX(Applications!$C$2:$C$3144,MATCH(A208,Applications!$P$2:$P$3144,0)),Companies!$A$2:$A$31,0)),"-")</f>
        <v>AlphaGrid Tech</v>
      </c>
    </row>
    <row r="209" customFormat="false" ht="15" hidden="false" customHeight="false" outlineLevel="0" collapsed="false">
      <c r="A209" s="21" t="s">
        <v>504</v>
      </c>
      <c r="B209" s="21" t="s">
        <v>505</v>
      </c>
      <c r="C209" s="21" t="s">
        <v>458</v>
      </c>
      <c r="D209" s="21" t="s">
        <v>67</v>
      </c>
      <c r="E209" s="21" t="s">
        <v>92</v>
      </c>
      <c r="F209" s="21" t="n">
        <v>7.93</v>
      </c>
      <c r="G209" s="21" t="n">
        <v>315</v>
      </c>
      <c r="H209" s="21" t="n">
        <v>2</v>
      </c>
      <c r="I209" s="21" t="s">
        <v>120</v>
      </c>
      <c r="J209" s="21" t="n">
        <v>90</v>
      </c>
      <c r="K209" s="32" t="n">
        <f aca="false">ROUND(Assumptions!$B$4*MIN(G209/Assumptions!$B$11,1)*100+Assumptions!$B$5*F209/10*100+Assumptions!$B$6*MIN(H209/Assumptions!$B$12,1)*100+Assumptions!$B$7*J209+Assumptions!$B$8*IF(I209="Yes",100,0),1)</f>
        <v>70.8</v>
      </c>
      <c r="L209" s="21" t="str">
        <f aca="false">LOOKUP(K209,Assumptions!$D$4:$D$7,Assumptions!$E$4:$E$7)</f>
        <v>Job-Ready</v>
      </c>
      <c r="M209" s="21" t="n">
        <f aca="false">COUNTIFS(Applications!$B$2:$B$3144,A209)</f>
        <v>4</v>
      </c>
      <c r="N209" s="21" t="n">
        <f aca="false">COUNTIFS(Applications!$B$2:$B$3144,A209,Applications!$F$2:$F$3144,"Offered")</f>
        <v>1</v>
      </c>
      <c r="O209" s="21" t="str">
        <f aca="false">IF(COUNTIFS(Applications!$B$2:$B$3144,A209,Applications!$H$2:$H$3144,"Yes")&gt;0,"Yes","No")</f>
        <v>Yes</v>
      </c>
      <c r="P209" s="32" t="n">
        <f aca="false">SUMIFS(Applications!$G$2:$G$3144,Applications!$B$2:$B$3144,A209,Applications!$H$2:$H$3144,"Yes")</f>
        <v>12</v>
      </c>
      <c r="Q209" s="21" t="str">
        <f aca="false">IF(O209="Yes",INDEX(Companies!$B$2:$B$31,MATCH(INDEX(Applications!$C$2:$C$3144,MATCH(A209,Applications!$P$2:$P$3144,0)),Companies!$A$2:$A$31,0)),"-")</f>
        <v>ShopSprint</v>
      </c>
    </row>
    <row r="210" customFormat="false" ht="15" hidden="false" customHeight="false" outlineLevel="0" collapsed="false">
      <c r="A210" s="21" t="s">
        <v>506</v>
      </c>
      <c r="B210" s="21" t="s">
        <v>122</v>
      </c>
      <c r="C210" s="21" t="s">
        <v>458</v>
      </c>
      <c r="D210" s="21" t="s">
        <v>67</v>
      </c>
      <c r="E210" s="21" t="s">
        <v>91</v>
      </c>
      <c r="F210" s="21" t="n">
        <v>7.4</v>
      </c>
      <c r="G210" s="21" t="n">
        <v>202</v>
      </c>
      <c r="H210" s="21" t="n">
        <v>3</v>
      </c>
      <c r="I210" s="21" t="s">
        <v>113</v>
      </c>
      <c r="J210" s="21" t="n">
        <v>82</v>
      </c>
      <c r="K210" s="32" t="n">
        <f aca="false">ROUND(Assumptions!$B$4*MIN(G210/Assumptions!$B$11,1)*100+Assumptions!$B$5*F210/10*100+Assumptions!$B$6*MIN(H210/Assumptions!$B$12,1)*100+Assumptions!$B$7*J210+Assumptions!$B$8*IF(I210="Yes",100,0),1)</f>
        <v>55.3</v>
      </c>
      <c r="L210" s="21" t="str">
        <f aca="false">LOOKUP(K210,Assumptions!$D$4:$D$7,Assumptions!$E$4:$E$7)</f>
        <v>Developing</v>
      </c>
      <c r="M210" s="21" t="n">
        <f aca="false">COUNTIFS(Applications!$B$2:$B$3144,A210)</f>
        <v>1</v>
      </c>
      <c r="N210" s="21" t="n">
        <f aca="false">COUNTIFS(Applications!$B$2:$B$3144,A210,Applications!$F$2:$F$3144,"Offered")</f>
        <v>0</v>
      </c>
      <c r="O210" s="21" t="str">
        <f aca="false">IF(COUNTIFS(Applications!$B$2:$B$3144,A210,Applications!$H$2:$H$3144,"Yes")&gt;0,"Yes","No")</f>
        <v>No</v>
      </c>
      <c r="P210" s="32" t="n">
        <f aca="false">SUMIFS(Applications!$G$2:$G$3144,Applications!$B$2:$B$3144,A210,Applications!$H$2:$H$3144,"Yes")</f>
        <v>0</v>
      </c>
      <c r="Q210" s="21" t="str">
        <f aca="false">IF(O210="Yes",INDEX(Companies!$B$2:$B$31,MATCH(INDEX(Applications!$C$2:$C$3144,MATCH(A210,Applications!$P$2:$P$3144,0)),Companies!$A$2:$A$31,0)),"-")</f>
        <v>-</v>
      </c>
    </row>
    <row r="211" customFormat="false" ht="15" hidden="false" customHeight="false" outlineLevel="0" collapsed="false">
      <c r="A211" s="21" t="s">
        <v>507</v>
      </c>
      <c r="B211" s="21" t="s">
        <v>508</v>
      </c>
      <c r="C211" s="21" t="s">
        <v>458</v>
      </c>
      <c r="D211" s="21" t="s">
        <v>63</v>
      </c>
      <c r="E211" s="21" t="s">
        <v>92</v>
      </c>
      <c r="F211" s="21" t="n">
        <v>9.01</v>
      </c>
      <c r="G211" s="21" t="n">
        <v>377</v>
      </c>
      <c r="H211" s="21" t="n">
        <v>3</v>
      </c>
      <c r="I211" s="21" t="s">
        <v>120</v>
      </c>
      <c r="J211" s="21" t="n">
        <v>70</v>
      </c>
      <c r="K211" s="32" t="n">
        <f aca="false">ROUND(Assumptions!$B$4*MIN(G211/Assumptions!$B$11,1)*100+Assumptions!$B$5*F211/10*100+Assumptions!$B$6*MIN(H211/Assumptions!$B$12,1)*100+Assumptions!$B$7*J211+Assumptions!$B$8*IF(I211="Yes",100,0),1)</f>
        <v>76.6</v>
      </c>
      <c r="L211" s="21" t="str">
        <f aca="false">LOOKUP(K211,Assumptions!$D$4:$D$7,Assumptions!$E$4:$E$7)</f>
        <v>Job-Ready</v>
      </c>
      <c r="M211" s="21" t="n">
        <f aca="false">COUNTIFS(Applications!$B$2:$B$3144,A211)</f>
        <v>7</v>
      </c>
      <c r="N211" s="21" t="n">
        <f aca="false">COUNTIFS(Applications!$B$2:$B$3144,A211,Applications!$F$2:$F$3144,"Offered")</f>
        <v>4</v>
      </c>
      <c r="O211" s="21" t="str">
        <f aca="false">IF(COUNTIFS(Applications!$B$2:$B$3144,A211,Applications!$H$2:$H$3144,"Yes")&gt;0,"Yes","No")</f>
        <v>Yes</v>
      </c>
      <c r="P211" s="32" t="n">
        <f aca="false">SUMIFS(Applications!$G$2:$G$3144,Applications!$B$2:$B$3144,A211,Applications!$H$2:$H$3144,"Yes")</f>
        <v>12.9</v>
      </c>
      <c r="Q211" s="21" t="str">
        <f aca="false">IF(O211="Yes",INDEX(Companies!$B$2:$B$31,MATCH(INDEX(Applications!$C$2:$C$3144,MATCH(A211,Applications!$P$2:$P$3144,0)),Companies!$A$2:$A$31,0)),"-")</f>
        <v>DataBridge Analytics</v>
      </c>
    </row>
    <row r="212" customFormat="false" ht="15" hidden="false" customHeight="false" outlineLevel="0" collapsed="false">
      <c r="A212" s="21" t="s">
        <v>509</v>
      </c>
      <c r="B212" s="21" t="s">
        <v>510</v>
      </c>
      <c r="C212" s="21" t="s">
        <v>458</v>
      </c>
      <c r="D212" s="21" t="s">
        <v>65</v>
      </c>
      <c r="E212" s="21" t="s">
        <v>91</v>
      </c>
      <c r="F212" s="21" t="n">
        <v>7.84</v>
      </c>
      <c r="G212" s="21" t="n">
        <v>104</v>
      </c>
      <c r="H212" s="21" t="n">
        <v>2</v>
      </c>
      <c r="I212" s="21" t="s">
        <v>113</v>
      </c>
      <c r="J212" s="21" t="n">
        <v>60</v>
      </c>
      <c r="K212" s="32" t="n">
        <f aca="false">ROUND(Assumptions!$B$4*MIN(G212/Assumptions!$B$11,1)*100+Assumptions!$B$5*F212/10*100+Assumptions!$B$6*MIN(H212/Assumptions!$B$12,1)*100+Assumptions!$B$7*J212+Assumptions!$B$8*IF(I212="Yes",100,0),1)</f>
        <v>41.9</v>
      </c>
      <c r="L212" s="21" t="str">
        <f aca="false">LOOKUP(K212,Assumptions!$D$4:$D$7,Assumptions!$E$4:$E$7)</f>
        <v>Foundation</v>
      </c>
      <c r="M212" s="21" t="n">
        <f aca="false">COUNTIFS(Applications!$B$2:$B$3144,A212)</f>
        <v>4</v>
      </c>
      <c r="N212" s="21" t="n">
        <f aca="false">COUNTIFS(Applications!$B$2:$B$3144,A212,Applications!$F$2:$F$3144,"Offered")</f>
        <v>0</v>
      </c>
      <c r="O212" s="21" t="str">
        <f aca="false">IF(COUNTIFS(Applications!$B$2:$B$3144,A212,Applications!$H$2:$H$3144,"Yes")&gt;0,"Yes","No")</f>
        <v>No</v>
      </c>
      <c r="P212" s="32" t="n">
        <f aca="false">SUMIFS(Applications!$G$2:$G$3144,Applications!$B$2:$B$3144,A212,Applications!$H$2:$H$3144,"Yes")</f>
        <v>0</v>
      </c>
      <c r="Q212" s="21" t="str">
        <f aca="false">IF(O212="Yes",INDEX(Companies!$B$2:$B$31,MATCH(INDEX(Applications!$C$2:$C$3144,MATCH(A212,Applications!$P$2:$P$3144,0)),Companies!$A$2:$A$31,0)),"-")</f>
        <v>-</v>
      </c>
    </row>
    <row r="213" customFormat="false" ht="15" hidden="false" customHeight="false" outlineLevel="0" collapsed="false">
      <c r="A213" s="21" t="s">
        <v>511</v>
      </c>
      <c r="B213" s="21" t="s">
        <v>512</v>
      </c>
      <c r="C213" s="21" t="s">
        <v>458</v>
      </c>
      <c r="D213" s="21" t="s">
        <v>65</v>
      </c>
      <c r="E213" s="21" t="s">
        <v>90</v>
      </c>
      <c r="F213" s="21" t="n">
        <v>7.57</v>
      </c>
      <c r="G213" s="21" t="n">
        <v>318</v>
      </c>
      <c r="H213" s="21" t="n">
        <v>8</v>
      </c>
      <c r="I213" s="21" t="s">
        <v>113</v>
      </c>
      <c r="J213" s="21" t="n">
        <v>76</v>
      </c>
      <c r="K213" s="32" t="n">
        <f aca="false">ROUND(Assumptions!$B$4*MIN(G213/Assumptions!$B$11,1)*100+Assumptions!$B$5*F213/10*100+Assumptions!$B$6*MIN(H213/Assumptions!$B$12,1)*100+Assumptions!$B$7*J213+Assumptions!$B$8*IF(I213="Yes",100,0),1)</f>
        <v>69.4</v>
      </c>
      <c r="L213" s="21" t="str">
        <f aca="false">LOOKUP(K213,Assumptions!$D$4:$D$7,Assumptions!$E$4:$E$7)</f>
        <v>Job-Ready</v>
      </c>
      <c r="M213" s="21" t="n">
        <f aca="false">COUNTIFS(Applications!$B$2:$B$3144,A213)</f>
        <v>9</v>
      </c>
      <c r="N213" s="21" t="n">
        <f aca="false">COUNTIFS(Applications!$B$2:$B$3144,A213,Applications!$F$2:$F$3144,"Offered")</f>
        <v>2</v>
      </c>
      <c r="O213" s="21" t="str">
        <f aca="false">IF(COUNTIFS(Applications!$B$2:$B$3144,A213,Applications!$H$2:$H$3144,"Yes")&gt;0,"Yes","No")</f>
        <v>Yes</v>
      </c>
      <c r="P213" s="32" t="n">
        <f aca="false">SUMIFS(Applications!$G$2:$G$3144,Applications!$B$2:$B$3144,A213,Applications!$H$2:$H$3144,"Yes")</f>
        <v>12.4</v>
      </c>
      <c r="Q213" s="21" t="str">
        <f aca="false">IF(O213="Yes",INDEX(Companies!$B$2:$B$31,MATCH(INDEX(Applications!$C$2:$C$3144,MATCH(A213,Applications!$P$2:$P$3144,0)),Companies!$A$2:$A$31,0)),"-")</f>
        <v>PayRiver</v>
      </c>
    </row>
    <row r="214" customFormat="false" ht="15" hidden="false" customHeight="false" outlineLevel="0" collapsed="false">
      <c r="A214" s="21" t="s">
        <v>513</v>
      </c>
      <c r="B214" s="21" t="s">
        <v>514</v>
      </c>
      <c r="C214" s="21" t="s">
        <v>458</v>
      </c>
      <c r="D214" s="21" t="s">
        <v>67</v>
      </c>
      <c r="E214" s="21" t="s">
        <v>91</v>
      </c>
      <c r="F214" s="21" t="n">
        <v>7.68</v>
      </c>
      <c r="G214" s="21" t="n">
        <v>449</v>
      </c>
      <c r="H214" s="21" t="n">
        <v>3</v>
      </c>
      <c r="I214" s="21" t="s">
        <v>113</v>
      </c>
      <c r="J214" s="21" t="n">
        <v>73</v>
      </c>
      <c r="K214" s="32" t="n">
        <f aca="false">ROUND(Assumptions!$B$4*MIN(G214/Assumptions!$B$11,1)*100+Assumptions!$B$5*F214/10*100+Assumptions!$B$6*MIN(H214/Assumptions!$B$12,1)*100+Assumptions!$B$7*J214+Assumptions!$B$8*IF(I214="Yes",100,0),1)</f>
        <v>68.9</v>
      </c>
      <c r="L214" s="21" t="str">
        <f aca="false">LOOKUP(K214,Assumptions!$D$4:$D$7,Assumptions!$E$4:$E$7)</f>
        <v>Job-Ready</v>
      </c>
      <c r="M214" s="21" t="n">
        <f aca="false">COUNTIFS(Applications!$B$2:$B$3144,A214)</f>
        <v>5</v>
      </c>
      <c r="N214" s="21" t="n">
        <f aca="false">COUNTIFS(Applications!$B$2:$B$3144,A214,Applications!$F$2:$F$3144,"Offered")</f>
        <v>1</v>
      </c>
      <c r="O214" s="21" t="str">
        <f aca="false">IF(COUNTIFS(Applications!$B$2:$B$3144,A214,Applications!$H$2:$H$3144,"Yes")&gt;0,"Yes","No")</f>
        <v>Yes</v>
      </c>
      <c r="P214" s="32" t="n">
        <f aca="false">SUMIFS(Applications!$G$2:$G$3144,Applications!$B$2:$B$3144,A214,Applications!$H$2:$H$3144,"Yes")</f>
        <v>4.3</v>
      </c>
      <c r="Q214" s="21" t="str">
        <f aca="false">IF(O214="Yes",INDEX(Companies!$B$2:$B$31,MATCH(INDEX(Applications!$C$2:$C$3144,MATCH(A214,Applications!$P$2:$P$3144,0)),Companies!$A$2:$A$31,0)),"-")</f>
        <v>RetailRocket</v>
      </c>
    </row>
    <row r="215" customFormat="false" ht="15" hidden="false" customHeight="false" outlineLevel="0" collapsed="false">
      <c r="A215" s="21" t="s">
        <v>515</v>
      </c>
      <c r="B215" s="21" t="s">
        <v>516</v>
      </c>
      <c r="C215" s="21" t="s">
        <v>458</v>
      </c>
      <c r="D215" s="21" t="s">
        <v>66</v>
      </c>
      <c r="E215" s="21" t="s">
        <v>91</v>
      </c>
      <c r="F215" s="21" t="n">
        <v>6.89</v>
      </c>
      <c r="G215" s="21" t="n">
        <v>237</v>
      </c>
      <c r="H215" s="21" t="n">
        <v>5</v>
      </c>
      <c r="I215" s="21" t="s">
        <v>113</v>
      </c>
      <c r="J215" s="21" t="n">
        <v>59</v>
      </c>
      <c r="K215" s="32" t="n">
        <f aca="false">ROUND(Assumptions!$B$4*MIN(G215/Assumptions!$B$11,1)*100+Assumptions!$B$5*F215/10*100+Assumptions!$B$6*MIN(H215/Assumptions!$B$12,1)*100+Assumptions!$B$7*J215+Assumptions!$B$8*IF(I215="Yes",100,0),1)</f>
        <v>59.8</v>
      </c>
      <c r="L215" s="21" t="str">
        <f aca="false">LOOKUP(K215,Assumptions!$D$4:$D$7,Assumptions!$E$4:$E$7)</f>
        <v>Developing</v>
      </c>
      <c r="M215" s="21" t="n">
        <f aca="false">COUNTIFS(Applications!$B$2:$B$3144,A215)</f>
        <v>5</v>
      </c>
      <c r="N215" s="21" t="n">
        <f aca="false">COUNTIFS(Applications!$B$2:$B$3144,A215,Applications!$F$2:$F$3144,"Offered")</f>
        <v>0</v>
      </c>
      <c r="O215" s="21" t="str">
        <f aca="false">IF(COUNTIFS(Applications!$B$2:$B$3144,A215,Applications!$H$2:$H$3144,"Yes")&gt;0,"Yes","No")</f>
        <v>No</v>
      </c>
      <c r="P215" s="32" t="n">
        <f aca="false">SUMIFS(Applications!$G$2:$G$3144,Applications!$B$2:$B$3144,A215,Applications!$H$2:$H$3144,"Yes")</f>
        <v>0</v>
      </c>
      <c r="Q215" s="21" t="str">
        <f aca="false">IF(O215="Yes",INDEX(Companies!$B$2:$B$31,MATCH(INDEX(Applications!$C$2:$C$3144,MATCH(A215,Applications!$P$2:$P$3144,0)),Companies!$A$2:$A$31,0)),"-")</f>
        <v>-</v>
      </c>
    </row>
    <row r="216" customFormat="false" ht="15" hidden="false" customHeight="false" outlineLevel="0" collapsed="false">
      <c r="A216" s="21" t="s">
        <v>517</v>
      </c>
      <c r="B216" s="21" t="s">
        <v>518</v>
      </c>
      <c r="C216" s="21" t="s">
        <v>458</v>
      </c>
      <c r="D216" s="21" t="s">
        <v>64</v>
      </c>
      <c r="E216" s="21" t="s">
        <v>91</v>
      </c>
      <c r="F216" s="21" t="n">
        <v>7.46</v>
      </c>
      <c r="G216" s="21" t="n">
        <v>499</v>
      </c>
      <c r="H216" s="21" t="n">
        <v>6</v>
      </c>
      <c r="I216" s="21" t="s">
        <v>113</v>
      </c>
      <c r="J216" s="21" t="n">
        <v>71</v>
      </c>
      <c r="K216" s="32" t="n">
        <f aca="false">ROUND(Assumptions!$B$4*MIN(G216/Assumptions!$B$11,1)*100+Assumptions!$B$5*F216/10*100+Assumptions!$B$6*MIN(H216/Assumptions!$B$12,1)*100+Assumptions!$B$7*J216+Assumptions!$B$8*IF(I216="Yes",100,0),1)</f>
        <v>79.1</v>
      </c>
      <c r="L216" s="21" t="str">
        <f aca="false">LOOKUP(K216,Assumptions!$D$4:$D$7,Assumptions!$E$4:$E$7)</f>
        <v>Job-Ready</v>
      </c>
      <c r="M216" s="21" t="n">
        <f aca="false">COUNTIFS(Applications!$B$2:$B$3144,A216)</f>
        <v>7</v>
      </c>
      <c r="N216" s="21" t="n">
        <f aca="false">COUNTIFS(Applications!$B$2:$B$3144,A216,Applications!$F$2:$F$3144,"Offered")</f>
        <v>5</v>
      </c>
      <c r="O216" s="21" t="str">
        <f aca="false">IF(COUNTIFS(Applications!$B$2:$B$3144,A216,Applications!$H$2:$H$3144,"Yes")&gt;0,"Yes","No")</f>
        <v>Yes</v>
      </c>
      <c r="P216" s="32" t="n">
        <f aca="false">SUMIFS(Applications!$G$2:$G$3144,Applications!$B$2:$B$3144,A216,Applications!$H$2:$H$3144,"Yes")</f>
        <v>13.2</v>
      </c>
      <c r="Q216" s="21" t="str">
        <f aca="false">IF(O216="Yes",INDEX(Companies!$B$2:$B$31,MATCH(INDEX(Applications!$C$2:$C$3144,MATCH(A216,Applications!$P$2:$P$3144,0)),Companies!$A$2:$A$31,0)),"-")</f>
        <v>DataBridge Analytics</v>
      </c>
    </row>
    <row r="217" customFormat="false" ht="15" hidden="false" customHeight="false" outlineLevel="0" collapsed="false">
      <c r="A217" s="21" t="s">
        <v>519</v>
      </c>
      <c r="B217" s="21" t="s">
        <v>520</v>
      </c>
      <c r="C217" s="21" t="s">
        <v>458</v>
      </c>
      <c r="D217" s="21" t="s">
        <v>64</v>
      </c>
      <c r="E217" s="21" t="s">
        <v>91</v>
      </c>
      <c r="F217" s="21" t="n">
        <v>6.63</v>
      </c>
      <c r="G217" s="21" t="n">
        <v>275</v>
      </c>
      <c r="H217" s="21" t="n">
        <v>2</v>
      </c>
      <c r="I217" s="21" t="s">
        <v>113</v>
      </c>
      <c r="J217" s="21" t="n">
        <v>95</v>
      </c>
      <c r="K217" s="32" t="n">
        <f aca="false">ROUND(Assumptions!$B$4*MIN(G217/Assumptions!$B$11,1)*100+Assumptions!$B$5*F217/10*100+Assumptions!$B$6*MIN(H217/Assumptions!$B$12,1)*100+Assumptions!$B$7*J217+Assumptions!$B$8*IF(I217="Yes",100,0),1)</f>
        <v>56.8</v>
      </c>
      <c r="L217" s="21" t="str">
        <f aca="false">LOOKUP(K217,Assumptions!$D$4:$D$7,Assumptions!$E$4:$E$7)</f>
        <v>Developing</v>
      </c>
      <c r="M217" s="21" t="n">
        <f aca="false">COUNTIFS(Applications!$B$2:$B$3144,A217)</f>
        <v>4</v>
      </c>
      <c r="N217" s="21" t="n">
        <f aca="false">COUNTIFS(Applications!$B$2:$B$3144,A217,Applications!$F$2:$F$3144,"Offered")</f>
        <v>0</v>
      </c>
      <c r="O217" s="21" t="str">
        <f aca="false">IF(COUNTIFS(Applications!$B$2:$B$3144,A217,Applications!$H$2:$H$3144,"Yes")&gt;0,"Yes","No")</f>
        <v>No</v>
      </c>
      <c r="P217" s="32" t="n">
        <f aca="false">SUMIFS(Applications!$G$2:$G$3144,Applications!$B$2:$B$3144,A217,Applications!$H$2:$H$3144,"Yes")</f>
        <v>0</v>
      </c>
      <c r="Q217" s="21" t="str">
        <f aca="false">IF(O217="Yes",INDEX(Companies!$B$2:$B$31,MATCH(INDEX(Applications!$C$2:$C$3144,MATCH(A217,Applications!$P$2:$P$3144,0)),Companies!$A$2:$A$31,0)),"-")</f>
        <v>-</v>
      </c>
    </row>
    <row r="218" customFormat="false" ht="15" hidden="false" customHeight="false" outlineLevel="0" collapsed="false">
      <c r="A218" s="21" t="s">
        <v>521</v>
      </c>
      <c r="B218" s="21" t="s">
        <v>465</v>
      </c>
      <c r="C218" s="21" t="s">
        <v>458</v>
      </c>
      <c r="D218" s="21" t="s">
        <v>67</v>
      </c>
      <c r="E218" s="21" t="s">
        <v>90</v>
      </c>
      <c r="F218" s="21" t="n">
        <v>8.66</v>
      </c>
      <c r="G218" s="21" t="n">
        <v>161</v>
      </c>
      <c r="H218" s="21" t="n">
        <v>1</v>
      </c>
      <c r="I218" s="21" t="s">
        <v>113</v>
      </c>
      <c r="J218" s="21" t="n">
        <v>59</v>
      </c>
      <c r="K218" s="32" t="n">
        <f aca="false">ROUND(Assumptions!$B$4*MIN(G218/Assumptions!$B$11,1)*100+Assumptions!$B$5*F218/10*100+Assumptions!$B$6*MIN(H218/Assumptions!$B$12,1)*100+Assumptions!$B$7*J218+Assumptions!$B$8*IF(I218="Yes",100,0),1)</f>
        <v>42.8</v>
      </c>
      <c r="L218" s="21" t="str">
        <f aca="false">LOOKUP(K218,Assumptions!$D$4:$D$7,Assumptions!$E$4:$E$7)</f>
        <v>Foundation</v>
      </c>
      <c r="M218" s="21" t="n">
        <f aca="false">COUNTIFS(Applications!$B$2:$B$3144,A218)</f>
        <v>5</v>
      </c>
      <c r="N218" s="21" t="n">
        <f aca="false">COUNTIFS(Applications!$B$2:$B$3144,A218,Applications!$F$2:$F$3144,"Offered")</f>
        <v>0</v>
      </c>
      <c r="O218" s="21" t="str">
        <f aca="false">IF(COUNTIFS(Applications!$B$2:$B$3144,A218,Applications!$H$2:$H$3144,"Yes")&gt;0,"Yes","No")</f>
        <v>No</v>
      </c>
      <c r="P218" s="32" t="n">
        <f aca="false">SUMIFS(Applications!$G$2:$G$3144,Applications!$B$2:$B$3144,A218,Applications!$H$2:$H$3144,"Yes")</f>
        <v>0</v>
      </c>
      <c r="Q218" s="21" t="str">
        <f aca="false">IF(O218="Yes",INDEX(Companies!$B$2:$B$31,MATCH(INDEX(Applications!$C$2:$C$3144,MATCH(A218,Applications!$P$2:$P$3144,0)),Companies!$A$2:$A$31,0)),"-")</f>
        <v>-</v>
      </c>
    </row>
    <row r="219" customFormat="false" ht="15" hidden="false" customHeight="false" outlineLevel="0" collapsed="false">
      <c r="A219" s="21" t="s">
        <v>522</v>
      </c>
      <c r="B219" s="21" t="s">
        <v>523</v>
      </c>
      <c r="C219" s="21" t="s">
        <v>458</v>
      </c>
      <c r="D219" s="21" t="s">
        <v>64</v>
      </c>
      <c r="E219" s="21" t="s">
        <v>91</v>
      </c>
      <c r="F219" s="21" t="n">
        <v>7.19</v>
      </c>
      <c r="G219" s="21" t="n">
        <v>202</v>
      </c>
      <c r="H219" s="21" t="n">
        <v>3</v>
      </c>
      <c r="I219" s="21" t="s">
        <v>120</v>
      </c>
      <c r="J219" s="21" t="n">
        <v>71</v>
      </c>
      <c r="K219" s="32" t="n">
        <f aca="false">ROUND(Assumptions!$B$4*MIN(G219/Assumptions!$B$11,1)*100+Assumptions!$B$5*F219/10*100+Assumptions!$B$6*MIN(H219/Assumptions!$B$12,1)*100+Assumptions!$B$7*J219+Assumptions!$B$8*IF(I219="Yes",100,0),1)</f>
        <v>62.7</v>
      </c>
      <c r="L219" s="21" t="str">
        <f aca="false">LOOKUP(K219,Assumptions!$D$4:$D$7,Assumptions!$E$4:$E$7)</f>
        <v>Developing</v>
      </c>
      <c r="M219" s="21" t="n">
        <f aca="false">COUNTIFS(Applications!$B$2:$B$3144,A219)</f>
        <v>10</v>
      </c>
      <c r="N219" s="21" t="n">
        <f aca="false">COUNTIFS(Applications!$B$2:$B$3144,A219,Applications!$F$2:$F$3144,"Offered")</f>
        <v>5</v>
      </c>
      <c r="O219" s="21" t="str">
        <f aca="false">IF(COUNTIFS(Applications!$B$2:$B$3144,A219,Applications!$H$2:$H$3144,"Yes")&gt;0,"Yes","No")</f>
        <v>Yes</v>
      </c>
      <c r="P219" s="32" t="n">
        <f aca="false">SUMIFS(Applications!$G$2:$G$3144,Applications!$B$2:$B$3144,A219,Applications!$H$2:$H$3144,"Yes")</f>
        <v>7.3</v>
      </c>
      <c r="Q219" s="21" t="str">
        <f aca="false">IF(O219="Yes",INDEX(Companies!$B$2:$B$31,MATCH(INDEX(Applications!$C$2:$C$3144,MATCH(A219,Applications!$P$2:$P$3144,0)),Companies!$A$2:$A$31,0)),"-")</f>
        <v>RetailRocket</v>
      </c>
    </row>
    <row r="220" customFormat="false" ht="15" hidden="false" customHeight="false" outlineLevel="0" collapsed="false">
      <c r="A220" s="21" t="s">
        <v>524</v>
      </c>
      <c r="B220" s="21" t="s">
        <v>525</v>
      </c>
      <c r="C220" s="21" t="s">
        <v>458</v>
      </c>
      <c r="D220" s="21" t="s">
        <v>66</v>
      </c>
      <c r="E220" s="21" t="s">
        <v>91</v>
      </c>
      <c r="F220" s="21" t="n">
        <v>7.28</v>
      </c>
      <c r="G220" s="21" t="n">
        <v>286</v>
      </c>
      <c r="H220" s="21" t="n">
        <v>3</v>
      </c>
      <c r="I220" s="21" t="s">
        <v>113</v>
      </c>
      <c r="J220" s="21" t="n">
        <v>75</v>
      </c>
      <c r="K220" s="32" t="n">
        <f aca="false">ROUND(Assumptions!$B$4*MIN(G220/Assumptions!$B$11,1)*100+Assumptions!$B$5*F220/10*100+Assumptions!$B$6*MIN(H220/Assumptions!$B$12,1)*100+Assumptions!$B$7*J220+Assumptions!$B$8*IF(I220="Yes",100,0),1)</f>
        <v>58.7</v>
      </c>
      <c r="L220" s="21" t="str">
        <f aca="false">LOOKUP(K220,Assumptions!$D$4:$D$7,Assumptions!$E$4:$E$7)</f>
        <v>Developing</v>
      </c>
      <c r="M220" s="21" t="n">
        <f aca="false">COUNTIFS(Applications!$B$2:$B$3144,A220)</f>
        <v>7</v>
      </c>
      <c r="N220" s="21" t="n">
        <f aca="false">COUNTIFS(Applications!$B$2:$B$3144,A220,Applications!$F$2:$F$3144,"Offered")</f>
        <v>0</v>
      </c>
      <c r="O220" s="21" t="str">
        <f aca="false">IF(COUNTIFS(Applications!$B$2:$B$3144,A220,Applications!$H$2:$H$3144,"Yes")&gt;0,"Yes","No")</f>
        <v>No</v>
      </c>
      <c r="P220" s="32" t="n">
        <f aca="false">SUMIFS(Applications!$G$2:$G$3144,Applications!$B$2:$B$3144,A220,Applications!$H$2:$H$3144,"Yes")</f>
        <v>0</v>
      </c>
      <c r="Q220" s="21" t="str">
        <f aca="false">IF(O220="Yes",INDEX(Companies!$B$2:$B$31,MATCH(INDEX(Applications!$C$2:$C$3144,MATCH(A220,Applications!$P$2:$P$3144,0)),Companies!$A$2:$A$31,0)),"-")</f>
        <v>-</v>
      </c>
    </row>
    <row r="221" customFormat="false" ht="15" hidden="false" customHeight="false" outlineLevel="0" collapsed="false">
      <c r="A221" s="21" t="s">
        <v>526</v>
      </c>
      <c r="B221" s="21" t="s">
        <v>527</v>
      </c>
      <c r="C221" s="21" t="s">
        <v>458</v>
      </c>
      <c r="D221" s="21" t="s">
        <v>64</v>
      </c>
      <c r="E221" s="21" t="s">
        <v>90</v>
      </c>
      <c r="F221" s="21" t="n">
        <v>5.92</v>
      </c>
      <c r="G221" s="21" t="n">
        <v>419</v>
      </c>
      <c r="H221" s="21" t="n">
        <v>4</v>
      </c>
      <c r="I221" s="21" t="s">
        <v>113</v>
      </c>
      <c r="J221" s="21" t="n">
        <v>75</v>
      </c>
      <c r="K221" s="32" t="n">
        <f aca="false">ROUND(Assumptions!$B$4*MIN(G221/Assumptions!$B$11,1)*100+Assumptions!$B$5*F221/10*100+Assumptions!$B$6*MIN(H221/Assumptions!$B$12,1)*100+Assumptions!$B$7*J221+Assumptions!$B$8*IF(I221="Yes",100,0),1)</f>
        <v>68</v>
      </c>
      <c r="L221" s="21" t="str">
        <f aca="false">LOOKUP(K221,Assumptions!$D$4:$D$7,Assumptions!$E$4:$E$7)</f>
        <v>Job-Ready</v>
      </c>
      <c r="M221" s="21" t="n">
        <f aca="false">COUNTIFS(Applications!$B$2:$B$3144,A221)</f>
        <v>6</v>
      </c>
      <c r="N221" s="21" t="n">
        <f aca="false">COUNTIFS(Applications!$B$2:$B$3144,A221,Applications!$F$2:$F$3144,"Offered")</f>
        <v>1</v>
      </c>
      <c r="O221" s="21" t="str">
        <f aca="false">IF(COUNTIFS(Applications!$B$2:$B$3144,A221,Applications!$H$2:$H$3144,"Yes")&gt;0,"Yes","No")</f>
        <v>Yes</v>
      </c>
      <c r="P221" s="32" t="n">
        <f aca="false">SUMIFS(Applications!$G$2:$G$3144,Applications!$B$2:$B$3144,A221,Applications!$H$2:$H$3144,"Yes")</f>
        <v>6</v>
      </c>
      <c r="Q221" s="21" t="str">
        <f aca="false">IF(O221="Yes",INDEX(Companies!$B$2:$B$31,MATCH(INDEX(Applications!$C$2:$C$3144,MATCH(A221,Applications!$P$2:$P$3144,0)),Companies!$A$2:$A$31,0)),"-")</f>
        <v>CodeCrest Solutions</v>
      </c>
    </row>
    <row r="222" customFormat="false" ht="15" hidden="false" customHeight="false" outlineLevel="0" collapsed="false">
      <c r="A222" s="21" t="s">
        <v>528</v>
      </c>
      <c r="B222" s="21" t="s">
        <v>529</v>
      </c>
      <c r="C222" s="21" t="s">
        <v>458</v>
      </c>
      <c r="D222" s="21" t="s">
        <v>64</v>
      </c>
      <c r="E222" s="21" t="s">
        <v>91</v>
      </c>
      <c r="F222" s="21" t="n">
        <v>6.72</v>
      </c>
      <c r="G222" s="21" t="n">
        <v>723</v>
      </c>
      <c r="H222" s="21" t="n">
        <v>2</v>
      </c>
      <c r="I222" s="21" t="s">
        <v>113</v>
      </c>
      <c r="J222" s="21" t="n">
        <v>67</v>
      </c>
      <c r="K222" s="32" t="n">
        <f aca="false">ROUND(Assumptions!$B$4*MIN(G222/Assumptions!$B$11,1)*100+Assumptions!$B$5*F222/10*100+Assumptions!$B$6*MIN(H222/Assumptions!$B$12,1)*100+Assumptions!$B$7*J222+Assumptions!$B$8*IF(I222="Yes",100,0),1)</f>
        <v>64.8</v>
      </c>
      <c r="L222" s="21" t="str">
        <f aca="false">LOOKUP(K222,Assumptions!$D$4:$D$7,Assumptions!$E$4:$E$7)</f>
        <v>Developing</v>
      </c>
      <c r="M222" s="21" t="n">
        <f aca="false">COUNTIFS(Applications!$B$2:$B$3144,A222)</f>
        <v>5</v>
      </c>
      <c r="N222" s="21" t="n">
        <f aca="false">COUNTIFS(Applications!$B$2:$B$3144,A222,Applications!$F$2:$F$3144,"Offered")</f>
        <v>0</v>
      </c>
      <c r="O222" s="21" t="str">
        <f aca="false">IF(COUNTIFS(Applications!$B$2:$B$3144,A222,Applications!$H$2:$H$3144,"Yes")&gt;0,"Yes","No")</f>
        <v>No</v>
      </c>
      <c r="P222" s="32" t="n">
        <f aca="false">SUMIFS(Applications!$G$2:$G$3144,Applications!$B$2:$B$3144,A222,Applications!$H$2:$H$3144,"Yes")</f>
        <v>0</v>
      </c>
      <c r="Q222" s="21" t="str">
        <f aca="false">IF(O222="Yes",INDEX(Companies!$B$2:$B$31,MATCH(INDEX(Applications!$C$2:$C$3144,MATCH(A222,Applications!$P$2:$P$3144,0)),Companies!$A$2:$A$31,0)),"-")</f>
        <v>-</v>
      </c>
    </row>
    <row r="223" customFormat="false" ht="15" hidden="false" customHeight="false" outlineLevel="0" collapsed="false">
      <c r="A223" s="21" t="s">
        <v>530</v>
      </c>
      <c r="B223" s="21" t="s">
        <v>531</v>
      </c>
      <c r="C223" s="21" t="s">
        <v>458</v>
      </c>
      <c r="D223" s="21" t="s">
        <v>63</v>
      </c>
      <c r="E223" s="21" t="s">
        <v>92</v>
      </c>
      <c r="F223" s="21" t="n">
        <v>7.45</v>
      </c>
      <c r="G223" s="21" t="n">
        <v>311</v>
      </c>
      <c r="H223" s="21" t="n">
        <v>3</v>
      </c>
      <c r="I223" s="21" t="s">
        <v>120</v>
      </c>
      <c r="J223" s="21" t="n">
        <v>76</v>
      </c>
      <c r="K223" s="32" t="n">
        <f aca="false">ROUND(Assumptions!$B$4*MIN(G223/Assumptions!$B$11,1)*100+Assumptions!$B$5*F223/10*100+Assumptions!$B$6*MIN(H223/Assumptions!$B$12,1)*100+Assumptions!$B$7*J223+Assumptions!$B$8*IF(I223="Yes",100,0),1)</f>
        <v>70.8</v>
      </c>
      <c r="L223" s="21" t="str">
        <f aca="false">LOOKUP(K223,Assumptions!$D$4:$D$7,Assumptions!$E$4:$E$7)</f>
        <v>Job-Ready</v>
      </c>
      <c r="M223" s="21" t="n">
        <f aca="false">COUNTIFS(Applications!$B$2:$B$3144,A223)</f>
        <v>7</v>
      </c>
      <c r="N223" s="21" t="n">
        <f aca="false">COUNTIFS(Applications!$B$2:$B$3144,A223,Applications!$F$2:$F$3144,"Offered")</f>
        <v>4</v>
      </c>
      <c r="O223" s="21" t="str">
        <f aca="false">IF(COUNTIFS(Applications!$B$2:$B$3144,A223,Applications!$H$2:$H$3144,"Yes")&gt;0,"Yes","No")</f>
        <v>Yes</v>
      </c>
      <c r="P223" s="32" t="n">
        <f aca="false">SUMIFS(Applications!$G$2:$G$3144,Applications!$B$2:$B$3144,A223,Applications!$H$2:$H$3144,"Yes")</f>
        <v>17.6</v>
      </c>
      <c r="Q223" s="21" t="str">
        <f aca="false">IF(O223="Yes",INDEX(Companies!$B$2:$B$31,MATCH(INDEX(Applications!$C$2:$C$3144,MATCH(A223,Applications!$P$2:$P$3144,0)),Companies!$A$2:$A$31,0)),"-")</f>
        <v>Zenith Pay</v>
      </c>
    </row>
    <row r="224" customFormat="false" ht="15" hidden="false" customHeight="false" outlineLevel="0" collapsed="false">
      <c r="A224" s="21" t="s">
        <v>532</v>
      </c>
      <c r="B224" s="21" t="s">
        <v>392</v>
      </c>
      <c r="C224" s="21" t="s">
        <v>458</v>
      </c>
      <c r="D224" s="21" t="s">
        <v>67</v>
      </c>
      <c r="E224" s="21" t="s">
        <v>91</v>
      </c>
      <c r="F224" s="21" t="n">
        <v>5.94</v>
      </c>
      <c r="G224" s="21" t="n">
        <v>281</v>
      </c>
      <c r="H224" s="21" t="n">
        <v>4</v>
      </c>
      <c r="I224" s="21" t="s">
        <v>113</v>
      </c>
      <c r="J224" s="21" t="n">
        <v>43</v>
      </c>
      <c r="K224" s="32" t="n">
        <f aca="false">ROUND(Assumptions!$B$4*MIN(G224/Assumptions!$B$11,1)*100+Assumptions!$B$5*F224/10*100+Assumptions!$B$6*MIN(H224/Assumptions!$B$12,1)*100+Assumptions!$B$7*J224+Assumptions!$B$8*IF(I224="Yes",100,0),1)</f>
        <v>53.3</v>
      </c>
      <c r="L224" s="21" t="str">
        <f aca="false">LOOKUP(K224,Assumptions!$D$4:$D$7,Assumptions!$E$4:$E$7)</f>
        <v>Developing</v>
      </c>
      <c r="M224" s="21" t="n">
        <f aca="false">COUNTIFS(Applications!$B$2:$B$3144,A224)</f>
        <v>3</v>
      </c>
      <c r="N224" s="21" t="n">
        <f aca="false">COUNTIFS(Applications!$B$2:$B$3144,A224,Applications!$F$2:$F$3144,"Offered")</f>
        <v>0</v>
      </c>
      <c r="O224" s="21" t="str">
        <f aca="false">IF(COUNTIFS(Applications!$B$2:$B$3144,A224,Applications!$H$2:$H$3144,"Yes")&gt;0,"Yes","No")</f>
        <v>No</v>
      </c>
      <c r="P224" s="32" t="n">
        <f aca="false">SUMIFS(Applications!$G$2:$G$3144,Applications!$B$2:$B$3144,A224,Applications!$H$2:$H$3144,"Yes")</f>
        <v>0</v>
      </c>
      <c r="Q224" s="21" t="str">
        <f aca="false">IF(O224="Yes",INDEX(Companies!$B$2:$B$31,MATCH(INDEX(Applications!$C$2:$C$3144,MATCH(A224,Applications!$P$2:$P$3144,0)),Companies!$A$2:$A$31,0)),"-")</f>
        <v>-</v>
      </c>
    </row>
    <row r="225" customFormat="false" ht="15" hidden="false" customHeight="false" outlineLevel="0" collapsed="false">
      <c r="A225" s="21" t="s">
        <v>533</v>
      </c>
      <c r="B225" s="21" t="s">
        <v>190</v>
      </c>
      <c r="C225" s="21" t="s">
        <v>458</v>
      </c>
      <c r="D225" s="21" t="s">
        <v>64</v>
      </c>
      <c r="E225" s="21" t="s">
        <v>91</v>
      </c>
      <c r="F225" s="21" t="n">
        <v>7.14</v>
      </c>
      <c r="G225" s="21" t="n">
        <v>278</v>
      </c>
      <c r="H225" s="21" t="n">
        <v>2</v>
      </c>
      <c r="I225" s="21" t="s">
        <v>113</v>
      </c>
      <c r="J225" s="21" t="n">
        <v>50</v>
      </c>
      <c r="K225" s="32" t="n">
        <f aca="false">ROUND(Assumptions!$B$4*MIN(G225/Assumptions!$B$11,1)*100+Assumptions!$B$5*F225/10*100+Assumptions!$B$6*MIN(H225/Assumptions!$B$12,1)*100+Assumptions!$B$7*J225+Assumptions!$B$8*IF(I225="Yes",100,0),1)</f>
        <v>49</v>
      </c>
      <c r="L225" s="21" t="str">
        <f aca="false">LOOKUP(K225,Assumptions!$D$4:$D$7,Assumptions!$E$4:$E$7)</f>
        <v>Foundation</v>
      </c>
      <c r="M225" s="21" t="n">
        <f aca="false">COUNTIFS(Applications!$B$2:$B$3144,A225)</f>
        <v>5</v>
      </c>
      <c r="N225" s="21" t="n">
        <f aca="false">COUNTIFS(Applications!$B$2:$B$3144,A225,Applications!$F$2:$F$3144,"Offered")</f>
        <v>0</v>
      </c>
      <c r="O225" s="21" t="str">
        <f aca="false">IF(COUNTIFS(Applications!$B$2:$B$3144,A225,Applications!$H$2:$H$3144,"Yes")&gt;0,"Yes","No")</f>
        <v>No</v>
      </c>
      <c r="P225" s="32" t="n">
        <f aca="false">SUMIFS(Applications!$G$2:$G$3144,Applications!$B$2:$B$3144,A225,Applications!$H$2:$H$3144,"Yes")</f>
        <v>0</v>
      </c>
      <c r="Q225" s="21" t="str">
        <f aca="false">IF(O225="Yes",INDEX(Companies!$B$2:$B$31,MATCH(INDEX(Applications!$C$2:$C$3144,MATCH(A225,Applications!$P$2:$P$3144,0)),Companies!$A$2:$A$31,0)),"-")</f>
        <v>-</v>
      </c>
    </row>
    <row r="226" customFormat="false" ht="15" hidden="false" customHeight="false" outlineLevel="0" collapsed="false">
      <c r="A226" s="21" t="s">
        <v>534</v>
      </c>
      <c r="B226" s="21" t="s">
        <v>535</v>
      </c>
      <c r="C226" s="21" t="s">
        <v>458</v>
      </c>
      <c r="D226" s="21" t="s">
        <v>67</v>
      </c>
      <c r="E226" s="21" t="s">
        <v>92</v>
      </c>
      <c r="F226" s="21" t="n">
        <v>8.44</v>
      </c>
      <c r="G226" s="21" t="n">
        <v>198</v>
      </c>
      <c r="H226" s="21" t="n">
        <v>2</v>
      </c>
      <c r="I226" s="21" t="s">
        <v>120</v>
      </c>
      <c r="J226" s="21" t="n">
        <v>39</v>
      </c>
      <c r="K226" s="32" t="n">
        <f aca="false">ROUND(Assumptions!$B$4*MIN(G226/Assumptions!$B$11,1)*100+Assumptions!$B$5*F226/10*100+Assumptions!$B$6*MIN(H226/Assumptions!$B$12,1)*100+Assumptions!$B$7*J226+Assumptions!$B$8*IF(I226="Yes",100,0),1)</f>
        <v>54.6</v>
      </c>
      <c r="L226" s="21" t="str">
        <f aca="false">LOOKUP(K226,Assumptions!$D$4:$D$7,Assumptions!$E$4:$E$7)</f>
        <v>Developing</v>
      </c>
      <c r="M226" s="21" t="n">
        <f aca="false">COUNTIFS(Applications!$B$2:$B$3144,A226)</f>
        <v>2</v>
      </c>
      <c r="N226" s="21" t="n">
        <f aca="false">COUNTIFS(Applications!$B$2:$B$3144,A226,Applications!$F$2:$F$3144,"Offered")</f>
        <v>1</v>
      </c>
      <c r="O226" s="21" t="str">
        <f aca="false">IF(COUNTIFS(Applications!$B$2:$B$3144,A226,Applications!$H$2:$H$3144,"Yes")&gt;0,"Yes","No")</f>
        <v>Yes</v>
      </c>
      <c r="P226" s="32" t="n">
        <f aca="false">SUMIFS(Applications!$G$2:$G$3144,Applications!$B$2:$B$3144,A226,Applications!$H$2:$H$3144,"Yes")</f>
        <v>4.5</v>
      </c>
      <c r="Q226" s="21" t="str">
        <f aca="false">IF(O226="Yes",INDEX(Companies!$B$2:$B$31,MATCH(INDEX(Applications!$C$2:$C$3144,MATCH(A226,Applications!$P$2:$P$3144,0)),Companies!$A$2:$A$31,0)),"-")</f>
        <v>LearnEasy</v>
      </c>
    </row>
    <row r="227" customFormat="false" ht="15" hidden="false" customHeight="false" outlineLevel="0" collapsed="false">
      <c r="A227" s="21" t="s">
        <v>536</v>
      </c>
      <c r="B227" s="21" t="s">
        <v>537</v>
      </c>
      <c r="C227" s="21" t="s">
        <v>458</v>
      </c>
      <c r="D227" s="21" t="s">
        <v>66</v>
      </c>
      <c r="E227" s="21" t="s">
        <v>91</v>
      </c>
      <c r="F227" s="21" t="n">
        <v>8.07</v>
      </c>
      <c r="G227" s="21" t="n">
        <v>282</v>
      </c>
      <c r="H227" s="21" t="n">
        <v>4</v>
      </c>
      <c r="I227" s="21" t="s">
        <v>120</v>
      </c>
      <c r="J227" s="21" t="n">
        <v>52</v>
      </c>
      <c r="K227" s="32" t="n">
        <f aca="false">ROUND(Assumptions!$B$4*MIN(G227/Assumptions!$B$11,1)*100+Assumptions!$B$5*F227/10*100+Assumptions!$B$6*MIN(H227/Assumptions!$B$12,1)*100+Assumptions!$B$7*J227+Assumptions!$B$8*IF(I227="Yes",100,0),1)</f>
        <v>69.5</v>
      </c>
      <c r="L227" s="21" t="str">
        <f aca="false">LOOKUP(K227,Assumptions!$D$4:$D$7,Assumptions!$E$4:$E$7)</f>
        <v>Job-Ready</v>
      </c>
      <c r="M227" s="21" t="n">
        <f aca="false">COUNTIFS(Applications!$B$2:$B$3144,A227)</f>
        <v>9</v>
      </c>
      <c r="N227" s="21" t="n">
        <f aca="false">COUNTIFS(Applications!$B$2:$B$3144,A227,Applications!$F$2:$F$3144,"Offered")</f>
        <v>3</v>
      </c>
      <c r="O227" s="21" t="str">
        <f aca="false">IF(COUNTIFS(Applications!$B$2:$B$3144,A227,Applications!$H$2:$H$3144,"Yes")&gt;0,"Yes","No")</f>
        <v>Yes</v>
      </c>
      <c r="P227" s="32" t="n">
        <f aca="false">SUMIFS(Applications!$G$2:$G$3144,Applications!$B$2:$B$3144,A227,Applications!$H$2:$H$3144,"Yes")</f>
        <v>20.9</v>
      </c>
      <c r="Q227" s="21" t="str">
        <f aca="false">IF(O227="Yes",INDEX(Companies!$B$2:$B$31,MATCH(INDEX(Applications!$C$2:$C$3144,MATCH(A227,Applications!$P$2:$P$3144,0)),Companies!$A$2:$A$31,0)),"-")</f>
        <v>Zenith Pay</v>
      </c>
    </row>
    <row r="228" customFormat="false" ht="15" hidden="false" customHeight="false" outlineLevel="0" collapsed="false">
      <c r="A228" s="21" t="s">
        <v>538</v>
      </c>
      <c r="B228" s="21" t="s">
        <v>539</v>
      </c>
      <c r="C228" s="21" t="s">
        <v>458</v>
      </c>
      <c r="D228" s="21" t="s">
        <v>64</v>
      </c>
      <c r="E228" s="21" t="s">
        <v>91</v>
      </c>
      <c r="F228" s="21" t="n">
        <v>8.19</v>
      </c>
      <c r="G228" s="21" t="n">
        <v>760</v>
      </c>
      <c r="H228" s="21" t="n">
        <v>4</v>
      </c>
      <c r="I228" s="21" t="s">
        <v>113</v>
      </c>
      <c r="J228" s="21" t="n">
        <v>68</v>
      </c>
      <c r="K228" s="32" t="n">
        <f aca="false">ROUND(Assumptions!$B$4*MIN(G228/Assumptions!$B$11,1)*100+Assumptions!$B$5*F228/10*100+Assumptions!$B$6*MIN(H228/Assumptions!$B$12,1)*100+Assumptions!$B$7*J228+Assumptions!$B$8*IF(I228="Yes",100,0),1)</f>
        <v>76</v>
      </c>
      <c r="L228" s="21" t="str">
        <f aca="false">LOOKUP(K228,Assumptions!$D$4:$D$7,Assumptions!$E$4:$E$7)</f>
        <v>Job-Ready</v>
      </c>
      <c r="M228" s="21" t="n">
        <f aca="false">COUNTIFS(Applications!$B$2:$B$3144,A228)</f>
        <v>4</v>
      </c>
      <c r="N228" s="21" t="n">
        <f aca="false">COUNTIFS(Applications!$B$2:$B$3144,A228,Applications!$F$2:$F$3144,"Offered")</f>
        <v>1</v>
      </c>
      <c r="O228" s="21" t="str">
        <f aca="false">IF(COUNTIFS(Applications!$B$2:$B$3144,A228,Applications!$H$2:$H$3144,"Yes")&gt;0,"Yes","No")</f>
        <v>Yes</v>
      </c>
      <c r="P228" s="32" t="n">
        <f aca="false">SUMIFS(Applications!$G$2:$G$3144,Applications!$B$2:$B$3144,A228,Applications!$H$2:$H$3144,"Yes")</f>
        <v>6.2</v>
      </c>
      <c r="Q228" s="21" t="str">
        <f aca="false">IF(O228="Yes",INDEX(Companies!$B$2:$B$31,MATCH(INDEX(Applications!$C$2:$C$3144,MATCH(A228,Applications!$P$2:$P$3144,0)),Companies!$A$2:$A$31,0)),"-")</f>
        <v>HealthLink Digital</v>
      </c>
    </row>
    <row r="229" customFormat="false" ht="15" hidden="false" customHeight="false" outlineLevel="0" collapsed="false">
      <c r="A229" s="21" t="s">
        <v>540</v>
      </c>
      <c r="B229" s="21" t="s">
        <v>541</v>
      </c>
      <c r="C229" s="21" t="s">
        <v>458</v>
      </c>
      <c r="D229" s="21" t="s">
        <v>66</v>
      </c>
      <c r="E229" s="21" t="s">
        <v>90</v>
      </c>
      <c r="F229" s="21" t="n">
        <v>7.95</v>
      </c>
      <c r="G229" s="21" t="n">
        <v>397</v>
      </c>
      <c r="H229" s="21" t="n">
        <v>5</v>
      </c>
      <c r="I229" s="21" t="s">
        <v>113</v>
      </c>
      <c r="J229" s="21" t="n">
        <v>50</v>
      </c>
      <c r="K229" s="32" t="n">
        <f aca="false">ROUND(Assumptions!$B$4*MIN(G229/Assumptions!$B$11,1)*100+Assumptions!$B$5*F229/10*100+Assumptions!$B$6*MIN(H229/Assumptions!$B$12,1)*100+Assumptions!$B$7*J229+Assumptions!$B$8*IF(I229="Yes",100,0),1)</f>
        <v>69.7</v>
      </c>
      <c r="L229" s="21" t="str">
        <f aca="false">LOOKUP(K229,Assumptions!$D$4:$D$7,Assumptions!$E$4:$E$7)</f>
        <v>Job-Ready</v>
      </c>
      <c r="M229" s="21" t="n">
        <f aca="false">COUNTIFS(Applications!$B$2:$B$3144,A229)</f>
        <v>4</v>
      </c>
      <c r="N229" s="21" t="n">
        <f aca="false">COUNTIFS(Applications!$B$2:$B$3144,A229,Applications!$F$2:$F$3144,"Offered")</f>
        <v>2</v>
      </c>
      <c r="O229" s="21" t="str">
        <f aca="false">IF(COUNTIFS(Applications!$B$2:$B$3144,A229,Applications!$H$2:$H$3144,"Yes")&gt;0,"Yes","No")</f>
        <v>Yes</v>
      </c>
      <c r="P229" s="32" t="n">
        <f aca="false">SUMIFS(Applications!$G$2:$G$3144,Applications!$B$2:$B$3144,A229,Applications!$H$2:$H$3144,"Yes")</f>
        <v>11.5</v>
      </c>
      <c r="Q229" s="21" t="str">
        <f aca="false">IF(O229="Yes",INDEX(Companies!$B$2:$B$31,MATCH(INDEX(Applications!$C$2:$C$3144,MATCH(A229,Applications!$P$2:$P$3144,0)),Companies!$A$2:$A$31,0)),"-")</f>
        <v>DataBridge Analytics</v>
      </c>
    </row>
    <row r="230" customFormat="false" ht="15" hidden="false" customHeight="false" outlineLevel="0" collapsed="false">
      <c r="A230" s="21" t="s">
        <v>542</v>
      </c>
      <c r="B230" s="21" t="s">
        <v>543</v>
      </c>
      <c r="C230" s="21" t="s">
        <v>458</v>
      </c>
      <c r="D230" s="21" t="s">
        <v>64</v>
      </c>
      <c r="E230" s="21" t="s">
        <v>92</v>
      </c>
      <c r="F230" s="21" t="n">
        <v>6.98</v>
      </c>
      <c r="G230" s="21" t="n">
        <v>630</v>
      </c>
      <c r="H230" s="21" t="n">
        <v>1</v>
      </c>
      <c r="I230" s="21" t="s">
        <v>113</v>
      </c>
      <c r="J230" s="21" t="n">
        <v>75</v>
      </c>
      <c r="K230" s="32" t="n">
        <f aca="false">ROUND(Assumptions!$B$4*MIN(G230/Assumptions!$B$11,1)*100+Assumptions!$B$5*F230/10*100+Assumptions!$B$6*MIN(H230/Assumptions!$B$12,1)*100+Assumptions!$B$7*J230+Assumptions!$B$8*IF(I230="Yes",100,0),1)</f>
        <v>63</v>
      </c>
      <c r="L230" s="21" t="str">
        <f aca="false">LOOKUP(K230,Assumptions!$D$4:$D$7,Assumptions!$E$4:$E$7)</f>
        <v>Developing</v>
      </c>
      <c r="M230" s="21" t="n">
        <f aca="false">COUNTIFS(Applications!$B$2:$B$3144,A230)</f>
        <v>6</v>
      </c>
      <c r="N230" s="21" t="n">
        <f aca="false">COUNTIFS(Applications!$B$2:$B$3144,A230,Applications!$F$2:$F$3144,"Offered")</f>
        <v>3</v>
      </c>
      <c r="O230" s="21" t="str">
        <f aca="false">IF(COUNTIFS(Applications!$B$2:$B$3144,A230,Applications!$H$2:$H$3144,"Yes")&gt;0,"Yes","No")</f>
        <v>Yes</v>
      </c>
      <c r="P230" s="32" t="n">
        <f aca="false">SUMIFS(Applications!$G$2:$G$3144,Applications!$B$2:$B$3144,A230,Applications!$H$2:$H$3144,"Yes")</f>
        <v>10</v>
      </c>
      <c r="Q230" s="21" t="str">
        <f aca="false">IF(O230="Yes",INDEX(Companies!$B$2:$B$31,MATCH(INDEX(Applications!$C$2:$C$3144,MATCH(A230,Applications!$P$2:$P$3144,0)),Companies!$A$2:$A$31,0)),"-")</f>
        <v>MediSphere</v>
      </c>
    </row>
    <row r="231" customFormat="false" ht="15" hidden="false" customHeight="false" outlineLevel="0" collapsed="false">
      <c r="A231" s="21" t="s">
        <v>544</v>
      </c>
      <c r="B231" s="21" t="s">
        <v>545</v>
      </c>
      <c r="C231" s="21" t="s">
        <v>458</v>
      </c>
      <c r="D231" s="21" t="s">
        <v>66</v>
      </c>
      <c r="E231" s="21" t="s">
        <v>92</v>
      </c>
      <c r="F231" s="21" t="n">
        <v>7.6</v>
      </c>
      <c r="G231" s="21" t="n">
        <v>524</v>
      </c>
      <c r="H231" s="21" t="n">
        <v>0</v>
      </c>
      <c r="I231" s="21" t="s">
        <v>120</v>
      </c>
      <c r="J231" s="21" t="n">
        <v>54</v>
      </c>
      <c r="K231" s="32" t="n">
        <f aca="false">ROUND(Assumptions!$B$4*MIN(G231/Assumptions!$B$11,1)*100+Assumptions!$B$5*F231/10*100+Assumptions!$B$6*MIN(H231/Assumptions!$B$12,1)*100+Assumptions!$B$7*J231+Assumptions!$B$8*IF(I231="Yes",100,0),1)</f>
        <v>66</v>
      </c>
      <c r="L231" s="21" t="str">
        <f aca="false">LOOKUP(K231,Assumptions!$D$4:$D$7,Assumptions!$E$4:$E$7)</f>
        <v>Job-Ready</v>
      </c>
      <c r="M231" s="21" t="n">
        <f aca="false">COUNTIFS(Applications!$B$2:$B$3144,A231)</f>
        <v>12</v>
      </c>
      <c r="N231" s="21" t="n">
        <f aca="false">COUNTIFS(Applications!$B$2:$B$3144,A231,Applications!$F$2:$F$3144,"Offered")</f>
        <v>4</v>
      </c>
      <c r="O231" s="21" t="str">
        <f aca="false">IF(COUNTIFS(Applications!$B$2:$B$3144,A231,Applications!$H$2:$H$3144,"Yes")&gt;0,"Yes","No")</f>
        <v>Yes</v>
      </c>
      <c r="P231" s="32" t="n">
        <f aca="false">SUMIFS(Applications!$G$2:$G$3144,Applications!$B$2:$B$3144,A231,Applications!$H$2:$H$3144,"Yes")</f>
        <v>12</v>
      </c>
      <c r="Q231" s="21" t="str">
        <f aca="false">IF(O231="Yes",INDEX(Companies!$B$2:$B$31,MATCH(INDEX(Applications!$C$2:$C$3144,MATCH(A231,Applications!$P$2:$P$3144,0)),Companies!$A$2:$A$31,0)),"-")</f>
        <v>InsightWorks</v>
      </c>
    </row>
    <row r="232" customFormat="false" ht="15" hidden="false" customHeight="false" outlineLevel="0" collapsed="false">
      <c r="A232" s="21" t="s">
        <v>546</v>
      </c>
      <c r="B232" s="21" t="s">
        <v>216</v>
      </c>
      <c r="C232" s="21" t="s">
        <v>458</v>
      </c>
      <c r="D232" s="21" t="s">
        <v>67</v>
      </c>
      <c r="E232" s="21" t="s">
        <v>91</v>
      </c>
      <c r="F232" s="21" t="n">
        <v>7.02</v>
      </c>
      <c r="G232" s="21" t="n">
        <v>257</v>
      </c>
      <c r="H232" s="21" t="n">
        <v>2</v>
      </c>
      <c r="I232" s="21" t="s">
        <v>113</v>
      </c>
      <c r="J232" s="21" t="n">
        <v>40</v>
      </c>
      <c r="K232" s="32" t="n">
        <f aca="false">ROUND(Assumptions!$B$4*MIN(G232/Assumptions!$B$11,1)*100+Assumptions!$B$5*F232/10*100+Assumptions!$B$6*MIN(H232/Assumptions!$B$12,1)*100+Assumptions!$B$7*J232+Assumptions!$B$8*IF(I232="Yes",100,0),1)</f>
        <v>45.5</v>
      </c>
      <c r="L232" s="21" t="str">
        <f aca="false">LOOKUP(K232,Assumptions!$D$4:$D$7,Assumptions!$E$4:$E$7)</f>
        <v>Foundation</v>
      </c>
      <c r="M232" s="21" t="n">
        <f aca="false">COUNTIFS(Applications!$B$2:$B$3144,A232)</f>
        <v>4</v>
      </c>
      <c r="N232" s="21" t="n">
        <f aca="false">COUNTIFS(Applications!$B$2:$B$3144,A232,Applications!$F$2:$F$3144,"Offered")</f>
        <v>0</v>
      </c>
      <c r="O232" s="21" t="str">
        <f aca="false">IF(COUNTIFS(Applications!$B$2:$B$3144,A232,Applications!$H$2:$H$3144,"Yes")&gt;0,"Yes","No")</f>
        <v>No</v>
      </c>
      <c r="P232" s="32" t="n">
        <f aca="false">SUMIFS(Applications!$G$2:$G$3144,Applications!$B$2:$B$3144,A232,Applications!$H$2:$H$3144,"Yes")</f>
        <v>0</v>
      </c>
      <c r="Q232" s="21" t="str">
        <f aca="false">IF(O232="Yes",INDEX(Companies!$B$2:$B$31,MATCH(INDEX(Applications!$C$2:$C$3144,MATCH(A232,Applications!$P$2:$P$3144,0)),Companies!$A$2:$A$31,0)),"-")</f>
        <v>-</v>
      </c>
    </row>
    <row r="233" customFormat="false" ht="15" hidden="false" customHeight="false" outlineLevel="0" collapsed="false">
      <c r="A233" s="21" t="s">
        <v>547</v>
      </c>
      <c r="B233" s="21" t="s">
        <v>548</v>
      </c>
      <c r="C233" s="21" t="s">
        <v>458</v>
      </c>
      <c r="D233" s="21" t="s">
        <v>67</v>
      </c>
      <c r="E233" s="21" t="s">
        <v>90</v>
      </c>
      <c r="F233" s="21" t="n">
        <v>7.51</v>
      </c>
      <c r="G233" s="21" t="n">
        <v>241</v>
      </c>
      <c r="H233" s="21" t="n">
        <v>3</v>
      </c>
      <c r="I233" s="21" t="s">
        <v>113</v>
      </c>
      <c r="J233" s="21" t="n">
        <v>75</v>
      </c>
      <c r="K233" s="32" t="n">
        <f aca="false">ROUND(Assumptions!$B$4*MIN(G233/Assumptions!$B$11,1)*100+Assumptions!$B$5*F233/10*100+Assumptions!$B$6*MIN(H233/Assumptions!$B$12,1)*100+Assumptions!$B$7*J233+Assumptions!$B$8*IF(I233="Yes",100,0),1)</f>
        <v>56.5</v>
      </c>
      <c r="L233" s="21" t="str">
        <f aca="false">LOOKUP(K233,Assumptions!$D$4:$D$7,Assumptions!$E$4:$E$7)</f>
        <v>Developing</v>
      </c>
      <c r="M233" s="21" t="n">
        <f aca="false">COUNTIFS(Applications!$B$2:$B$3144,A233)</f>
        <v>3</v>
      </c>
      <c r="N233" s="21" t="n">
        <f aca="false">COUNTIFS(Applications!$B$2:$B$3144,A233,Applications!$F$2:$F$3144,"Offered")</f>
        <v>0</v>
      </c>
      <c r="O233" s="21" t="str">
        <f aca="false">IF(COUNTIFS(Applications!$B$2:$B$3144,A233,Applications!$H$2:$H$3144,"Yes")&gt;0,"Yes","No")</f>
        <v>No</v>
      </c>
      <c r="P233" s="32" t="n">
        <f aca="false">SUMIFS(Applications!$G$2:$G$3144,Applications!$B$2:$B$3144,A233,Applications!$H$2:$H$3144,"Yes")</f>
        <v>0</v>
      </c>
      <c r="Q233" s="21" t="str">
        <f aca="false">IF(O233="Yes",INDEX(Companies!$B$2:$B$31,MATCH(INDEX(Applications!$C$2:$C$3144,MATCH(A233,Applications!$P$2:$P$3144,0)),Companies!$A$2:$A$31,0)),"-")</f>
        <v>-</v>
      </c>
    </row>
    <row r="234" customFormat="false" ht="15" hidden="false" customHeight="false" outlineLevel="0" collapsed="false">
      <c r="A234" s="21" t="s">
        <v>549</v>
      </c>
      <c r="B234" s="21" t="s">
        <v>172</v>
      </c>
      <c r="C234" s="21" t="s">
        <v>458</v>
      </c>
      <c r="D234" s="21" t="s">
        <v>65</v>
      </c>
      <c r="E234" s="21" t="s">
        <v>91</v>
      </c>
      <c r="F234" s="21" t="n">
        <v>8</v>
      </c>
      <c r="G234" s="21" t="n">
        <v>185</v>
      </c>
      <c r="H234" s="21" t="n">
        <v>3</v>
      </c>
      <c r="I234" s="21" t="s">
        <v>113</v>
      </c>
      <c r="J234" s="21" t="n">
        <v>52</v>
      </c>
      <c r="K234" s="32" t="n">
        <f aca="false">ROUND(Assumptions!$B$4*MIN(G234/Assumptions!$B$11,1)*100+Assumptions!$B$5*F234/10*100+Assumptions!$B$6*MIN(H234/Assumptions!$B$12,1)*100+Assumptions!$B$7*J234+Assumptions!$B$8*IF(I234="Yes",100,0),1)</f>
        <v>49.5</v>
      </c>
      <c r="L234" s="21" t="str">
        <f aca="false">LOOKUP(K234,Assumptions!$D$4:$D$7,Assumptions!$E$4:$E$7)</f>
        <v>Foundation</v>
      </c>
      <c r="M234" s="21" t="n">
        <f aca="false">COUNTIFS(Applications!$B$2:$B$3144,A234)</f>
        <v>2</v>
      </c>
      <c r="N234" s="21" t="n">
        <f aca="false">COUNTIFS(Applications!$B$2:$B$3144,A234,Applications!$F$2:$F$3144,"Offered")</f>
        <v>0</v>
      </c>
      <c r="O234" s="21" t="str">
        <f aca="false">IF(COUNTIFS(Applications!$B$2:$B$3144,A234,Applications!$H$2:$H$3144,"Yes")&gt;0,"Yes","No")</f>
        <v>No</v>
      </c>
      <c r="P234" s="32" t="n">
        <f aca="false">SUMIFS(Applications!$G$2:$G$3144,Applications!$B$2:$B$3144,A234,Applications!$H$2:$H$3144,"Yes")</f>
        <v>0</v>
      </c>
      <c r="Q234" s="21" t="str">
        <f aca="false">IF(O234="Yes",INDEX(Companies!$B$2:$B$31,MATCH(INDEX(Applications!$C$2:$C$3144,MATCH(A234,Applications!$P$2:$P$3144,0)),Companies!$A$2:$A$31,0)),"-")</f>
        <v>-</v>
      </c>
    </row>
    <row r="235" customFormat="false" ht="15" hidden="false" customHeight="false" outlineLevel="0" collapsed="false">
      <c r="A235" s="21" t="s">
        <v>550</v>
      </c>
      <c r="B235" s="21" t="s">
        <v>551</v>
      </c>
      <c r="C235" s="21" t="s">
        <v>458</v>
      </c>
      <c r="D235" s="21" t="s">
        <v>64</v>
      </c>
      <c r="E235" s="21" t="s">
        <v>91</v>
      </c>
      <c r="F235" s="21" t="n">
        <v>8.21</v>
      </c>
      <c r="G235" s="21" t="n">
        <v>763</v>
      </c>
      <c r="H235" s="21" t="n">
        <v>2</v>
      </c>
      <c r="I235" s="21" t="s">
        <v>113</v>
      </c>
      <c r="J235" s="21" t="n">
        <v>84</v>
      </c>
      <c r="K235" s="32" t="n">
        <f aca="false">ROUND(Assumptions!$B$4*MIN(G235/Assumptions!$B$11,1)*100+Assumptions!$B$5*F235/10*100+Assumptions!$B$6*MIN(H235/Assumptions!$B$12,1)*100+Assumptions!$B$7*J235+Assumptions!$B$8*IF(I235="Yes",100,0),1)</f>
        <v>71.2</v>
      </c>
      <c r="L235" s="21" t="str">
        <f aca="false">LOOKUP(K235,Assumptions!$D$4:$D$7,Assumptions!$E$4:$E$7)</f>
        <v>Job-Ready</v>
      </c>
      <c r="M235" s="21" t="n">
        <f aca="false">COUNTIFS(Applications!$B$2:$B$3144,A235)</f>
        <v>3</v>
      </c>
      <c r="N235" s="21" t="n">
        <f aca="false">COUNTIFS(Applications!$B$2:$B$3144,A235,Applications!$F$2:$F$3144,"Offered")</f>
        <v>0</v>
      </c>
      <c r="O235" s="21" t="str">
        <f aca="false">IF(COUNTIFS(Applications!$B$2:$B$3144,A235,Applications!$H$2:$H$3144,"Yes")&gt;0,"Yes","No")</f>
        <v>No</v>
      </c>
      <c r="P235" s="32" t="n">
        <f aca="false">SUMIFS(Applications!$G$2:$G$3144,Applications!$B$2:$B$3144,A235,Applications!$H$2:$H$3144,"Yes")</f>
        <v>0</v>
      </c>
      <c r="Q235" s="21" t="str">
        <f aca="false">IF(O235="Yes",INDEX(Companies!$B$2:$B$31,MATCH(INDEX(Applications!$C$2:$C$3144,MATCH(A235,Applications!$P$2:$P$3144,0)),Companies!$A$2:$A$31,0)),"-")</f>
        <v>-</v>
      </c>
    </row>
    <row r="236" customFormat="false" ht="15" hidden="false" customHeight="false" outlineLevel="0" collapsed="false">
      <c r="A236" s="21" t="s">
        <v>552</v>
      </c>
      <c r="B236" s="21" t="s">
        <v>553</v>
      </c>
      <c r="C236" s="21" t="s">
        <v>458</v>
      </c>
      <c r="D236" s="21" t="s">
        <v>67</v>
      </c>
      <c r="E236" s="21" t="s">
        <v>91</v>
      </c>
      <c r="F236" s="21" t="n">
        <v>6.7</v>
      </c>
      <c r="G236" s="21" t="n">
        <v>105</v>
      </c>
      <c r="H236" s="21" t="n">
        <v>4</v>
      </c>
      <c r="I236" s="21" t="s">
        <v>113</v>
      </c>
      <c r="J236" s="21" t="n">
        <v>62</v>
      </c>
      <c r="K236" s="32" t="n">
        <f aca="false">ROUND(Assumptions!$B$4*MIN(G236/Assumptions!$B$11,1)*100+Assumptions!$B$5*F236/10*100+Assumptions!$B$6*MIN(H236/Assumptions!$B$12,1)*100+Assumptions!$B$7*J236+Assumptions!$B$8*IF(I236="Yes",100,0),1)</f>
        <v>48.1</v>
      </c>
      <c r="L236" s="21" t="str">
        <f aca="false">LOOKUP(K236,Assumptions!$D$4:$D$7,Assumptions!$E$4:$E$7)</f>
        <v>Foundation</v>
      </c>
      <c r="M236" s="21" t="n">
        <f aca="false">COUNTIFS(Applications!$B$2:$B$3144,A236)</f>
        <v>2</v>
      </c>
      <c r="N236" s="21" t="n">
        <f aca="false">COUNTIFS(Applications!$B$2:$B$3144,A236,Applications!$F$2:$F$3144,"Offered")</f>
        <v>0</v>
      </c>
      <c r="O236" s="21" t="str">
        <f aca="false">IF(COUNTIFS(Applications!$B$2:$B$3144,A236,Applications!$H$2:$H$3144,"Yes")&gt;0,"Yes","No")</f>
        <v>No</v>
      </c>
      <c r="P236" s="32" t="n">
        <f aca="false">SUMIFS(Applications!$G$2:$G$3144,Applications!$B$2:$B$3144,A236,Applications!$H$2:$H$3144,"Yes")</f>
        <v>0</v>
      </c>
      <c r="Q236" s="21" t="str">
        <f aca="false">IF(O236="Yes",INDEX(Companies!$B$2:$B$31,MATCH(INDEX(Applications!$C$2:$C$3144,MATCH(A236,Applications!$P$2:$P$3144,0)),Companies!$A$2:$A$31,0)),"-")</f>
        <v>-</v>
      </c>
    </row>
    <row r="237" customFormat="false" ht="15" hidden="false" customHeight="false" outlineLevel="0" collapsed="false">
      <c r="A237" s="21" t="s">
        <v>554</v>
      </c>
      <c r="B237" s="21" t="s">
        <v>555</v>
      </c>
      <c r="C237" s="21" t="s">
        <v>458</v>
      </c>
      <c r="D237" s="21" t="s">
        <v>64</v>
      </c>
      <c r="E237" s="21" t="s">
        <v>91</v>
      </c>
      <c r="F237" s="21" t="n">
        <v>6.53</v>
      </c>
      <c r="G237" s="21" t="n">
        <v>143</v>
      </c>
      <c r="H237" s="21" t="n">
        <v>3</v>
      </c>
      <c r="I237" s="21" t="s">
        <v>120</v>
      </c>
      <c r="J237" s="21" t="n">
        <v>66</v>
      </c>
      <c r="K237" s="32" t="n">
        <f aca="false">ROUND(Assumptions!$B$4*MIN(G237/Assumptions!$B$11,1)*100+Assumptions!$B$5*F237/10*100+Assumptions!$B$6*MIN(H237/Assumptions!$B$12,1)*100+Assumptions!$B$7*J237+Assumptions!$B$8*IF(I237="Yes",100,0),1)</f>
        <v>56.8</v>
      </c>
      <c r="L237" s="21" t="str">
        <f aca="false">LOOKUP(K237,Assumptions!$D$4:$D$7,Assumptions!$E$4:$E$7)</f>
        <v>Developing</v>
      </c>
      <c r="M237" s="21" t="n">
        <f aca="false">COUNTIFS(Applications!$B$2:$B$3144,A237)</f>
        <v>4</v>
      </c>
      <c r="N237" s="21" t="n">
        <f aca="false">COUNTIFS(Applications!$B$2:$B$3144,A237,Applications!$F$2:$F$3144,"Offered")</f>
        <v>1</v>
      </c>
      <c r="O237" s="21" t="str">
        <f aca="false">IF(COUNTIFS(Applications!$B$2:$B$3144,A237,Applications!$H$2:$H$3144,"Yes")&gt;0,"Yes","No")</f>
        <v>Yes</v>
      </c>
      <c r="P237" s="32" t="n">
        <f aca="false">SUMIFS(Applications!$G$2:$G$3144,Applications!$B$2:$B$3144,A237,Applications!$H$2:$H$3144,"Yes")</f>
        <v>5.6</v>
      </c>
      <c r="Q237" s="21" t="str">
        <f aca="false">IF(O237="Yes",INDEX(Companies!$B$2:$B$31,MATCH(INDEX(Applications!$C$2:$C$3144,MATCH(A237,Applications!$P$2:$P$3144,0)),Companies!$A$2:$A$31,0)),"-")</f>
        <v>Metro Systems</v>
      </c>
    </row>
    <row r="238" customFormat="false" ht="15" hidden="false" customHeight="false" outlineLevel="0" collapsed="false">
      <c r="A238" s="21" t="s">
        <v>556</v>
      </c>
      <c r="B238" s="21" t="s">
        <v>557</v>
      </c>
      <c r="C238" s="21" t="s">
        <v>458</v>
      </c>
      <c r="D238" s="21" t="s">
        <v>66</v>
      </c>
      <c r="E238" s="21" t="s">
        <v>92</v>
      </c>
      <c r="F238" s="21" t="n">
        <v>7.5</v>
      </c>
      <c r="G238" s="21" t="n">
        <v>278</v>
      </c>
      <c r="H238" s="21" t="n">
        <v>3</v>
      </c>
      <c r="I238" s="21" t="s">
        <v>120</v>
      </c>
      <c r="J238" s="21" t="n">
        <v>60</v>
      </c>
      <c r="K238" s="32" t="n">
        <f aca="false">ROUND(Assumptions!$B$4*MIN(G238/Assumptions!$B$11,1)*100+Assumptions!$B$5*F238/10*100+Assumptions!$B$6*MIN(H238/Assumptions!$B$12,1)*100+Assumptions!$B$7*J238+Assumptions!$B$8*IF(I238="Yes",100,0),1)</f>
        <v>65.7</v>
      </c>
      <c r="L238" s="21" t="str">
        <f aca="false">LOOKUP(K238,Assumptions!$D$4:$D$7,Assumptions!$E$4:$E$7)</f>
        <v>Job-Ready</v>
      </c>
      <c r="M238" s="21" t="n">
        <f aca="false">COUNTIFS(Applications!$B$2:$B$3144,A238)</f>
        <v>7</v>
      </c>
      <c r="N238" s="21" t="n">
        <f aca="false">COUNTIFS(Applications!$B$2:$B$3144,A238,Applications!$F$2:$F$3144,"Offered")</f>
        <v>2</v>
      </c>
      <c r="O238" s="21" t="str">
        <f aca="false">IF(COUNTIFS(Applications!$B$2:$B$3144,A238,Applications!$H$2:$H$3144,"Yes")&gt;0,"Yes","No")</f>
        <v>Yes</v>
      </c>
      <c r="P238" s="32" t="n">
        <f aca="false">SUMIFS(Applications!$G$2:$G$3144,Applications!$B$2:$B$3144,A238,Applications!$H$2:$H$3144,"Yes")</f>
        <v>7</v>
      </c>
      <c r="Q238" s="21" t="str">
        <f aca="false">IF(O238="Yes",INDEX(Companies!$B$2:$B$31,MATCH(INDEX(Applications!$C$2:$C$3144,MATCH(A238,Applications!$P$2:$P$3144,0)),Companies!$A$2:$A$31,0)),"-")</f>
        <v>LearnEasy</v>
      </c>
    </row>
    <row r="239" customFormat="false" ht="15" hidden="false" customHeight="false" outlineLevel="0" collapsed="false">
      <c r="A239" s="21" t="s">
        <v>558</v>
      </c>
      <c r="B239" s="21" t="s">
        <v>224</v>
      </c>
      <c r="C239" s="21" t="s">
        <v>458</v>
      </c>
      <c r="D239" s="21" t="s">
        <v>67</v>
      </c>
      <c r="E239" s="21" t="s">
        <v>92</v>
      </c>
      <c r="F239" s="21" t="n">
        <v>6.9</v>
      </c>
      <c r="G239" s="21" t="n">
        <v>126</v>
      </c>
      <c r="H239" s="21" t="n">
        <v>3</v>
      </c>
      <c r="I239" s="21" t="s">
        <v>113</v>
      </c>
      <c r="J239" s="21" t="n">
        <v>76</v>
      </c>
      <c r="K239" s="32" t="n">
        <f aca="false">ROUND(Assumptions!$B$4*MIN(G239/Assumptions!$B$11,1)*100+Assumptions!$B$5*F239/10*100+Assumptions!$B$6*MIN(H239/Assumptions!$B$12,1)*100+Assumptions!$B$7*J239+Assumptions!$B$8*IF(I239="Yes",100,0),1)</f>
        <v>48.6</v>
      </c>
      <c r="L239" s="21" t="str">
        <f aca="false">LOOKUP(K239,Assumptions!$D$4:$D$7,Assumptions!$E$4:$E$7)</f>
        <v>Foundation</v>
      </c>
      <c r="M239" s="21" t="n">
        <f aca="false">COUNTIFS(Applications!$B$2:$B$3144,A239)</f>
        <v>3</v>
      </c>
      <c r="N239" s="21" t="n">
        <f aca="false">COUNTIFS(Applications!$B$2:$B$3144,A239,Applications!$F$2:$F$3144,"Offered")</f>
        <v>1</v>
      </c>
      <c r="O239" s="21" t="str">
        <f aca="false">IF(COUNTIFS(Applications!$B$2:$B$3144,A239,Applications!$H$2:$H$3144,"Yes")&gt;0,"Yes","No")</f>
        <v>Yes</v>
      </c>
      <c r="P239" s="32" t="n">
        <f aca="false">SUMIFS(Applications!$G$2:$G$3144,Applications!$B$2:$B$3144,A239,Applications!$H$2:$H$3144,"Yes")</f>
        <v>5.9</v>
      </c>
      <c r="Q239" s="21" t="str">
        <f aca="false">IF(O239="Yes",INDEX(Companies!$B$2:$B$31,MATCH(INDEX(Applications!$C$2:$C$3144,MATCH(A239,Applications!$P$2:$P$3144,0)),Companies!$A$2:$A$31,0)),"-")</f>
        <v>Sapphire Infotech</v>
      </c>
    </row>
    <row r="240" customFormat="false" ht="15" hidden="false" customHeight="false" outlineLevel="0" collapsed="false">
      <c r="A240" s="21" t="s">
        <v>559</v>
      </c>
      <c r="B240" s="21" t="s">
        <v>560</v>
      </c>
      <c r="C240" s="21" t="s">
        <v>458</v>
      </c>
      <c r="D240" s="21" t="s">
        <v>66</v>
      </c>
      <c r="E240" s="21" t="s">
        <v>90</v>
      </c>
      <c r="F240" s="21" t="n">
        <v>8.53</v>
      </c>
      <c r="G240" s="21" t="n">
        <v>240</v>
      </c>
      <c r="H240" s="21" t="n">
        <v>6</v>
      </c>
      <c r="I240" s="21" t="s">
        <v>113</v>
      </c>
      <c r="J240" s="21" t="n">
        <v>87</v>
      </c>
      <c r="K240" s="32" t="n">
        <f aca="false">ROUND(Assumptions!$B$4*MIN(G240/Assumptions!$B$11,1)*100+Assumptions!$B$5*F240/10*100+Assumptions!$B$6*MIN(H240/Assumptions!$B$12,1)*100+Assumptions!$B$7*J240+Assumptions!$B$8*IF(I240="Yes",100,0),1)</f>
        <v>68.9</v>
      </c>
      <c r="L240" s="21" t="str">
        <f aca="false">LOOKUP(K240,Assumptions!$D$4:$D$7,Assumptions!$E$4:$E$7)</f>
        <v>Job-Ready</v>
      </c>
      <c r="M240" s="21" t="n">
        <f aca="false">COUNTIFS(Applications!$B$2:$B$3144,A240)</f>
        <v>5</v>
      </c>
      <c r="N240" s="21" t="n">
        <f aca="false">COUNTIFS(Applications!$B$2:$B$3144,A240,Applications!$F$2:$F$3144,"Offered")</f>
        <v>1</v>
      </c>
      <c r="O240" s="21" t="str">
        <f aca="false">IF(COUNTIFS(Applications!$B$2:$B$3144,A240,Applications!$H$2:$H$3144,"Yes")&gt;0,"Yes","No")</f>
        <v>Yes</v>
      </c>
      <c r="P240" s="32" t="n">
        <f aca="false">SUMIFS(Applications!$G$2:$G$3144,Applications!$B$2:$B$3144,A240,Applications!$H$2:$H$3144,"Yes")</f>
        <v>4.9</v>
      </c>
      <c r="Q240" s="21" t="str">
        <f aca="false">IF(O240="Yes",INDEX(Companies!$B$2:$B$31,MATCH(INDEX(Applications!$C$2:$C$3144,MATCH(A240,Applications!$P$2:$P$3144,0)),Companies!$A$2:$A$31,0)),"-")</f>
        <v>LearnEasy</v>
      </c>
    </row>
    <row r="241" customFormat="false" ht="15" hidden="false" customHeight="false" outlineLevel="0" collapsed="false">
      <c r="A241" s="21" t="s">
        <v>561</v>
      </c>
      <c r="B241" s="21" t="s">
        <v>562</v>
      </c>
      <c r="C241" s="21" t="s">
        <v>458</v>
      </c>
      <c r="D241" s="21" t="s">
        <v>67</v>
      </c>
      <c r="E241" s="21" t="s">
        <v>91</v>
      </c>
      <c r="F241" s="21" t="n">
        <v>7.7</v>
      </c>
      <c r="G241" s="21" t="n">
        <v>121</v>
      </c>
      <c r="H241" s="21" t="n">
        <v>5</v>
      </c>
      <c r="I241" s="21" t="s">
        <v>120</v>
      </c>
      <c r="J241" s="21" t="n">
        <v>74</v>
      </c>
      <c r="K241" s="32" t="n">
        <f aca="false">ROUND(Assumptions!$B$4*MIN(G241/Assumptions!$B$11,1)*100+Assumptions!$B$5*F241/10*100+Assumptions!$B$6*MIN(H241/Assumptions!$B$12,1)*100+Assumptions!$B$7*J241+Assumptions!$B$8*IF(I241="Yes",100,0),1)</f>
        <v>67.5</v>
      </c>
      <c r="L241" s="21" t="str">
        <f aca="false">LOOKUP(K241,Assumptions!$D$4:$D$7,Assumptions!$E$4:$E$7)</f>
        <v>Job-Ready</v>
      </c>
      <c r="M241" s="21" t="n">
        <f aca="false">COUNTIFS(Applications!$B$2:$B$3144,A241)</f>
        <v>4</v>
      </c>
      <c r="N241" s="21" t="n">
        <f aca="false">COUNTIFS(Applications!$B$2:$B$3144,A241,Applications!$F$2:$F$3144,"Offered")</f>
        <v>1</v>
      </c>
      <c r="O241" s="21" t="str">
        <f aca="false">IF(COUNTIFS(Applications!$B$2:$B$3144,A241,Applications!$H$2:$H$3144,"Yes")&gt;0,"Yes","No")</f>
        <v>Yes</v>
      </c>
      <c r="P241" s="32" t="n">
        <f aca="false">SUMIFS(Applications!$G$2:$G$3144,Applications!$B$2:$B$3144,A241,Applications!$H$2:$H$3144,"Yes")</f>
        <v>7.4</v>
      </c>
      <c r="Q241" s="21" t="str">
        <f aca="false">IF(O241="Yes",INDEX(Companies!$B$2:$B$31,MATCH(INDEX(Applications!$C$2:$C$3144,MATCH(A241,Applications!$P$2:$P$3144,0)),Companies!$A$2:$A$31,0)),"-")</f>
        <v>RetailRocket</v>
      </c>
    </row>
    <row r="242" customFormat="false" ht="15" hidden="false" customHeight="false" outlineLevel="0" collapsed="false">
      <c r="A242" s="21" t="s">
        <v>563</v>
      </c>
      <c r="B242" s="21" t="s">
        <v>564</v>
      </c>
      <c r="C242" s="21" t="s">
        <v>458</v>
      </c>
      <c r="D242" s="21" t="s">
        <v>67</v>
      </c>
      <c r="E242" s="21" t="s">
        <v>91</v>
      </c>
      <c r="F242" s="21" t="n">
        <v>5.03</v>
      </c>
      <c r="G242" s="21" t="n">
        <v>85</v>
      </c>
      <c r="H242" s="21" t="n">
        <v>3</v>
      </c>
      <c r="I242" s="21" t="s">
        <v>113</v>
      </c>
      <c r="J242" s="21" t="n">
        <v>57</v>
      </c>
      <c r="K242" s="32" t="n">
        <f aca="false">ROUND(Assumptions!$B$4*MIN(G242/Assumptions!$B$11,1)*100+Assumptions!$B$5*F242/10*100+Assumptions!$B$6*MIN(H242/Assumptions!$B$12,1)*100+Assumptions!$B$7*J242+Assumptions!$B$8*IF(I242="Yes",100,0),1)</f>
        <v>38.6</v>
      </c>
      <c r="L242" s="21" t="str">
        <f aca="false">LOOKUP(K242,Assumptions!$D$4:$D$7,Assumptions!$E$4:$E$7)</f>
        <v>Foundation</v>
      </c>
      <c r="M242" s="21" t="n">
        <f aca="false">COUNTIFS(Applications!$B$2:$B$3144,A242)</f>
        <v>6</v>
      </c>
      <c r="N242" s="21" t="n">
        <f aca="false">COUNTIFS(Applications!$B$2:$B$3144,A242,Applications!$F$2:$F$3144,"Offered")</f>
        <v>1</v>
      </c>
      <c r="O242" s="21" t="str">
        <f aca="false">IF(COUNTIFS(Applications!$B$2:$B$3144,A242,Applications!$H$2:$H$3144,"Yes")&gt;0,"Yes","No")</f>
        <v>Yes</v>
      </c>
      <c r="P242" s="32" t="n">
        <f aca="false">SUMIFS(Applications!$G$2:$G$3144,Applications!$B$2:$B$3144,A242,Applications!$H$2:$H$3144,"Yes")</f>
        <v>5.9</v>
      </c>
      <c r="Q242" s="21" t="str">
        <f aca="false">IF(O242="Yes",INDEX(Companies!$B$2:$B$31,MATCH(INDEX(Applications!$C$2:$C$3144,MATCH(A242,Applications!$P$2:$P$3144,0)),Companies!$A$2:$A$31,0)),"-")</f>
        <v>RetailRocket</v>
      </c>
    </row>
    <row r="243" customFormat="false" ht="15" hidden="false" customHeight="false" outlineLevel="0" collapsed="false">
      <c r="A243" s="21" t="s">
        <v>565</v>
      </c>
      <c r="B243" s="21" t="s">
        <v>566</v>
      </c>
      <c r="C243" s="21" t="s">
        <v>458</v>
      </c>
      <c r="D243" s="21" t="s">
        <v>64</v>
      </c>
      <c r="E243" s="21" t="s">
        <v>91</v>
      </c>
      <c r="F243" s="21" t="n">
        <v>7.88</v>
      </c>
      <c r="G243" s="21" t="n">
        <v>681</v>
      </c>
      <c r="H243" s="21" t="n">
        <v>1</v>
      </c>
      <c r="I243" s="21" t="s">
        <v>120</v>
      </c>
      <c r="J243" s="21" t="n">
        <v>57</v>
      </c>
      <c r="K243" s="32" t="n">
        <f aca="false">ROUND(Assumptions!$B$4*MIN(G243/Assumptions!$B$11,1)*100+Assumptions!$B$5*F243/10*100+Assumptions!$B$6*MIN(H243/Assumptions!$B$12,1)*100+Assumptions!$B$7*J243+Assumptions!$B$8*IF(I243="Yes",100,0),1)</f>
        <v>71.2</v>
      </c>
      <c r="L243" s="21" t="str">
        <f aca="false">LOOKUP(K243,Assumptions!$D$4:$D$7,Assumptions!$E$4:$E$7)</f>
        <v>Job-Ready</v>
      </c>
      <c r="M243" s="21" t="n">
        <f aca="false">COUNTIFS(Applications!$B$2:$B$3144,A243)</f>
        <v>6</v>
      </c>
      <c r="N243" s="21" t="n">
        <f aca="false">COUNTIFS(Applications!$B$2:$B$3144,A243,Applications!$F$2:$F$3144,"Offered")</f>
        <v>3</v>
      </c>
      <c r="O243" s="21" t="str">
        <f aca="false">IF(COUNTIFS(Applications!$B$2:$B$3144,A243,Applications!$H$2:$H$3144,"Yes")&gt;0,"Yes","No")</f>
        <v>Yes</v>
      </c>
      <c r="P243" s="32" t="n">
        <f aca="false">SUMIFS(Applications!$G$2:$G$3144,Applications!$B$2:$B$3144,A243,Applications!$H$2:$H$3144,"Yes")</f>
        <v>15.5</v>
      </c>
      <c r="Q243" s="21" t="str">
        <f aca="false">IF(O243="Yes",INDEX(Companies!$B$2:$B$31,MATCH(INDEX(Applications!$C$2:$C$3144,MATCH(A243,Applications!$P$2:$P$3144,0)),Companies!$A$2:$A$31,0)),"-")</f>
        <v>DataBridge Analytics</v>
      </c>
    </row>
    <row r="244" customFormat="false" ht="15" hidden="false" customHeight="false" outlineLevel="0" collapsed="false">
      <c r="A244" s="21" t="s">
        <v>567</v>
      </c>
      <c r="B244" s="21" t="s">
        <v>568</v>
      </c>
      <c r="C244" s="21" t="s">
        <v>458</v>
      </c>
      <c r="D244" s="21" t="s">
        <v>64</v>
      </c>
      <c r="E244" s="21" t="s">
        <v>91</v>
      </c>
      <c r="F244" s="21" t="n">
        <v>7.98</v>
      </c>
      <c r="G244" s="21" t="n">
        <v>505</v>
      </c>
      <c r="H244" s="21" t="n">
        <v>4</v>
      </c>
      <c r="I244" s="21" t="s">
        <v>120</v>
      </c>
      <c r="J244" s="21" t="n">
        <v>39</v>
      </c>
      <c r="K244" s="32" t="n">
        <f aca="false">ROUND(Assumptions!$B$4*MIN(G244/Assumptions!$B$11,1)*100+Assumptions!$B$5*F244/10*100+Assumptions!$B$6*MIN(H244/Assumptions!$B$12,1)*100+Assumptions!$B$7*J244+Assumptions!$B$8*IF(I244="Yes",100,0),1)</f>
        <v>79.8</v>
      </c>
      <c r="L244" s="21" t="str">
        <f aca="false">LOOKUP(K244,Assumptions!$D$4:$D$7,Assumptions!$E$4:$E$7)</f>
        <v>Job-Ready</v>
      </c>
      <c r="M244" s="21" t="n">
        <f aca="false">COUNTIFS(Applications!$B$2:$B$3144,A244)</f>
        <v>6</v>
      </c>
      <c r="N244" s="21" t="n">
        <f aca="false">COUNTIFS(Applications!$B$2:$B$3144,A244,Applications!$F$2:$F$3144,"Offered")</f>
        <v>3</v>
      </c>
      <c r="O244" s="21" t="str">
        <f aca="false">IF(COUNTIFS(Applications!$B$2:$B$3144,A244,Applications!$H$2:$H$3144,"Yes")&gt;0,"Yes","No")</f>
        <v>Yes</v>
      </c>
      <c r="P244" s="32" t="n">
        <f aca="false">SUMIFS(Applications!$G$2:$G$3144,Applications!$B$2:$B$3144,A244,Applications!$H$2:$H$3144,"Yes")</f>
        <v>14.1</v>
      </c>
      <c r="Q244" s="21" t="str">
        <f aca="false">IF(O244="Yes",INDEX(Companies!$B$2:$B$31,MATCH(INDEX(Applications!$C$2:$C$3144,MATCH(A244,Applications!$P$2:$P$3144,0)),Companies!$A$2:$A$31,0)),"-")</f>
        <v>MediSphere</v>
      </c>
    </row>
    <row r="245" customFormat="false" ht="15" hidden="false" customHeight="false" outlineLevel="0" collapsed="false">
      <c r="A245" s="21" t="s">
        <v>569</v>
      </c>
      <c r="B245" s="21" t="s">
        <v>570</v>
      </c>
      <c r="C245" s="21" t="s">
        <v>458</v>
      </c>
      <c r="D245" s="21" t="s">
        <v>63</v>
      </c>
      <c r="E245" s="21" t="s">
        <v>91</v>
      </c>
      <c r="F245" s="21" t="n">
        <v>7.47</v>
      </c>
      <c r="G245" s="21" t="n">
        <v>360</v>
      </c>
      <c r="H245" s="21" t="n">
        <v>7</v>
      </c>
      <c r="I245" s="21" t="s">
        <v>113</v>
      </c>
      <c r="J245" s="21" t="n">
        <v>94</v>
      </c>
      <c r="K245" s="32" t="n">
        <f aca="false">ROUND(Assumptions!$B$4*MIN(G245/Assumptions!$B$11,1)*100+Assumptions!$B$5*F245/10*100+Assumptions!$B$6*MIN(H245/Assumptions!$B$12,1)*100+Assumptions!$B$7*J245+Assumptions!$B$8*IF(I245="Yes",100,0),1)</f>
        <v>75.3</v>
      </c>
      <c r="L245" s="21" t="str">
        <f aca="false">LOOKUP(K245,Assumptions!$D$4:$D$7,Assumptions!$E$4:$E$7)</f>
        <v>Job-Ready</v>
      </c>
      <c r="M245" s="21" t="n">
        <f aca="false">COUNTIFS(Applications!$B$2:$B$3144,A245)</f>
        <v>5</v>
      </c>
      <c r="N245" s="21" t="n">
        <f aca="false">COUNTIFS(Applications!$B$2:$B$3144,A245,Applications!$F$2:$F$3144,"Offered")</f>
        <v>3</v>
      </c>
      <c r="O245" s="21" t="str">
        <f aca="false">IF(COUNTIFS(Applications!$B$2:$B$3144,A245,Applications!$H$2:$H$3144,"Yes")&gt;0,"Yes","No")</f>
        <v>Yes</v>
      </c>
      <c r="P245" s="32" t="n">
        <f aca="false">SUMIFS(Applications!$G$2:$G$3144,Applications!$B$2:$B$3144,A245,Applications!$H$2:$H$3144,"Yes")</f>
        <v>12.9</v>
      </c>
      <c r="Q245" s="21" t="str">
        <f aca="false">IF(O245="Yes",INDEX(Companies!$B$2:$B$31,MATCH(INDEX(Applications!$C$2:$C$3144,MATCH(A245,Applications!$P$2:$P$3144,0)),Companies!$A$2:$A$31,0)),"-")</f>
        <v>FinStack</v>
      </c>
    </row>
    <row r="246" customFormat="false" ht="15" hidden="false" customHeight="false" outlineLevel="0" collapsed="false">
      <c r="A246" s="21" t="s">
        <v>571</v>
      </c>
      <c r="B246" s="21" t="s">
        <v>572</v>
      </c>
      <c r="C246" s="21" t="s">
        <v>458</v>
      </c>
      <c r="D246" s="21" t="s">
        <v>64</v>
      </c>
      <c r="E246" s="21" t="s">
        <v>91</v>
      </c>
      <c r="F246" s="21" t="n">
        <v>7.73</v>
      </c>
      <c r="G246" s="21" t="n">
        <v>217</v>
      </c>
      <c r="H246" s="21" t="n">
        <v>2</v>
      </c>
      <c r="I246" s="21" t="s">
        <v>120</v>
      </c>
      <c r="J246" s="21" t="n">
        <v>81</v>
      </c>
      <c r="K246" s="32" t="n">
        <f aca="false">ROUND(Assumptions!$B$4*MIN(G246/Assumptions!$B$11,1)*100+Assumptions!$B$5*F246/10*100+Assumptions!$B$6*MIN(H246/Assumptions!$B$12,1)*100+Assumptions!$B$7*J246+Assumptions!$B$8*IF(I246="Yes",100,0),1)</f>
        <v>62.7</v>
      </c>
      <c r="L246" s="21" t="str">
        <f aca="false">LOOKUP(K246,Assumptions!$D$4:$D$7,Assumptions!$E$4:$E$7)</f>
        <v>Developing</v>
      </c>
      <c r="M246" s="21" t="n">
        <f aca="false">COUNTIFS(Applications!$B$2:$B$3144,A246)</f>
        <v>2</v>
      </c>
      <c r="N246" s="21" t="n">
        <f aca="false">COUNTIFS(Applications!$B$2:$B$3144,A246,Applications!$F$2:$F$3144,"Offered")</f>
        <v>0</v>
      </c>
      <c r="O246" s="21" t="str">
        <f aca="false">IF(COUNTIFS(Applications!$B$2:$B$3144,A246,Applications!$H$2:$H$3144,"Yes")&gt;0,"Yes","No")</f>
        <v>No</v>
      </c>
      <c r="P246" s="32" t="n">
        <f aca="false">SUMIFS(Applications!$G$2:$G$3144,Applications!$B$2:$B$3144,A246,Applications!$H$2:$H$3144,"Yes")</f>
        <v>0</v>
      </c>
      <c r="Q246" s="21" t="str">
        <f aca="false">IF(O246="Yes",INDEX(Companies!$B$2:$B$31,MATCH(INDEX(Applications!$C$2:$C$3144,MATCH(A246,Applications!$P$2:$P$3144,0)),Companies!$A$2:$A$31,0)),"-")</f>
        <v>-</v>
      </c>
    </row>
    <row r="247" customFormat="false" ht="15" hidden="false" customHeight="false" outlineLevel="0" collapsed="false">
      <c r="A247" s="21" t="s">
        <v>573</v>
      </c>
      <c r="B247" s="21" t="s">
        <v>574</v>
      </c>
      <c r="C247" s="21" t="s">
        <v>458</v>
      </c>
      <c r="D247" s="21" t="s">
        <v>66</v>
      </c>
      <c r="E247" s="21" t="s">
        <v>92</v>
      </c>
      <c r="F247" s="21" t="n">
        <v>9.65</v>
      </c>
      <c r="G247" s="21" t="n">
        <v>182</v>
      </c>
      <c r="H247" s="21" t="n">
        <v>3</v>
      </c>
      <c r="I247" s="21" t="s">
        <v>113</v>
      </c>
      <c r="J247" s="21" t="n">
        <v>71</v>
      </c>
      <c r="K247" s="32" t="n">
        <f aca="false">ROUND(Assumptions!$B$4*MIN(G247/Assumptions!$B$11,1)*100+Assumptions!$B$5*F247/10*100+Assumptions!$B$6*MIN(H247/Assumptions!$B$12,1)*100+Assumptions!$B$7*J247+Assumptions!$B$8*IF(I247="Yes",100,0),1)</f>
        <v>56.4</v>
      </c>
      <c r="L247" s="21" t="str">
        <f aca="false">LOOKUP(K247,Assumptions!$D$4:$D$7,Assumptions!$E$4:$E$7)</f>
        <v>Developing</v>
      </c>
      <c r="M247" s="21" t="n">
        <f aca="false">COUNTIFS(Applications!$B$2:$B$3144,A247)</f>
        <v>8</v>
      </c>
      <c r="N247" s="21" t="n">
        <f aca="false">COUNTIFS(Applications!$B$2:$B$3144,A247,Applications!$F$2:$F$3144,"Offered")</f>
        <v>1</v>
      </c>
      <c r="O247" s="21" t="str">
        <f aca="false">IF(COUNTIFS(Applications!$B$2:$B$3144,A247,Applications!$H$2:$H$3144,"Yes")&gt;0,"Yes","No")</f>
        <v>Yes</v>
      </c>
      <c r="P247" s="32" t="n">
        <f aca="false">SUMIFS(Applications!$G$2:$G$3144,Applications!$B$2:$B$3144,A247,Applications!$H$2:$H$3144,"Yes")</f>
        <v>6.9</v>
      </c>
      <c r="Q247" s="21" t="str">
        <f aca="false">IF(O247="Yes",INDEX(Companies!$B$2:$B$31,MATCH(INDEX(Applications!$C$2:$C$3144,MATCH(A247,Applications!$P$2:$P$3144,0)),Companies!$A$2:$A$31,0)),"-")</f>
        <v>DataHarbor</v>
      </c>
    </row>
    <row r="248" customFormat="false" ht="15" hidden="false" customHeight="false" outlineLevel="0" collapsed="false">
      <c r="A248" s="21" t="s">
        <v>575</v>
      </c>
      <c r="B248" s="21" t="s">
        <v>182</v>
      </c>
      <c r="C248" s="21" t="s">
        <v>458</v>
      </c>
      <c r="D248" s="21" t="s">
        <v>64</v>
      </c>
      <c r="E248" s="21" t="s">
        <v>92</v>
      </c>
      <c r="F248" s="21" t="n">
        <v>7.08</v>
      </c>
      <c r="G248" s="21" t="n">
        <v>134</v>
      </c>
      <c r="H248" s="21" t="n">
        <v>2</v>
      </c>
      <c r="I248" s="21" t="s">
        <v>113</v>
      </c>
      <c r="J248" s="21" t="n">
        <v>56</v>
      </c>
      <c r="K248" s="32" t="n">
        <f aca="false">ROUND(Assumptions!$B$4*MIN(G248/Assumptions!$B$11,1)*100+Assumptions!$B$5*F248/10*100+Assumptions!$B$6*MIN(H248/Assumptions!$B$12,1)*100+Assumptions!$B$7*J248+Assumptions!$B$8*IF(I248="Yes",100,0),1)</f>
        <v>41.4</v>
      </c>
      <c r="L248" s="21" t="str">
        <f aca="false">LOOKUP(K248,Assumptions!$D$4:$D$7,Assumptions!$E$4:$E$7)</f>
        <v>Foundation</v>
      </c>
      <c r="M248" s="21" t="n">
        <f aca="false">COUNTIFS(Applications!$B$2:$B$3144,A248)</f>
        <v>4</v>
      </c>
      <c r="N248" s="21" t="n">
        <f aca="false">COUNTIFS(Applications!$B$2:$B$3144,A248,Applications!$F$2:$F$3144,"Offered")</f>
        <v>0</v>
      </c>
      <c r="O248" s="21" t="str">
        <f aca="false">IF(COUNTIFS(Applications!$B$2:$B$3144,A248,Applications!$H$2:$H$3144,"Yes")&gt;0,"Yes","No")</f>
        <v>No</v>
      </c>
      <c r="P248" s="32" t="n">
        <f aca="false">SUMIFS(Applications!$G$2:$G$3144,Applications!$B$2:$B$3144,A248,Applications!$H$2:$H$3144,"Yes")</f>
        <v>0</v>
      </c>
      <c r="Q248" s="21" t="str">
        <f aca="false">IF(O248="Yes",INDEX(Companies!$B$2:$B$31,MATCH(INDEX(Applications!$C$2:$C$3144,MATCH(A248,Applications!$P$2:$P$3144,0)),Companies!$A$2:$A$31,0)),"-")</f>
        <v>-</v>
      </c>
    </row>
    <row r="249" customFormat="false" ht="15" hidden="false" customHeight="false" outlineLevel="0" collapsed="false">
      <c r="A249" s="21" t="s">
        <v>576</v>
      </c>
      <c r="B249" s="21" t="s">
        <v>577</v>
      </c>
      <c r="C249" s="21" t="s">
        <v>458</v>
      </c>
      <c r="D249" s="21" t="s">
        <v>64</v>
      </c>
      <c r="E249" s="21" t="s">
        <v>90</v>
      </c>
      <c r="F249" s="21" t="n">
        <v>6.93</v>
      </c>
      <c r="G249" s="21" t="n">
        <v>791</v>
      </c>
      <c r="H249" s="21" t="n">
        <v>5</v>
      </c>
      <c r="I249" s="21" t="s">
        <v>120</v>
      </c>
      <c r="J249" s="21" t="n">
        <v>59</v>
      </c>
      <c r="K249" s="32" t="n">
        <f aca="false">ROUND(Assumptions!$B$4*MIN(G249/Assumptions!$B$11,1)*100+Assumptions!$B$5*F249/10*100+Assumptions!$B$6*MIN(H249/Assumptions!$B$12,1)*100+Assumptions!$B$7*J249+Assumptions!$B$8*IF(I249="Yes",100,0),1)</f>
        <v>85.7</v>
      </c>
      <c r="L249" s="21" t="str">
        <f aca="false">LOOKUP(K249,Assumptions!$D$4:$D$7,Assumptions!$E$4:$E$7)</f>
        <v>Elite</v>
      </c>
      <c r="M249" s="21" t="n">
        <f aca="false">COUNTIFS(Applications!$B$2:$B$3144,A249)</f>
        <v>7</v>
      </c>
      <c r="N249" s="21" t="n">
        <f aca="false">COUNTIFS(Applications!$B$2:$B$3144,A249,Applications!$F$2:$F$3144,"Offered")</f>
        <v>4</v>
      </c>
      <c r="O249" s="21" t="str">
        <f aca="false">IF(COUNTIFS(Applications!$B$2:$B$3144,A249,Applications!$H$2:$H$3144,"Yes")&gt;0,"Yes","No")</f>
        <v>Yes</v>
      </c>
      <c r="P249" s="32" t="n">
        <f aca="false">SUMIFS(Applications!$G$2:$G$3144,Applications!$B$2:$B$3144,A249,Applications!$H$2:$H$3144,"Yes")</f>
        <v>29.6</v>
      </c>
      <c r="Q249" s="21" t="str">
        <f aca="false">IF(O249="Yes",INDEX(Companies!$B$2:$B$31,MATCH(INDEX(Applications!$C$2:$C$3144,MATCH(A249,Applications!$P$2:$P$3144,0)),Companies!$A$2:$A$31,0)),"-")</f>
        <v>Nimbus Cloud Systems</v>
      </c>
    </row>
    <row r="250" customFormat="false" ht="15" hidden="false" customHeight="false" outlineLevel="0" collapsed="false">
      <c r="A250" s="21" t="s">
        <v>578</v>
      </c>
      <c r="B250" s="21" t="s">
        <v>579</v>
      </c>
      <c r="C250" s="21" t="s">
        <v>458</v>
      </c>
      <c r="D250" s="21" t="s">
        <v>67</v>
      </c>
      <c r="E250" s="21" t="s">
        <v>92</v>
      </c>
      <c r="F250" s="21" t="n">
        <v>6.28</v>
      </c>
      <c r="G250" s="21" t="n">
        <v>159</v>
      </c>
      <c r="H250" s="21" t="n">
        <v>4</v>
      </c>
      <c r="I250" s="21" t="s">
        <v>113</v>
      </c>
      <c r="J250" s="21" t="n">
        <v>63</v>
      </c>
      <c r="K250" s="32" t="n">
        <f aca="false">ROUND(Assumptions!$B$4*MIN(G250/Assumptions!$B$11,1)*100+Assumptions!$B$5*F250/10*100+Assumptions!$B$6*MIN(H250/Assumptions!$B$12,1)*100+Assumptions!$B$7*J250+Assumptions!$B$8*IF(I250="Yes",100,0),1)</f>
        <v>50.7</v>
      </c>
      <c r="L250" s="21" t="str">
        <f aca="false">LOOKUP(K250,Assumptions!$D$4:$D$7,Assumptions!$E$4:$E$7)</f>
        <v>Developing</v>
      </c>
      <c r="M250" s="21" t="n">
        <f aca="false">COUNTIFS(Applications!$B$2:$B$3144,A250)</f>
        <v>5</v>
      </c>
      <c r="N250" s="21" t="n">
        <f aca="false">COUNTIFS(Applications!$B$2:$B$3144,A250,Applications!$F$2:$F$3144,"Offered")</f>
        <v>0</v>
      </c>
      <c r="O250" s="21" t="str">
        <f aca="false">IF(COUNTIFS(Applications!$B$2:$B$3144,A250,Applications!$H$2:$H$3144,"Yes")&gt;0,"Yes","No")</f>
        <v>No</v>
      </c>
      <c r="P250" s="32" t="n">
        <f aca="false">SUMIFS(Applications!$G$2:$G$3144,Applications!$B$2:$B$3144,A250,Applications!$H$2:$H$3144,"Yes")</f>
        <v>0</v>
      </c>
      <c r="Q250" s="21" t="str">
        <f aca="false">IF(O250="Yes",INDEX(Companies!$B$2:$B$31,MATCH(INDEX(Applications!$C$2:$C$3144,MATCH(A250,Applications!$P$2:$P$3144,0)),Companies!$A$2:$A$31,0)),"-")</f>
        <v>-</v>
      </c>
    </row>
    <row r="251" customFormat="false" ht="15" hidden="false" customHeight="false" outlineLevel="0" collapsed="false">
      <c r="A251" s="21" t="s">
        <v>580</v>
      </c>
      <c r="B251" s="21" t="s">
        <v>581</v>
      </c>
      <c r="C251" s="21" t="s">
        <v>458</v>
      </c>
      <c r="D251" s="21" t="s">
        <v>67</v>
      </c>
      <c r="E251" s="21" t="s">
        <v>91</v>
      </c>
      <c r="F251" s="21" t="n">
        <v>8.63</v>
      </c>
      <c r="G251" s="21" t="n">
        <v>241</v>
      </c>
      <c r="H251" s="21" t="n">
        <v>3</v>
      </c>
      <c r="I251" s="21" t="s">
        <v>120</v>
      </c>
      <c r="J251" s="21" t="n">
        <v>74</v>
      </c>
      <c r="K251" s="32" t="n">
        <f aca="false">ROUND(Assumptions!$B$4*MIN(G251/Assumptions!$B$11,1)*100+Assumptions!$B$5*F251/10*100+Assumptions!$B$6*MIN(H251/Assumptions!$B$12,1)*100+Assumptions!$B$7*J251+Assumptions!$B$8*IF(I251="Yes",100,0),1)</f>
        <v>68.5</v>
      </c>
      <c r="L251" s="21" t="str">
        <f aca="false">LOOKUP(K251,Assumptions!$D$4:$D$7,Assumptions!$E$4:$E$7)</f>
        <v>Job-Ready</v>
      </c>
      <c r="M251" s="21" t="n">
        <f aca="false">COUNTIFS(Applications!$B$2:$B$3144,A251)</f>
        <v>4</v>
      </c>
      <c r="N251" s="21" t="n">
        <f aca="false">COUNTIFS(Applications!$B$2:$B$3144,A251,Applications!$F$2:$F$3144,"Offered")</f>
        <v>2</v>
      </c>
      <c r="O251" s="21" t="str">
        <f aca="false">IF(COUNTIFS(Applications!$B$2:$B$3144,A251,Applications!$H$2:$H$3144,"Yes")&gt;0,"Yes","No")</f>
        <v>Yes</v>
      </c>
      <c r="P251" s="32" t="n">
        <f aca="false">SUMIFS(Applications!$G$2:$G$3144,Applications!$B$2:$B$3144,A251,Applications!$H$2:$H$3144,"Yes")</f>
        <v>12.4</v>
      </c>
      <c r="Q251" s="21" t="str">
        <f aca="false">IF(O251="Yes",INDEX(Companies!$B$2:$B$31,MATCH(INDEX(Applications!$C$2:$C$3144,MATCH(A251,Applications!$P$2:$P$3144,0)),Companies!$A$2:$A$31,0)),"-")</f>
        <v>VitalByte</v>
      </c>
    </row>
    <row r="252" customFormat="false" ht="15" hidden="false" customHeight="false" outlineLevel="0" collapsed="false">
      <c r="A252" s="21" t="s">
        <v>582</v>
      </c>
      <c r="B252" s="21" t="s">
        <v>583</v>
      </c>
      <c r="C252" s="21" t="s">
        <v>458</v>
      </c>
      <c r="D252" s="21" t="s">
        <v>66</v>
      </c>
      <c r="E252" s="21" t="s">
        <v>90</v>
      </c>
      <c r="F252" s="21" t="n">
        <v>6.69</v>
      </c>
      <c r="G252" s="21" t="n">
        <v>229</v>
      </c>
      <c r="H252" s="21" t="n">
        <v>3</v>
      </c>
      <c r="I252" s="21" t="s">
        <v>120</v>
      </c>
      <c r="J252" s="21" t="n">
        <v>78</v>
      </c>
      <c r="K252" s="32" t="n">
        <f aca="false">ROUND(Assumptions!$B$4*MIN(G252/Assumptions!$B$11,1)*100+Assumptions!$B$5*F252/10*100+Assumptions!$B$6*MIN(H252/Assumptions!$B$12,1)*100+Assumptions!$B$7*J252+Assumptions!$B$8*IF(I252="Yes",100,0),1)</f>
        <v>64.7</v>
      </c>
      <c r="L252" s="21" t="str">
        <f aca="false">LOOKUP(K252,Assumptions!$D$4:$D$7,Assumptions!$E$4:$E$7)</f>
        <v>Developing</v>
      </c>
      <c r="M252" s="21" t="n">
        <f aca="false">COUNTIFS(Applications!$B$2:$B$3144,A252)</f>
        <v>12</v>
      </c>
      <c r="N252" s="21" t="n">
        <f aca="false">COUNTIFS(Applications!$B$2:$B$3144,A252,Applications!$F$2:$F$3144,"Offered")</f>
        <v>4</v>
      </c>
      <c r="O252" s="21" t="str">
        <f aca="false">IF(COUNTIFS(Applications!$B$2:$B$3144,A252,Applications!$H$2:$H$3144,"Yes")&gt;0,"Yes","No")</f>
        <v>Yes</v>
      </c>
      <c r="P252" s="32" t="n">
        <f aca="false">SUMIFS(Applications!$G$2:$G$3144,Applications!$B$2:$B$3144,A252,Applications!$H$2:$H$3144,"Yes")</f>
        <v>12.6</v>
      </c>
      <c r="Q252" s="21" t="str">
        <f aca="false">IF(O252="Yes",INDEX(Companies!$B$2:$B$31,MATCH(INDEX(Applications!$C$2:$C$3144,MATCH(A252,Applications!$P$2:$P$3144,0)),Companies!$A$2:$A$31,0)),"-")</f>
        <v>PayRiver</v>
      </c>
    </row>
    <row r="253" customFormat="false" ht="15" hidden="false" customHeight="false" outlineLevel="0" collapsed="false">
      <c r="A253" s="21" t="s">
        <v>584</v>
      </c>
      <c r="B253" s="21" t="s">
        <v>585</v>
      </c>
      <c r="C253" s="21" t="s">
        <v>458</v>
      </c>
      <c r="D253" s="21" t="s">
        <v>64</v>
      </c>
      <c r="E253" s="21" t="s">
        <v>90</v>
      </c>
      <c r="F253" s="21" t="n">
        <v>7.24</v>
      </c>
      <c r="G253" s="21" t="n">
        <v>477</v>
      </c>
      <c r="H253" s="21" t="n">
        <v>2</v>
      </c>
      <c r="I253" s="21" t="s">
        <v>113</v>
      </c>
      <c r="J253" s="21" t="n">
        <v>64</v>
      </c>
      <c r="K253" s="32" t="n">
        <f aca="false">ROUND(Assumptions!$B$4*MIN(G253/Assumptions!$B$11,1)*100+Assumptions!$B$5*F253/10*100+Assumptions!$B$6*MIN(H253/Assumptions!$B$12,1)*100+Assumptions!$B$7*J253+Assumptions!$B$8*IF(I253="Yes",100,0),1)</f>
        <v>63.9</v>
      </c>
      <c r="L253" s="21" t="str">
        <f aca="false">LOOKUP(K253,Assumptions!$D$4:$D$7,Assumptions!$E$4:$E$7)</f>
        <v>Developing</v>
      </c>
      <c r="M253" s="21" t="n">
        <f aca="false">COUNTIFS(Applications!$B$2:$B$3144,A253)</f>
        <v>8</v>
      </c>
      <c r="N253" s="21" t="n">
        <f aca="false">COUNTIFS(Applications!$B$2:$B$3144,A253,Applications!$F$2:$F$3144,"Offered")</f>
        <v>3</v>
      </c>
      <c r="O253" s="21" t="str">
        <f aca="false">IF(COUNTIFS(Applications!$B$2:$B$3144,A253,Applications!$H$2:$H$3144,"Yes")&gt;0,"Yes","No")</f>
        <v>Yes</v>
      </c>
      <c r="P253" s="32" t="n">
        <f aca="false">SUMIFS(Applications!$G$2:$G$3144,Applications!$B$2:$B$3144,A253,Applications!$H$2:$H$3144,"Yes")</f>
        <v>6.4</v>
      </c>
      <c r="Q253" s="21" t="str">
        <f aca="false">IF(O253="Yes",INDEX(Companies!$B$2:$B$31,MATCH(INDEX(Applications!$C$2:$C$3144,MATCH(A253,Applications!$P$2:$P$3144,0)),Companies!$A$2:$A$31,0)),"-")</f>
        <v>LearnEasy</v>
      </c>
    </row>
    <row r="254" customFormat="false" ht="15" hidden="false" customHeight="false" outlineLevel="0" collapsed="false">
      <c r="A254" s="21" t="s">
        <v>586</v>
      </c>
      <c r="B254" s="21" t="s">
        <v>587</v>
      </c>
      <c r="C254" s="21" t="s">
        <v>458</v>
      </c>
      <c r="D254" s="21" t="s">
        <v>64</v>
      </c>
      <c r="E254" s="21" t="s">
        <v>92</v>
      </c>
      <c r="F254" s="21" t="n">
        <v>6.73</v>
      </c>
      <c r="G254" s="21" t="n">
        <v>474</v>
      </c>
      <c r="H254" s="21" t="n">
        <v>2</v>
      </c>
      <c r="I254" s="21" t="s">
        <v>120</v>
      </c>
      <c r="J254" s="21" t="n">
        <v>65</v>
      </c>
      <c r="K254" s="32" t="n">
        <f aca="false">ROUND(Assumptions!$B$4*MIN(G254/Assumptions!$B$11,1)*100+Assumptions!$B$5*F254/10*100+Assumptions!$B$6*MIN(H254/Assumptions!$B$12,1)*100+Assumptions!$B$7*J254+Assumptions!$B$8*IF(I254="Yes",100,0),1)</f>
        <v>72.9</v>
      </c>
      <c r="L254" s="21" t="str">
        <f aca="false">LOOKUP(K254,Assumptions!$D$4:$D$7,Assumptions!$E$4:$E$7)</f>
        <v>Job-Ready</v>
      </c>
      <c r="M254" s="21" t="n">
        <f aca="false">COUNTIFS(Applications!$B$2:$B$3144,A254)</f>
        <v>3</v>
      </c>
      <c r="N254" s="21" t="n">
        <f aca="false">COUNTIFS(Applications!$B$2:$B$3144,A254,Applications!$F$2:$F$3144,"Offered")</f>
        <v>2</v>
      </c>
      <c r="O254" s="21" t="str">
        <f aca="false">IF(COUNTIFS(Applications!$B$2:$B$3144,A254,Applications!$H$2:$H$3144,"Yes")&gt;0,"Yes","No")</f>
        <v>Yes</v>
      </c>
      <c r="P254" s="32" t="n">
        <f aca="false">SUMIFS(Applications!$G$2:$G$3144,Applications!$B$2:$B$3144,A254,Applications!$H$2:$H$3144,"Yes")</f>
        <v>10.4</v>
      </c>
      <c r="Q254" s="21" t="str">
        <f aca="false">IF(O254="Yes",INDEX(Companies!$B$2:$B$31,MATCH(INDEX(Applications!$C$2:$C$3144,MATCH(A254,Applications!$P$2:$P$3144,0)),Companies!$A$2:$A$31,0)),"-")</f>
        <v>CloudKraft</v>
      </c>
    </row>
    <row r="255" customFormat="false" ht="15" hidden="false" customHeight="false" outlineLevel="0" collapsed="false">
      <c r="A255" s="21" t="s">
        <v>588</v>
      </c>
      <c r="B255" s="21" t="s">
        <v>589</v>
      </c>
      <c r="C255" s="21" t="s">
        <v>458</v>
      </c>
      <c r="D255" s="21" t="s">
        <v>67</v>
      </c>
      <c r="E255" s="21" t="s">
        <v>91</v>
      </c>
      <c r="F255" s="21" t="n">
        <v>6.45</v>
      </c>
      <c r="G255" s="21" t="n">
        <v>153</v>
      </c>
      <c r="H255" s="21" t="n">
        <v>3</v>
      </c>
      <c r="I255" s="21" t="s">
        <v>120</v>
      </c>
      <c r="J255" s="21" t="n">
        <v>87</v>
      </c>
      <c r="K255" s="32" t="n">
        <f aca="false">ROUND(Assumptions!$B$4*MIN(G255/Assumptions!$B$11,1)*100+Assumptions!$B$5*F255/10*100+Assumptions!$B$6*MIN(H255/Assumptions!$B$12,1)*100+Assumptions!$B$7*J255+Assumptions!$B$8*IF(I255="Yes",100,0),1)</f>
        <v>61.5</v>
      </c>
      <c r="L255" s="21" t="str">
        <f aca="false">LOOKUP(K255,Assumptions!$D$4:$D$7,Assumptions!$E$4:$E$7)</f>
        <v>Developing</v>
      </c>
      <c r="M255" s="21" t="n">
        <f aca="false">COUNTIFS(Applications!$B$2:$B$3144,A255)</f>
        <v>1</v>
      </c>
      <c r="N255" s="21" t="n">
        <f aca="false">COUNTIFS(Applications!$B$2:$B$3144,A255,Applications!$F$2:$F$3144,"Offered")</f>
        <v>0</v>
      </c>
      <c r="O255" s="21" t="str">
        <f aca="false">IF(COUNTIFS(Applications!$B$2:$B$3144,A255,Applications!$H$2:$H$3144,"Yes")&gt;0,"Yes","No")</f>
        <v>No</v>
      </c>
      <c r="P255" s="32" t="n">
        <f aca="false">SUMIFS(Applications!$G$2:$G$3144,Applications!$B$2:$B$3144,A255,Applications!$H$2:$H$3144,"Yes")</f>
        <v>0</v>
      </c>
      <c r="Q255" s="21" t="str">
        <f aca="false">IF(O255="Yes",INDEX(Companies!$B$2:$B$31,MATCH(INDEX(Applications!$C$2:$C$3144,MATCH(A255,Applications!$P$2:$P$3144,0)),Companies!$A$2:$A$31,0)),"-")</f>
        <v>-</v>
      </c>
    </row>
    <row r="256" customFormat="false" ht="15" hidden="false" customHeight="false" outlineLevel="0" collapsed="false">
      <c r="A256" s="21" t="s">
        <v>590</v>
      </c>
      <c r="B256" s="21" t="s">
        <v>286</v>
      </c>
      <c r="C256" s="21" t="s">
        <v>458</v>
      </c>
      <c r="D256" s="21" t="s">
        <v>65</v>
      </c>
      <c r="E256" s="21" t="s">
        <v>91</v>
      </c>
      <c r="F256" s="21" t="n">
        <v>9.31</v>
      </c>
      <c r="G256" s="21" t="n">
        <v>221</v>
      </c>
      <c r="H256" s="21" t="n">
        <v>1</v>
      </c>
      <c r="I256" s="21" t="s">
        <v>113</v>
      </c>
      <c r="J256" s="21" t="n">
        <v>61</v>
      </c>
      <c r="K256" s="32" t="n">
        <f aca="false">ROUND(Assumptions!$B$4*MIN(G256/Assumptions!$B$11,1)*100+Assumptions!$B$5*F256/10*100+Assumptions!$B$6*MIN(H256/Assumptions!$B$12,1)*100+Assumptions!$B$7*J256+Assumptions!$B$8*IF(I256="Yes",100,0),1)</f>
        <v>48.1</v>
      </c>
      <c r="L256" s="21" t="str">
        <f aca="false">LOOKUP(K256,Assumptions!$D$4:$D$7,Assumptions!$E$4:$E$7)</f>
        <v>Foundation</v>
      </c>
      <c r="M256" s="21" t="n">
        <f aca="false">COUNTIFS(Applications!$B$2:$B$3144,A256)</f>
        <v>7</v>
      </c>
      <c r="N256" s="21" t="n">
        <f aca="false">COUNTIFS(Applications!$B$2:$B$3144,A256,Applications!$F$2:$F$3144,"Offered")</f>
        <v>0</v>
      </c>
      <c r="O256" s="21" t="str">
        <f aca="false">IF(COUNTIFS(Applications!$B$2:$B$3144,A256,Applications!$H$2:$H$3144,"Yes")&gt;0,"Yes","No")</f>
        <v>No</v>
      </c>
      <c r="P256" s="32" t="n">
        <f aca="false">SUMIFS(Applications!$G$2:$G$3144,Applications!$B$2:$B$3144,A256,Applications!$H$2:$H$3144,"Yes")</f>
        <v>0</v>
      </c>
      <c r="Q256" s="21" t="str">
        <f aca="false">IF(O256="Yes",INDEX(Companies!$B$2:$B$31,MATCH(INDEX(Applications!$C$2:$C$3144,MATCH(A256,Applications!$P$2:$P$3144,0)),Companies!$A$2:$A$31,0)),"-")</f>
        <v>-</v>
      </c>
    </row>
    <row r="257" customFormat="false" ht="15" hidden="false" customHeight="false" outlineLevel="0" collapsed="false">
      <c r="A257" s="21" t="s">
        <v>591</v>
      </c>
      <c r="B257" s="21" t="s">
        <v>338</v>
      </c>
      <c r="C257" s="21" t="s">
        <v>458</v>
      </c>
      <c r="D257" s="21" t="s">
        <v>65</v>
      </c>
      <c r="E257" s="21" t="s">
        <v>90</v>
      </c>
      <c r="F257" s="21" t="n">
        <v>6.34</v>
      </c>
      <c r="G257" s="21" t="n">
        <v>104</v>
      </c>
      <c r="H257" s="21" t="n">
        <v>3</v>
      </c>
      <c r="I257" s="21" t="s">
        <v>120</v>
      </c>
      <c r="J257" s="21" t="n">
        <v>52</v>
      </c>
      <c r="K257" s="32" t="n">
        <f aca="false">ROUND(Assumptions!$B$4*MIN(G257/Assumptions!$B$11,1)*100+Assumptions!$B$5*F257/10*100+Assumptions!$B$6*MIN(H257/Assumptions!$B$12,1)*100+Assumptions!$B$7*J257+Assumptions!$B$8*IF(I257="Yes",100,0),1)</f>
        <v>51.3</v>
      </c>
      <c r="L257" s="21" t="str">
        <f aca="false">LOOKUP(K257,Assumptions!$D$4:$D$7,Assumptions!$E$4:$E$7)</f>
        <v>Developing</v>
      </c>
      <c r="M257" s="21" t="n">
        <f aca="false">COUNTIFS(Applications!$B$2:$B$3144,A257)</f>
        <v>7</v>
      </c>
      <c r="N257" s="21" t="n">
        <f aca="false">COUNTIFS(Applications!$B$2:$B$3144,A257,Applications!$F$2:$F$3144,"Offered")</f>
        <v>0</v>
      </c>
      <c r="O257" s="21" t="str">
        <f aca="false">IF(COUNTIFS(Applications!$B$2:$B$3144,A257,Applications!$H$2:$H$3144,"Yes")&gt;0,"Yes","No")</f>
        <v>No</v>
      </c>
      <c r="P257" s="32" t="n">
        <f aca="false">SUMIFS(Applications!$G$2:$G$3144,Applications!$B$2:$B$3144,A257,Applications!$H$2:$H$3144,"Yes")</f>
        <v>0</v>
      </c>
      <c r="Q257" s="21" t="str">
        <f aca="false">IF(O257="Yes",INDEX(Companies!$B$2:$B$31,MATCH(INDEX(Applications!$C$2:$C$3144,MATCH(A257,Applications!$P$2:$P$3144,0)),Companies!$A$2:$A$31,0)),"-")</f>
        <v>-</v>
      </c>
    </row>
    <row r="258" customFormat="false" ht="15" hidden="false" customHeight="false" outlineLevel="0" collapsed="false">
      <c r="A258" s="21" t="s">
        <v>592</v>
      </c>
      <c r="B258" s="21" t="s">
        <v>593</v>
      </c>
      <c r="C258" s="21" t="s">
        <v>458</v>
      </c>
      <c r="D258" s="21" t="s">
        <v>67</v>
      </c>
      <c r="E258" s="21" t="s">
        <v>91</v>
      </c>
      <c r="F258" s="21" t="n">
        <v>7.8</v>
      </c>
      <c r="G258" s="21" t="n">
        <v>282</v>
      </c>
      <c r="H258" s="21" t="n">
        <v>1</v>
      </c>
      <c r="I258" s="21" t="s">
        <v>113</v>
      </c>
      <c r="J258" s="21" t="n">
        <v>61</v>
      </c>
      <c r="K258" s="32" t="n">
        <f aca="false">ROUND(Assumptions!$B$4*MIN(G258/Assumptions!$B$11,1)*100+Assumptions!$B$5*F258/10*100+Assumptions!$B$6*MIN(H258/Assumptions!$B$12,1)*100+Assumptions!$B$7*J258+Assumptions!$B$8*IF(I258="Yes",100,0),1)</f>
        <v>48.7</v>
      </c>
      <c r="L258" s="21" t="str">
        <f aca="false">LOOKUP(K258,Assumptions!$D$4:$D$7,Assumptions!$E$4:$E$7)</f>
        <v>Foundation</v>
      </c>
      <c r="M258" s="21" t="n">
        <f aca="false">COUNTIFS(Applications!$B$2:$B$3144,A258)</f>
        <v>0</v>
      </c>
      <c r="N258" s="21" t="n">
        <f aca="false">COUNTIFS(Applications!$B$2:$B$3144,A258,Applications!$F$2:$F$3144,"Offered")</f>
        <v>0</v>
      </c>
      <c r="O258" s="21" t="str">
        <f aca="false">IF(COUNTIFS(Applications!$B$2:$B$3144,A258,Applications!$H$2:$H$3144,"Yes")&gt;0,"Yes","No")</f>
        <v>No</v>
      </c>
      <c r="P258" s="32" t="n">
        <f aca="false">SUMIFS(Applications!$G$2:$G$3144,Applications!$B$2:$B$3144,A258,Applications!$H$2:$H$3144,"Yes")</f>
        <v>0</v>
      </c>
      <c r="Q258" s="21" t="str">
        <f aca="false">IF(O258="Yes",INDEX(Companies!$B$2:$B$31,MATCH(INDEX(Applications!$C$2:$C$3144,MATCH(A258,Applications!$P$2:$P$3144,0)),Companies!$A$2:$A$31,0)),"-")</f>
        <v>-</v>
      </c>
    </row>
    <row r="259" customFormat="false" ht="15" hidden="false" customHeight="false" outlineLevel="0" collapsed="false">
      <c r="A259" s="21" t="s">
        <v>594</v>
      </c>
      <c r="B259" s="21" t="s">
        <v>373</v>
      </c>
      <c r="C259" s="21" t="s">
        <v>458</v>
      </c>
      <c r="D259" s="21" t="s">
        <v>63</v>
      </c>
      <c r="E259" s="21" t="s">
        <v>91</v>
      </c>
      <c r="F259" s="21" t="n">
        <v>8.1</v>
      </c>
      <c r="G259" s="21" t="n">
        <v>151</v>
      </c>
      <c r="H259" s="21" t="n">
        <v>1</v>
      </c>
      <c r="I259" s="21" t="s">
        <v>120</v>
      </c>
      <c r="J259" s="21" t="n">
        <v>79</v>
      </c>
      <c r="K259" s="32" t="n">
        <f aca="false">ROUND(Assumptions!$B$4*MIN(G259/Assumptions!$B$11,1)*100+Assumptions!$B$5*F259/10*100+Assumptions!$B$6*MIN(H259/Assumptions!$B$12,1)*100+Assumptions!$B$7*J259+Assumptions!$B$8*IF(I259="Yes",100,0),1)</f>
        <v>55.1</v>
      </c>
      <c r="L259" s="21" t="str">
        <f aca="false">LOOKUP(K259,Assumptions!$D$4:$D$7,Assumptions!$E$4:$E$7)</f>
        <v>Developing</v>
      </c>
      <c r="M259" s="21" t="n">
        <f aca="false">COUNTIFS(Applications!$B$2:$B$3144,A259)</f>
        <v>5</v>
      </c>
      <c r="N259" s="21" t="n">
        <f aca="false">COUNTIFS(Applications!$B$2:$B$3144,A259,Applications!$F$2:$F$3144,"Offered")</f>
        <v>1</v>
      </c>
      <c r="O259" s="21" t="str">
        <f aca="false">IF(COUNTIFS(Applications!$B$2:$B$3144,A259,Applications!$H$2:$H$3144,"Yes")&gt;0,"Yes","No")</f>
        <v>Yes</v>
      </c>
      <c r="P259" s="32" t="n">
        <f aca="false">SUMIFS(Applications!$G$2:$G$3144,Applications!$B$2:$B$3144,A259,Applications!$H$2:$H$3144,"Yes")</f>
        <v>5.7</v>
      </c>
      <c r="Q259" s="21" t="str">
        <f aca="false">IF(O259="Yes",INDEX(Companies!$B$2:$B$31,MATCH(INDEX(Applications!$C$2:$C$3144,MATCH(A259,Applications!$P$2:$P$3144,0)),Companies!$A$2:$A$31,0)),"-")</f>
        <v>TechBridge Consulting</v>
      </c>
    </row>
    <row r="260" customFormat="false" ht="15" hidden="false" customHeight="false" outlineLevel="0" collapsed="false">
      <c r="A260" s="21" t="s">
        <v>595</v>
      </c>
      <c r="B260" s="21" t="s">
        <v>596</v>
      </c>
      <c r="C260" s="21" t="s">
        <v>458</v>
      </c>
      <c r="D260" s="21" t="s">
        <v>64</v>
      </c>
      <c r="E260" s="21" t="s">
        <v>91</v>
      </c>
      <c r="F260" s="21" t="n">
        <v>7.33</v>
      </c>
      <c r="G260" s="21" t="n">
        <v>950</v>
      </c>
      <c r="H260" s="21" t="n">
        <v>2</v>
      </c>
      <c r="I260" s="21" t="s">
        <v>113</v>
      </c>
      <c r="J260" s="21" t="n">
        <v>60</v>
      </c>
      <c r="K260" s="32" t="n">
        <f aca="false">ROUND(Assumptions!$B$4*MIN(G260/Assumptions!$B$11,1)*100+Assumptions!$B$5*F260/10*100+Assumptions!$B$6*MIN(H260/Assumptions!$B$12,1)*100+Assumptions!$B$7*J260+Assumptions!$B$8*IF(I260="Yes",100,0),1)</f>
        <v>64.7</v>
      </c>
      <c r="L260" s="21" t="str">
        <f aca="false">LOOKUP(K260,Assumptions!$D$4:$D$7,Assumptions!$E$4:$E$7)</f>
        <v>Developing</v>
      </c>
      <c r="M260" s="21" t="n">
        <f aca="false">COUNTIFS(Applications!$B$2:$B$3144,A260)</f>
        <v>2</v>
      </c>
      <c r="N260" s="21" t="n">
        <f aca="false">COUNTIFS(Applications!$B$2:$B$3144,A260,Applications!$F$2:$F$3144,"Offered")</f>
        <v>1</v>
      </c>
      <c r="O260" s="21" t="str">
        <f aca="false">IF(COUNTIFS(Applications!$B$2:$B$3144,A260,Applications!$H$2:$H$3144,"Yes")&gt;0,"Yes","No")</f>
        <v>Yes</v>
      </c>
      <c r="P260" s="32" t="n">
        <f aca="false">SUMIFS(Applications!$G$2:$G$3144,Applications!$B$2:$B$3144,A260,Applications!$H$2:$H$3144,"Yes")</f>
        <v>5.8</v>
      </c>
      <c r="Q260" s="21" t="str">
        <f aca="false">IF(O260="Yes",INDEX(Companies!$B$2:$B$31,MATCH(INDEX(Applications!$C$2:$C$3144,MATCH(A260,Applications!$P$2:$P$3144,0)),Companies!$A$2:$A$31,0)),"-")</f>
        <v>Bharat Digital</v>
      </c>
    </row>
    <row r="261" customFormat="false" ht="15" hidden="false" customHeight="false" outlineLevel="0" collapsed="false">
      <c r="A261" s="21" t="s">
        <v>597</v>
      </c>
      <c r="B261" s="21" t="s">
        <v>598</v>
      </c>
      <c r="C261" s="21" t="s">
        <v>458</v>
      </c>
      <c r="D261" s="21" t="s">
        <v>64</v>
      </c>
      <c r="E261" s="21" t="s">
        <v>92</v>
      </c>
      <c r="F261" s="21" t="n">
        <v>6.68</v>
      </c>
      <c r="G261" s="21" t="n">
        <v>588</v>
      </c>
      <c r="H261" s="21" t="n">
        <v>2</v>
      </c>
      <c r="I261" s="21" t="s">
        <v>113</v>
      </c>
      <c r="J261" s="21" t="n">
        <v>41</v>
      </c>
      <c r="K261" s="32" t="n">
        <f aca="false">ROUND(Assumptions!$B$4*MIN(G261/Assumptions!$B$11,1)*100+Assumptions!$B$5*F261/10*100+Assumptions!$B$6*MIN(H261/Assumptions!$B$12,1)*100+Assumptions!$B$7*J261+Assumptions!$B$8*IF(I261="Yes",100,0),1)</f>
        <v>59.6</v>
      </c>
      <c r="L261" s="21" t="str">
        <f aca="false">LOOKUP(K261,Assumptions!$D$4:$D$7,Assumptions!$E$4:$E$7)</f>
        <v>Developing</v>
      </c>
      <c r="M261" s="21" t="n">
        <f aca="false">COUNTIFS(Applications!$B$2:$B$3144,A261)</f>
        <v>2</v>
      </c>
      <c r="N261" s="21" t="n">
        <f aca="false">COUNTIFS(Applications!$B$2:$B$3144,A261,Applications!$F$2:$F$3144,"Offered")</f>
        <v>2</v>
      </c>
      <c r="O261" s="21" t="str">
        <f aca="false">IF(COUNTIFS(Applications!$B$2:$B$3144,A261,Applications!$H$2:$H$3144,"Yes")&gt;0,"Yes","No")</f>
        <v>Yes</v>
      </c>
      <c r="P261" s="32" t="n">
        <f aca="false">SUMIFS(Applications!$G$2:$G$3144,Applications!$B$2:$B$3144,A261,Applications!$H$2:$H$3144,"Yes")</f>
        <v>5.4</v>
      </c>
      <c r="Q261" s="21" t="str">
        <f aca="false">IF(O261="Yes",INDEX(Companies!$B$2:$B$31,MATCH(INDEX(Applications!$C$2:$C$3144,MATCH(A261,Applications!$P$2:$P$3144,0)),Companies!$A$2:$A$31,0)),"-")</f>
        <v>LearnEasy</v>
      </c>
    </row>
    <row r="262" customFormat="false" ht="15" hidden="false" customHeight="false" outlineLevel="0" collapsed="false">
      <c r="A262" s="21" t="s">
        <v>599</v>
      </c>
      <c r="B262" s="21" t="s">
        <v>600</v>
      </c>
      <c r="C262" s="21" t="s">
        <v>458</v>
      </c>
      <c r="D262" s="21" t="s">
        <v>67</v>
      </c>
      <c r="E262" s="21" t="s">
        <v>92</v>
      </c>
      <c r="F262" s="21" t="n">
        <v>8</v>
      </c>
      <c r="G262" s="21" t="n">
        <v>358</v>
      </c>
      <c r="H262" s="21" t="n">
        <v>4</v>
      </c>
      <c r="I262" s="21" t="s">
        <v>113</v>
      </c>
      <c r="J262" s="21" t="n">
        <v>71</v>
      </c>
      <c r="K262" s="32" t="n">
        <f aca="false">ROUND(Assumptions!$B$4*MIN(G262/Assumptions!$B$11,1)*100+Assumptions!$B$5*F262/10*100+Assumptions!$B$6*MIN(H262/Assumptions!$B$12,1)*100+Assumptions!$B$7*J262+Assumptions!$B$8*IF(I262="Yes",100,0),1)</f>
        <v>67.7</v>
      </c>
      <c r="L262" s="21" t="str">
        <f aca="false">LOOKUP(K262,Assumptions!$D$4:$D$7,Assumptions!$E$4:$E$7)</f>
        <v>Job-Ready</v>
      </c>
      <c r="M262" s="21" t="n">
        <f aca="false">COUNTIFS(Applications!$B$2:$B$3144,A262)</f>
        <v>4</v>
      </c>
      <c r="N262" s="21" t="n">
        <f aca="false">COUNTIFS(Applications!$B$2:$B$3144,A262,Applications!$F$2:$F$3144,"Offered")</f>
        <v>1</v>
      </c>
      <c r="O262" s="21" t="str">
        <f aca="false">IF(COUNTIFS(Applications!$B$2:$B$3144,A262,Applications!$H$2:$H$3144,"Yes")&gt;0,"Yes","No")</f>
        <v>Yes</v>
      </c>
      <c r="P262" s="32" t="n">
        <f aca="false">SUMIFS(Applications!$G$2:$G$3144,Applications!$B$2:$B$3144,A262,Applications!$H$2:$H$3144,"Yes")</f>
        <v>14.6</v>
      </c>
      <c r="Q262" s="21" t="str">
        <f aca="false">IF(O262="Yes",INDEX(Companies!$B$2:$B$31,MATCH(INDEX(Applications!$C$2:$C$3144,MATCH(A262,Applications!$P$2:$P$3144,0)),Companies!$A$2:$A$31,0)),"-")</f>
        <v>VitalByte</v>
      </c>
    </row>
    <row r="263" customFormat="false" ht="15" hidden="false" customHeight="false" outlineLevel="0" collapsed="false">
      <c r="A263" s="21" t="s">
        <v>601</v>
      </c>
      <c r="B263" s="21" t="s">
        <v>602</v>
      </c>
      <c r="C263" s="21" t="s">
        <v>458</v>
      </c>
      <c r="D263" s="21" t="s">
        <v>64</v>
      </c>
      <c r="E263" s="21" t="s">
        <v>91</v>
      </c>
      <c r="F263" s="21" t="n">
        <v>5.91</v>
      </c>
      <c r="G263" s="21" t="n">
        <v>725</v>
      </c>
      <c r="H263" s="21" t="n">
        <v>1</v>
      </c>
      <c r="I263" s="21" t="s">
        <v>113</v>
      </c>
      <c r="J263" s="21" t="n">
        <v>41</v>
      </c>
      <c r="K263" s="32" t="n">
        <f aca="false">ROUND(Assumptions!$B$4*MIN(G263/Assumptions!$B$11,1)*100+Assumptions!$B$5*F263/10*100+Assumptions!$B$6*MIN(H263/Assumptions!$B$12,1)*100+Assumptions!$B$7*J263+Assumptions!$B$8*IF(I263="Yes",100,0),1)</f>
        <v>54</v>
      </c>
      <c r="L263" s="21" t="str">
        <f aca="false">LOOKUP(K263,Assumptions!$D$4:$D$7,Assumptions!$E$4:$E$7)</f>
        <v>Developing</v>
      </c>
      <c r="M263" s="21" t="n">
        <f aca="false">COUNTIFS(Applications!$B$2:$B$3144,A263)</f>
        <v>5</v>
      </c>
      <c r="N263" s="21" t="n">
        <f aca="false">COUNTIFS(Applications!$B$2:$B$3144,A263,Applications!$F$2:$F$3144,"Offered")</f>
        <v>1</v>
      </c>
      <c r="O263" s="21" t="str">
        <f aca="false">IF(COUNTIFS(Applications!$B$2:$B$3144,A263,Applications!$H$2:$H$3144,"Yes")&gt;0,"Yes","No")</f>
        <v>Yes</v>
      </c>
      <c r="P263" s="32" t="n">
        <f aca="false">SUMIFS(Applications!$G$2:$G$3144,Applications!$B$2:$B$3144,A263,Applications!$H$2:$H$3144,"Yes")</f>
        <v>6.3</v>
      </c>
      <c r="Q263" s="21" t="str">
        <f aca="false">IF(O263="Yes",INDEX(Companies!$B$2:$B$31,MATCH(INDEX(Applications!$C$2:$C$3144,MATCH(A263,Applications!$P$2:$P$3144,0)),Companies!$A$2:$A$31,0)),"-")</f>
        <v>AlphaGrid Tech</v>
      </c>
    </row>
    <row r="264" customFormat="false" ht="15" hidden="false" customHeight="false" outlineLevel="0" collapsed="false">
      <c r="A264" s="21" t="s">
        <v>603</v>
      </c>
      <c r="B264" s="21" t="s">
        <v>604</v>
      </c>
      <c r="C264" s="21" t="s">
        <v>458</v>
      </c>
      <c r="D264" s="21" t="s">
        <v>66</v>
      </c>
      <c r="E264" s="21" t="s">
        <v>90</v>
      </c>
      <c r="F264" s="21" t="n">
        <v>6.27</v>
      </c>
      <c r="G264" s="21" t="n">
        <v>135</v>
      </c>
      <c r="H264" s="21" t="n">
        <v>2</v>
      </c>
      <c r="I264" s="21" t="s">
        <v>120</v>
      </c>
      <c r="J264" s="21" t="n">
        <v>63</v>
      </c>
      <c r="K264" s="32" t="n">
        <f aca="false">ROUND(Assumptions!$B$4*MIN(G264/Assumptions!$B$11,1)*100+Assumptions!$B$5*F264/10*100+Assumptions!$B$6*MIN(H264/Assumptions!$B$12,1)*100+Assumptions!$B$7*J264+Assumptions!$B$8*IF(I264="Yes",100,0),1)</f>
        <v>51.2</v>
      </c>
      <c r="L264" s="21" t="str">
        <f aca="false">LOOKUP(K264,Assumptions!$D$4:$D$7,Assumptions!$E$4:$E$7)</f>
        <v>Developing</v>
      </c>
      <c r="M264" s="21" t="n">
        <f aca="false">COUNTIFS(Applications!$B$2:$B$3144,A264)</f>
        <v>2</v>
      </c>
      <c r="N264" s="21" t="n">
        <f aca="false">COUNTIFS(Applications!$B$2:$B$3144,A264,Applications!$F$2:$F$3144,"Offered")</f>
        <v>0</v>
      </c>
      <c r="O264" s="21" t="str">
        <f aca="false">IF(COUNTIFS(Applications!$B$2:$B$3144,A264,Applications!$H$2:$H$3144,"Yes")&gt;0,"Yes","No")</f>
        <v>No</v>
      </c>
      <c r="P264" s="32" t="n">
        <f aca="false">SUMIFS(Applications!$G$2:$G$3144,Applications!$B$2:$B$3144,A264,Applications!$H$2:$H$3144,"Yes")</f>
        <v>0</v>
      </c>
      <c r="Q264" s="21" t="str">
        <f aca="false">IF(O264="Yes",INDEX(Companies!$B$2:$B$31,MATCH(INDEX(Applications!$C$2:$C$3144,MATCH(A264,Applications!$P$2:$P$3144,0)),Companies!$A$2:$A$31,0)),"-")</f>
        <v>-</v>
      </c>
    </row>
    <row r="265" customFormat="false" ht="15" hidden="false" customHeight="false" outlineLevel="0" collapsed="false">
      <c r="A265" s="21" t="s">
        <v>605</v>
      </c>
      <c r="B265" s="21" t="s">
        <v>606</v>
      </c>
      <c r="C265" s="21" t="s">
        <v>458</v>
      </c>
      <c r="D265" s="21" t="s">
        <v>63</v>
      </c>
      <c r="E265" s="21" t="s">
        <v>92</v>
      </c>
      <c r="F265" s="21" t="n">
        <v>6.33</v>
      </c>
      <c r="G265" s="21" t="n">
        <v>197</v>
      </c>
      <c r="H265" s="21" t="n">
        <v>5</v>
      </c>
      <c r="I265" s="21" t="s">
        <v>113</v>
      </c>
      <c r="J265" s="21" t="n">
        <v>68</v>
      </c>
      <c r="K265" s="32" t="n">
        <f aca="false">ROUND(Assumptions!$B$4*MIN(G265/Assumptions!$B$11,1)*100+Assumptions!$B$5*F265/10*100+Assumptions!$B$6*MIN(H265/Assumptions!$B$12,1)*100+Assumptions!$B$7*J265+Assumptions!$B$8*IF(I265="Yes",100,0),1)</f>
        <v>58.1</v>
      </c>
      <c r="L265" s="21" t="str">
        <f aca="false">LOOKUP(K265,Assumptions!$D$4:$D$7,Assumptions!$E$4:$E$7)</f>
        <v>Developing</v>
      </c>
      <c r="M265" s="21" t="n">
        <f aca="false">COUNTIFS(Applications!$B$2:$B$3144,A265)</f>
        <v>4</v>
      </c>
      <c r="N265" s="21" t="n">
        <f aca="false">COUNTIFS(Applications!$B$2:$B$3144,A265,Applications!$F$2:$F$3144,"Offered")</f>
        <v>0</v>
      </c>
      <c r="O265" s="21" t="str">
        <f aca="false">IF(COUNTIFS(Applications!$B$2:$B$3144,A265,Applications!$H$2:$H$3144,"Yes")&gt;0,"Yes","No")</f>
        <v>No</v>
      </c>
      <c r="P265" s="32" t="n">
        <f aca="false">SUMIFS(Applications!$G$2:$G$3144,Applications!$B$2:$B$3144,A265,Applications!$H$2:$H$3144,"Yes")</f>
        <v>0</v>
      </c>
      <c r="Q265" s="21" t="str">
        <f aca="false">IF(O265="Yes",INDEX(Companies!$B$2:$B$31,MATCH(INDEX(Applications!$C$2:$C$3144,MATCH(A265,Applications!$P$2:$P$3144,0)),Companies!$A$2:$A$31,0)),"-")</f>
        <v>-</v>
      </c>
    </row>
    <row r="266" customFormat="false" ht="15" hidden="false" customHeight="false" outlineLevel="0" collapsed="false">
      <c r="A266" s="21" t="s">
        <v>607</v>
      </c>
      <c r="B266" s="21" t="s">
        <v>608</v>
      </c>
      <c r="C266" s="21" t="s">
        <v>458</v>
      </c>
      <c r="D266" s="21" t="s">
        <v>66</v>
      </c>
      <c r="E266" s="21" t="s">
        <v>90</v>
      </c>
      <c r="F266" s="21" t="n">
        <v>7.54</v>
      </c>
      <c r="G266" s="21" t="n">
        <v>230</v>
      </c>
      <c r="H266" s="21" t="n">
        <v>2</v>
      </c>
      <c r="I266" s="21" t="s">
        <v>113</v>
      </c>
      <c r="J266" s="21" t="n">
        <v>78</v>
      </c>
      <c r="K266" s="32" t="n">
        <f aca="false">ROUND(Assumptions!$B$4*MIN(G266/Assumptions!$B$11,1)*100+Assumptions!$B$5*F266/10*100+Assumptions!$B$6*MIN(H266/Assumptions!$B$12,1)*100+Assumptions!$B$7*J266+Assumptions!$B$8*IF(I266="Yes",100,0),1)</f>
        <v>52.5</v>
      </c>
      <c r="L266" s="21" t="str">
        <f aca="false">LOOKUP(K266,Assumptions!$D$4:$D$7,Assumptions!$E$4:$E$7)</f>
        <v>Developing</v>
      </c>
      <c r="M266" s="21" t="n">
        <f aca="false">COUNTIFS(Applications!$B$2:$B$3144,A266)</f>
        <v>3</v>
      </c>
      <c r="N266" s="21" t="n">
        <f aca="false">COUNTIFS(Applications!$B$2:$B$3144,A266,Applications!$F$2:$F$3144,"Offered")</f>
        <v>0</v>
      </c>
      <c r="O266" s="21" t="str">
        <f aca="false">IF(COUNTIFS(Applications!$B$2:$B$3144,A266,Applications!$H$2:$H$3144,"Yes")&gt;0,"Yes","No")</f>
        <v>No</v>
      </c>
      <c r="P266" s="32" t="n">
        <f aca="false">SUMIFS(Applications!$G$2:$G$3144,Applications!$B$2:$B$3144,A266,Applications!$H$2:$H$3144,"Yes")</f>
        <v>0</v>
      </c>
      <c r="Q266" s="21" t="str">
        <f aca="false">IF(O266="Yes",INDEX(Companies!$B$2:$B$31,MATCH(INDEX(Applications!$C$2:$C$3144,MATCH(A266,Applications!$P$2:$P$3144,0)),Companies!$A$2:$A$31,0)),"-")</f>
        <v>-</v>
      </c>
    </row>
    <row r="267" customFormat="false" ht="15" hidden="false" customHeight="false" outlineLevel="0" collapsed="false">
      <c r="A267" s="21" t="s">
        <v>609</v>
      </c>
      <c r="B267" s="21" t="s">
        <v>500</v>
      </c>
      <c r="C267" s="21" t="s">
        <v>458</v>
      </c>
      <c r="D267" s="21" t="s">
        <v>65</v>
      </c>
      <c r="E267" s="21" t="s">
        <v>92</v>
      </c>
      <c r="F267" s="21" t="n">
        <v>7.58</v>
      </c>
      <c r="G267" s="21" t="n">
        <v>59</v>
      </c>
      <c r="H267" s="21" t="n">
        <v>0</v>
      </c>
      <c r="I267" s="21" t="s">
        <v>113</v>
      </c>
      <c r="J267" s="21" t="n">
        <v>49</v>
      </c>
      <c r="K267" s="32" t="n">
        <f aca="false">ROUND(Assumptions!$B$4*MIN(G267/Assumptions!$B$11,1)*100+Assumptions!$B$5*F267/10*100+Assumptions!$B$6*MIN(H267/Assumptions!$B$12,1)*100+Assumptions!$B$7*J267+Assumptions!$B$8*IF(I267="Yes",100,0),1)</f>
        <v>28.5</v>
      </c>
      <c r="L267" s="21" t="str">
        <f aca="false">LOOKUP(K267,Assumptions!$D$4:$D$7,Assumptions!$E$4:$E$7)</f>
        <v>Foundation</v>
      </c>
      <c r="M267" s="21" t="n">
        <f aca="false">COUNTIFS(Applications!$B$2:$B$3144,A267)</f>
        <v>5</v>
      </c>
      <c r="N267" s="21" t="n">
        <f aca="false">COUNTIFS(Applications!$B$2:$B$3144,A267,Applications!$F$2:$F$3144,"Offered")</f>
        <v>1</v>
      </c>
      <c r="O267" s="21" t="str">
        <f aca="false">IF(COUNTIFS(Applications!$B$2:$B$3144,A267,Applications!$H$2:$H$3144,"Yes")&gt;0,"Yes","No")</f>
        <v>Yes</v>
      </c>
      <c r="P267" s="32" t="n">
        <f aca="false">SUMIFS(Applications!$G$2:$G$3144,Applications!$B$2:$B$3144,A267,Applications!$H$2:$H$3144,"Yes")</f>
        <v>5.1</v>
      </c>
      <c r="Q267" s="21" t="str">
        <f aca="false">IF(O267="Yes",INDEX(Companies!$B$2:$B$31,MATCH(INDEX(Applications!$C$2:$C$3144,MATCH(A267,Applications!$P$2:$P$3144,0)),Companies!$A$2:$A$31,0)),"-")</f>
        <v>Sapphire Infotech</v>
      </c>
    </row>
    <row r="268" customFormat="false" ht="15" hidden="false" customHeight="false" outlineLevel="0" collapsed="false">
      <c r="A268" s="21" t="s">
        <v>610</v>
      </c>
      <c r="B268" s="21" t="s">
        <v>611</v>
      </c>
      <c r="C268" s="21" t="s">
        <v>458</v>
      </c>
      <c r="D268" s="21" t="s">
        <v>67</v>
      </c>
      <c r="E268" s="21" t="s">
        <v>92</v>
      </c>
      <c r="F268" s="21" t="n">
        <v>8.05</v>
      </c>
      <c r="G268" s="21" t="n">
        <v>107</v>
      </c>
      <c r="H268" s="21" t="n">
        <v>4</v>
      </c>
      <c r="I268" s="21" t="s">
        <v>113</v>
      </c>
      <c r="J268" s="21" t="n">
        <v>72</v>
      </c>
      <c r="K268" s="32" t="n">
        <f aca="false">ROUND(Assumptions!$B$4*MIN(G268/Assumptions!$B$11,1)*100+Assumptions!$B$5*F268/10*100+Assumptions!$B$6*MIN(H268/Assumptions!$B$12,1)*100+Assumptions!$B$7*J268+Assumptions!$B$8*IF(I268="Yes",100,0),1)</f>
        <v>52.9</v>
      </c>
      <c r="L268" s="21" t="str">
        <f aca="false">LOOKUP(K268,Assumptions!$D$4:$D$7,Assumptions!$E$4:$E$7)</f>
        <v>Developing</v>
      </c>
      <c r="M268" s="21" t="n">
        <f aca="false">COUNTIFS(Applications!$B$2:$B$3144,A268)</f>
        <v>3</v>
      </c>
      <c r="N268" s="21" t="n">
        <f aca="false">COUNTIFS(Applications!$B$2:$B$3144,A268,Applications!$F$2:$F$3144,"Offered")</f>
        <v>1</v>
      </c>
      <c r="O268" s="21" t="str">
        <f aca="false">IF(COUNTIFS(Applications!$B$2:$B$3144,A268,Applications!$H$2:$H$3144,"Yes")&gt;0,"Yes","No")</f>
        <v>Yes</v>
      </c>
      <c r="P268" s="32" t="n">
        <f aca="false">SUMIFS(Applications!$G$2:$G$3144,Applications!$B$2:$B$3144,A268,Applications!$H$2:$H$3144,"Yes")</f>
        <v>5.4</v>
      </c>
      <c r="Q268" s="21" t="str">
        <f aca="false">IF(O268="Yes",INDEX(Companies!$B$2:$B$31,MATCH(INDEX(Applications!$C$2:$C$3144,MATCH(A268,Applications!$P$2:$P$3144,0)),Companies!$A$2:$A$31,0)),"-")</f>
        <v>TechBridge Consulting</v>
      </c>
    </row>
    <row r="269" customFormat="false" ht="15" hidden="false" customHeight="false" outlineLevel="0" collapsed="false">
      <c r="A269" s="21" t="s">
        <v>612</v>
      </c>
      <c r="B269" s="21" t="s">
        <v>613</v>
      </c>
      <c r="C269" s="21" t="s">
        <v>458</v>
      </c>
      <c r="D269" s="21" t="s">
        <v>67</v>
      </c>
      <c r="E269" s="21" t="s">
        <v>90</v>
      </c>
      <c r="F269" s="21" t="n">
        <v>6.73</v>
      </c>
      <c r="G269" s="21" t="n">
        <v>293</v>
      </c>
      <c r="H269" s="21" t="n">
        <v>7</v>
      </c>
      <c r="I269" s="21" t="s">
        <v>120</v>
      </c>
      <c r="J269" s="21" t="n">
        <v>75</v>
      </c>
      <c r="K269" s="32" t="n">
        <f aca="false">ROUND(Assumptions!$B$4*MIN(G269/Assumptions!$B$11,1)*100+Assumptions!$B$5*F269/10*100+Assumptions!$B$6*MIN(H269/Assumptions!$B$12,1)*100+Assumptions!$B$7*J269+Assumptions!$B$8*IF(I269="Yes",100,0),1)</f>
        <v>76</v>
      </c>
      <c r="L269" s="21" t="str">
        <f aca="false">LOOKUP(K269,Assumptions!$D$4:$D$7,Assumptions!$E$4:$E$7)</f>
        <v>Job-Ready</v>
      </c>
      <c r="M269" s="21" t="n">
        <f aca="false">COUNTIFS(Applications!$B$2:$B$3144,A269)</f>
        <v>6</v>
      </c>
      <c r="N269" s="21" t="n">
        <f aca="false">COUNTIFS(Applications!$B$2:$B$3144,A269,Applications!$F$2:$F$3144,"Offered")</f>
        <v>2</v>
      </c>
      <c r="O269" s="21" t="str">
        <f aca="false">IF(COUNTIFS(Applications!$B$2:$B$3144,A269,Applications!$H$2:$H$3144,"Yes")&gt;0,"Yes","No")</f>
        <v>Yes</v>
      </c>
      <c r="P269" s="32" t="n">
        <f aca="false">SUMIFS(Applications!$G$2:$G$3144,Applications!$B$2:$B$3144,A269,Applications!$H$2:$H$3144,"Yes")</f>
        <v>15</v>
      </c>
      <c r="Q269" s="21" t="str">
        <f aca="false">IF(O269="Yes",INDEX(Companies!$B$2:$B$31,MATCH(INDEX(Applications!$C$2:$C$3144,MATCH(A269,Applications!$P$2:$P$3144,0)),Companies!$A$2:$A$31,0)),"-")</f>
        <v>CloudKraft</v>
      </c>
    </row>
    <row r="270" customFormat="false" ht="15" hidden="false" customHeight="false" outlineLevel="0" collapsed="false">
      <c r="A270" s="21" t="s">
        <v>614</v>
      </c>
      <c r="B270" s="21" t="s">
        <v>396</v>
      </c>
      <c r="C270" s="21" t="s">
        <v>458</v>
      </c>
      <c r="D270" s="21" t="s">
        <v>66</v>
      </c>
      <c r="E270" s="21" t="s">
        <v>90</v>
      </c>
      <c r="F270" s="21" t="n">
        <v>8.98</v>
      </c>
      <c r="G270" s="21" t="n">
        <v>145</v>
      </c>
      <c r="H270" s="21" t="n">
        <v>5</v>
      </c>
      <c r="I270" s="21" t="s">
        <v>120</v>
      </c>
      <c r="J270" s="21" t="n">
        <v>61</v>
      </c>
      <c r="K270" s="32" t="n">
        <f aca="false">ROUND(Assumptions!$B$4*MIN(G270/Assumptions!$B$11,1)*100+Assumptions!$B$5*F270/10*100+Assumptions!$B$6*MIN(H270/Assumptions!$B$12,1)*100+Assumptions!$B$7*J270+Assumptions!$B$8*IF(I270="Yes",100,0),1)</f>
        <v>68.9</v>
      </c>
      <c r="L270" s="21" t="str">
        <f aca="false">LOOKUP(K270,Assumptions!$D$4:$D$7,Assumptions!$E$4:$E$7)</f>
        <v>Job-Ready</v>
      </c>
      <c r="M270" s="21" t="n">
        <f aca="false">COUNTIFS(Applications!$B$2:$B$3144,A270)</f>
        <v>6</v>
      </c>
      <c r="N270" s="21" t="n">
        <f aca="false">COUNTIFS(Applications!$B$2:$B$3144,A270,Applications!$F$2:$F$3144,"Offered")</f>
        <v>3</v>
      </c>
      <c r="O270" s="21" t="str">
        <f aca="false">IF(COUNTIFS(Applications!$B$2:$B$3144,A270,Applications!$H$2:$H$3144,"Yes")&gt;0,"Yes","No")</f>
        <v>Yes</v>
      </c>
      <c r="P270" s="32" t="n">
        <f aca="false">SUMIFS(Applications!$G$2:$G$3144,Applications!$B$2:$B$3144,A270,Applications!$H$2:$H$3144,"Yes")</f>
        <v>10.7</v>
      </c>
      <c r="Q270" s="21" t="str">
        <f aca="false">IF(O270="Yes",INDEX(Companies!$B$2:$B$31,MATCH(INDEX(Applications!$C$2:$C$3144,MATCH(A270,Applications!$P$2:$P$3144,0)),Companies!$A$2:$A$31,0)),"-")</f>
        <v>DataBridge Analytics</v>
      </c>
    </row>
    <row r="271" customFormat="false" ht="15" hidden="false" customHeight="false" outlineLevel="0" collapsed="false">
      <c r="A271" s="21" t="s">
        <v>615</v>
      </c>
      <c r="B271" s="21" t="s">
        <v>488</v>
      </c>
      <c r="C271" s="21" t="s">
        <v>458</v>
      </c>
      <c r="D271" s="21" t="s">
        <v>64</v>
      </c>
      <c r="E271" s="21" t="s">
        <v>91</v>
      </c>
      <c r="F271" s="21" t="n">
        <v>7.21</v>
      </c>
      <c r="G271" s="21" t="n">
        <v>433</v>
      </c>
      <c r="H271" s="21" t="n">
        <v>1</v>
      </c>
      <c r="I271" s="21" t="s">
        <v>120</v>
      </c>
      <c r="J271" s="21" t="n">
        <v>32</v>
      </c>
      <c r="K271" s="32" t="n">
        <f aca="false">ROUND(Assumptions!$B$4*MIN(G271/Assumptions!$B$11,1)*100+Assumptions!$B$5*F271/10*100+Assumptions!$B$6*MIN(H271/Assumptions!$B$12,1)*100+Assumptions!$B$7*J271+Assumptions!$B$8*IF(I271="Yes",100,0),1)</f>
        <v>60.8</v>
      </c>
      <c r="L271" s="21" t="str">
        <f aca="false">LOOKUP(K271,Assumptions!$D$4:$D$7,Assumptions!$E$4:$E$7)</f>
        <v>Developing</v>
      </c>
      <c r="M271" s="21" t="n">
        <f aca="false">COUNTIFS(Applications!$B$2:$B$3144,A271)</f>
        <v>9</v>
      </c>
      <c r="N271" s="21" t="n">
        <f aca="false">COUNTIFS(Applications!$B$2:$B$3144,A271,Applications!$F$2:$F$3144,"Offered")</f>
        <v>4</v>
      </c>
      <c r="O271" s="21" t="str">
        <f aca="false">IF(COUNTIFS(Applications!$B$2:$B$3144,A271,Applications!$H$2:$H$3144,"Yes")&gt;0,"Yes","No")</f>
        <v>Yes</v>
      </c>
      <c r="P271" s="32" t="n">
        <f aca="false">SUMIFS(Applications!$G$2:$G$3144,Applications!$B$2:$B$3144,A271,Applications!$H$2:$H$3144,"Yes")</f>
        <v>11.6</v>
      </c>
      <c r="Q271" s="21" t="str">
        <f aca="false">IF(O271="Yes",INDEX(Companies!$B$2:$B$31,MATCH(INDEX(Applications!$C$2:$C$3144,MATCH(A271,Applications!$P$2:$P$3144,0)),Companies!$A$2:$A$31,0)),"-")</f>
        <v>SkillForge</v>
      </c>
    </row>
    <row r="272" customFormat="false" ht="15" hidden="false" customHeight="false" outlineLevel="0" collapsed="false">
      <c r="A272" s="21" t="s">
        <v>616</v>
      </c>
      <c r="B272" s="21" t="s">
        <v>617</v>
      </c>
      <c r="C272" s="21" t="s">
        <v>458</v>
      </c>
      <c r="D272" s="21" t="s">
        <v>66</v>
      </c>
      <c r="E272" s="21" t="s">
        <v>91</v>
      </c>
      <c r="F272" s="21" t="n">
        <v>8.19</v>
      </c>
      <c r="G272" s="21" t="n">
        <v>175</v>
      </c>
      <c r="H272" s="21" t="n">
        <v>4</v>
      </c>
      <c r="I272" s="21" t="s">
        <v>113</v>
      </c>
      <c r="J272" s="21" t="n">
        <v>58</v>
      </c>
      <c r="K272" s="32" t="n">
        <f aca="false">ROUND(Assumptions!$B$4*MIN(G272/Assumptions!$B$11,1)*100+Assumptions!$B$5*F272/10*100+Assumptions!$B$6*MIN(H272/Assumptions!$B$12,1)*100+Assumptions!$B$7*J272+Assumptions!$B$8*IF(I272="Yes",100,0),1)</f>
        <v>54.5</v>
      </c>
      <c r="L272" s="21" t="str">
        <f aca="false">LOOKUP(K272,Assumptions!$D$4:$D$7,Assumptions!$E$4:$E$7)</f>
        <v>Developing</v>
      </c>
      <c r="M272" s="21" t="n">
        <f aca="false">COUNTIFS(Applications!$B$2:$B$3144,A272)</f>
        <v>9</v>
      </c>
      <c r="N272" s="21" t="n">
        <f aca="false">COUNTIFS(Applications!$B$2:$B$3144,A272,Applications!$F$2:$F$3144,"Offered")</f>
        <v>1</v>
      </c>
      <c r="O272" s="21" t="str">
        <f aca="false">IF(COUNTIFS(Applications!$B$2:$B$3144,A272,Applications!$H$2:$H$3144,"Yes")&gt;0,"Yes","No")</f>
        <v>Yes</v>
      </c>
      <c r="P272" s="32" t="n">
        <f aca="false">SUMIFS(Applications!$G$2:$G$3144,Applications!$B$2:$B$3144,A272,Applications!$H$2:$H$3144,"Yes")</f>
        <v>5.4</v>
      </c>
      <c r="Q272" s="21" t="str">
        <f aca="false">IF(O272="Yes",INDEX(Companies!$B$2:$B$31,MATCH(INDEX(Applications!$C$2:$C$3144,MATCH(A272,Applications!$P$2:$P$3144,0)),Companies!$A$2:$A$31,0)),"-")</f>
        <v>Bharat Digital</v>
      </c>
    </row>
    <row r="273" customFormat="false" ht="15" hidden="false" customHeight="false" outlineLevel="0" collapsed="false">
      <c r="A273" s="21" t="s">
        <v>618</v>
      </c>
      <c r="B273" s="21" t="s">
        <v>619</v>
      </c>
      <c r="C273" s="21" t="s">
        <v>458</v>
      </c>
      <c r="D273" s="21" t="s">
        <v>67</v>
      </c>
      <c r="E273" s="21" t="s">
        <v>92</v>
      </c>
      <c r="F273" s="21" t="n">
        <v>6.98</v>
      </c>
      <c r="G273" s="21" t="n">
        <v>349</v>
      </c>
      <c r="H273" s="21" t="n">
        <v>2</v>
      </c>
      <c r="I273" s="21" t="s">
        <v>113</v>
      </c>
      <c r="J273" s="21" t="n">
        <v>90</v>
      </c>
      <c r="K273" s="32" t="n">
        <f aca="false">ROUND(Assumptions!$B$4*MIN(G273/Assumptions!$B$11,1)*100+Assumptions!$B$5*F273/10*100+Assumptions!$B$6*MIN(H273/Assumptions!$B$12,1)*100+Assumptions!$B$7*J273+Assumptions!$B$8*IF(I273="Yes",100,0),1)</f>
        <v>60.9</v>
      </c>
      <c r="L273" s="21" t="str">
        <f aca="false">LOOKUP(K273,Assumptions!$D$4:$D$7,Assumptions!$E$4:$E$7)</f>
        <v>Developing</v>
      </c>
      <c r="M273" s="21" t="n">
        <f aca="false">COUNTIFS(Applications!$B$2:$B$3144,A273)</f>
        <v>2</v>
      </c>
      <c r="N273" s="21" t="n">
        <f aca="false">COUNTIFS(Applications!$B$2:$B$3144,A273,Applications!$F$2:$F$3144,"Offered")</f>
        <v>1</v>
      </c>
      <c r="O273" s="21" t="str">
        <f aca="false">IF(COUNTIFS(Applications!$B$2:$B$3144,A273,Applications!$H$2:$H$3144,"Yes")&gt;0,"Yes","No")</f>
        <v>Yes</v>
      </c>
      <c r="P273" s="32" t="n">
        <f aca="false">SUMIFS(Applications!$G$2:$G$3144,Applications!$B$2:$B$3144,A273,Applications!$H$2:$H$3144,"Yes")</f>
        <v>5.6</v>
      </c>
      <c r="Q273" s="21" t="str">
        <f aca="false">IF(O273="Yes",INDEX(Companies!$B$2:$B$31,MATCH(INDEX(Applications!$C$2:$C$3144,MATCH(A273,Applications!$P$2:$P$3144,0)),Companies!$A$2:$A$31,0)),"-")</f>
        <v>HealthLink Digital</v>
      </c>
    </row>
    <row r="274" customFormat="false" ht="15" hidden="false" customHeight="false" outlineLevel="0" collapsed="false">
      <c r="A274" s="21" t="s">
        <v>620</v>
      </c>
      <c r="B274" s="21" t="s">
        <v>621</v>
      </c>
      <c r="C274" s="21" t="s">
        <v>458</v>
      </c>
      <c r="D274" s="21" t="s">
        <v>63</v>
      </c>
      <c r="E274" s="21" t="s">
        <v>92</v>
      </c>
      <c r="F274" s="21" t="n">
        <v>7.96</v>
      </c>
      <c r="G274" s="21" t="n">
        <v>280</v>
      </c>
      <c r="H274" s="21" t="n">
        <v>5</v>
      </c>
      <c r="I274" s="21" t="s">
        <v>113</v>
      </c>
      <c r="J274" s="21" t="n">
        <v>74</v>
      </c>
      <c r="K274" s="32" t="n">
        <f aca="false">ROUND(Assumptions!$B$4*MIN(G274/Assumptions!$B$11,1)*100+Assumptions!$B$5*F274/10*100+Assumptions!$B$6*MIN(H274/Assumptions!$B$12,1)*100+Assumptions!$B$7*J274+Assumptions!$B$8*IF(I274="Yes",100,0),1)</f>
        <v>67.5</v>
      </c>
      <c r="L274" s="21" t="str">
        <f aca="false">LOOKUP(K274,Assumptions!$D$4:$D$7,Assumptions!$E$4:$E$7)</f>
        <v>Job-Ready</v>
      </c>
      <c r="M274" s="21" t="n">
        <f aca="false">COUNTIFS(Applications!$B$2:$B$3144,A274)</f>
        <v>3</v>
      </c>
      <c r="N274" s="21" t="n">
        <f aca="false">COUNTIFS(Applications!$B$2:$B$3144,A274,Applications!$F$2:$F$3144,"Offered")</f>
        <v>1</v>
      </c>
      <c r="O274" s="21" t="str">
        <f aca="false">IF(COUNTIFS(Applications!$B$2:$B$3144,A274,Applications!$H$2:$H$3144,"Yes")&gt;0,"Yes","No")</f>
        <v>Yes</v>
      </c>
      <c r="P274" s="32" t="n">
        <f aca="false">SUMIFS(Applications!$G$2:$G$3144,Applications!$B$2:$B$3144,A274,Applications!$H$2:$H$3144,"Yes")</f>
        <v>6.6</v>
      </c>
      <c r="Q274" s="21" t="str">
        <f aca="false">IF(O274="Yes",INDEX(Companies!$B$2:$B$31,MATCH(INDEX(Applications!$C$2:$C$3144,MATCH(A274,Applications!$P$2:$P$3144,0)),Companies!$A$2:$A$31,0)),"-")</f>
        <v>Bharat Digital</v>
      </c>
    </row>
    <row r="275" customFormat="false" ht="15" hidden="false" customHeight="false" outlineLevel="0" collapsed="false">
      <c r="A275" s="21" t="s">
        <v>622</v>
      </c>
      <c r="B275" s="21" t="s">
        <v>623</v>
      </c>
      <c r="C275" s="21" t="s">
        <v>458</v>
      </c>
      <c r="D275" s="21" t="s">
        <v>67</v>
      </c>
      <c r="E275" s="21" t="s">
        <v>92</v>
      </c>
      <c r="F275" s="21" t="n">
        <v>8.2</v>
      </c>
      <c r="G275" s="21" t="n">
        <v>95</v>
      </c>
      <c r="H275" s="21" t="n">
        <v>3</v>
      </c>
      <c r="I275" s="21" t="s">
        <v>113</v>
      </c>
      <c r="J275" s="21" t="n">
        <v>62</v>
      </c>
      <c r="K275" s="32" t="n">
        <f aca="false">ROUND(Assumptions!$B$4*MIN(G275/Assumptions!$B$11,1)*100+Assumptions!$B$5*F275/10*100+Assumptions!$B$6*MIN(H275/Assumptions!$B$12,1)*100+Assumptions!$B$7*J275+Assumptions!$B$8*IF(I275="Yes",100,0),1)</f>
        <v>46.5</v>
      </c>
      <c r="L275" s="21" t="str">
        <f aca="false">LOOKUP(K275,Assumptions!$D$4:$D$7,Assumptions!$E$4:$E$7)</f>
        <v>Foundation</v>
      </c>
      <c r="M275" s="21" t="n">
        <f aca="false">COUNTIFS(Applications!$B$2:$B$3144,A275)</f>
        <v>5</v>
      </c>
      <c r="N275" s="21" t="n">
        <f aca="false">COUNTIFS(Applications!$B$2:$B$3144,A275,Applications!$F$2:$F$3144,"Offered")</f>
        <v>0</v>
      </c>
      <c r="O275" s="21" t="str">
        <f aca="false">IF(COUNTIFS(Applications!$B$2:$B$3144,A275,Applications!$H$2:$H$3144,"Yes")&gt;0,"Yes","No")</f>
        <v>No</v>
      </c>
      <c r="P275" s="32" t="n">
        <f aca="false">SUMIFS(Applications!$G$2:$G$3144,Applications!$B$2:$B$3144,A275,Applications!$H$2:$H$3144,"Yes")</f>
        <v>0</v>
      </c>
      <c r="Q275" s="21" t="str">
        <f aca="false">IF(O275="Yes",INDEX(Companies!$B$2:$B$31,MATCH(INDEX(Applications!$C$2:$C$3144,MATCH(A275,Applications!$P$2:$P$3144,0)),Companies!$A$2:$A$31,0)),"-")</f>
        <v>-</v>
      </c>
    </row>
    <row r="276" customFormat="false" ht="15" hidden="false" customHeight="false" outlineLevel="0" collapsed="false">
      <c r="A276" s="21" t="s">
        <v>624</v>
      </c>
      <c r="B276" s="21" t="s">
        <v>625</v>
      </c>
      <c r="C276" s="21" t="s">
        <v>458</v>
      </c>
      <c r="D276" s="21" t="s">
        <v>64</v>
      </c>
      <c r="E276" s="21" t="s">
        <v>90</v>
      </c>
      <c r="F276" s="21" t="n">
        <v>7.47</v>
      </c>
      <c r="G276" s="21" t="n">
        <v>144</v>
      </c>
      <c r="H276" s="21" t="n">
        <v>2</v>
      </c>
      <c r="I276" s="21" t="s">
        <v>120</v>
      </c>
      <c r="J276" s="21" t="n">
        <v>46</v>
      </c>
      <c r="K276" s="32" t="n">
        <f aca="false">ROUND(Assumptions!$B$4*MIN(G276/Assumptions!$B$11,1)*100+Assumptions!$B$5*F276/10*100+Assumptions!$B$6*MIN(H276/Assumptions!$B$12,1)*100+Assumptions!$B$7*J276+Assumptions!$B$8*IF(I276="Yes",100,0),1)</f>
        <v>50.8</v>
      </c>
      <c r="L276" s="21" t="str">
        <f aca="false">LOOKUP(K276,Assumptions!$D$4:$D$7,Assumptions!$E$4:$E$7)</f>
        <v>Developing</v>
      </c>
      <c r="M276" s="21" t="n">
        <f aca="false">COUNTIFS(Applications!$B$2:$B$3144,A276)</f>
        <v>6</v>
      </c>
      <c r="N276" s="21" t="n">
        <f aca="false">COUNTIFS(Applications!$B$2:$B$3144,A276,Applications!$F$2:$F$3144,"Offered")</f>
        <v>0</v>
      </c>
      <c r="O276" s="21" t="str">
        <f aca="false">IF(COUNTIFS(Applications!$B$2:$B$3144,A276,Applications!$H$2:$H$3144,"Yes")&gt;0,"Yes","No")</f>
        <v>No</v>
      </c>
      <c r="P276" s="32" t="n">
        <f aca="false">SUMIFS(Applications!$G$2:$G$3144,Applications!$B$2:$B$3144,A276,Applications!$H$2:$H$3144,"Yes")</f>
        <v>0</v>
      </c>
      <c r="Q276" s="21" t="str">
        <f aca="false">IF(O276="Yes",INDEX(Companies!$B$2:$B$31,MATCH(INDEX(Applications!$C$2:$C$3144,MATCH(A276,Applications!$P$2:$P$3144,0)),Companies!$A$2:$A$31,0)),"-")</f>
        <v>-</v>
      </c>
    </row>
    <row r="277" customFormat="false" ht="15" hidden="false" customHeight="false" outlineLevel="0" collapsed="false">
      <c r="A277" s="21" t="s">
        <v>626</v>
      </c>
      <c r="B277" s="21" t="s">
        <v>627</v>
      </c>
      <c r="C277" s="21" t="s">
        <v>458</v>
      </c>
      <c r="D277" s="21" t="s">
        <v>65</v>
      </c>
      <c r="E277" s="21" t="s">
        <v>90</v>
      </c>
      <c r="F277" s="21" t="n">
        <v>9.02</v>
      </c>
      <c r="G277" s="21" t="n">
        <v>241</v>
      </c>
      <c r="H277" s="21" t="n">
        <v>3</v>
      </c>
      <c r="I277" s="21" t="s">
        <v>120</v>
      </c>
      <c r="J277" s="21" t="n">
        <v>62</v>
      </c>
      <c r="K277" s="32" t="n">
        <f aca="false">ROUND(Assumptions!$B$4*MIN(G277/Assumptions!$B$11,1)*100+Assumptions!$B$5*F277/10*100+Assumptions!$B$6*MIN(H277/Assumptions!$B$12,1)*100+Assumptions!$B$7*J277+Assumptions!$B$8*IF(I277="Yes",100,0),1)</f>
        <v>66.9</v>
      </c>
      <c r="L277" s="21" t="str">
        <f aca="false">LOOKUP(K277,Assumptions!$D$4:$D$7,Assumptions!$E$4:$E$7)</f>
        <v>Job-Ready</v>
      </c>
      <c r="M277" s="21" t="n">
        <f aca="false">COUNTIFS(Applications!$B$2:$B$3144,A277)</f>
        <v>9</v>
      </c>
      <c r="N277" s="21" t="n">
        <f aca="false">COUNTIFS(Applications!$B$2:$B$3144,A277,Applications!$F$2:$F$3144,"Offered")</f>
        <v>5</v>
      </c>
      <c r="O277" s="21" t="str">
        <f aca="false">IF(COUNTIFS(Applications!$B$2:$B$3144,A277,Applications!$H$2:$H$3144,"Yes")&gt;0,"Yes","No")</f>
        <v>Yes</v>
      </c>
      <c r="P277" s="32" t="n">
        <f aca="false">SUMIFS(Applications!$G$2:$G$3144,Applications!$B$2:$B$3144,A277,Applications!$H$2:$H$3144,"Yes")</f>
        <v>11.9</v>
      </c>
      <c r="Q277" s="21" t="str">
        <f aca="false">IF(O277="Yes",INDEX(Companies!$B$2:$B$31,MATCH(INDEX(Applications!$C$2:$C$3144,MATCH(A277,Applications!$P$2:$P$3144,0)),Companies!$A$2:$A$31,0)),"-")</f>
        <v>CartNest</v>
      </c>
    </row>
    <row r="278" customFormat="false" ht="15" hidden="false" customHeight="false" outlineLevel="0" collapsed="false">
      <c r="A278" s="21" t="s">
        <v>628</v>
      </c>
      <c r="B278" s="21" t="s">
        <v>212</v>
      </c>
      <c r="C278" s="21" t="s">
        <v>458</v>
      </c>
      <c r="D278" s="21" t="s">
        <v>63</v>
      </c>
      <c r="E278" s="21" t="s">
        <v>91</v>
      </c>
      <c r="F278" s="21" t="n">
        <v>7.19</v>
      </c>
      <c r="G278" s="21" t="n">
        <v>32</v>
      </c>
      <c r="H278" s="21" t="n">
        <v>2</v>
      </c>
      <c r="I278" s="21" t="s">
        <v>120</v>
      </c>
      <c r="J278" s="21" t="n">
        <v>61</v>
      </c>
      <c r="K278" s="32" t="n">
        <f aca="false">ROUND(Assumptions!$B$4*MIN(G278/Assumptions!$B$11,1)*100+Assumptions!$B$5*F278/10*100+Assumptions!$B$6*MIN(H278/Assumptions!$B$12,1)*100+Assumptions!$B$7*J278+Assumptions!$B$8*IF(I278="Yes",100,0),1)</f>
        <v>46.5</v>
      </c>
      <c r="L278" s="21" t="str">
        <f aca="false">LOOKUP(K278,Assumptions!$D$4:$D$7,Assumptions!$E$4:$E$7)</f>
        <v>Foundation</v>
      </c>
      <c r="M278" s="21" t="n">
        <f aca="false">COUNTIFS(Applications!$B$2:$B$3144,A278)</f>
        <v>2</v>
      </c>
      <c r="N278" s="21" t="n">
        <f aca="false">COUNTIFS(Applications!$B$2:$B$3144,A278,Applications!$F$2:$F$3144,"Offered")</f>
        <v>1</v>
      </c>
      <c r="O278" s="21" t="str">
        <f aca="false">IF(COUNTIFS(Applications!$B$2:$B$3144,A278,Applications!$H$2:$H$3144,"Yes")&gt;0,"Yes","No")</f>
        <v>Yes</v>
      </c>
      <c r="P278" s="32" t="n">
        <f aca="false">SUMIFS(Applications!$G$2:$G$3144,Applications!$B$2:$B$3144,A278,Applications!$H$2:$H$3144,"Yes")</f>
        <v>10.1</v>
      </c>
      <c r="Q278" s="21" t="str">
        <f aca="false">IF(O278="Yes",INDEX(Companies!$B$2:$B$31,MATCH(INDEX(Applications!$C$2:$C$3144,MATCH(A278,Applications!$P$2:$P$3144,0)),Companies!$A$2:$A$31,0)),"-")</f>
        <v>VitalByte</v>
      </c>
    </row>
    <row r="279" customFormat="false" ht="15" hidden="false" customHeight="false" outlineLevel="0" collapsed="false">
      <c r="A279" s="21" t="s">
        <v>629</v>
      </c>
      <c r="B279" s="21" t="s">
        <v>465</v>
      </c>
      <c r="C279" s="21" t="s">
        <v>458</v>
      </c>
      <c r="D279" s="21" t="s">
        <v>65</v>
      </c>
      <c r="E279" s="21" t="s">
        <v>90</v>
      </c>
      <c r="F279" s="21" t="n">
        <v>7.94</v>
      </c>
      <c r="G279" s="21" t="n">
        <v>77</v>
      </c>
      <c r="H279" s="21" t="n">
        <v>5</v>
      </c>
      <c r="I279" s="21" t="s">
        <v>113</v>
      </c>
      <c r="J279" s="21" t="n">
        <v>61</v>
      </c>
      <c r="K279" s="32" t="n">
        <f aca="false">ROUND(Assumptions!$B$4*MIN(G279/Assumptions!$B$11,1)*100+Assumptions!$B$5*F279/10*100+Assumptions!$B$6*MIN(H279/Assumptions!$B$12,1)*100+Assumptions!$B$7*J279+Assumptions!$B$8*IF(I279="Yes",100,0),1)</f>
        <v>52.7</v>
      </c>
      <c r="L279" s="21" t="str">
        <f aca="false">LOOKUP(K279,Assumptions!$D$4:$D$7,Assumptions!$E$4:$E$7)</f>
        <v>Developing</v>
      </c>
      <c r="M279" s="21" t="n">
        <f aca="false">COUNTIFS(Applications!$B$2:$B$3144,A279)</f>
        <v>0</v>
      </c>
      <c r="N279" s="21" t="n">
        <f aca="false">COUNTIFS(Applications!$B$2:$B$3144,A279,Applications!$F$2:$F$3144,"Offered")</f>
        <v>0</v>
      </c>
      <c r="O279" s="21" t="str">
        <f aca="false">IF(COUNTIFS(Applications!$B$2:$B$3144,A279,Applications!$H$2:$H$3144,"Yes")&gt;0,"Yes","No")</f>
        <v>No</v>
      </c>
      <c r="P279" s="32" t="n">
        <f aca="false">SUMIFS(Applications!$G$2:$G$3144,Applications!$B$2:$B$3144,A279,Applications!$H$2:$H$3144,"Yes")</f>
        <v>0</v>
      </c>
      <c r="Q279" s="21" t="str">
        <f aca="false">IF(O279="Yes",INDEX(Companies!$B$2:$B$31,MATCH(INDEX(Applications!$C$2:$C$3144,MATCH(A279,Applications!$P$2:$P$3144,0)),Companies!$A$2:$A$31,0)),"-")</f>
        <v>-</v>
      </c>
    </row>
    <row r="280" customFormat="false" ht="15" hidden="false" customHeight="false" outlineLevel="0" collapsed="false">
      <c r="A280" s="21" t="s">
        <v>630</v>
      </c>
      <c r="B280" s="21" t="s">
        <v>475</v>
      </c>
      <c r="C280" s="21" t="s">
        <v>458</v>
      </c>
      <c r="D280" s="21" t="s">
        <v>67</v>
      </c>
      <c r="E280" s="21" t="s">
        <v>92</v>
      </c>
      <c r="F280" s="21" t="n">
        <v>6.63</v>
      </c>
      <c r="G280" s="21" t="n">
        <v>221</v>
      </c>
      <c r="H280" s="21" t="n">
        <v>3</v>
      </c>
      <c r="I280" s="21" t="s">
        <v>120</v>
      </c>
      <c r="J280" s="21" t="n">
        <v>61</v>
      </c>
      <c r="K280" s="32" t="n">
        <f aca="false">ROUND(Assumptions!$B$4*MIN(G280/Assumptions!$B$11,1)*100+Assumptions!$B$5*F280/10*100+Assumptions!$B$6*MIN(H280/Assumptions!$B$12,1)*100+Assumptions!$B$7*J280+Assumptions!$B$8*IF(I280="Yes",100,0),1)</f>
        <v>60.7</v>
      </c>
      <c r="L280" s="21" t="str">
        <f aca="false">LOOKUP(K280,Assumptions!$D$4:$D$7,Assumptions!$E$4:$E$7)</f>
        <v>Developing</v>
      </c>
      <c r="M280" s="21" t="n">
        <f aca="false">COUNTIFS(Applications!$B$2:$B$3144,A280)</f>
        <v>7</v>
      </c>
      <c r="N280" s="21" t="n">
        <f aca="false">COUNTIFS(Applications!$B$2:$B$3144,A280,Applications!$F$2:$F$3144,"Offered")</f>
        <v>1</v>
      </c>
      <c r="O280" s="21" t="str">
        <f aca="false">IF(COUNTIFS(Applications!$B$2:$B$3144,A280,Applications!$H$2:$H$3144,"Yes")&gt;0,"Yes","No")</f>
        <v>Yes</v>
      </c>
      <c r="P280" s="32" t="n">
        <f aca="false">SUMIFS(Applications!$G$2:$G$3144,Applications!$B$2:$B$3144,A280,Applications!$H$2:$H$3144,"Yes")</f>
        <v>9.7</v>
      </c>
      <c r="Q280" s="21" t="str">
        <f aca="false">IF(O280="Yes",INDEX(Companies!$B$2:$B$31,MATCH(INDEX(Applications!$C$2:$C$3144,MATCH(A280,Applications!$P$2:$P$3144,0)),Companies!$A$2:$A$31,0)),"-")</f>
        <v>SkillForge</v>
      </c>
    </row>
    <row r="281" customFormat="false" ht="15" hidden="false" customHeight="false" outlineLevel="0" collapsed="false">
      <c r="A281" s="21" t="s">
        <v>631</v>
      </c>
      <c r="B281" s="21" t="s">
        <v>632</v>
      </c>
      <c r="C281" s="21" t="s">
        <v>458</v>
      </c>
      <c r="D281" s="21" t="s">
        <v>64</v>
      </c>
      <c r="E281" s="21" t="s">
        <v>91</v>
      </c>
      <c r="F281" s="21" t="n">
        <v>6.53</v>
      </c>
      <c r="G281" s="21" t="n">
        <v>163</v>
      </c>
      <c r="H281" s="21" t="n">
        <v>4</v>
      </c>
      <c r="I281" s="21" t="s">
        <v>113</v>
      </c>
      <c r="J281" s="21" t="n">
        <v>55</v>
      </c>
      <c r="K281" s="32" t="n">
        <f aca="false">ROUND(Assumptions!$B$4*MIN(G281/Assumptions!$B$11,1)*100+Assumptions!$B$5*F281/10*100+Assumptions!$B$6*MIN(H281/Assumptions!$B$12,1)*100+Assumptions!$B$7*J281+Assumptions!$B$8*IF(I281="Yes",100,0),1)</f>
        <v>49.8</v>
      </c>
      <c r="L281" s="21" t="str">
        <f aca="false">LOOKUP(K281,Assumptions!$D$4:$D$7,Assumptions!$E$4:$E$7)</f>
        <v>Foundation</v>
      </c>
      <c r="M281" s="21" t="n">
        <f aca="false">COUNTIFS(Applications!$B$2:$B$3144,A281)</f>
        <v>3</v>
      </c>
      <c r="N281" s="21" t="n">
        <f aca="false">COUNTIFS(Applications!$B$2:$B$3144,A281,Applications!$F$2:$F$3144,"Offered")</f>
        <v>0</v>
      </c>
      <c r="O281" s="21" t="str">
        <f aca="false">IF(COUNTIFS(Applications!$B$2:$B$3144,A281,Applications!$H$2:$H$3144,"Yes")&gt;0,"Yes","No")</f>
        <v>No</v>
      </c>
      <c r="P281" s="32" t="n">
        <f aca="false">SUMIFS(Applications!$G$2:$G$3144,Applications!$B$2:$B$3144,A281,Applications!$H$2:$H$3144,"Yes")</f>
        <v>0</v>
      </c>
      <c r="Q281" s="21" t="str">
        <f aca="false">IF(O281="Yes",INDEX(Companies!$B$2:$B$31,MATCH(INDEX(Applications!$C$2:$C$3144,MATCH(A281,Applications!$P$2:$P$3144,0)),Companies!$A$2:$A$31,0)),"-")</f>
        <v>-</v>
      </c>
    </row>
    <row r="282" customFormat="false" ht="15" hidden="false" customHeight="false" outlineLevel="0" collapsed="false">
      <c r="A282" s="21" t="s">
        <v>633</v>
      </c>
      <c r="B282" s="21" t="s">
        <v>634</v>
      </c>
      <c r="C282" s="21" t="s">
        <v>458</v>
      </c>
      <c r="D282" s="21" t="s">
        <v>63</v>
      </c>
      <c r="E282" s="21" t="s">
        <v>91</v>
      </c>
      <c r="F282" s="21" t="n">
        <v>8.45</v>
      </c>
      <c r="G282" s="21" t="n">
        <v>87</v>
      </c>
      <c r="H282" s="21" t="n">
        <v>5</v>
      </c>
      <c r="I282" s="21" t="s">
        <v>113</v>
      </c>
      <c r="J282" s="21" t="n">
        <v>61</v>
      </c>
      <c r="K282" s="32" t="n">
        <f aca="false">ROUND(Assumptions!$B$4*MIN(G282/Assumptions!$B$11,1)*100+Assumptions!$B$5*F282/10*100+Assumptions!$B$6*MIN(H282/Assumptions!$B$12,1)*100+Assumptions!$B$7*J282+Assumptions!$B$8*IF(I282="Yes",100,0),1)</f>
        <v>54.3</v>
      </c>
      <c r="L282" s="21" t="str">
        <f aca="false">LOOKUP(K282,Assumptions!$D$4:$D$7,Assumptions!$E$4:$E$7)</f>
        <v>Developing</v>
      </c>
      <c r="M282" s="21" t="n">
        <f aca="false">COUNTIFS(Applications!$B$2:$B$3144,A282)</f>
        <v>8</v>
      </c>
      <c r="N282" s="21" t="n">
        <f aca="false">COUNTIFS(Applications!$B$2:$B$3144,A282,Applications!$F$2:$F$3144,"Offered")</f>
        <v>0</v>
      </c>
      <c r="O282" s="21" t="str">
        <f aca="false">IF(COUNTIFS(Applications!$B$2:$B$3144,A282,Applications!$H$2:$H$3144,"Yes")&gt;0,"Yes","No")</f>
        <v>No</v>
      </c>
      <c r="P282" s="32" t="n">
        <f aca="false">SUMIFS(Applications!$G$2:$G$3144,Applications!$B$2:$B$3144,A282,Applications!$H$2:$H$3144,"Yes")</f>
        <v>0</v>
      </c>
      <c r="Q282" s="21" t="str">
        <f aca="false">IF(O282="Yes",INDEX(Companies!$B$2:$B$31,MATCH(INDEX(Applications!$C$2:$C$3144,MATCH(A282,Applications!$P$2:$P$3144,0)),Companies!$A$2:$A$31,0)),"-")</f>
        <v>-</v>
      </c>
    </row>
    <row r="283" customFormat="false" ht="15" hidden="false" customHeight="false" outlineLevel="0" collapsed="false">
      <c r="A283" s="21" t="s">
        <v>635</v>
      </c>
      <c r="B283" s="21" t="s">
        <v>636</v>
      </c>
      <c r="C283" s="21" t="s">
        <v>458</v>
      </c>
      <c r="D283" s="21" t="s">
        <v>64</v>
      </c>
      <c r="E283" s="21" t="s">
        <v>90</v>
      </c>
      <c r="F283" s="21" t="n">
        <v>7.18</v>
      </c>
      <c r="G283" s="21" t="n">
        <v>250</v>
      </c>
      <c r="H283" s="21" t="n">
        <v>4</v>
      </c>
      <c r="I283" s="21" t="s">
        <v>113</v>
      </c>
      <c r="J283" s="21" t="n">
        <v>76</v>
      </c>
      <c r="K283" s="32" t="n">
        <f aca="false">ROUND(Assumptions!$B$4*MIN(G283/Assumptions!$B$11,1)*100+Assumptions!$B$5*F283/10*100+Assumptions!$B$6*MIN(H283/Assumptions!$B$12,1)*100+Assumptions!$B$7*J283+Assumptions!$B$8*IF(I283="Yes",100,0),1)</f>
        <v>60.6</v>
      </c>
      <c r="L283" s="21" t="str">
        <f aca="false">LOOKUP(K283,Assumptions!$D$4:$D$7,Assumptions!$E$4:$E$7)</f>
        <v>Developing</v>
      </c>
      <c r="M283" s="21" t="n">
        <f aca="false">COUNTIFS(Applications!$B$2:$B$3144,A283)</f>
        <v>4</v>
      </c>
      <c r="N283" s="21" t="n">
        <f aca="false">COUNTIFS(Applications!$B$2:$B$3144,A283,Applications!$F$2:$F$3144,"Offered")</f>
        <v>0</v>
      </c>
      <c r="O283" s="21" t="str">
        <f aca="false">IF(COUNTIFS(Applications!$B$2:$B$3144,A283,Applications!$H$2:$H$3144,"Yes")&gt;0,"Yes","No")</f>
        <v>No</v>
      </c>
      <c r="P283" s="32" t="n">
        <f aca="false">SUMIFS(Applications!$G$2:$G$3144,Applications!$B$2:$B$3144,A283,Applications!$H$2:$H$3144,"Yes")</f>
        <v>0</v>
      </c>
      <c r="Q283" s="21" t="str">
        <f aca="false">IF(O283="Yes",INDEX(Companies!$B$2:$B$31,MATCH(INDEX(Applications!$C$2:$C$3144,MATCH(A283,Applications!$P$2:$P$3144,0)),Companies!$A$2:$A$31,0)),"-")</f>
        <v>-</v>
      </c>
    </row>
    <row r="284" customFormat="false" ht="15" hidden="false" customHeight="false" outlineLevel="0" collapsed="false">
      <c r="A284" s="21" t="s">
        <v>637</v>
      </c>
      <c r="B284" s="21" t="s">
        <v>638</v>
      </c>
      <c r="C284" s="21" t="s">
        <v>458</v>
      </c>
      <c r="D284" s="21" t="s">
        <v>65</v>
      </c>
      <c r="E284" s="21" t="s">
        <v>92</v>
      </c>
      <c r="F284" s="21" t="n">
        <v>7.84</v>
      </c>
      <c r="G284" s="21" t="n">
        <v>214</v>
      </c>
      <c r="H284" s="21" t="n">
        <v>7</v>
      </c>
      <c r="I284" s="21" t="s">
        <v>113</v>
      </c>
      <c r="J284" s="21" t="n">
        <v>58</v>
      </c>
      <c r="K284" s="32" t="n">
        <f aca="false">ROUND(Assumptions!$B$4*MIN(G284/Assumptions!$B$11,1)*100+Assumptions!$B$5*F284/10*100+Assumptions!$B$6*MIN(H284/Assumptions!$B$12,1)*100+Assumptions!$B$7*J284+Assumptions!$B$8*IF(I284="Yes",100,0),1)</f>
        <v>60.1</v>
      </c>
      <c r="L284" s="21" t="str">
        <f aca="false">LOOKUP(K284,Assumptions!$D$4:$D$7,Assumptions!$E$4:$E$7)</f>
        <v>Developing</v>
      </c>
      <c r="M284" s="21" t="n">
        <f aca="false">COUNTIFS(Applications!$B$2:$B$3144,A284)</f>
        <v>8</v>
      </c>
      <c r="N284" s="21" t="n">
        <f aca="false">COUNTIFS(Applications!$B$2:$B$3144,A284,Applications!$F$2:$F$3144,"Offered")</f>
        <v>4</v>
      </c>
      <c r="O284" s="21" t="str">
        <f aca="false">IF(COUNTIFS(Applications!$B$2:$B$3144,A284,Applications!$H$2:$H$3144,"Yes")&gt;0,"Yes","No")</f>
        <v>Yes</v>
      </c>
      <c r="P284" s="32" t="n">
        <f aca="false">SUMIFS(Applications!$G$2:$G$3144,Applications!$B$2:$B$3144,A284,Applications!$H$2:$H$3144,"Yes")</f>
        <v>9.8</v>
      </c>
      <c r="Q284" s="21" t="str">
        <f aca="false">IF(O284="Yes",INDEX(Companies!$B$2:$B$31,MATCH(INDEX(Applications!$C$2:$C$3144,MATCH(A284,Applications!$P$2:$P$3144,0)),Companies!$A$2:$A$31,0)),"-")</f>
        <v>ShopSprint</v>
      </c>
    </row>
    <row r="285" customFormat="false" ht="15" hidden="false" customHeight="false" outlineLevel="0" collapsed="false">
      <c r="A285" s="21" t="s">
        <v>639</v>
      </c>
      <c r="B285" s="21" t="s">
        <v>640</v>
      </c>
      <c r="C285" s="21" t="s">
        <v>458</v>
      </c>
      <c r="D285" s="21" t="s">
        <v>64</v>
      </c>
      <c r="E285" s="21" t="s">
        <v>91</v>
      </c>
      <c r="F285" s="21" t="n">
        <v>7.56</v>
      </c>
      <c r="G285" s="21" t="n">
        <v>389</v>
      </c>
      <c r="H285" s="21" t="n">
        <v>3</v>
      </c>
      <c r="I285" s="21" t="s">
        <v>120</v>
      </c>
      <c r="J285" s="21" t="n">
        <v>39</v>
      </c>
      <c r="K285" s="32" t="n">
        <f aca="false">ROUND(Assumptions!$B$4*MIN(G285/Assumptions!$B$11,1)*100+Assumptions!$B$5*F285/10*100+Assumptions!$B$6*MIN(H285/Assumptions!$B$12,1)*100+Assumptions!$B$7*J285+Assumptions!$B$8*IF(I285="Yes",100,0),1)</f>
        <v>68.3</v>
      </c>
      <c r="L285" s="21" t="str">
        <f aca="false">LOOKUP(K285,Assumptions!$D$4:$D$7,Assumptions!$E$4:$E$7)</f>
        <v>Job-Ready</v>
      </c>
      <c r="M285" s="21" t="n">
        <f aca="false">COUNTIFS(Applications!$B$2:$B$3144,A285)</f>
        <v>0</v>
      </c>
      <c r="N285" s="21" t="n">
        <f aca="false">COUNTIFS(Applications!$B$2:$B$3144,A285,Applications!$F$2:$F$3144,"Offered")</f>
        <v>0</v>
      </c>
      <c r="O285" s="21" t="str">
        <f aca="false">IF(COUNTIFS(Applications!$B$2:$B$3144,A285,Applications!$H$2:$H$3144,"Yes")&gt;0,"Yes","No")</f>
        <v>No</v>
      </c>
      <c r="P285" s="32" t="n">
        <f aca="false">SUMIFS(Applications!$G$2:$G$3144,Applications!$B$2:$B$3144,A285,Applications!$H$2:$H$3144,"Yes")</f>
        <v>0</v>
      </c>
      <c r="Q285" s="21" t="str">
        <f aca="false">IF(O285="Yes",INDEX(Companies!$B$2:$B$31,MATCH(INDEX(Applications!$C$2:$C$3144,MATCH(A285,Applications!$P$2:$P$3144,0)),Companies!$A$2:$A$31,0)),"-")</f>
        <v>-</v>
      </c>
    </row>
    <row r="286" customFormat="false" ht="15" hidden="false" customHeight="false" outlineLevel="0" collapsed="false">
      <c r="A286" s="21" t="s">
        <v>641</v>
      </c>
      <c r="B286" s="21" t="s">
        <v>642</v>
      </c>
      <c r="C286" s="21" t="s">
        <v>458</v>
      </c>
      <c r="D286" s="21" t="s">
        <v>67</v>
      </c>
      <c r="E286" s="21" t="s">
        <v>92</v>
      </c>
      <c r="F286" s="21" t="n">
        <v>8.82</v>
      </c>
      <c r="G286" s="21" t="n">
        <v>159</v>
      </c>
      <c r="H286" s="21" t="n">
        <v>4</v>
      </c>
      <c r="I286" s="21" t="s">
        <v>120</v>
      </c>
      <c r="J286" s="21" t="n">
        <v>42</v>
      </c>
      <c r="K286" s="32" t="n">
        <f aca="false">ROUND(Assumptions!$B$4*MIN(G286/Assumptions!$B$11,1)*100+Assumptions!$B$5*F286/10*100+Assumptions!$B$6*MIN(H286/Assumptions!$B$12,1)*100+Assumptions!$B$7*J286+Assumptions!$B$8*IF(I286="Yes",100,0),1)</f>
        <v>61.6</v>
      </c>
      <c r="L286" s="21" t="str">
        <f aca="false">LOOKUP(K286,Assumptions!$D$4:$D$7,Assumptions!$E$4:$E$7)</f>
        <v>Developing</v>
      </c>
      <c r="M286" s="21" t="n">
        <f aca="false">COUNTIFS(Applications!$B$2:$B$3144,A286)</f>
        <v>6</v>
      </c>
      <c r="N286" s="21" t="n">
        <f aca="false">COUNTIFS(Applications!$B$2:$B$3144,A286,Applications!$F$2:$F$3144,"Offered")</f>
        <v>2</v>
      </c>
      <c r="O286" s="21" t="str">
        <f aca="false">IF(COUNTIFS(Applications!$B$2:$B$3144,A286,Applications!$H$2:$H$3144,"Yes")&gt;0,"Yes","No")</f>
        <v>Yes</v>
      </c>
      <c r="P286" s="32" t="n">
        <f aca="false">SUMIFS(Applications!$G$2:$G$3144,Applications!$B$2:$B$3144,A286,Applications!$H$2:$H$3144,"Yes")</f>
        <v>14</v>
      </c>
      <c r="Q286" s="21" t="str">
        <f aca="false">IF(O286="Yes",INDEX(Companies!$B$2:$B$31,MATCH(INDEX(Applications!$C$2:$C$3144,MATCH(A286,Applications!$P$2:$P$3144,0)),Companies!$A$2:$A$31,0)),"-")</f>
        <v>MediSphere</v>
      </c>
    </row>
    <row r="287" customFormat="false" ht="15" hidden="false" customHeight="false" outlineLevel="0" collapsed="false">
      <c r="A287" s="21" t="s">
        <v>643</v>
      </c>
      <c r="B287" s="21" t="s">
        <v>644</v>
      </c>
      <c r="C287" s="21" t="s">
        <v>458</v>
      </c>
      <c r="D287" s="21" t="s">
        <v>65</v>
      </c>
      <c r="E287" s="21" t="s">
        <v>90</v>
      </c>
      <c r="F287" s="21" t="n">
        <v>5.79</v>
      </c>
      <c r="G287" s="21" t="n">
        <v>320</v>
      </c>
      <c r="H287" s="21" t="n">
        <v>4</v>
      </c>
      <c r="I287" s="21" t="s">
        <v>113</v>
      </c>
      <c r="J287" s="21" t="n">
        <v>32</v>
      </c>
      <c r="K287" s="32" t="n">
        <f aca="false">ROUND(Assumptions!$B$4*MIN(G287/Assumptions!$B$11,1)*100+Assumptions!$B$5*F287/10*100+Assumptions!$B$6*MIN(H287/Assumptions!$B$12,1)*100+Assumptions!$B$7*J287+Assumptions!$B$8*IF(I287="Yes",100,0),1)</f>
        <v>53.2</v>
      </c>
      <c r="L287" s="21" t="str">
        <f aca="false">LOOKUP(K287,Assumptions!$D$4:$D$7,Assumptions!$E$4:$E$7)</f>
        <v>Developing</v>
      </c>
      <c r="M287" s="21" t="n">
        <f aca="false">COUNTIFS(Applications!$B$2:$B$3144,A287)</f>
        <v>5</v>
      </c>
      <c r="N287" s="21" t="n">
        <f aca="false">COUNTIFS(Applications!$B$2:$B$3144,A287,Applications!$F$2:$F$3144,"Offered")</f>
        <v>0</v>
      </c>
      <c r="O287" s="21" t="str">
        <f aca="false">IF(COUNTIFS(Applications!$B$2:$B$3144,A287,Applications!$H$2:$H$3144,"Yes")&gt;0,"Yes","No")</f>
        <v>No</v>
      </c>
      <c r="P287" s="32" t="n">
        <f aca="false">SUMIFS(Applications!$G$2:$G$3144,Applications!$B$2:$B$3144,A287,Applications!$H$2:$H$3144,"Yes")</f>
        <v>0</v>
      </c>
      <c r="Q287" s="21" t="str">
        <f aca="false">IF(O287="Yes",INDEX(Companies!$B$2:$B$31,MATCH(INDEX(Applications!$C$2:$C$3144,MATCH(A287,Applications!$P$2:$P$3144,0)),Companies!$A$2:$A$31,0)),"-")</f>
        <v>-</v>
      </c>
    </row>
    <row r="288" customFormat="false" ht="15" hidden="false" customHeight="false" outlineLevel="0" collapsed="false">
      <c r="A288" s="21" t="s">
        <v>645</v>
      </c>
      <c r="B288" s="21" t="s">
        <v>646</v>
      </c>
      <c r="C288" s="21" t="s">
        <v>458</v>
      </c>
      <c r="D288" s="21" t="s">
        <v>65</v>
      </c>
      <c r="E288" s="21" t="s">
        <v>91</v>
      </c>
      <c r="F288" s="21" t="n">
        <v>7.05</v>
      </c>
      <c r="G288" s="21" t="n">
        <v>254</v>
      </c>
      <c r="H288" s="21" t="n">
        <v>6</v>
      </c>
      <c r="I288" s="21" t="s">
        <v>120</v>
      </c>
      <c r="J288" s="21" t="n">
        <v>48</v>
      </c>
      <c r="K288" s="32" t="n">
        <f aca="false">ROUND(Assumptions!$B$4*MIN(G288/Assumptions!$B$11,1)*100+Assumptions!$B$5*F288/10*100+Assumptions!$B$6*MIN(H288/Assumptions!$B$12,1)*100+Assumptions!$B$7*J288+Assumptions!$B$8*IF(I288="Yes",100,0),1)</f>
        <v>68.9</v>
      </c>
      <c r="L288" s="21" t="str">
        <f aca="false">LOOKUP(K288,Assumptions!$D$4:$D$7,Assumptions!$E$4:$E$7)</f>
        <v>Job-Ready</v>
      </c>
      <c r="M288" s="21" t="n">
        <f aca="false">COUNTIFS(Applications!$B$2:$B$3144,A288)</f>
        <v>7</v>
      </c>
      <c r="N288" s="21" t="n">
        <f aca="false">COUNTIFS(Applications!$B$2:$B$3144,A288,Applications!$F$2:$F$3144,"Offered")</f>
        <v>1</v>
      </c>
      <c r="O288" s="21" t="str">
        <f aca="false">IF(COUNTIFS(Applications!$B$2:$B$3144,A288,Applications!$H$2:$H$3144,"Yes")&gt;0,"Yes","No")</f>
        <v>Yes</v>
      </c>
      <c r="P288" s="32" t="n">
        <f aca="false">SUMIFS(Applications!$G$2:$G$3144,Applications!$B$2:$B$3144,A288,Applications!$H$2:$H$3144,"Yes")</f>
        <v>25.2</v>
      </c>
      <c r="Q288" s="21" t="str">
        <f aca="false">IF(O288="Yes",INDEX(Companies!$B$2:$B$31,MATCH(INDEX(Applications!$C$2:$C$3144,MATCH(A288,Applications!$P$2:$P$3144,0)),Companies!$A$2:$A$31,0)),"-")</f>
        <v>Vertex AI Works</v>
      </c>
    </row>
    <row r="289" customFormat="false" ht="15" hidden="false" customHeight="false" outlineLevel="0" collapsed="false">
      <c r="A289" s="21" t="s">
        <v>647</v>
      </c>
      <c r="B289" s="21" t="s">
        <v>648</v>
      </c>
      <c r="C289" s="21" t="s">
        <v>458</v>
      </c>
      <c r="D289" s="21" t="s">
        <v>66</v>
      </c>
      <c r="E289" s="21" t="s">
        <v>92</v>
      </c>
      <c r="F289" s="21" t="n">
        <v>7.46</v>
      </c>
      <c r="G289" s="21" t="n">
        <v>386</v>
      </c>
      <c r="H289" s="21" t="n">
        <v>7</v>
      </c>
      <c r="I289" s="21" t="s">
        <v>113</v>
      </c>
      <c r="J289" s="21" t="n">
        <v>68</v>
      </c>
      <c r="K289" s="32" t="n">
        <f aca="false">ROUND(Assumptions!$B$4*MIN(G289/Assumptions!$B$11,1)*100+Assumptions!$B$5*F289/10*100+Assumptions!$B$6*MIN(H289/Assumptions!$B$12,1)*100+Assumptions!$B$7*J289+Assumptions!$B$8*IF(I289="Yes",100,0),1)</f>
        <v>71.7</v>
      </c>
      <c r="L289" s="21" t="str">
        <f aca="false">LOOKUP(K289,Assumptions!$D$4:$D$7,Assumptions!$E$4:$E$7)</f>
        <v>Job-Ready</v>
      </c>
      <c r="M289" s="21" t="n">
        <f aca="false">COUNTIFS(Applications!$B$2:$B$3144,A289)</f>
        <v>8</v>
      </c>
      <c r="N289" s="21" t="n">
        <f aca="false">COUNTIFS(Applications!$B$2:$B$3144,A289,Applications!$F$2:$F$3144,"Offered")</f>
        <v>2</v>
      </c>
      <c r="O289" s="21" t="str">
        <f aca="false">IF(COUNTIFS(Applications!$B$2:$B$3144,A289,Applications!$H$2:$H$3144,"Yes")&gt;0,"Yes","No")</f>
        <v>Yes</v>
      </c>
      <c r="P289" s="32" t="n">
        <f aca="false">SUMIFS(Applications!$G$2:$G$3144,Applications!$B$2:$B$3144,A289,Applications!$H$2:$H$3144,"Yes")</f>
        <v>14.8</v>
      </c>
      <c r="Q289" s="21" t="str">
        <f aca="false">IF(O289="Yes",INDEX(Companies!$B$2:$B$31,MATCH(INDEX(Applications!$C$2:$C$3144,MATCH(A289,Applications!$P$2:$P$3144,0)),Companies!$A$2:$A$31,0)),"-")</f>
        <v>FinStack</v>
      </c>
    </row>
    <row r="290" customFormat="false" ht="15" hidden="false" customHeight="false" outlineLevel="0" collapsed="false">
      <c r="A290" s="21" t="s">
        <v>649</v>
      </c>
      <c r="B290" s="21" t="s">
        <v>650</v>
      </c>
      <c r="C290" s="21" t="s">
        <v>458</v>
      </c>
      <c r="D290" s="21" t="s">
        <v>64</v>
      </c>
      <c r="E290" s="21" t="s">
        <v>92</v>
      </c>
      <c r="F290" s="21" t="n">
        <v>6.25</v>
      </c>
      <c r="G290" s="21" t="n">
        <v>337</v>
      </c>
      <c r="H290" s="21" t="n">
        <v>5</v>
      </c>
      <c r="I290" s="21" t="s">
        <v>113</v>
      </c>
      <c r="J290" s="21" t="n">
        <v>71</v>
      </c>
      <c r="K290" s="32" t="n">
        <f aca="false">ROUND(Assumptions!$B$4*MIN(G290/Assumptions!$B$11,1)*100+Assumptions!$B$5*F290/10*100+Assumptions!$B$6*MIN(H290/Assumptions!$B$12,1)*100+Assumptions!$B$7*J290+Assumptions!$B$8*IF(I290="Yes",100,0),1)</f>
        <v>66.9</v>
      </c>
      <c r="L290" s="21" t="str">
        <f aca="false">LOOKUP(K290,Assumptions!$D$4:$D$7,Assumptions!$E$4:$E$7)</f>
        <v>Job-Ready</v>
      </c>
      <c r="M290" s="21" t="n">
        <f aca="false">COUNTIFS(Applications!$B$2:$B$3144,A290)</f>
        <v>7</v>
      </c>
      <c r="N290" s="21" t="n">
        <f aca="false">COUNTIFS(Applications!$B$2:$B$3144,A290,Applications!$F$2:$F$3144,"Offered")</f>
        <v>2</v>
      </c>
      <c r="O290" s="21" t="str">
        <f aca="false">IF(COUNTIFS(Applications!$B$2:$B$3144,A290,Applications!$H$2:$H$3144,"Yes")&gt;0,"Yes","No")</f>
        <v>Yes</v>
      </c>
      <c r="P290" s="32" t="n">
        <f aca="false">SUMIFS(Applications!$G$2:$G$3144,Applications!$B$2:$B$3144,A290,Applications!$H$2:$H$3144,"Yes")</f>
        <v>7.2</v>
      </c>
      <c r="Q290" s="21" t="str">
        <f aca="false">IF(O290="Yes",INDEX(Companies!$B$2:$B$31,MATCH(INDEX(Applications!$C$2:$C$3144,MATCH(A290,Applications!$P$2:$P$3144,0)),Companies!$A$2:$A$31,0)),"-")</f>
        <v>LearnEasy</v>
      </c>
    </row>
    <row r="291" customFormat="false" ht="15" hidden="false" customHeight="false" outlineLevel="0" collapsed="false">
      <c r="A291" s="21" t="s">
        <v>651</v>
      </c>
      <c r="B291" s="21" t="s">
        <v>652</v>
      </c>
      <c r="C291" s="21" t="s">
        <v>458</v>
      </c>
      <c r="D291" s="21" t="s">
        <v>63</v>
      </c>
      <c r="E291" s="21" t="s">
        <v>90</v>
      </c>
      <c r="F291" s="21" t="n">
        <v>6.07</v>
      </c>
      <c r="G291" s="21" t="n">
        <v>130</v>
      </c>
      <c r="H291" s="21" t="n">
        <v>6</v>
      </c>
      <c r="I291" s="21" t="s">
        <v>120</v>
      </c>
      <c r="J291" s="21" t="n">
        <v>68</v>
      </c>
      <c r="K291" s="32" t="n">
        <f aca="false">ROUND(Assumptions!$B$4*MIN(G291/Assumptions!$B$11,1)*100+Assumptions!$B$5*F291/10*100+Assumptions!$B$6*MIN(H291/Assumptions!$B$12,1)*100+Assumptions!$B$7*J291+Assumptions!$B$8*IF(I291="Yes",100,0),1)</f>
        <v>63.5</v>
      </c>
      <c r="L291" s="21" t="str">
        <f aca="false">LOOKUP(K291,Assumptions!$D$4:$D$7,Assumptions!$E$4:$E$7)</f>
        <v>Developing</v>
      </c>
      <c r="M291" s="21" t="n">
        <f aca="false">COUNTIFS(Applications!$B$2:$B$3144,A291)</f>
        <v>8</v>
      </c>
      <c r="N291" s="21" t="n">
        <f aca="false">COUNTIFS(Applications!$B$2:$B$3144,A291,Applications!$F$2:$F$3144,"Offered")</f>
        <v>2</v>
      </c>
      <c r="O291" s="21" t="str">
        <f aca="false">IF(COUNTIFS(Applications!$B$2:$B$3144,A291,Applications!$H$2:$H$3144,"Yes")&gt;0,"Yes","No")</f>
        <v>Yes</v>
      </c>
      <c r="P291" s="32" t="n">
        <f aca="false">SUMIFS(Applications!$G$2:$G$3144,Applications!$B$2:$B$3144,A291,Applications!$H$2:$H$3144,"Yes")</f>
        <v>11.6</v>
      </c>
      <c r="Q291" s="21" t="str">
        <f aca="false">IF(O291="Yes",INDEX(Companies!$B$2:$B$31,MATCH(INDEX(Applications!$C$2:$C$3144,MATCH(A291,Applications!$P$2:$P$3144,0)),Companies!$A$2:$A$31,0)),"-")</f>
        <v>FinStack</v>
      </c>
    </row>
    <row r="292" customFormat="false" ht="15" hidden="false" customHeight="false" outlineLevel="0" collapsed="false">
      <c r="A292" s="21" t="s">
        <v>653</v>
      </c>
      <c r="B292" s="21" t="s">
        <v>654</v>
      </c>
      <c r="C292" s="21" t="s">
        <v>458</v>
      </c>
      <c r="D292" s="21" t="s">
        <v>63</v>
      </c>
      <c r="E292" s="21" t="s">
        <v>90</v>
      </c>
      <c r="F292" s="21" t="n">
        <v>8.28</v>
      </c>
      <c r="G292" s="21" t="n">
        <v>139</v>
      </c>
      <c r="H292" s="21" t="n">
        <v>5</v>
      </c>
      <c r="I292" s="21" t="s">
        <v>113</v>
      </c>
      <c r="J292" s="21" t="n">
        <v>51</v>
      </c>
      <c r="K292" s="32" t="n">
        <f aca="false">ROUND(Assumptions!$B$4*MIN(G292/Assumptions!$B$11,1)*100+Assumptions!$B$5*F292/10*100+Assumptions!$B$6*MIN(H292/Assumptions!$B$12,1)*100+Assumptions!$B$7*J292+Assumptions!$B$8*IF(I292="Yes",100,0),1)</f>
        <v>55.1</v>
      </c>
      <c r="L292" s="21" t="str">
        <f aca="false">LOOKUP(K292,Assumptions!$D$4:$D$7,Assumptions!$E$4:$E$7)</f>
        <v>Developing</v>
      </c>
      <c r="M292" s="21" t="n">
        <f aca="false">COUNTIFS(Applications!$B$2:$B$3144,A292)</f>
        <v>6</v>
      </c>
      <c r="N292" s="21" t="n">
        <f aca="false">COUNTIFS(Applications!$B$2:$B$3144,A292,Applications!$F$2:$F$3144,"Offered")</f>
        <v>2</v>
      </c>
      <c r="O292" s="21" t="str">
        <f aca="false">IF(COUNTIFS(Applications!$B$2:$B$3144,A292,Applications!$H$2:$H$3144,"Yes")&gt;0,"Yes","No")</f>
        <v>Yes</v>
      </c>
      <c r="P292" s="32" t="n">
        <f aca="false">SUMIFS(Applications!$G$2:$G$3144,Applications!$B$2:$B$3144,A292,Applications!$H$2:$H$3144,"Yes")</f>
        <v>6.4</v>
      </c>
      <c r="Q292" s="21" t="str">
        <f aca="false">IF(O292="Yes",INDEX(Companies!$B$2:$B$31,MATCH(INDEX(Applications!$C$2:$C$3144,MATCH(A292,Applications!$P$2:$P$3144,0)),Companies!$A$2:$A$31,0)),"-")</f>
        <v>Sapphire Infotech</v>
      </c>
    </row>
    <row r="293" customFormat="false" ht="15" hidden="false" customHeight="false" outlineLevel="0" collapsed="false">
      <c r="A293" s="21" t="s">
        <v>655</v>
      </c>
      <c r="B293" s="21" t="s">
        <v>353</v>
      </c>
      <c r="C293" s="21" t="s">
        <v>458</v>
      </c>
      <c r="D293" s="21" t="s">
        <v>66</v>
      </c>
      <c r="E293" s="21" t="s">
        <v>90</v>
      </c>
      <c r="F293" s="21" t="n">
        <v>8.43</v>
      </c>
      <c r="G293" s="21" t="n">
        <v>82</v>
      </c>
      <c r="H293" s="21" t="n">
        <v>2</v>
      </c>
      <c r="I293" s="21" t="s">
        <v>113</v>
      </c>
      <c r="J293" s="21" t="n">
        <v>50</v>
      </c>
      <c r="K293" s="32" t="n">
        <f aca="false">ROUND(Assumptions!$B$4*MIN(G293/Assumptions!$B$11,1)*100+Assumptions!$B$5*F293/10*100+Assumptions!$B$6*MIN(H293/Assumptions!$B$12,1)*100+Assumptions!$B$7*J293+Assumptions!$B$8*IF(I293="Yes",100,0),1)</f>
        <v>39.8</v>
      </c>
      <c r="L293" s="21" t="str">
        <f aca="false">LOOKUP(K293,Assumptions!$D$4:$D$7,Assumptions!$E$4:$E$7)</f>
        <v>Foundation</v>
      </c>
      <c r="M293" s="21" t="n">
        <f aca="false">COUNTIFS(Applications!$B$2:$B$3144,A293)</f>
        <v>2</v>
      </c>
      <c r="N293" s="21" t="n">
        <f aca="false">COUNTIFS(Applications!$B$2:$B$3144,A293,Applications!$F$2:$F$3144,"Offered")</f>
        <v>1</v>
      </c>
      <c r="O293" s="21" t="str">
        <f aca="false">IF(COUNTIFS(Applications!$B$2:$B$3144,A293,Applications!$H$2:$H$3144,"Yes")&gt;0,"Yes","No")</f>
        <v>Yes</v>
      </c>
      <c r="P293" s="32" t="n">
        <f aca="false">SUMIFS(Applications!$G$2:$G$3144,Applications!$B$2:$B$3144,A293,Applications!$H$2:$H$3144,"Yes")</f>
        <v>5.1</v>
      </c>
      <c r="Q293" s="21" t="str">
        <f aca="false">IF(O293="Yes",INDEX(Companies!$B$2:$B$31,MATCH(INDEX(Applications!$C$2:$C$3144,MATCH(A293,Applications!$P$2:$P$3144,0)),Companies!$A$2:$A$31,0)),"-")</f>
        <v>Sapphire Infotech</v>
      </c>
    </row>
    <row r="294" customFormat="false" ht="15" hidden="false" customHeight="false" outlineLevel="0" collapsed="false">
      <c r="A294" s="21" t="s">
        <v>656</v>
      </c>
      <c r="B294" s="21" t="s">
        <v>401</v>
      </c>
      <c r="C294" s="21" t="s">
        <v>458</v>
      </c>
      <c r="D294" s="21" t="s">
        <v>67</v>
      </c>
      <c r="E294" s="21" t="s">
        <v>91</v>
      </c>
      <c r="F294" s="21" t="n">
        <v>7.35</v>
      </c>
      <c r="G294" s="21" t="n">
        <v>489</v>
      </c>
      <c r="H294" s="21" t="n">
        <v>2</v>
      </c>
      <c r="I294" s="21" t="s">
        <v>120</v>
      </c>
      <c r="J294" s="21" t="n">
        <v>72</v>
      </c>
      <c r="K294" s="32" t="n">
        <f aca="false">ROUND(Assumptions!$B$4*MIN(G294/Assumptions!$B$11,1)*100+Assumptions!$B$5*F294/10*100+Assumptions!$B$6*MIN(H294/Assumptions!$B$12,1)*100+Assumptions!$B$7*J294+Assumptions!$B$8*IF(I294="Yes",100,0),1)</f>
        <v>76.4</v>
      </c>
      <c r="L294" s="21" t="str">
        <f aca="false">LOOKUP(K294,Assumptions!$D$4:$D$7,Assumptions!$E$4:$E$7)</f>
        <v>Job-Ready</v>
      </c>
      <c r="M294" s="21" t="n">
        <f aca="false">COUNTIFS(Applications!$B$2:$B$3144,A294)</f>
        <v>2</v>
      </c>
      <c r="N294" s="21" t="n">
        <f aca="false">COUNTIFS(Applications!$B$2:$B$3144,A294,Applications!$F$2:$F$3144,"Offered")</f>
        <v>0</v>
      </c>
      <c r="O294" s="21" t="str">
        <f aca="false">IF(COUNTIFS(Applications!$B$2:$B$3144,A294,Applications!$H$2:$H$3144,"Yes")&gt;0,"Yes","No")</f>
        <v>No</v>
      </c>
      <c r="P294" s="32" t="n">
        <f aca="false">SUMIFS(Applications!$G$2:$G$3144,Applications!$B$2:$B$3144,A294,Applications!$H$2:$H$3144,"Yes")</f>
        <v>0</v>
      </c>
      <c r="Q294" s="21" t="str">
        <f aca="false">IF(O294="Yes",INDEX(Companies!$B$2:$B$31,MATCH(INDEX(Applications!$C$2:$C$3144,MATCH(A294,Applications!$P$2:$P$3144,0)),Companies!$A$2:$A$31,0)),"-")</f>
        <v>-</v>
      </c>
    </row>
    <row r="295" customFormat="false" ht="15" hidden="false" customHeight="false" outlineLevel="0" collapsed="false">
      <c r="A295" s="21" t="s">
        <v>657</v>
      </c>
      <c r="B295" s="21" t="s">
        <v>658</v>
      </c>
      <c r="C295" s="21" t="s">
        <v>458</v>
      </c>
      <c r="D295" s="21" t="s">
        <v>67</v>
      </c>
      <c r="E295" s="21" t="s">
        <v>91</v>
      </c>
      <c r="F295" s="21" t="n">
        <v>7.46</v>
      </c>
      <c r="G295" s="21" t="n">
        <v>183</v>
      </c>
      <c r="H295" s="21" t="n">
        <v>5</v>
      </c>
      <c r="I295" s="21" t="s">
        <v>120</v>
      </c>
      <c r="J295" s="21" t="n">
        <v>61</v>
      </c>
      <c r="K295" s="32" t="n">
        <f aca="false">ROUND(Assumptions!$B$4*MIN(G295/Assumptions!$B$11,1)*100+Assumptions!$B$5*F295/10*100+Assumptions!$B$6*MIN(H295/Assumptions!$B$12,1)*100+Assumptions!$B$7*J295+Assumptions!$B$8*IF(I295="Yes",100,0),1)</f>
        <v>68.1</v>
      </c>
      <c r="L295" s="21" t="str">
        <f aca="false">LOOKUP(K295,Assumptions!$D$4:$D$7,Assumptions!$E$4:$E$7)</f>
        <v>Job-Ready</v>
      </c>
      <c r="M295" s="21" t="n">
        <f aca="false">COUNTIFS(Applications!$B$2:$B$3144,A295)</f>
        <v>7</v>
      </c>
      <c r="N295" s="21" t="n">
        <f aca="false">COUNTIFS(Applications!$B$2:$B$3144,A295,Applications!$F$2:$F$3144,"Offered")</f>
        <v>2</v>
      </c>
      <c r="O295" s="21" t="str">
        <f aca="false">IF(COUNTIFS(Applications!$B$2:$B$3144,A295,Applications!$H$2:$H$3144,"Yes")&gt;0,"Yes","No")</f>
        <v>Yes</v>
      </c>
      <c r="P295" s="32" t="n">
        <f aca="false">SUMIFS(Applications!$G$2:$G$3144,Applications!$B$2:$B$3144,A295,Applications!$H$2:$H$3144,"Yes")</f>
        <v>5.5</v>
      </c>
      <c r="Q295" s="21" t="str">
        <f aca="false">IF(O295="Yes",INDEX(Companies!$B$2:$B$31,MATCH(INDEX(Applications!$C$2:$C$3144,MATCH(A295,Applications!$P$2:$P$3144,0)),Companies!$A$2:$A$31,0)),"-")</f>
        <v>Pioneer Softech</v>
      </c>
    </row>
    <row r="296" customFormat="false" ht="15" hidden="false" customHeight="false" outlineLevel="0" collapsed="false">
      <c r="A296" s="21" t="s">
        <v>659</v>
      </c>
      <c r="B296" s="21" t="s">
        <v>660</v>
      </c>
      <c r="C296" s="21" t="s">
        <v>458</v>
      </c>
      <c r="D296" s="21" t="s">
        <v>65</v>
      </c>
      <c r="E296" s="21" t="s">
        <v>91</v>
      </c>
      <c r="F296" s="21" t="n">
        <v>7.68</v>
      </c>
      <c r="G296" s="21" t="n">
        <v>105</v>
      </c>
      <c r="H296" s="21" t="n">
        <v>4</v>
      </c>
      <c r="I296" s="21" t="s">
        <v>113</v>
      </c>
      <c r="J296" s="21" t="n">
        <v>56</v>
      </c>
      <c r="K296" s="32" t="n">
        <f aca="false">ROUND(Assumptions!$B$4*MIN(G296/Assumptions!$B$11,1)*100+Assumptions!$B$5*F296/10*100+Assumptions!$B$6*MIN(H296/Assumptions!$B$12,1)*100+Assumptions!$B$7*J296+Assumptions!$B$8*IF(I296="Yes",100,0),1)</f>
        <v>48.9</v>
      </c>
      <c r="L296" s="21" t="str">
        <f aca="false">LOOKUP(K296,Assumptions!$D$4:$D$7,Assumptions!$E$4:$E$7)</f>
        <v>Foundation</v>
      </c>
      <c r="M296" s="21" t="n">
        <f aca="false">COUNTIFS(Applications!$B$2:$B$3144,A296)</f>
        <v>2</v>
      </c>
      <c r="N296" s="21" t="n">
        <f aca="false">COUNTIFS(Applications!$B$2:$B$3144,A296,Applications!$F$2:$F$3144,"Offered")</f>
        <v>1</v>
      </c>
      <c r="O296" s="21" t="str">
        <f aca="false">IF(COUNTIFS(Applications!$B$2:$B$3144,A296,Applications!$H$2:$H$3144,"Yes")&gt;0,"Yes","No")</f>
        <v>Yes</v>
      </c>
      <c r="P296" s="32" t="n">
        <f aca="false">SUMIFS(Applications!$G$2:$G$3144,Applications!$B$2:$B$3144,A296,Applications!$H$2:$H$3144,"Yes")</f>
        <v>6</v>
      </c>
      <c r="Q296" s="21" t="str">
        <f aca="false">IF(O296="Yes",INDEX(Companies!$B$2:$B$31,MATCH(INDEX(Applications!$C$2:$C$3144,MATCH(A296,Applications!$P$2:$P$3144,0)),Companies!$A$2:$A$31,0)),"-")</f>
        <v>LearnEasy</v>
      </c>
    </row>
    <row r="297" customFormat="false" ht="15" hidden="false" customHeight="false" outlineLevel="0" collapsed="false">
      <c r="A297" s="21" t="s">
        <v>661</v>
      </c>
      <c r="B297" s="21" t="s">
        <v>662</v>
      </c>
      <c r="C297" s="21" t="s">
        <v>458</v>
      </c>
      <c r="D297" s="21" t="s">
        <v>66</v>
      </c>
      <c r="E297" s="21" t="s">
        <v>90</v>
      </c>
      <c r="F297" s="21" t="n">
        <v>8.37</v>
      </c>
      <c r="G297" s="21" t="n">
        <v>469</v>
      </c>
      <c r="H297" s="21" t="n">
        <v>1</v>
      </c>
      <c r="I297" s="21" t="s">
        <v>120</v>
      </c>
      <c r="J297" s="21" t="n">
        <v>73</v>
      </c>
      <c r="K297" s="32" t="n">
        <f aca="false">ROUND(Assumptions!$B$4*MIN(G297/Assumptions!$B$11,1)*100+Assumptions!$B$5*F297/10*100+Assumptions!$B$6*MIN(H297/Assumptions!$B$12,1)*100+Assumptions!$B$7*J297+Assumptions!$B$8*IF(I297="Yes",100,0),1)</f>
        <v>73.5</v>
      </c>
      <c r="L297" s="21" t="str">
        <f aca="false">LOOKUP(K297,Assumptions!$D$4:$D$7,Assumptions!$E$4:$E$7)</f>
        <v>Job-Ready</v>
      </c>
      <c r="M297" s="21" t="n">
        <f aca="false">COUNTIFS(Applications!$B$2:$B$3144,A297)</f>
        <v>0</v>
      </c>
      <c r="N297" s="21" t="n">
        <f aca="false">COUNTIFS(Applications!$B$2:$B$3144,A297,Applications!$F$2:$F$3144,"Offered")</f>
        <v>0</v>
      </c>
      <c r="O297" s="21" t="str">
        <f aca="false">IF(COUNTIFS(Applications!$B$2:$B$3144,A297,Applications!$H$2:$H$3144,"Yes")&gt;0,"Yes","No")</f>
        <v>No</v>
      </c>
      <c r="P297" s="32" t="n">
        <f aca="false">SUMIFS(Applications!$G$2:$G$3144,Applications!$B$2:$B$3144,A297,Applications!$H$2:$H$3144,"Yes")</f>
        <v>0</v>
      </c>
      <c r="Q297" s="21" t="str">
        <f aca="false">IF(O297="Yes",INDEX(Companies!$B$2:$B$31,MATCH(INDEX(Applications!$C$2:$C$3144,MATCH(A297,Applications!$P$2:$P$3144,0)),Companies!$A$2:$A$31,0)),"-")</f>
        <v>-</v>
      </c>
    </row>
    <row r="298" customFormat="false" ht="15" hidden="false" customHeight="false" outlineLevel="0" collapsed="false">
      <c r="A298" s="21" t="s">
        <v>663</v>
      </c>
      <c r="B298" s="21" t="s">
        <v>664</v>
      </c>
      <c r="C298" s="21" t="s">
        <v>458</v>
      </c>
      <c r="D298" s="21" t="s">
        <v>64</v>
      </c>
      <c r="E298" s="21" t="s">
        <v>90</v>
      </c>
      <c r="F298" s="21" t="n">
        <v>6.98</v>
      </c>
      <c r="G298" s="21" t="n">
        <v>370</v>
      </c>
      <c r="H298" s="21" t="n">
        <v>4</v>
      </c>
      <c r="I298" s="21" t="s">
        <v>120</v>
      </c>
      <c r="J298" s="21" t="n">
        <v>58</v>
      </c>
      <c r="K298" s="32" t="n">
        <f aca="false">ROUND(Assumptions!$B$4*MIN(G298/Assumptions!$B$11,1)*100+Assumptions!$B$5*F298/10*100+Assumptions!$B$6*MIN(H298/Assumptions!$B$12,1)*100+Assumptions!$B$7*J298+Assumptions!$B$8*IF(I298="Yes",100,0),1)</f>
        <v>73.8</v>
      </c>
      <c r="L298" s="21" t="str">
        <f aca="false">LOOKUP(K298,Assumptions!$D$4:$D$7,Assumptions!$E$4:$E$7)</f>
        <v>Job-Ready</v>
      </c>
      <c r="M298" s="21" t="n">
        <f aca="false">COUNTIFS(Applications!$B$2:$B$3144,A298)</f>
        <v>7</v>
      </c>
      <c r="N298" s="21" t="n">
        <f aca="false">COUNTIFS(Applications!$B$2:$B$3144,A298,Applications!$F$2:$F$3144,"Offered")</f>
        <v>5</v>
      </c>
      <c r="O298" s="21" t="str">
        <f aca="false">IF(COUNTIFS(Applications!$B$2:$B$3144,A298,Applications!$H$2:$H$3144,"Yes")&gt;0,"Yes","No")</f>
        <v>Yes</v>
      </c>
      <c r="P298" s="32" t="n">
        <f aca="false">SUMIFS(Applications!$G$2:$G$3144,Applications!$B$2:$B$3144,A298,Applications!$H$2:$H$3144,"Yes")</f>
        <v>14.7</v>
      </c>
      <c r="Q298" s="21" t="str">
        <f aca="false">IF(O298="Yes",INDEX(Companies!$B$2:$B$31,MATCH(INDEX(Applications!$C$2:$C$3144,MATCH(A298,Applications!$P$2:$P$3144,0)),Companies!$A$2:$A$31,0)),"-")</f>
        <v>VitalByte</v>
      </c>
    </row>
    <row r="299" customFormat="false" ht="15" hidden="false" customHeight="false" outlineLevel="0" collapsed="false">
      <c r="A299" s="21" t="s">
        <v>665</v>
      </c>
      <c r="B299" s="21" t="s">
        <v>666</v>
      </c>
      <c r="C299" s="21" t="s">
        <v>458</v>
      </c>
      <c r="D299" s="21" t="s">
        <v>64</v>
      </c>
      <c r="E299" s="21" t="s">
        <v>92</v>
      </c>
      <c r="F299" s="21" t="n">
        <v>8.45</v>
      </c>
      <c r="G299" s="21" t="n">
        <v>460</v>
      </c>
      <c r="H299" s="21" t="n">
        <v>9</v>
      </c>
      <c r="I299" s="21" t="s">
        <v>113</v>
      </c>
      <c r="J299" s="21" t="n">
        <v>65</v>
      </c>
      <c r="K299" s="32" t="n">
        <f aca="false">ROUND(Assumptions!$B$4*MIN(G299/Assumptions!$B$11,1)*100+Assumptions!$B$5*F299/10*100+Assumptions!$B$6*MIN(H299/Assumptions!$B$12,1)*100+Assumptions!$B$7*J299+Assumptions!$B$8*IF(I299="Yes",100,0),1)</f>
        <v>77.5</v>
      </c>
      <c r="L299" s="21" t="str">
        <f aca="false">LOOKUP(K299,Assumptions!$D$4:$D$7,Assumptions!$E$4:$E$7)</f>
        <v>Job-Ready</v>
      </c>
      <c r="M299" s="21" t="n">
        <f aca="false">COUNTIFS(Applications!$B$2:$B$3144,A299)</f>
        <v>4</v>
      </c>
      <c r="N299" s="21" t="n">
        <f aca="false">COUNTIFS(Applications!$B$2:$B$3144,A299,Applications!$F$2:$F$3144,"Offered")</f>
        <v>1</v>
      </c>
      <c r="O299" s="21" t="str">
        <f aca="false">IF(COUNTIFS(Applications!$B$2:$B$3144,A299,Applications!$H$2:$H$3144,"Yes")&gt;0,"Yes","No")</f>
        <v>Yes</v>
      </c>
      <c r="P299" s="32" t="n">
        <f aca="false">SUMIFS(Applications!$G$2:$G$3144,Applications!$B$2:$B$3144,A299,Applications!$H$2:$H$3144,"Yes")</f>
        <v>10.5</v>
      </c>
      <c r="Q299" s="21" t="str">
        <f aca="false">IF(O299="Yes",INDEX(Companies!$B$2:$B$31,MATCH(INDEX(Applications!$C$2:$C$3144,MATCH(A299,Applications!$P$2:$P$3144,0)),Companies!$A$2:$A$31,0)),"-")</f>
        <v>ShopSprint</v>
      </c>
    </row>
    <row r="300" customFormat="false" ht="15" hidden="false" customHeight="false" outlineLevel="0" collapsed="false">
      <c r="A300" s="21" t="s">
        <v>667</v>
      </c>
      <c r="B300" s="21" t="s">
        <v>300</v>
      </c>
      <c r="C300" s="21" t="s">
        <v>458</v>
      </c>
      <c r="D300" s="21" t="s">
        <v>63</v>
      </c>
      <c r="E300" s="21" t="s">
        <v>92</v>
      </c>
      <c r="F300" s="21" t="n">
        <v>7.42</v>
      </c>
      <c r="G300" s="21" t="n">
        <v>153</v>
      </c>
      <c r="H300" s="21" t="n">
        <v>4</v>
      </c>
      <c r="I300" s="21" t="s">
        <v>113</v>
      </c>
      <c r="J300" s="21" t="n">
        <v>65</v>
      </c>
      <c r="K300" s="32" t="n">
        <f aca="false">ROUND(Assumptions!$B$4*MIN(G300/Assumptions!$B$11,1)*100+Assumptions!$B$5*F300/10*100+Assumptions!$B$6*MIN(H300/Assumptions!$B$12,1)*100+Assumptions!$B$7*J300+Assumptions!$B$8*IF(I300="Yes",100,0),1)</f>
        <v>53</v>
      </c>
      <c r="L300" s="21" t="str">
        <f aca="false">LOOKUP(K300,Assumptions!$D$4:$D$7,Assumptions!$E$4:$E$7)</f>
        <v>Developing</v>
      </c>
      <c r="M300" s="21" t="n">
        <f aca="false">COUNTIFS(Applications!$B$2:$B$3144,A300)</f>
        <v>4</v>
      </c>
      <c r="N300" s="21" t="n">
        <f aca="false">COUNTIFS(Applications!$B$2:$B$3144,A300,Applications!$F$2:$F$3144,"Offered")</f>
        <v>1</v>
      </c>
      <c r="O300" s="21" t="str">
        <f aca="false">IF(COUNTIFS(Applications!$B$2:$B$3144,A300,Applications!$H$2:$H$3144,"Yes")&gt;0,"Yes","No")</f>
        <v>Yes</v>
      </c>
      <c r="P300" s="32" t="n">
        <f aca="false">SUMIFS(Applications!$G$2:$G$3144,Applications!$B$2:$B$3144,A300,Applications!$H$2:$H$3144,"Yes")</f>
        <v>13.8</v>
      </c>
      <c r="Q300" s="21" t="str">
        <f aca="false">IF(O300="Yes",INDEX(Companies!$B$2:$B$31,MATCH(INDEX(Applications!$C$2:$C$3144,MATCH(A300,Applications!$P$2:$P$3144,0)),Companies!$A$2:$A$31,0)),"-")</f>
        <v>InsightWorks</v>
      </c>
    </row>
    <row r="301" customFormat="false" ht="15" hidden="false" customHeight="false" outlineLevel="0" collapsed="false">
      <c r="A301" s="21" t="s">
        <v>668</v>
      </c>
      <c r="B301" s="21" t="s">
        <v>669</v>
      </c>
      <c r="C301" s="21" t="s">
        <v>458</v>
      </c>
      <c r="D301" s="21" t="s">
        <v>66</v>
      </c>
      <c r="E301" s="21" t="s">
        <v>90</v>
      </c>
      <c r="F301" s="21" t="n">
        <v>7.81</v>
      </c>
      <c r="G301" s="21" t="n">
        <v>210</v>
      </c>
      <c r="H301" s="21" t="n">
        <v>4</v>
      </c>
      <c r="I301" s="21" t="s">
        <v>120</v>
      </c>
      <c r="J301" s="21" t="n">
        <v>59</v>
      </c>
      <c r="K301" s="32" t="n">
        <f aca="false">ROUND(Assumptions!$B$4*MIN(G301/Assumptions!$B$11,1)*100+Assumptions!$B$5*F301/10*100+Assumptions!$B$6*MIN(H301/Assumptions!$B$12,1)*100+Assumptions!$B$7*J301+Assumptions!$B$8*IF(I301="Yes",100,0),1)</f>
        <v>66</v>
      </c>
      <c r="L301" s="21" t="str">
        <f aca="false">LOOKUP(K301,Assumptions!$D$4:$D$7,Assumptions!$E$4:$E$7)</f>
        <v>Job-Ready</v>
      </c>
      <c r="M301" s="21" t="n">
        <f aca="false">COUNTIFS(Applications!$B$2:$B$3144,A301)</f>
        <v>6</v>
      </c>
      <c r="N301" s="21" t="n">
        <f aca="false">COUNTIFS(Applications!$B$2:$B$3144,A301,Applications!$F$2:$F$3144,"Offered")</f>
        <v>3</v>
      </c>
      <c r="O301" s="21" t="str">
        <f aca="false">IF(COUNTIFS(Applications!$B$2:$B$3144,A301,Applications!$H$2:$H$3144,"Yes")&gt;0,"Yes","No")</f>
        <v>Yes</v>
      </c>
      <c r="P301" s="32" t="n">
        <f aca="false">SUMIFS(Applications!$G$2:$G$3144,Applications!$B$2:$B$3144,A301,Applications!$H$2:$H$3144,"Yes")</f>
        <v>9.4</v>
      </c>
      <c r="Q301" s="21" t="str">
        <f aca="false">IF(O301="Yes",INDEX(Companies!$B$2:$B$31,MATCH(INDEX(Applications!$C$2:$C$3144,MATCH(A301,Applications!$P$2:$P$3144,0)),Companies!$A$2:$A$31,0)),"-")</f>
        <v>DataBridge Analytics</v>
      </c>
    </row>
    <row r="302" customFormat="false" ht="15" hidden="false" customHeight="false" outlineLevel="0" collapsed="false">
      <c r="A302" s="21" t="s">
        <v>670</v>
      </c>
      <c r="B302" s="21" t="s">
        <v>671</v>
      </c>
      <c r="C302" s="21" t="s">
        <v>458</v>
      </c>
      <c r="D302" s="21" t="s">
        <v>66</v>
      </c>
      <c r="E302" s="21" t="s">
        <v>91</v>
      </c>
      <c r="F302" s="21" t="n">
        <v>5.94</v>
      </c>
      <c r="G302" s="21" t="n">
        <v>255</v>
      </c>
      <c r="H302" s="21" t="n">
        <v>4</v>
      </c>
      <c r="I302" s="21" t="s">
        <v>120</v>
      </c>
      <c r="J302" s="21" t="n">
        <v>70</v>
      </c>
      <c r="K302" s="32" t="n">
        <f aca="false">ROUND(Assumptions!$B$4*MIN(G302/Assumptions!$B$11,1)*100+Assumptions!$B$5*F302/10*100+Assumptions!$B$6*MIN(H302/Assumptions!$B$12,1)*100+Assumptions!$B$7*J302+Assumptions!$B$8*IF(I302="Yes",100,0),1)</f>
        <v>67.2</v>
      </c>
      <c r="L302" s="21" t="str">
        <f aca="false">LOOKUP(K302,Assumptions!$D$4:$D$7,Assumptions!$E$4:$E$7)</f>
        <v>Job-Ready</v>
      </c>
      <c r="M302" s="21" t="n">
        <f aca="false">COUNTIFS(Applications!$B$2:$B$3144,A302)</f>
        <v>4</v>
      </c>
      <c r="N302" s="21" t="n">
        <f aca="false">COUNTIFS(Applications!$B$2:$B$3144,A302,Applications!$F$2:$F$3144,"Offered")</f>
        <v>1</v>
      </c>
      <c r="O302" s="21" t="str">
        <f aca="false">IF(COUNTIFS(Applications!$B$2:$B$3144,A302,Applications!$H$2:$H$3144,"Yes")&gt;0,"Yes","No")</f>
        <v>Yes</v>
      </c>
      <c r="P302" s="32" t="n">
        <f aca="false">SUMIFS(Applications!$G$2:$G$3144,Applications!$B$2:$B$3144,A302,Applications!$H$2:$H$3144,"Yes")</f>
        <v>5.4</v>
      </c>
      <c r="Q302" s="21" t="str">
        <f aca="false">IF(O302="Yes",INDEX(Companies!$B$2:$B$31,MATCH(INDEX(Applications!$C$2:$C$3144,MATCH(A302,Applications!$P$2:$P$3144,0)),Companies!$A$2:$A$31,0)),"-")</f>
        <v>Sapphire Infotech</v>
      </c>
    </row>
    <row r="303" customFormat="false" ht="15" hidden="false" customHeight="false" outlineLevel="0" collapsed="false">
      <c r="A303" s="21" t="s">
        <v>672</v>
      </c>
      <c r="B303" s="21" t="s">
        <v>673</v>
      </c>
      <c r="C303" s="21" t="s">
        <v>458</v>
      </c>
      <c r="D303" s="21" t="s">
        <v>64</v>
      </c>
      <c r="E303" s="21" t="s">
        <v>91</v>
      </c>
      <c r="F303" s="21" t="n">
        <v>8.01</v>
      </c>
      <c r="G303" s="21" t="n">
        <v>511</v>
      </c>
      <c r="H303" s="21" t="n">
        <v>6</v>
      </c>
      <c r="I303" s="21" t="s">
        <v>113</v>
      </c>
      <c r="J303" s="21" t="n">
        <v>34</v>
      </c>
      <c r="K303" s="32" t="n">
        <f aca="false">ROUND(Assumptions!$B$4*MIN(G303/Assumptions!$B$11,1)*100+Assumptions!$B$5*F303/10*100+Assumptions!$B$6*MIN(H303/Assumptions!$B$12,1)*100+Assumptions!$B$7*J303+Assumptions!$B$8*IF(I303="Yes",100,0),1)</f>
        <v>72.8</v>
      </c>
      <c r="L303" s="21" t="str">
        <f aca="false">LOOKUP(K303,Assumptions!$D$4:$D$7,Assumptions!$E$4:$E$7)</f>
        <v>Job-Ready</v>
      </c>
      <c r="M303" s="21" t="n">
        <f aca="false">COUNTIFS(Applications!$B$2:$B$3144,A303)</f>
        <v>6</v>
      </c>
      <c r="N303" s="21" t="n">
        <f aca="false">COUNTIFS(Applications!$B$2:$B$3144,A303,Applications!$F$2:$F$3144,"Offered")</f>
        <v>3</v>
      </c>
      <c r="O303" s="21" t="str">
        <f aca="false">IF(COUNTIFS(Applications!$B$2:$B$3144,A303,Applications!$H$2:$H$3144,"Yes")&gt;0,"Yes","No")</f>
        <v>Yes</v>
      </c>
      <c r="P303" s="32" t="n">
        <f aca="false">SUMIFS(Applications!$G$2:$G$3144,Applications!$B$2:$B$3144,A303,Applications!$H$2:$H$3144,"Yes")</f>
        <v>14.1</v>
      </c>
      <c r="Q303" s="21" t="str">
        <f aca="false">IF(O303="Yes",INDEX(Companies!$B$2:$B$31,MATCH(INDEX(Applications!$C$2:$C$3144,MATCH(A303,Applications!$P$2:$P$3144,0)),Companies!$A$2:$A$31,0)),"-")</f>
        <v>ShopSprint</v>
      </c>
    </row>
    <row r="304" customFormat="false" ht="15" hidden="false" customHeight="false" outlineLevel="0" collapsed="false">
      <c r="A304" s="21" t="s">
        <v>674</v>
      </c>
      <c r="B304" s="21" t="s">
        <v>490</v>
      </c>
      <c r="C304" s="21" t="s">
        <v>458</v>
      </c>
      <c r="D304" s="21" t="s">
        <v>67</v>
      </c>
      <c r="E304" s="21" t="s">
        <v>92</v>
      </c>
      <c r="F304" s="21" t="n">
        <v>6.87</v>
      </c>
      <c r="G304" s="21" t="n">
        <v>235</v>
      </c>
      <c r="H304" s="21" t="n">
        <v>3</v>
      </c>
      <c r="I304" s="21" t="s">
        <v>120</v>
      </c>
      <c r="J304" s="21" t="n">
        <v>69</v>
      </c>
      <c r="K304" s="32" t="n">
        <f aca="false">ROUND(Assumptions!$B$4*MIN(G304/Assumptions!$B$11,1)*100+Assumptions!$B$5*F304/10*100+Assumptions!$B$6*MIN(H304/Assumptions!$B$12,1)*100+Assumptions!$B$7*J304+Assumptions!$B$8*IF(I304="Yes",100,0),1)</f>
        <v>63.6</v>
      </c>
      <c r="L304" s="21" t="str">
        <f aca="false">LOOKUP(K304,Assumptions!$D$4:$D$7,Assumptions!$E$4:$E$7)</f>
        <v>Developing</v>
      </c>
      <c r="M304" s="21" t="n">
        <f aca="false">COUNTIFS(Applications!$B$2:$B$3144,A304)</f>
        <v>4</v>
      </c>
      <c r="N304" s="21" t="n">
        <f aca="false">COUNTIFS(Applications!$B$2:$B$3144,A304,Applications!$F$2:$F$3144,"Offered")</f>
        <v>0</v>
      </c>
      <c r="O304" s="21" t="str">
        <f aca="false">IF(COUNTIFS(Applications!$B$2:$B$3144,A304,Applications!$H$2:$H$3144,"Yes")&gt;0,"Yes","No")</f>
        <v>No</v>
      </c>
      <c r="P304" s="32" t="n">
        <f aca="false">SUMIFS(Applications!$G$2:$G$3144,Applications!$B$2:$B$3144,A304,Applications!$H$2:$H$3144,"Yes")</f>
        <v>0</v>
      </c>
      <c r="Q304" s="21" t="str">
        <f aca="false">IF(O304="Yes",INDEX(Companies!$B$2:$B$31,MATCH(INDEX(Applications!$C$2:$C$3144,MATCH(A304,Applications!$P$2:$P$3144,0)),Companies!$A$2:$A$31,0)),"-")</f>
        <v>-</v>
      </c>
    </row>
    <row r="305" customFormat="false" ht="15" hidden="false" customHeight="false" outlineLevel="0" collapsed="false">
      <c r="A305" s="21" t="s">
        <v>675</v>
      </c>
      <c r="B305" s="21" t="s">
        <v>676</v>
      </c>
      <c r="C305" s="21" t="s">
        <v>458</v>
      </c>
      <c r="D305" s="21" t="s">
        <v>67</v>
      </c>
      <c r="E305" s="21" t="s">
        <v>91</v>
      </c>
      <c r="F305" s="21" t="n">
        <v>7.37</v>
      </c>
      <c r="G305" s="21" t="n">
        <v>221</v>
      </c>
      <c r="H305" s="21" t="n">
        <v>2</v>
      </c>
      <c r="I305" s="21" t="s">
        <v>120</v>
      </c>
      <c r="J305" s="21" t="n">
        <v>49</v>
      </c>
      <c r="K305" s="32" t="n">
        <f aca="false">ROUND(Assumptions!$B$4*MIN(G305/Assumptions!$B$11,1)*100+Assumptions!$B$5*F305/10*100+Assumptions!$B$6*MIN(H305/Assumptions!$B$12,1)*100+Assumptions!$B$7*J305+Assumptions!$B$8*IF(I305="Yes",100,0),1)</f>
        <v>55.8</v>
      </c>
      <c r="L305" s="21" t="str">
        <f aca="false">LOOKUP(K305,Assumptions!$D$4:$D$7,Assumptions!$E$4:$E$7)</f>
        <v>Developing</v>
      </c>
      <c r="M305" s="21" t="n">
        <f aca="false">COUNTIFS(Applications!$B$2:$B$3144,A305)</f>
        <v>5</v>
      </c>
      <c r="N305" s="21" t="n">
        <f aca="false">COUNTIFS(Applications!$B$2:$B$3144,A305,Applications!$F$2:$F$3144,"Offered")</f>
        <v>0</v>
      </c>
      <c r="O305" s="21" t="str">
        <f aca="false">IF(COUNTIFS(Applications!$B$2:$B$3144,A305,Applications!$H$2:$H$3144,"Yes")&gt;0,"Yes","No")</f>
        <v>No</v>
      </c>
      <c r="P305" s="32" t="n">
        <f aca="false">SUMIFS(Applications!$G$2:$G$3144,Applications!$B$2:$B$3144,A305,Applications!$H$2:$H$3144,"Yes")</f>
        <v>0</v>
      </c>
      <c r="Q305" s="21" t="str">
        <f aca="false">IF(O305="Yes",INDEX(Companies!$B$2:$B$31,MATCH(INDEX(Applications!$C$2:$C$3144,MATCH(A305,Applications!$P$2:$P$3144,0)),Companies!$A$2:$A$31,0)),"-")</f>
        <v>-</v>
      </c>
    </row>
    <row r="306" customFormat="false" ht="15" hidden="false" customHeight="false" outlineLevel="0" collapsed="false">
      <c r="A306" s="21" t="s">
        <v>677</v>
      </c>
      <c r="B306" s="21" t="s">
        <v>678</v>
      </c>
      <c r="C306" s="21" t="s">
        <v>458</v>
      </c>
      <c r="D306" s="21" t="s">
        <v>67</v>
      </c>
      <c r="E306" s="21" t="s">
        <v>90</v>
      </c>
      <c r="F306" s="21" t="n">
        <v>7.75</v>
      </c>
      <c r="G306" s="21" t="n">
        <v>262</v>
      </c>
      <c r="H306" s="21" t="n">
        <v>3</v>
      </c>
      <c r="I306" s="21" t="s">
        <v>120</v>
      </c>
      <c r="J306" s="21" t="n">
        <v>70</v>
      </c>
      <c r="K306" s="32" t="n">
        <f aca="false">ROUND(Assumptions!$B$4*MIN(G306/Assumptions!$B$11,1)*100+Assumptions!$B$5*F306/10*100+Assumptions!$B$6*MIN(H306/Assumptions!$B$12,1)*100+Assumptions!$B$7*J306+Assumptions!$B$8*IF(I306="Yes",100,0),1)</f>
        <v>67.2</v>
      </c>
      <c r="L306" s="21" t="str">
        <f aca="false">LOOKUP(K306,Assumptions!$D$4:$D$7,Assumptions!$E$4:$E$7)</f>
        <v>Job-Ready</v>
      </c>
      <c r="M306" s="21" t="n">
        <f aca="false">COUNTIFS(Applications!$B$2:$B$3144,A306)</f>
        <v>6</v>
      </c>
      <c r="N306" s="21" t="n">
        <f aca="false">COUNTIFS(Applications!$B$2:$B$3144,A306,Applications!$F$2:$F$3144,"Offered")</f>
        <v>2</v>
      </c>
      <c r="O306" s="21" t="str">
        <f aca="false">IF(COUNTIFS(Applications!$B$2:$B$3144,A306,Applications!$H$2:$H$3144,"Yes")&gt;0,"Yes","No")</f>
        <v>Yes</v>
      </c>
      <c r="P306" s="32" t="n">
        <f aca="false">SUMIFS(Applications!$G$2:$G$3144,Applications!$B$2:$B$3144,A306,Applications!$H$2:$H$3144,"Yes")</f>
        <v>6.6</v>
      </c>
      <c r="Q306" s="21" t="str">
        <f aca="false">IF(O306="Yes",INDEX(Companies!$B$2:$B$31,MATCH(INDEX(Applications!$C$2:$C$3144,MATCH(A306,Applications!$P$2:$P$3144,0)),Companies!$A$2:$A$31,0)),"-")</f>
        <v>CodeCrest Solutions</v>
      </c>
    </row>
    <row r="307" customFormat="false" ht="15" hidden="false" customHeight="false" outlineLevel="0" collapsed="false">
      <c r="A307" s="21" t="s">
        <v>679</v>
      </c>
      <c r="B307" s="21" t="s">
        <v>664</v>
      </c>
      <c r="C307" s="21" t="s">
        <v>458</v>
      </c>
      <c r="D307" s="21" t="s">
        <v>66</v>
      </c>
      <c r="E307" s="21" t="s">
        <v>90</v>
      </c>
      <c r="F307" s="21" t="n">
        <v>8.13</v>
      </c>
      <c r="G307" s="21" t="n">
        <v>796</v>
      </c>
      <c r="H307" s="21" t="n">
        <v>2</v>
      </c>
      <c r="I307" s="21" t="s">
        <v>113</v>
      </c>
      <c r="J307" s="21" t="n">
        <v>52</v>
      </c>
      <c r="K307" s="32" t="n">
        <f aca="false">ROUND(Assumptions!$B$4*MIN(G307/Assumptions!$B$11,1)*100+Assumptions!$B$5*F307/10*100+Assumptions!$B$6*MIN(H307/Assumptions!$B$12,1)*100+Assumptions!$B$7*J307+Assumptions!$B$8*IF(I307="Yes",100,0),1)</f>
        <v>64.7</v>
      </c>
      <c r="L307" s="21" t="str">
        <f aca="false">LOOKUP(K307,Assumptions!$D$4:$D$7,Assumptions!$E$4:$E$7)</f>
        <v>Developing</v>
      </c>
      <c r="M307" s="21" t="n">
        <f aca="false">COUNTIFS(Applications!$B$2:$B$3144,A307)</f>
        <v>9</v>
      </c>
      <c r="N307" s="21" t="n">
        <f aca="false">COUNTIFS(Applications!$B$2:$B$3144,A307,Applications!$F$2:$F$3144,"Offered")</f>
        <v>5</v>
      </c>
      <c r="O307" s="21" t="str">
        <f aca="false">IF(COUNTIFS(Applications!$B$2:$B$3144,A307,Applications!$H$2:$H$3144,"Yes")&gt;0,"Yes","No")</f>
        <v>Yes</v>
      </c>
      <c r="P307" s="32" t="n">
        <f aca="false">SUMIFS(Applications!$G$2:$G$3144,Applications!$B$2:$B$3144,A307,Applications!$H$2:$H$3144,"Yes")</f>
        <v>12.8</v>
      </c>
      <c r="Q307" s="21" t="str">
        <f aca="false">IF(O307="Yes",INDEX(Companies!$B$2:$B$31,MATCH(INDEX(Applications!$C$2:$C$3144,MATCH(A307,Applications!$P$2:$P$3144,0)),Companies!$A$2:$A$31,0)),"-")</f>
        <v>FinStack</v>
      </c>
    </row>
    <row r="308" customFormat="false" ht="15" hidden="false" customHeight="false" outlineLevel="0" collapsed="false">
      <c r="A308" s="21" t="s">
        <v>680</v>
      </c>
      <c r="B308" s="21" t="s">
        <v>681</v>
      </c>
      <c r="C308" s="21" t="s">
        <v>458</v>
      </c>
      <c r="D308" s="21" t="s">
        <v>66</v>
      </c>
      <c r="E308" s="21" t="s">
        <v>92</v>
      </c>
      <c r="F308" s="21" t="n">
        <v>5.96</v>
      </c>
      <c r="G308" s="21" t="n">
        <v>325</v>
      </c>
      <c r="H308" s="21" t="n">
        <v>3</v>
      </c>
      <c r="I308" s="21" t="s">
        <v>113</v>
      </c>
      <c r="J308" s="21" t="n">
        <v>58</v>
      </c>
      <c r="K308" s="32" t="n">
        <f aca="false">ROUND(Assumptions!$B$4*MIN(G308/Assumptions!$B$11,1)*100+Assumptions!$B$5*F308/10*100+Assumptions!$B$6*MIN(H308/Assumptions!$B$12,1)*100+Assumptions!$B$7*J308+Assumptions!$B$8*IF(I308="Yes",100,0),1)</f>
        <v>55</v>
      </c>
      <c r="L308" s="21" t="str">
        <f aca="false">LOOKUP(K308,Assumptions!$D$4:$D$7,Assumptions!$E$4:$E$7)</f>
        <v>Developing</v>
      </c>
      <c r="M308" s="21" t="n">
        <f aca="false">COUNTIFS(Applications!$B$2:$B$3144,A308)</f>
        <v>6</v>
      </c>
      <c r="N308" s="21" t="n">
        <f aca="false">COUNTIFS(Applications!$B$2:$B$3144,A308,Applications!$F$2:$F$3144,"Offered")</f>
        <v>2</v>
      </c>
      <c r="O308" s="21" t="str">
        <f aca="false">IF(COUNTIFS(Applications!$B$2:$B$3144,A308,Applications!$H$2:$H$3144,"Yes")&gt;0,"Yes","No")</f>
        <v>Yes</v>
      </c>
      <c r="P308" s="32" t="n">
        <f aca="false">SUMIFS(Applications!$G$2:$G$3144,Applications!$B$2:$B$3144,A308,Applications!$H$2:$H$3144,"Yes")</f>
        <v>4.4</v>
      </c>
      <c r="Q308" s="21" t="str">
        <f aca="false">IF(O308="Yes",INDEX(Companies!$B$2:$B$31,MATCH(INDEX(Applications!$C$2:$C$3144,MATCH(A308,Applications!$P$2:$P$3144,0)),Companies!$A$2:$A$31,0)),"-")</f>
        <v>TechBridge Consulting</v>
      </c>
    </row>
    <row r="309" customFormat="false" ht="15" hidden="false" customHeight="false" outlineLevel="0" collapsed="false">
      <c r="A309" s="21" t="s">
        <v>682</v>
      </c>
      <c r="B309" s="21" t="s">
        <v>683</v>
      </c>
      <c r="C309" s="21" t="s">
        <v>458</v>
      </c>
      <c r="D309" s="21" t="s">
        <v>64</v>
      </c>
      <c r="E309" s="21" t="s">
        <v>91</v>
      </c>
      <c r="F309" s="21" t="n">
        <v>7.3</v>
      </c>
      <c r="G309" s="21" t="n">
        <v>363</v>
      </c>
      <c r="H309" s="21" t="n">
        <v>5</v>
      </c>
      <c r="I309" s="21" t="s">
        <v>113</v>
      </c>
      <c r="J309" s="21" t="n">
        <v>66</v>
      </c>
      <c r="K309" s="32" t="n">
        <f aca="false">ROUND(Assumptions!$B$4*MIN(G309/Assumptions!$B$11,1)*100+Assumptions!$B$5*F309/10*100+Assumptions!$B$6*MIN(H309/Assumptions!$B$12,1)*100+Assumptions!$B$7*J309+Assumptions!$B$8*IF(I309="Yes",100,0),1)</f>
        <v>69.6</v>
      </c>
      <c r="L309" s="21" t="str">
        <f aca="false">LOOKUP(K309,Assumptions!$D$4:$D$7,Assumptions!$E$4:$E$7)</f>
        <v>Job-Ready</v>
      </c>
      <c r="M309" s="21" t="n">
        <f aca="false">COUNTIFS(Applications!$B$2:$B$3144,A309)</f>
        <v>8</v>
      </c>
      <c r="N309" s="21" t="n">
        <f aca="false">COUNTIFS(Applications!$B$2:$B$3144,A309,Applications!$F$2:$F$3144,"Offered")</f>
        <v>4</v>
      </c>
      <c r="O309" s="21" t="str">
        <f aca="false">IF(COUNTIFS(Applications!$B$2:$B$3144,A309,Applications!$H$2:$H$3144,"Yes")&gt;0,"Yes","No")</f>
        <v>Yes</v>
      </c>
      <c r="P309" s="32" t="n">
        <f aca="false">SUMIFS(Applications!$G$2:$G$3144,Applications!$B$2:$B$3144,A309,Applications!$H$2:$H$3144,"Yes")</f>
        <v>12.9</v>
      </c>
      <c r="Q309" s="21" t="str">
        <f aca="false">IF(O309="Yes",INDEX(Companies!$B$2:$B$31,MATCH(INDEX(Applications!$C$2:$C$3144,MATCH(A309,Applications!$P$2:$P$3144,0)),Companies!$A$2:$A$31,0)),"-")</f>
        <v>FinStack</v>
      </c>
    </row>
    <row r="310" customFormat="false" ht="15" hidden="false" customHeight="false" outlineLevel="0" collapsed="false">
      <c r="A310" s="21" t="s">
        <v>684</v>
      </c>
      <c r="B310" s="21" t="s">
        <v>258</v>
      </c>
      <c r="C310" s="21" t="s">
        <v>458</v>
      </c>
      <c r="D310" s="21" t="s">
        <v>66</v>
      </c>
      <c r="E310" s="21" t="s">
        <v>91</v>
      </c>
      <c r="F310" s="21" t="n">
        <v>8.33</v>
      </c>
      <c r="G310" s="21" t="n">
        <v>298</v>
      </c>
      <c r="H310" s="21" t="n">
        <v>2</v>
      </c>
      <c r="I310" s="21" t="s">
        <v>120</v>
      </c>
      <c r="J310" s="21" t="n">
        <v>69</v>
      </c>
      <c r="K310" s="32" t="n">
        <f aca="false">ROUND(Assumptions!$B$4*MIN(G310/Assumptions!$B$11,1)*100+Assumptions!$B$5*F310/10*100+Assumptions!$B$6*MIN(H310/Assumptions!$B$12,1)*100+Assumptions!$B$7*J310+Assumptions!$B$8*IF(I310="Yes",100,0),1)</f>
        <v>66.3</v>
      </c>
      <c r="L310" s="21" t="str">
        <f aca="false">LOOKUP(K310,Assumptions!$D$4:$D$7,Assumptions!$E$4:$E$7)</f>
        <v>Job-Ready</v>
      </c>
      <c r="M310" s="21" t="n">
        <f aca="false">COUNTIFS(Applications!$B$2:$B$3144,A310)</f>
        <v>5</v>
      </c>
      <c r="N310" s="21" t="n">
        <f aca="false">COUNTIFS(Applications!$B$2:$B$3144,A310,Applications!$F$2:$F$3144,"Offered")</f>
        <v>1</v>
      </c>
      <c r="O310" s="21" t="str">
        <f aca="false">IF(COUNTIFS(Applications!$B$2:$B$3144,A310,Applications!$H$2:$H$3144,"Yes")&gt;0,"Yes","No")</f>
        <v>Yes</v>
      </c>
      <c r="P310" s="32" t="n">
        <f aca="false">SUMIFS(Applications!$G$2:$G$3144,Applications!$B$2:$B$3144,A310,Applications!$H$2:$H$3144,"Yes")</f>
        <v>6.1</v>
      </c>
      <c r="Q310" s="21" t="str">
        <f aca="false">IF(O310="Yes",INDEX(Companies!$B$2:$B$31,MATCH(INDEX(Applications!$C$2:$C$3144,MATCH(A310,Applications!$P$2:$P$3144,0)),Companies!$A$2:$A$31,0)),"-")</f>
        <v>AlphaGrid Tech</v>
      </c>
    </row>
    <row r="311" customFormat="false" ht="15" hidden="false" customHeight="false" outlineLevel="0" collapsed="false">
      <c r="A311" s="21" t="s">
        <v>685</v>
      </c>
      <c r="B311" s="21" t="s">
        <v>686</v>
      </c>
      <c r="C311" s="21" t="s">
        <v>458</v>
      </c>
      <c r="D311" s="21" t="s">
        <v>66</v>
      </c>
      <c r="E311" s="21" t="s">
        <v>91</v>
      </c>
      <c r="F311" s="21" t="n">
        <v>7.91</v>
      </c>
      <c r="G311" s="21" t="n">
        <v>229</v>
      </c>
      <c r="H311" s="21" t="n">
        <v>2</v>
      </c>
      <c r="I311" s="21" t="s">
        <v>120</v>
      </c>
      <c r="J311" s="21" t="n">
        <v>87</v>
      </c>
      <c r="K311" s="32" t="n">
        <f aca="false">ROUND(Assumptions!$B$4*MIN(G311/Assumptions!$B$11,1)*100+Assumptions!$B$5*F311/10*100+Assumptions!$B$6*MIN(H311/Assumptions!$B$12,1)*100+Assumptions!$B$7*J311+Assumptions!$B$8*IF(I311="Yes",100,0),1)</f>
        <v>65</v>
      </c>
      <c r="L311" s="21" t="str">
        <f aca="false">LOOKUP(K311,Assumptions!$D$4:$D$7,Assumptions!$E$4:$E$7)</f>
        <v>Job-Ready</v>
      </c>
      <c r="M311" s="21" t="n">
        <f aca="false">COUNTIFS(Applications!$B$2:$B$3144,A311)</f>
        <v>6</v>
      </c>
      <c r="N311" s="21" t="n">
        <f aca="false">COUNTIFS(Applications!$B$2:$B$3144,A311,Applications!$F$2:$F$3144,"Offered")</f>
        <v>3</v>
      </c>
      <c r="O311" s="21" t="str">
        <f aca="false">IF(COUNTIFS(Applications!$B$2:$B$3144,A311,Applications!$H$2:$H$3144,"Yes")&gt;0,"Yes","No")</f>
        <v>Yes</v>
      </c>
      <c r="P311" s="32" t="n">
        <f aca="false">SUMIFS(Applications!$G$2:$G$3144,Applications!$B$2:$B$3144,A311,Applications!$H$2:$H$3144,"Yes")</f>
        <v>11.7</v>
      </c>
      <c r="Q311" s="21" t="str">
        <f aca="false">IF(O311="Yes",INDEX(Companies!$B$2:$B$31,MATCH(INDEX(Applications!$C$2:$C$3144,MATCH(A311,Applications!$P$2:$P$3144,0)),Companies!$A$2:$A$31,0)),"-")</f>
        <v>PayRiver</v>
      </c>
    </row>
    <row r="312" customFormat="false" ht="15" hidden="false" customHeight="false" outlineLevel="0" collapsed="false">
      <c r="A312" s="21" t="s">
        <v>687</v>
      </c>
      <c r="B312" s="21" t="s">
        <v>111</v>
      </c>
      <c r="C312" s="21" t="s">
        <v>458</v>
      </c>
      <c r="D312" s="21" t="s">
        <v>63</v>
      </c>
      <c r="E312" s="21" t="s">
        <v>90</v>
      </c>
      <c r="F312" s="21" t="n">
        <v>9.1</v>
      </c>
      <c r="G312" s="21" t="n">
        <v>168</v>
      </c>
      <c r="H312" s="21" t="n">
        <v>5</v>
      </c>
      <c r="I312" s="21" t="s">
        <v>113</v>
      </c>
      <c r="J312" s="21" t="n">
        <v>47</v>
      </c>
      <c r="K312" s="32" t="n">
        <f aca="false">ROUND(Assumptions!$B$4*MIN(G312/Assumptions!$B$11,1)*100+Assumptions!$B$5*F312/10*100+Assumptions!$B$6*MIN(H312/Assumptions!$B$12,1)*100+Assumptions!$B$7*J312+Assumptions!$B$8*IF(I312="Yes",100,0),1)</f>
        <v>57.7</v>
      </c>
      <c r="L312" s="21" t="str">
        <f aca="false">LOOKUP(K312,Assumptions!$D$4:$D$7,Assumptions!$E$4:$E$7)</f>
        <v>Developing</v>
      </c>
      <c r="M312" s="21" t="n">
        <f aca="false">COUNTIFS(Applications!$B$2:$B$3144,A312)</f>
        <v>7</v>
      </c>
      <c r="N312" s="21" t="n">
        <f aca="false">COUNTIFS(Applications!$B$2:$B$3144,A312,Applications!$F$2:$F$3144,"Offered")</f>
        <v>1</v>
      </c>
      <c r="O312" s="21" t="str">
        <f aca="false">IF(COUNTIFS(Applications!$B$2:$B$3144,A312,Applications!$H$2:$H$3144,"Yes")&gt;0,"Yes","No")</f>
        <v>Yes</v>
      </c>
      <c r="P312" s="32" t="n">
        <f aca="false">SUMIFS(Applications!$G$2:$G$3144,Applications!$B$2:$B$3144,A312,Applications!$H$2:$H$3144,"Yes")</f>
        <v>4.9</v>
      </c>
      <c r="Q312" s="21" t="str">
        <f aca="false">IF(O312="Yes",INDEX(Companies!$B$2:$B$31,MATCH(INDEX(Applications!$C$2:$C$3144,MATCH(A312,Applications!$P$2:$P$3144,0)),Companies!$A$2:$A$31,0)),"-")</f>
        <v>InfoNova Services</v>
      </c>
    </row>
    <row r="313" customFormat="false" ht="15" hidden="false" customHeight="false" outlineLevel="0" collapsed="false">
      <c r="A313" s="21" t="s">
        <v>688</v>
      </c>
      <c r="B313" s="21" t="s">
        <v>689</v>
      </c>
      <c r="C313" s="21" t="s">
        <v>458</v>
      </c>
      <c r="D313" s="21" t="s">
        <v>63</v>
      </c>
      <c r="E313" s="21" t="s">
        <v>90</v>
      </c>
      <c r="F313" s="21" t="n">
        <v>6.83</v>
      </c>
      <c r="G313" s="21" t="n">
        <v>195</v>
      </c>
      <c r="H313" s="21" t="n">
        <v>4</v>
      </c>
      <c r="I313" s="21" t="s">
        <v>120</v>
      </c>
      <c r="J313" s="21" t="n">
        <v>65</v>
      </c>
      <c r="K313" s="32" t="n">
        <f aca="false">ROUND(Assumptions!$B$4*MIN(G313/Assumptions!$B$11,1)*100+Assumptions!$B$5*F313/10*100+Assumptions!$B$6*MIN(H313/Assumptions!$B$12,1)*100+Assumptions!$B$7*J313+Assumptions!$B$8*IF(I313="Yes",100,0),1)</f>
        <v>64.4</v>
      </c>
      <c r="L313" s="21" t="str">
        <f aca="false">LOOKUP(K313,Assumptions!$D$4:$D$7,Assumptions!$E$4:$E$7)</f>
        <v>Developing</v>
      </c>
      <c r="M313" s="21" t="n">
        <f aca="false">COUNTIFS(Applications!$B$2:$B$3144,A313)</f>
        <v>4</v>
      </c>
      <c r="N313" s="21" t="n">
        <f aca="false">COUNTIFS(Applications!$B$2:$B$3144,A313,Applications!$F$2:$F$3144,"Offered")</f>
        <v>0</v>
      </c>
      <c r="O313" s="21" t="str">
        <f aca="false">IF(COUNTIFS(Applications!$B$2:$B$3144,A313,Applications!$H$2:$H$3144,"Yes")&gt;0,"Yes","No")</f>
        <v>No</v>
      </c>
      <c r="P313" s="32" t="n">
        <f aca="false">SUMIFS(Applications!$G$2:$G$3144,Applications!$B$2:$B$3144,A313,Applications!$H$2:$H$3144,"Yes")</f>
        <v>0</v>
      </c>
      <c r="Q313" s="21" t="str">
        <f aca="false">IF(O313="Yes",INDEX(Companies!$B$2:$B$31,MATCH(INDEX(Applications!$C$2:$C$3144,MATCH(A313,Applications!$P$2:$P$3144,0)),Companies!$A$2:$A$31,0)),"-")</f>
        <v>-</v>
      </c>
    </row>
    <row r="314" customFormat="false" ht="15" hidden="false" customHeight="false" outlineLevel="0" collapsed="false">
      <c r="A314" s="21" t="s">
        <v>690</v>
      </c>
      <c r="B314" s="21" t="s">
        <v>117</v>
      </c>
      <c r="C314" s="21" t="s">
        <v>458</v>
      </c>
      <c r="D314" s="21" t="s">
        <v>64</v>
      </c>
      <c r="E314" s="21" t="s">
        <v>91</v>
      </c>
      <c r="F314" s="21" t="n">
        <v>8.53</v>
      </c>
      <c r="G314" s="21" t="n">
        <v>316</v>
      </c>
      <c r="H314" s="21" t="n">
        <v>5</v>
      </c>
      <c r="I314" s="21" t="s">
        <v>113</v>
      </c>
      <c r="J314" s="21" t="n">
        <v>57</v>
      </c>
      <c r="K314" s="32" t="n">
        <f aca="false">ROUND(Assumptions!$B$4*MIN(G314/Assumptions!$B$11,1)*100+Assumptions!$B$5*F314/10*100+Assumptions!$B$6*MIN(H314/Assumptions!$B$12,1)*100+Assumptions!$B$7*J314+Assumptions!$B$8*IF(I314="Yes",100,0),1)</f>
        <v>67.4</v>
      </c>
      <c r="L314" s="21" t="str">
        <f aca="false">LOOKUP(K314,Assumptions!$D$4:$D$7,Assumptions!$E$4:$E$7)</f>
        <v>Job-Ready</v>
      </c>
      <c r="M314" s="21" t="n">
        <f aca="false">COUNTIFS(Applications!$B$2:$B$3144,A314)</f>
        <v>6</v>
      </c>
      <c r="N314" s="21" t="n">
        <f aca="false">COUNTIFS(Applications!$B$2:$B$3144,A314,Applications!$F$2:$F$3144,"Offered")</f>
        <v>1</v>
      </c>
      <c r="O314" s="21" t="str">
        <f aca="false">IF(COUNTIFS(Applications!$B$2:$B$3144,A314,Applications!$H$2:$H$3144,"Yes")&gt;0,"Yes","No")</f>
        <v>Yes</v>
      </c>
      <c r="P314" s="32" t="n">
        <f aca="false">SUMIFS(Applications!$G$2:$G$3144,Applications!$B$2:$B$3144,A314,Applications!$H$2:$H$3144,"Yes")</f>
        <v>5.1</v>
      </c>
      <c r="Q314" s="21" t="str">
        <f aca="false">IF(O314="Yes",INDEX(Companies!$B$2:$B$31,MATCH(INDEX(Applications!$C$2:$C$3144,MATCH(A314,Applications!$P$2:$P$3144,0)),Companies!$A$2:$A$31,0)),"-")</f>
        <v>Sapphire Infotech</v>
      </c>
    </row>
    <row r="315" customFormat="false" ht="15" hidden="false" customHeight="false" outlineLevel="0" collapsed="false">
      <c r="A315" s="21" t="s">
        <v>691</v>
      </c>
      <c r="B315" s="21" t="s">
        <v>692</v>
      </c>
      <c r="C315" s="21" t="s">
        <v>458</v>
      </c>
      <c r="D315" s="21" t="s">
        <v>65</v>
      </c>
      <c r="E315" s="21" t="s">
        <v>91</v>
      </c>
      <c r="F315" s="21" t="n">
        <v>7.71</v>
      </c>
      <c r="G315" s="21" t="n">
        <v>85</v>
      </c>
      <c r="H315" s="21" t="n">
        <v>4</v>
      </c>
      <c r="I315" s="21" t="s">
        <v>113</v>
      </c>
      <c r="J315" s="21" t="n">
        <v>60</v>
      </c>
      <c r="K315" s="32" t="n">
        <f aca="false">ROUND(Assumptions!$B$4*MIN(G315/Assumptions!$B$11,1)*100+Assumptions!$B$5*F315/10*100+Assumptions!$B$6*MIN(H315/Assumptions!$B$12,1)*100+Assumptions!$B$7*J315+Assumptions!$B$8*IF(I315="Yes",100,0),1)</f>
        <v>48.5</v>
      </c>
      <c r="L315" s="21" t="str">
        <f aca="false">LOOKUP(K315,Assumptions!$D$4:$D$7,Assumptions!$E$4:$E$7)</f>
        <v>Foundation</v>
      </c>
      <c r="M315" s="21" t="n">
        <f aca="false">COUNTIFS(Applications!$B$2:$B$3144,A315)</f>
        <v>8</v>
      </c>
      <c r="N315" s="21" t="n">
        <f aca="false">COUNTIFS(Applications!$B$2:$B$3144,A315,Applications!$F$2:$F$3144,"Offered")</f>
        <v>0</v>
      </c>
      <c r="O315" s="21" t="str">
        <f aca="false">IF(COUNTIFS(Applications!$B$2:$B$3144,A315,Applications!$H$2:$H$3144,"Yes")&gt;0,"Yes","No")</f>
        <v>No</v>
      </c>
      <c r="P315" s="32" t="n">
        <f aca="false">SUMIFS(Applications!$G$2:$G$3144,Applications!$B$2:$B$3144,A315,Applications!$H$2:$H$3144,"Yes")</f>
        <v>0</v>
      </c>
      <c r="Q315" s="21" t="str">
        <f aca="false">IF(O315="Yes",INDEX(Companies!$B$2:$B$31,MATCH(INDEX(Applications!$C$2:$C$3144,MATCH(A315,Applications!$P$2:$P$3144,0)),Companies!$A$2:$A$31,0)),"-")</f>
        <v>-</v>
      </c>
    </row>
    <row r="316" customFormat="false" ht="15" hidden="false" customHeight="false" outlineLevel="0" collapsed="false">
      <c r="A316" s="21" t="s">
        <v>693</v>
      </c>
      <c r="B316" s="21" t="s">
        <v>545</v>
      </c>
      <c r="C316" s="21" t="s">
        <v>458</v>
      </c>
      <c r="D316" s="21" t="s">
        <v>63</v>
      </c>
      <c r="E316" s="21" t="s">
        <v>91</v>
      </c>
      <c r="F316" s="21" t="n">
        <v>7.42</v>
      </c>
      <c r="G316" s="21" t="n">
        <v>255</v>
      </c>
      <c r="H316" s="21" t="n">
        <v>3</v>
      </c>
      <c r="I316" s="21" t="s">
        <v>120</v>
      </c>
      <c r="J316" s="21" t="n">
        <v>50</v>
      </c>
      <c r="K316" s="32" t="n">
        <f aca="false">ROUND(Assumptions!$B$4*MIN(G316/Assumptions!$B$11,1)*100+Assumptions!$B$5*F316/10*100+Assumptions!$B$6*MIN(H316/Assumptions!$B$12,1)*100+Assumptions!$B$7*J316+Assumptions!$B$8*IF(I316="Yes",100,0),1)</f>
        <v>62.1</v>
      </c>
      <c r="L316" s="21" t="str">
        <f aca="false">LOOKUP(K316,Assumptions!$D$4:$D$7,Assumptions!$E$4:$E$7)</f>
        <v>Developing</v>
      </c>
      <c r="M316" s="21" t="n">
        <f aca="false">COUNTIFS(Applications!$B$2:$B$3144,A316)</f>
        <v>4</v>
      </c>
      <c r="N316" s="21" t="n">
        <f aca="false">COUNTIFS(Applications!$B$2:$B$3144,A316,Applications!$F$2:$F$3144,"Offered")</f>
        <v>1</v>
      </c>
      <c r="O316" s="21" t="str">
        <f aca="false">IF(COUNTIFS(Applications!$B$2:$B$3144,A316,Applications!$H$2:$H$3144,"Yes")&gt;0,"Yes","No")</f>
        <v>Yes</v>
      </c>
      <c r="P316" s="32" t="n">
        <f aca="false">SUMIFS(Applications!$G$2:$G$3144,Applications!$B$2:$B$3144,A316,Applications!$H$2:$H$3144,"Yes")</f>
        <v>6</v>
      </c>
      <c r="Q316" s="21" t="str">
        <f aca="false">IF(O316="Yes",INDEX(Companies!$B$2:$B$31,MATCH(INDEX(Applications!$C$2:$C$3144,MATCH(A316,Applications!$P$2:$P$3144,0)),Companies!$A$2:$A$31,0)),"-")</f>
        <v>Sapphire Infotech</v>
      </c>
    </row>
    <row r="317" customFormat="false" ht="15" hidden="false" customHeight="false" outlineLevel="0" collapsed="false">
      <c r="A317" s="21" t="s">
        <v>694</v>
      </c>
      <c r="B317" s="21" t="s">
        <v>695</v>
      </c>
      <c r="C317" s="21" t="s">
        <v>458</v>
      </c>
      <c r="D317" s="21" t="s">
        <v>67</v>
      </c>
      <c r="E317" s="21" t="s">
        <v>91</v>
      </c>
      <c r="F317" s="21" t="n">
        <v>7.19</v>
      </c>
      <c r="G317" s="21" t="n">
        <v>269</v>
      </c>
      <c r="H317" s="21" t="n">
        <v>2</v>
      </c>
      <c r="I317" s="21" t="s">
        <v>113</v>
      </c>
      <c r="J317" s="21" t="n">
        <v>44</v>
      </c>
      <c r="K317" s="32" t="n">
        <f aca="false">ROUND(Assumptions!$B$4*MIN(G317/Assumptions!$B$11,1)*100+Assumptions!$B$5*F317/10*100+Assumptions!$B$6*MIN(H317/Assumptions!$B$12,1)*100+Assumptions!$B$7*J317+Assumptions!$B$8*IF(I317="Yes",100,0),1)</f>
        <v>47.3</v>
      </c>
      <c r="L317" s="21" t="str">
        <f aca="false">LOOKUP(K317,Assumptions!$D$4:$D$7,Assumptions!$E$4:$E$7)</f>
        <v>Foundation</v>
      </c>
      <c r="M317" s="21" t="n">
        <f aca="false">COUNTIFS(Applications!$B$2:$B$3144,A317)</f>
        <v>3</v>
      </c>
      <c r="N317" s="21" t="n">
        <f aca="false">COUNTIFS(Applications!$B$2:$B$3144,A317,Applications!$F$2:$F$3144,"Offered")</f>
        <v>0</v>
      </c>
      <c r="O317" s="21" t="str">
        <f aca="false">IF(COUNTIFS(Applications!$B$2:$B$3144,A317,Applications!$H$2:$H$3144,"Yes")&gt;0,"Yes","No")</f>
        <v>No</v>
      </c>
      <c r="P317" s="32" t="n">
        <f aca="false">SUMIFS(Applications!$G$2:$G$3144,Applications!$B$2:$B$3144,A317,Applications!$H$2:$H$3144,"Yes")</f>
        <v>0</v>
      </c>
      <c r="Q317" s="21" t="str">
        <f aca="false">IF(O317="Yes",INDEX(Companies!$B$2:$B$31,MATCH(INDEX(Applications!$C$2:$C$3144,MATCH(A317,Applications!$P$2:$P$3144,0)),Companies!$A$2:$A$31,0)),"-")</f>
        <v>-</v>
      </c>
    </row>
    <row r="318" customFormat="false" ht="15" hidden="false" customHeight="false" outlineLevel="0" collapsed="false">
      <c r="A318" s="21" t="s">
        <v>696</v>
      </c>
      <c r="B318" s="21" t="s">
        <v>117</v>
      </c>
      <c r="C318" s="21" t="s">
        <v>458</v>
      </c>
      <c r="D318" s="21" t="s">
        <v>63</v>
      </c>
      <c r="E318" s="21" t="s">
        <v>90</v>
      </c>
      <c r="F318" s="21" t="n">
        <v>5.96</v>
      </c>
      <c r="G318" s="21" t="n">
        <v>116</v>
      </c>
      <c r="H318" s="21" t="n">
        <v>2</v>
      </c>
      <c r="I318" s="21" t="s">
        <v>120</v>
      </c>
      <c r="J318" s="21" t="n">
        <v>47</v>
      </c>
      <c r="K318" s="32" t="n">
        <f aca="false">ROUND(Assumptions!$B$4*MIN(G318/Assumptions!$B$11,1)*100+Assumptions!$B$5*F318/10*100+Assumptions!$B$6*MIN(H318/Assumptions!$B$12,1)*100+Assumptions!$B$7*J318+Assumptions!$B$8*IF(I318="Yes",100,0),1)</f>
        <v>46.3</v>
      </c>
      <c r="L318" s="21" t="str">
        <f aca="false">LOOKUP(K318,Assumptions!$D$4:$D$7,Assumptions!$E$4:$E$7)</f>
        <v>Foundation</v>
      </c>
      <c r="M318" s="21" t="n">
        <f aca="false">COUNTIFS(Applications!$B$2:$B$3144,A318)</f>
        <v>4</v>
      </c>
      <c r="N318" s="21" t="n">
        <f aca="false">COUNTIFS(Applications!$B$2:$B$3144,A318,Applications!$F$2:$F$3144,"Offered")</f>
        <v>0</v>
      </c>
      <c r="O318" s="21" t="str">
        <f aca="false">IF(COUNTIFS(Applications!$B$2:$B$3144,A318,Applications!$H$2:$H$3144,"Yes")&gt;0,"Yes","No")</f>
        <v>No</v>
      </c>
      <c r="P318" s="32" t="n">
        <f aca="false">SUMIFS(Applications!$G$2:$G$3144,Applications!$B$2:$B$3144,A318,Applications!$H$2:$H$3144,"Yes")</f>
        <v>0</v>
      </c>
      <c r="Q318" s="21" t="str">
        <f aca="false">IF(O318="Yes",INDEX(Companies!$B$2:$B$31,MATCH(INDEX(Applications!$C$2:$C$3144,MATCH(A318,Applications!$P$2:$P$3144,0)),Companies!$A$2:$A$31,0)),"-")</f>
        <v>-</v>
      </c>
    </row>
    <row r="319" customFormat="false" ht="15" hidden="false" customHeight="false" outlineLevel="0" collapsed="false">
      <c r="A319" s="21" t="s">
        <v>697</v>
      </c>
      <c r="B319" s="21" t="s">
        <v>698</v>
      </c>
      <c r="C319" s="21" t="s">
        <v>458</v>
      </c>
      <c r="D319" s="21" t="s">
        <v>66</v>
      </c>
      <c r="E319" s="21" t="s">
        <v>90</v>
      </c>
      <c r="F319" s="21" t="n">
        <v>7.86</v>
      </c>
      <c r="G319" s="21" t="n">
        <v>124</v>
      </c>
      <c r="H319" s="21" t="n">
        <v>3</v>
      </c>
      <c r="I319" s="21" t="s">
        <v>120</v>
      </c>
      <c r="J319" s="21" t="n">
        <v>79</v>
      </c>
      <c r="K319" s="32" t="n">
        <f aca="false">ROUND(Assumptions!$B$4*MIN(G319/Assumptions!$B$11,1)*100+Assumptions!$B$5*F319/10*100+Assumptions!$B$6*MIN(H319/Assumptions!$B$12,1)*100+Assumptions!$B$7*J319+Assumptions!$B$8*IF(I319="Yes",100,0),1)</f>
        <v>61</v>
      </c>
      <c r="L319" s="21" t="str">
        <f aca="false">LOOKUP(K319,Assumptions!$D$4:$D$7,Assumptions!$E$4:$E$7)</f>
        <v>Developing</v>
      </c>
      <c r="M319" s="21" t="n">
        <f aca="false">COUNTIFS(Applications!$B$2:$B$3144,A319)</f>
        <v>6</v>
      </c>
      <c r="N319" s="21" t="n">
        <f aca="false">COUNTIFS(Applications!$B$2:$B$3144,A319,Applications!$F$2:$F$3144,"Offered")</f>
        <v>4</v>
      </c>
      <c r="O319" s="21" t="str">
        <f aca="false">IF(COUNTIFS(Applications!$B$2:$B$3144,A319,Applications!$H$2:$H$3144,"Yes")&gt;0,"Yes","No")</f>
        <v>Yes</v>
      </c>
      <c r="P319" s="32" t="n">
        <f aca="false">SUMIFS(Applications!$G$2:$G$3144,Applications!$B$2:$B$3144,A319,Applications!$H$2:$H$3144,"Yes")</f>
        <v>11.8</v>
      </c>
      <c r="Q319" s="21" t="str">
        <f aca="false">IF(O319="Yes",INDEX(Companies!$B$2:$B$31,MATCH(INDEX(Applications!$C$2:$C$3144,MATCH(A319,Applications!$P$2:$P$3144,0)),Companies!$A$2:$A$31,0)),"-")</f>
        <v>MediSphere</v>
      </c>
    </row>
    <row r="320" customFormat="false" ht="15" hidden="false" customHeight="false" outlineLevel="0" collapsed="false">
      <c r="A320" s="21" t="s">
        <v>699</v>
      </c>
      <c r="B320" s="21" t="s">
        <v>700</v>
      </c>
      <c r="C320" s="21" t="s">
        <v>458</v>
      </c>
      <c r="D320" s="21" t="s">
        <v>67</v>
      </c>
      <c r="E320" s="21" t="s">
        <v>91</v>
      </c>
      <c r="F320" s="21" t="n">
        <v>7.13</v>
      </c>
      <c r="G320" s="21" t="n">
        <v>223</v>
      </c>
      <c r="H320" s="21" t="n">
        <v>3</v>
      </c>
      <c r="I320" s="21" t="s">
        <v>120</v>
      </c>
      <c r="J320" s="21" t="n">
        <v>39</v>
      </c>
      <c r="K320" s="32" t="n">
        <f aca="false">ROUND(Assumptions!$B$4*MIN(G320/Assumptions!$B$11,1)*100+Assumptions!$B$5*F320/10*100+Assumptions!$B$6*MIN(H320/Assumptions!$B$12,1)*100+Assumptions!$B$7*J320+Assumptions!$B$8*IF(I320="Yes",100,0),1)</f>
        <v>57.4</v>
      </c>
      <c r="L320" s="21" t="str">
        <f aca="false">LOOKUP(K320,Assumptions!$D$4:$D$7,Assumptions!$E$4:$E$7)</f>
        <v>Developing</v>
      </c>
      <c r="M320" s="21" t="n">
        <f aca="false">COUNTIFS(Applications!$B$2:$B$3144,A320)</f>
        <v>11</v>
      </c>
      <c r="N320" s="21" t="n">
        <f aca="false">COUNTIFS(Applications!$B$2:$B$3144,A320,Applications!$F$2:$F$3144,"Offered")</f>
        <v>1</v>
      </c>
      <c r="O320" s="21" t="str">
        <f aca="false">IF(COUNTIFS(Applications!$B$2:$B$3144,A320,Applications!$H$2:$H$3144,"Yes")&gt;0,"Yes","No")</f>
        <v>Yes</v>
      </c>
      <c r="P320" s="32" t="n">
        <f aca="false">SUMIFS(Applications!$G$2:$G$3144,Applications!$B$2:$B$3144,A320,Applications!$H$2:$H$3144,"Yes")</f>
        <v>4.4</v>
      </c>
      <c r="Q320" s="21" t="str">
        <f aca="false">IF(O320="Yes",INDEX(Companies!$B$2:$B$31,MATCH(INDEX(Applications!$C$2:$C$3144,MATCH(A320,Applications!$P$2:$P$3144,0)),Companies!$A$2:$A$31,0)),"-")</f>
        <v>Metro Systems</v>
      </c>
    </row>
    <row r="321" customFormat="false" ht="15" hidden="false" customHeight="false" outlineLevel="0" collapsed="false">
      <c r="A321" s="21" t="s">
        <v>701</v>
      </c>
      <c r="B321" s="21" t="s">
        <v>702</v>
      </c>
      <c r="C321" s="21" t="s">
        <v>458</v>
      </c>
      <c r="D321" s="21" t="s">
        <v>63</v>
      </c>
      <c r="E321" s="21" t="s">
        <v>92</v>
      </c>
      <c r="F321" s="21" t="n">
        <v>7.79</v>
      </c>
      <c r="G321" s="21" t="n">
        <v>302</v>
      </c>
      <c r="H321" s="21" t="n">
        <v>1</v>
      </c>
      <c r="I321" s="21" t="s">
        <v>120</v>
      </c>
      <c r="J321" s="21" t="n">
        <v>96</v>
      </c>
      <c r="K321" s="32" t="n">
        <f aca="false">ROUND(Assumptions!$B$4*MIN(G321/Assumptions!$B$11,1)*100+Assumptions!$B$5*F321/10*100+Assumptions!$B$6*MIN(H321/Assumptions!$B$12,1)*100+Assumptions!$B$7*J321+Assumptions!$B$8*IF(I321="Yes",100,0),1)</f>
        <v>66.9</v>
      </c>
      <c r="L321" s="21" t="str">
        <f aca="false">LOOKUP(K321,Assumptions!$D$4:$D$7,Assumptions!$E$4:$E$7)</f>
        <v>Job-Ready</v>
      </c>
      <c r="M321" s="21" t="n">
        <f aca="false">COUNTIFS(Applications!$B$2:$B$3144,A321)</f>
        <v>6</v>
      </c>
      <c r="N321" s="21" t="n">
        <f aca="false">COUNTIFS(Applications!$B$2:$B$3144,A321,Applications!$F$2:$F$3144,"Offered")</f>
        <v>2</v>
      </c>
      <c r="O321" s="21" t="str">
        <f aca="false">IF(COUNTIFS(Applications!$B$2:$B$3144,A321,Applications!$H$2:$H$3144,"Yes")&gt;0,"Yes","No")</f>
        <v>Yes</v>
      </c>
      <c r="P321" s="32" t="n">
        <f aca="false">SUMIFS(Applications!$G$2:$G$3144,Applications!$B$2:$B$3144,A321,Applications!$H$2:$H$3144,"Yes")</f>
        <v>6.3</v>
      </c>
      <c r="Q321" s="21" t="str">
        <f aca="false">IF(O321="Yes",INDEX(Companies!$B$2:$B$31,MATCH(INDEX(Applications!$C$2:$C$3144,MATCH(A321,Applications!$P$2:$P$3144,0)),Companies!$A$2:$A$31,0)),"-")</f>
        <v>Pioneer Softech</v>
      </c>
    </row>
    <row r="322" customFormat="false" ht="15" hidden="false" customHeight="false" outlineLevel="0" collapsed="false">
      <c r="A322" s="21" t="s">
        <v>703</v>
      </c>
      <c r="B322" s="21" t="s">
        <v>263</v>
      </c>
      <c r="C322" s="21" t="s">
        <v>458</v>
      </c>
      <c r="D322" s="21" t="s">
        <v>66</v>
      </c>
      <c r="E322" s="21" t="s">
        <v>92</v>
      </c>
      <c r="F322" s="21" t="n">
        <v>6.15</v>
      </c>
      <c r="G322" s="21" t="n">
        <v>449</v>
      </c>
      <c r="H322" s="21" t="n">
        <v>3</v>
      </c>
      <c r="I322" s="21" t="s">
        <v>120</v>
      </c>
      <c r="J322" s="21" t="n">
        <v>52</v>
      </c>
      <c r="K322" s="32" t="n">
        <f aca="false">ROUND(Assumptions!$B$4*MIN(G322/Assumptions!$B$11,1)*100+Assumptions!$B$5*F322/10*100+Assumptions!$B$6*MIN(H322/Assumptions!$B$12,1)*100+Assumptions!$B$7*J322+Assumptions!$B$8*IF(I322="Yes",100,0),1)</f>
        <v>71.6</v>
      </c>
      <c r="L322" s="21" t="str">
        <f aca="false">LOOKUP(K322,Assumptions!$D$4:$D$7,Assumptions!$E$4:$E$7)</f>
        <v>Job-Ready</v>
      </c>
      <c r="M322" s="21" t="n">
        <f aca="false">COUNTIFS(Applications!$B$2:$B$3144,A322)</f>
        <v>5</v>
      </c>
      <c r="N322" s="21" t="n">
        <f aca="false">COUNTIFS(Applications!$B$2:$B$3144,A322,Applications!$F$2:$F$3144,"Offered")</f>
        <v>2</v>
      </c>
      <c r="O322" s="21" t="str">
        <f aca="false">IF(COUNTIFS(Applications!$B$2:$B$3144,A322,Applications!$H$2:$H$3144,"Yes")&gt;0,"Yes","No")</f>
        <v>Yes</v>
      </c>
      <c r="P322" s="32" t="n">
        <f aca="false">SUMIFS(Applications!$G$2:$G$3144,Applications!$B$2:$B$3144,A322,Applications!$H$2:$H$3144,"Yes")</f>
        <v>6.5</v>
      </c>
      <c r="Q322" s="21" t="str">
        <f aca="false">IF(O322="Yes",INDEX(Companies!$B$2:$B$31,MATCH(INDEX(Applications!$C$2:$C$3144,MATCH(A322,Applications!$P$2:$P$3144,0)),Companies!$A$2:$A$31,0)),"-")</f>
        <v>DataHarbor</v>
      </c>
    </row>
    <row r="323" customFormat="false" ht="15" hidden="false" customHeight="false" outlineLevel="0" collapsed="false">
      <c r="A323" s="21" t="s">
        <v>704</v>
      </c>
      <c r="B323" s="21" t="s">
        <v>705</v>
      </c>
      <c r="C323" s="21" t="s">
        <v>458</v>
      </c>
      <c r="D323" s="21" t="s">
        <v>67</v>
      </c>
      <c r="E323" s="21" t="s">
        <v>92</v>
      </c>
      <c r="F323" s="21" t="n">
        <v>7.22</v>
      </c>
      <c r="G323" s="21" t="n">
        <v>135</v>
      </c>
      <c r="H323" s="21" t="n">
        <v>2</v>
      </c>
      <c r="I323" s="21" t="s">
        <v>113</v>
      </c>
      <c r="J323" s="21" t="n">
        <v>41</v>
      </c>
      <c r="K323" s="32" t="n">
        <f aca="false">ROUND(Assumptions!$B$4*MIN(G323/Assumptions!$B$11,1)*100+Assumptions!$B$5*F323/10*100+Assumptions!$B$6*MIN(H323/Assumptions!$B$12,1)*100+Assumptions!$B$7*J323+Assumptions!$B$8*IF(I323="Yes",100,0),1)</f>
        <v>38.7</v>
      </c>
      <c r="L323" s="21" t="str">
        <f aca="false">LOOKUP(K323,Assumptions!$D$4:$D$7,Assumptions!$E$4:$E$7)</f>
        <v>Foundation</v>
      </c>
      <c r="M323" s="21" t="n">
        <f aca="false">COUNTIFS(Applications!$B$2:$B$3144,A323)</f>
        <v>5</v>
      </c>
      <c r="N323" s="21" t="n">
        <f aca="false">COUNTIFS(Applications!$B$2:$B$3144,A323,Applications!$F$2:$F$3144,"Offered")</f>
        <v>0</v>
      </c>
      <c r="O323" s="21" t="str">
        <f aca="false">IF(COUNTIFS(Applications!$B$2:$B$3144,A323,Applications!$H$2:$H$3144,"Yes")&gt;0,"Yes","No")</f>
        <v>No</v>
      </c>
      <c r="P323" s="32" t="n">
        <f aca="false">SUMIFS(Applications!$G$2:$G$3144,Applications!$B$2:$B$3144,A323,Applications!$H$2:$H$3144,"Yes")</f>
        <v>0</v>
      </c>
      <c r="Q323" s="21" t="str">
        <f aca="false">IF(O323="Yes",INDEX(Companies!$B$2:$B$31,MATCH(INDEX(Applications!$C$2:$C$3144,MATCH(A323,Applications!$P$2:$P$3144,0)),Companies!$A$2:$A$31,0)),"-")</f>
        <v>-</v>
      </c>
    </row>
    <row r="324" customFormat="false" ht="15" hidden="false" customHeight="false" outlineLevel="0" collapsed="false">
      <c r="A324" s="21" t="s">
        <v>706</v>
      </c>
      <c r="B324" s="21" t="s">
        <v>707</v>
      </c>
      <c r="C324" s="21" t="s">
        <v>458</v>
      </c>
      <c r="D324" s="21" t="s">
        <v>67</v>
      </c>
      <c r="E324" s="21" t="s">
        <v>92</v>
      </c>
      <c r="F324" s="21" t="n">
        <v>7.82</v>
      </c>
      <c r="G324" s="21" t="n">
        <v>433</v>
      </c>
      <c r="H324" s="21" t="n">
        <v>5</v>
      </c>
      <c r="I324" s="21" t="s">
        <v>113</v>
      </c>
      <c r="J324" s="21" t="n">
        <v>50</v>
      </c>
      <c r="K324" s="32" t="n">
        <f aca="false">ROUND(Assumptions!$B$4*MIN(G324/Assumptions!$B$11,1)*100+Assumptions!$B$5*F324/10*100+Assumptions!$B$6*MIN(H324/Assumptions!$B$12,1)*100+Assumptions!$B$7*J324+Assumptions!$B$8*IF(I324="Yes",100,0),1)</f>
        <v>71.6</v>
      </c>
      <c r="L324" s="21" t="str">
        <f aca="false">LOOKUP(K324,Assumptions!$D$4:$D$7,Assumptions!$E$4:$E$7)</f>
        <v>Job-Ready</v>
      </c>
      <c r="M324" s="21" t="n">
        <f aca="false">COUNTIFS(Applications!$B$2:$B$3144,A324)</f>
        <v>4</v>
      </c>
      <c r="N324" s="21" t="n">
        <f aca="false">COUNTIFS(Applications!$B$2:$B$3144,A324,Applications!$F$2:$F$3144,"Offered")</f>
        <v>1</v>
      </c>
      <c r="O324" s="21" t="str">
        <f aca="false">IF(COUNTIFS(Applications!$B$2:$B$3144,A324,Applications!$H$2:$H$3144,"Yes")&gt;0,"Yes","No")</f>
        <v>Yes</v>
      </c>
      <c r="P324" s="32" t="n">
        <f aca="false">SUMIFS(Applications!$G$2:$G$3144,Applications!$B$2:$B$3144,A324,Applications!$H$2:$H$3144,"Yes")</f>
        <v>5.6</v>
      </c>
      <c r="Q324" s="21" t="str">
        <f aca="false">IF(O324="Yes",INDEX(Companies!$B$2:$B$31,MATCH(INDEX(Applications!$C$2:$C$3144,MATCH(A324,Applications!$P$2:$P$3144,0)),Companies!$A$2:$A$31,0)),"-")</f>
        <v>InfoNova Services</v>
      </c>
    </row>
    <row r="325" customFormat="false" ht="15" hidden="false" customHeight="false" outlineLevel="0" collapsed="false">
      <c r="A325" s="21" t="s">
        <v>708</v>
      </c>
      <c r="B325" s="21" t="s">
        <v>709</v>
      </c>
      <c r="C325" s="21" t="s">
        <v>458</v>
      </c>
      <c r="D325" s="21" t="s">
        <v>66</v>
      </c>
      <c r="E325" s="21" t="s">
        <v>91</v>
      </c>
      <c r="F325" s="21" t="n">
        <v>8.68</v>
      </c>
      <c r="G325" s="21" t="n">
        <v>67</v>
      </c>
      <c r="H325" s="21" t="n">
        <v>3</v>
      </c>
      <c r="I325" s="21" t="s">
        <v>120</v>
      </c>
      <c r="J325" s="21" t="n">
        <v>62</v>
      </c>
      <c r="K325" s="32" t="n">
        <f aca="false">ROUND(Assumptions!$B$4*MIN(G325/Assumptions!$B$11,1)*100+Assumptions!$B$5*F325/10*100+Assumptions!$B$6*MIN(H325/Assumptions!$B$12,1)*100+Assumptions!$B$7*J325+Assumptions!$B$8*IF(I325="Yes",100,0),1)</f>
        <v>55.8</v>
      </c>
      <c r="L325" s="21" t="str">
        <f aca="false">LOOKUP(K325,Assumptions!$D$4:$D$7,Assumptions!$E$4:$E$7)</f>
        <v>Developing</v>
      </c>
      <c r="M325" s="21" t="n">
        <f aca="false">COUNTIFS(Applications!$B$2:$B$3144,A325)</f>
        <v>1</v>
      </c>
      <c r="N325" s="21" t="n">
        <f aca="false">COUNTIFS(Applications!$B$2:$B$3144,A325,Applications!$F$2:$F$3144,"Offered")</f>
        <v>0</v>
      </c>
      <c r="O325" s="21" t="str">
        <f aca="false">IF(COUNTIFS(Applications!$B$2:$B$3144,A325,Applications!$H$2:$H$3144,"Yes")&gt;0,"Yes","No")</f>
        <v>No</v>
      </c>
      <c r="P325" s="32" t="n">
        <f aca="false">SUMIFS(Applications!$G$2:$G$3144,Applications!$B$2:$B$3144,A325,Applications!$H$2:$H$3144,"Yes")</f>
        <v>0</v>
      </c>
      <c r="Q325" s="21" t="str">
        <f aca="false">IF(O325="Yes",INDEX(Companies!$B$2:$B$31,MATCH(INDEX(Applications!$C$2:$C$3144,MATCH(A325,Applications!$P$2:$P$3144,0)),Companies!$A$2:$A$31,0)),"-")</f>
        <v>-</v>
      </c>
    </row>
    <row r="326" customFormat="false" ht="15" hidden="false" customHeight="false" outlineLevel="0" collapsed="false">
      <c r="A326" s="21" t="s">
        <v>710</v>
      </c>
      <c r="B326" s="21" t="s">
        <v>711</v>
      </c>
      <c r="C326" s="21" t="s">
        <v>458</v>
      </c>
      <c r="D326" s="21" t="s">
        <v>64</v>
      </c>
      <c r="E326" s="21" t="s">
        <v>91</v>
      </c>
      <c r="F326" s="21" t="n">
        <v>6.93</v>
      </c>
      <c r="G326" s="21" t="n">
        <v>298</v>
      </c>
      <c r="H326" s="21" t="n">
        <v>7</v>
      </c>
      <c r="I326" s="21" t="s">
        <v>113</v>
      </c>
      <c r="J326" s="21" t="n">
        <v>40</v>
      </c>
      <c r="K326" s="32" t="n">
        <f aca="false">ROUND(Assumptions!$B$4*MIN(G326/Assumptions!$B$11,1)*100+Assumptions!$B$5*F326/10*100+Assumptions!$B$6*MIN(H326/Assumptions!$B$12,1)*100+Assumptions!$B$7*J326+Assumptions!$B$8*IF(I326="Yes",100,0),1)</f>
        <v>59.7</v>
      </c>
      <c r="L326" s="21" t="str">
        <f aca="false">LOOKUP(K326,Assumptions!$D$4:$D$7,Assumptions!$E$4:$E$7)</f>
        <v>Developing</v>
      </c>
      <c r="M326" s="21" t="n">
        <f aca="false">COUNTIFS(Applications!$B$2:$B$3144,A326)</f>
        <v>1</v>
      </c>
      <c r="N326" s="21" t="n">
        <f aca="false">COUNTIFS(Applications!$B$2:$B$3144,A326,Applications!$F$2:$F$3144,"Offered")</f>
        <v>1</v>
      </c>
      <c r="O326" s="21" t="str">
        <f aca="false">IF(COUNTIFS(Applications!$B$2:$B$3144,A326,Applications!$H$2:$H$3144,"Yes")&gt;0,"Yes","No")</f>
        <v>Yes</v>
      </c>
      <c r="P326" s="32" t="n">
        <f aca="false">SUMIFS(Applications!$G$2:$G$3144,Applications!$B$2:$B$3144,A326,Applications!$H$2:$H$3144,"Yes")</f>
        <v>9.8</v>
      </c>
      <c r="Q326" s="21" t="str">
        <f aca="false">IF(O326="Yes",INDEX(Companies!$B$2:$B$31,MATCH(INDEX(Applications!$C$2:$C$3144,MATCH(A326,Applications!$P$2:$P$3144,0)),Companies!$A$2:$A$31,0)),"-")</f>
        <v>SkillForge</v>
      </c>
    </row>
    <row r="327" customFormat="false" ht="15" hidden="false" customHeight="false" outlineLevel="0" collapsed="false">
      <c r="A327" s="21" t="s">
        <v>712</v>
      </c>
      <c r="B327" s="21" t="s">
        <v>713</v>
      </c>
      <c r="C327" s="21" t="s">
        <v>458</v>
      </c>
      <c r="D327" s="21" t="s">
        <v>64</v>
      </c>
      <c r="E327" s="21" t="s">
        <v>91</v>
      </c>
      <c r="F327" s="21" t="n">
        <v>6.9</v>
      </c>
      <c r="G327" s="21" t="n">
        <v>554</v>
      </c>
      <c r="H327" s="21" t="n">
        <v>3</v>
      </c>
      <c r="I327" s="21" t="s">
        <v>113</v>
      </c>
      <c r="J327" s="21" t="n">
        <v>56</v>
      </c>
      <c r="K327" s="32" t="n">
        <f aca="false">ROUND(Assumptions!$B$4*MIN(G327/Assumptions!$B$11,1)*100+Assumptions!$B$5*F327/10*100+Assumptions!$B$6*MIN(H327/Assumptions!$B$12,1)*100+Assumptions!$B$7*J327+Assumptions!$B$8*IF(I327="Yes",100,0),1)</f>
        <v>67</v>
      </c>
      <c r="L327" s="21" t="str">
        <f aca="false">LOOKUP(K327,Assumptions!$D$4:$D$7,Assumptions!$E$4:$E$7)</f>
        <v>Job-Ready</v>
      </c>
      <c r="M327" s="21" t="n">
        <f aca="false">COUNTIFS(Applications!$B$2:$B$3144,A327)</f>
        <v>4</v>
      </c>
      <c r="N327" s="21" t="n">
        <f aca="false">COUNTIFS(Applications!$B$2:$B$3144,A327,Applications!$F$2:$F$3144,"Offered")</f>
        <v>1</v>
      </c>
      <c r="O327" s="21" t="str">
        <f aca="false">IF(COUNTIFS(Applications!$B$2:$B$3144,A327,Applications!$H$2:$H$3144,"Yes")&gt;0,"Yes","No")</f>
        <v>Yes</v>
      </c>
      <c r="P327" s="32" t="n">
        <f aca="false">SUMIFS(Applications!$G$2:$G$3144,Applications!$B$2:$B$3144,A327,Applications!$H$2:$H$3144,"Yes")</f>
        <v>5</v>
      </c>
      <c r="Q327" s="21" t="str">
        <f aca="false">IF(O327="Yes",INDEX(Companies!$B$2:$B$31,MATCH(INDEX(Applications!$C$2:$C$3144,MATCH(A327,Applications!$P$2:$P$3144,0)),Companies!$A$2:$A$31,0)),"-")</f>
        <v>LearnEasy</v>
      </c>
    </row>
    <row r="328" customFormat="false" ht="15" hidden="false" customHeight="false" outlineLevel="0" collapsed="false">
      <c r="A328" s="21" t="s">
        <v>714</v>
      </c>
      <c r="B328" s="21" t="s">
        <v>715</v>
      </c>
      <c r="C328" s="21" t="s">
        <v>458</v>
      </c>
      <c r="D328" s="21" t="s">
        <v>65</v>
      </c>
      <c r="E328" s="21" t="s">
        <v>91</v>
      </c>
      <c r="F328" s="21" t="n">
        <v>6.49</v>
      </c>
      <c r="G328" s="21" t="n">
        <v>205</v>
      </c>
      <c r="H328" s="21" t="n">
        <v>5</v>
      </c>
      <c r="I328" s="21" t="s">
        <v>120</v>
      </c>
      <c r="J328" s="21" t="n">
        <v>76</v>
      </c>
      <c r="K328" s="32" t="n">
        <f aca="false">ROUND(Assumptions!$B$4*MIN(G328/Assumptions!$B$11,1)*100+Assumptions!$B$5*F328/10*100+Assumptions!$B$6*MIN(H328/Assumptions!$B$12,1)*100+Assumptions!$B$7*J328+Assumptions!$B$8*IF(I328="Yes",100,0),1)</f>
        <v>70.5</v>
      </c>
      <c r="L328" s="21" t="str">
        <f aca="false">LOOKUP(K328,Assumptions!$D$4:$D$7,Assumptions!$E$4:$E$7)</f>
        <v>Job-Ready</v>
      </c>
      <c r="M328" s="21" t="n">
        <f aca="false">COUNTIFS(Applications!$B$2:$B$3144,A328)</f>
        <v>4</v>
      </c>
      <c r="N328" s="21" t="n">
        <f aca="false">COUNTIFS(Applications!$B$2:$B$3144,A328,Applications!$F$2:$F$3144,"Offered")</f>
        <v>0</v>
      </c>
      <c r="O328" s="21" t="str">
        <f aca="false">IF(COUNTIFS(Applications!$B$2:$B$3144,A328,Applications!$H$2:$H$3144,"Yes")&gt;0,"Yes","No")</f>
        <v>No</v>
      </c>
      <c r="P328" s="32" t="n">
        <f aca="false">SUMIFS(Applications!$G$2:$G$3144,Applications!$B$2:$B$3144,A328,Applications!$H$2:$H$3144,"Yes")</f>
        <v>0</v>
      </c>
      <c r="Q328" s="21" t="str">
        <f aca="false">IF(O328="Yes",INDEX(Companies!$B$2:$B$31,MATCH(INDEX(Applications!$C$2:$C$3144,MATCH(A328,Applications!$P$2:$P$3144,0)),Companies!$A$2:$A$31,0)),"-")</f>
        <v>-</v>
      </c>
    </row>
    <row r="329" customFormat="false" ht="15" hidden="false" customHeight="false" outlineLevel="0" collapsed="false">
      <c r="A329" s="21" t="s">
        <v>716</v>
      </c>
      <c r="B329" s="21" t="s">
        <v>717</v>
      </c>
      <c r="C329" s="21" t="s">
        <v>458</v>
      </c>
      <c r="D329" s="21" t="s">
        <v>64</v>
      </c>
      <c r="E329" s="21" t="s">
        <v>90</v>
      </c>
      <c r="F329" s="21" t="n">
        <v>7.73</v>
      </c>
      <c r="G329" s="21" t="n">
        <v>736</v>
      </c>
      <c r="H329" s="21" t="n">
        <v>6</v>
      </c>
      <c r="I329" s="21" t="s">
        <v>113</v>
      </c>
      <c r="J329" s="21" t="n">
        <v>65</v>
      </c>
      <c r="K329" s="32" t="n">
        <f aca="false">ROUND(Assumptions!$B$4*MIN(G329/Assumptions!$B$11,1)*100+Assumptions!$B$5*F329/10*100+Assumptions!$B$6*MIN(H329/Assumptions!$B$12,1)*100+Assumptions!$B$7*J329+Assumptions!$B$8*IF(I329="Yes",100,0),1)</f>
        <v>78.5</v>
      </c>
      <c r="L329" s="21" t="str">
        <f aca="false">LOOKUP(K329,Assumptions!$D$4:$D$7,Assumptions!$E$4:$E$7)</f>
        <v>Job-Ready</v>
      </c>
      <c r="M329" s="21" t="n">
        <f aca="false">COUNTIFS(Applications!$B$2:$B$3144,A329)</f>
        <v>9</v>
      </c>
      <c r="N329" s="21" t="n">
        <f aca="false">COUNTIFS(Applications!$B$2:$B$3144,A329,Applications!$F$2:$F$3144,"Offered")</f>
        <v>3</v>
      </c>
      <c r="O329" s="21" t="str">
        <f aca="false">IF(COUNTIFS(Applications!$B$2:$B$3144,A329,Applications!$H$2:$H$3144,"Yes")&gt;0,"Yes","No")</f>
        <v>Yes</v>
      </c>
      <c r="P329" s="32" t="n">
        <f aca="false">SUMIFS(Applications!$G$2:$G$3144,Applications!$B$2:$B$3144,A329,Applications!$H$2:$H$3144,"Yes")</f>
        <v>28.3</v>
      </c>
      <c r="Q329" s="21" t="str">
        <f aca="false">IF(O329="Yes",INDEX(Companies!$B$2:$B$31,MATCH(INDEX(Applications!$C$2:$C$3144,MATCH(A329,Applications!$P$2:$P$3144,0)),Companies!$A$2:$A$31,0)),"-")</f>
        <v>Orbitly</v>
      </c>
    </row>
    <row r="330" customFormat="false" ht="15" hidden="false" customHeight="false" outlineLevel="0" collapsed="false">
      <c r="A330" s="21" t="s">
        <v>718</v>
      </c>
      <c r="B330" s="21" t="s">
        <v>719</v>
      </c>
      <c r="C330" s="21" t="s">
        <v>458</v>
      </c>
      <c r="D330" s="21" t="s">
        <v>64</v>
      </c>
      <c r="E330" s="21" t="s">
        <v>92</v>
      </c>
      <c r="F330" s="21" t="n">
        <v>7.4</v>
      </c>
      <c r="G330" s="21" t="n">
        <v>950</v>
      </c>
      <c r="H330" s="21" t="n">
        <v>6</v>
      </c>
      <c r="I330" s="21" t="s">
        <v>113</v>
      </c>
      <c r="J330" s="21" t="n">
        <v>52</v>
      </c>
      <c r="K330" s="32" t="n">
        <f aca="false">ROUND(Assumptions!$B$4*MIN(G330/Assumptions!$B$11,1)*100+Assumptions!$B$5*F330/10*100+Assumptions!$B$6*MIN(H330/Assumptions!$B$12,1)*100+Assumptions!$B$7*J330+Assumptions!$B$8*IF(I330="Yes",100,0),1)</f>
        <v>75.2</v>
      </c>
      <c r="L330" s="21" t="str">
        <f aca="false">LOOKUP(K330,Assumptions!$D$4:$D$7,Assumptions!$E$4:$E$7)</f>
        <v>Job-Ready</v>
      </c>
      <c r="M330" s="21" t="n">
        <f aca="false">COUNTIFS(Applications!$B$2:$B$3144,A330)</f>
        <v>8</v>
      </c>
      <c r="N330" s="21" t="n">
        <f aca="false">COUNTIFS(Applications!$B$2:$B$3144,A330,Applications!$F$2:$F$3144,"Offered")</f>
        <v>5</v>
      </c>
      <c r="O330" s="21" t="str">
        <f aca="false">IF(COUNTIFS(Applications!$B$2:$B$3144,A330,Applications!$H$2:$H$3144,"Yes")&gt;0,"Yes","No")</f>
        <v>Yes</v>
      </c>
      <c r="P330" s="32" t="n">
        <f aca="false">SUMIFS(Applications!$G$2:$G$3144,Applications!$B$2:$B$3144,A330,Applications!$H$2:$H$3144,"Yes")</f>
        <v>13.9</v>
      </c>
      <c r="Q330" s="21" t="str">
        <f aca="false">IF(O330="Yes",INDEX(Companies!$B$2:$B$31,MATCH(INDEX(Applications!$C$2:$C$3144,MATCH(A330,Applications!$P$2:$P$3144,0)),Companies!$A$2:$A$31,0)),"-")</f>
        <v>PayRiver</v>
      </c>
    </row>
    <row r="331" customFormat="false" ht="15" hidden="false" customHeight="false" outlineLevel="0" collapsed="false">
      <c r="A331" s="21" t="s">
        <v>720</v>
      </c>
      <c r="B331" s="21" t="s">
        <v>721</v>
      </c>
      <c r="C331" s="21" t="s">
        <v>458</v>
      </c>
      <c r="D331" s="21" t="s">
        <v>64</v>
      </c>
      <c r="E331" s="21" t="s">
        <v>91</v>
      </c>
      <c r="F331" s="21" t="n">
        <v>6.4</v>
      </c>
      <c r="G331" s="21" t="n">
        <v>370</v>
      </c>
      <c r="H331" s="21" t="n">
        <v>6</v>
      </c>
      <c r="I331" s="21" t="s">
        <v>113</v>
      </c>
      <c r="J331" s="21" t="n">
        <v>59</v>
      </c>
      <c r="K331" s="32" t="n">
        <f aca="false">ROUND(Assumptions!$B$4*MIN(G331/Assumptions!$B$11,1)*100+Assumptions!$B$5*F331/10*100+Assumptions!$B$6*MIN(H331/Assumptions!$B$12,1)*100+Assumptions!$B$7*J331+Assumptions!$B$8*IF(I331="Yes",100,0),1)</f>
        <v>66.8</v>
      </c>
      <c r="L331" s="21" t="str">
        <f aca="false">LOOKUP(K331,Assumptions!$D$4:$D$7,Assumptions!$E$4:$E$7)</f>
        <v>Job-Ready</v>
      </c>
      <c r="M331" s="21" t="n">
        <f aca="false">COUNTIFS(Applications!$B$2:$B$3144,A331)</f>
        <v>5</v>
      </c>
      <c r="N331" s="21" t="n">
        <f aca="false">COUNTIFS(Applications!$B$2:$B$3144,A331,Applications!$F$2:$F$3144,"Offered")</f>
        <v>0</v>
      </c>
      <c r="O331" s="21" t="str">
        <f aca="false">IF(COUNTIFS(Applications!$B$2:$B$3144,A331,Applications!$H$2:$H$3144,"Yes")&gt;0,"Yes","No")</f>
        <v>No</v>
      </c>
      <c r="P331" s="32" t="n">
        <f aca="false">SUMIFS(Applications!$G$2:$G$3144,Applications!$B$2:$B$3144,A331,Applications!$H$2:$H$3144,"Yes")</f>
        <v>0</v>
      </c>
      <c r="Q331" s="21" t="str">
        <f aca="false">IF(O331="Yes",INDEX(Companies!$B$2:$B$31,MATCH(INDEX(Applications!$C$2:$C$3144,MATCH(A331,Applications!$P$2:$P$3144,0)),Companies!$A$2:$A$31,0)),"-")</f>
        <v>-</v>
      </c>
    </row>
    <row r="332" customFormat="false" ht="15" hidden="false" customHeight="false" outlineLevel="0" collapsed="false">
      <c r="A332" s="21" t="s">
        <v>722</v>
      </c>
      <c r="B332" s="21" t="s">
        <v>723</v>
      </c>
      <c r="C332" s="21" t="s">
        <v>458</v>
      </c>
      <c r="D332" s="21" t="s">
        <v>65</v>
      </c>
      <c r="E332" s="21" t="s">
        <v>92</v>
      </c>
      <c r="F332" s="21" t="n">
        <v>7.37</v>
      </c>
      <c r="G332" s="21" t="n">
        <v>151</v>
      </c>
      <c r="H332" s="21" t="n">
        <v>0</v>
      </c>
      <c r="I332" s="21" t="s">
        <v>113</v>
      </c>
      <c r="J332" s="21" t="n">
        <v>74</v>
      </c>
      <c r="K332" s="32" t="n">
        <f aca="false">ROUND(Assumptions!$B$4*MIN(G332/Assumptions!$B$11,1)*100+Assumptions!$B$5*F332/10*100+Assumptions!$B$6*MIN(H332/Assumptions!$B$12,1)*100+Assumptions!$B$7*J332+Assumptions!$B$8*IF(I332="Yes",100,0),1)</f>
        <v>38.6</v>
      </c>
      <c r="L332" s="21" t="str">
        <f aca="false">LOOKUP(K332,Assumptions!$D$4:$D$7,Assumptions!$E$4:$E$7)</f>
        <v>Foundation</v>
      </c>
      <c r="M332" s="21" t="n">
        <f aca="false">COUNTIFS(Applications!$B$2:$B$3144,A332)</f>
        <v>3</v>
      </c>
      <c r="N332" s="21" t="n">
        <f aca="false">COUNTIFS(Applications!$B$2:$B$3144,A332,Applications!$F$2:$F$3144,"Offered")</f>
        <v>0</v>
      </c>
      <c r="O332" s="21" t="str">
        <f aca="false">IF(COUNTIFS(Applications!$B$2:$B$3144,A332,Applications!$H$2:$H$3144,"Yes")&gt;0,"Yes","No")</f>
        <v>No</v>
      </c>
      <c r="P332" s="32" t="n">
        <f aca="false">SUMIFS(Applications!$G$2:$G$3144,Applications!$B$2:$B$3144,A332,Applications!$H$2:$H$3144,"Yes")</f>
        <v>0</v>
      </c>
      <c r="Q332" s="21" t="str">
        <f aca="false">IF(O332="Yes",INDEX(Companies!$B$2:$B$31,MATCH(INDEX(Applications!$C$2:$C$3144,MATCH(A332,Applications!$P$2:$P$3144,0)),Companies!$A$2:$A$31,0)),"-")</f>
        <v>-</v>
      </c>
    </row>
    <row r="333" customFormat="false" ht="15" hidden="false" customHeight="false" outlineLevel="0" collapsed="false">
      <c r="A333" s="21" t="s">
        <v>724</v>
      </c>
      <c r="B333" s="21" t="s">
        <v>725</v>
      </c>
      <c r="C333" s="21" t="s">
        <v>458</v>
      </c>
      <c r="D333" s="21" t="s">
        <v>67</v>
      </c>
      <c r="E333" s="21" t="s">
        <v>91</v>
      </c>
      <c r="F333" s="21" t="n">
        <v>8.01</v>
      </c>
      <c r="G333" s="21" t="n">
        <v>310</v>
      </c>
      <c r="H333" s="21" t="n">
        <v>4</v>
      </c>
      <c r="I333" s="21" t="s">
        <v>113</v>
      </c>
      <c r="J333" s="21" t="n">
        <v>76</v>
      </c>
      <c r="K333" s="32" t="n">
        <f aca="false">ROUND(Assumptions!$B$4*MIN(G333/Assumptions!$B$11,1)*100+Assumptions!$B$5*F333/10*100+Assumptions!$B$6*MIN(H333/Assumptions!$B$12,1)*100+Assumptions!$B$7*J333+Assumptions!$B$8*IF(I333="Yes",100,0),1)</f>
        <v>65.8</v>
      </c>
      <c r="L333" s="21" t="str">
        <f aca="false">LOOKUP(K333,Assumptions!$D$4:$D$7,Assumptions!$E$4:$E$7)</f>
        <v>Job-Ready</v>
      </c>
      <c r="M333" s="21" t="n">
        <f aca="false">COUNTIFS(Applications!$B$2:$B$3144,A333)</f>
        <v>4</v>
      </c>
      <c r="N333" s="21" t="n">
        <f aca="false">COUNTIFS(Applications!$B$2:$B$3144,A333,Applications!$F$2:$F$3144,"Offered")</f>
        <v>1</v>
      </c>
      <c r="O333" s="21" t="str">
        <f aca="false">IF(COUNTIFS(Applications!$B$2:$B$3144,A333,Applications!$H$2:$H$3144,"Yes")&gt;0,"Yes","No")</f>
        <v>Yes</v>
      </c>
      <c r="P333" s="32" t="n">
        <f aca="false">SUMIFS(Applications!$G$2:$G$3144,Applications!$B$2:$B$3144,A333,Applications!$H$2:$H$3144,"Yes")</f>
        <v>4.4</v>
      </c>
      <c r="Q333" s="21" t="str">
        <f aca="false">IF(O333="Yes",INDEX(Companies!$B$2:$B$31,MATCH(INDEX(Applications!$C$2:$C$3144,MATCH(A333,Applications!$P$2:$P$3144,0)),Companies!$A$2:$A$31,0)),"-")</f>
        <v>DataHarbor</v>
      </c>
    </row>
    <row r="334" customFormat="false" ht="15" hidden="false" customHeight="false" outlineLevel="0" collapsed="false">
      <c r="A334" s="21" t="s">
        <v>726</v>
      </c>
      <c r="B334" s="21" t="s">
        <v>727</v>
      </c>
      <c r="C334" s="21" t="s">
        <v>458</v>
      </c>
      <c r="D334" s="21" t="s">
        <v>66</v>
      </c>
      <c r="E334" s="21" t="s">
        <v>91</v>
      </c>
      <c r="F334" s="21" t="n">
        <v>7.87</v>
      </c>
      <c r="G334" s="21" t="n">
        <v>149</v>
      </c>
      <c r="H334" s="21" t="n">
        <v>2</v>
      </c>
      <c r="I334" s="21" t="s">
        <v>113</v>
      </c>
      <c r="J334" s="21" t="n">
        <v>59</v>
      </c>
      <c r="K334" s="32" t="n">
        <f aca="false">ROUND(Assumptions!$B$4*MIN(G334/Assumptions!$B$11,1)*100+Assumptions!$B$5*F334/10*100+Assumptions!$B$6*MIN(H334/Assumptions!$B$12,1)*100+Assumptions!$B$7*J334+Assumptions!$B$8*IF(I334="Yes",100,0),1)</f>
        <v>44.5</v>
      </c>
      <c r="L334" s="21" t="str">
        <f aca="false">LOOKUP(K334,Assumptions!$D$4:$D$7,Assumptions!$E$4:$E$7)</f>
        <v>Foundation</v>
      </c>
      <c r="M334" s="21" t="n">
        <f aca="false">COUNTIFS(Applications!$B$2:$B$3144,A334)</f>
        <v>2</v>
      </c>
      <c r="N334" s="21" t="n">
        <f aca="false">COUNTIFS(Applications!$B$2:$B$3144,A334,Applications!$F$2:$F$3144,"Offered")</f>
        <v>0</v>
      </c>
      <c r="O334" s="21" t="str">
        <f aca="false">IF(COUNTIFS(Applications!$B$2:$B$3144,A334,Applications!$H$2:$H$3144,"Yes")&gt;0,"Yes","No")</f>
        <v>No</v>
      </c>
      <c r="P334" s="32" t="n">
        <f aca="false">SUMIFS(Applications!$G$2:$G$3144,Applications!$B$2:$B$3144,A334,Applications!$H$2:$H$3144,"Yes")</f>
        <v>0</v>
      </c>
      <c r="Q334" s="21" t="str">
        <f aca="false">IF(O334="Yes",INDEX(Companies!$B$2:$B$31,MATCH(INDEX(Applications!$C$2:$C$3144,MATCH(A334,Applications!$P$2:$P$3144,0)),Companies!$A$2:$A$31,0)),"-")</f>
        <v>-</v>
      </c>
    </row>
    <row r="335" customFormat="false" ht="15" hidden="false" customHeight="false" outlineLevel="0" collapsed="false">
      <c r="A335" s="21" t="s">
        <v>728</v>
      </c>
      <c r="B335" s="21" t="s">
        <v>611</v>
      </c>
      <c r="C335" s="21" t="s">
        <v>458</v>
      </c>
      <c r="D335" s="21" t="s">
        <v>66</v>
      </c>
      <c r="E335" s="21" t="s">
        <v>92</v>
      </c>
      <c r="F335" s="21" t="n">
        <v>5.15</v>
      </c>
      <c r="G335" s="21" t="n">
        <v>183</v>
      </c>
      <c r="H335" s="21" t="n">
        <v>6</v>
      </c>
      <c r="I335" s="21" t="s">
        <v>113</v>
      </c>
      <c r="J335" s="21" t="n">
        <v>37</v>
      </c>
      <c r="K335" s="32" t="n">
        <f aca="false">ROUND(Assumptions!$B$4*MIN(G335/Assumptions!$B$11,1)*100+Assumptions!$B$5*F335/10*100+Assumptions!$B$6*MIN(H335/Assumptions!$B$12,1)*100+Assumptions!$B$7*J335+Assumptions!$B$8*IF(I335="Yes",100,0),1)</f>
        <v>48.7</v>
      </c>
      <c r="L335" s="21" t="str">
        <f aca="false">LOOKUP(K335,Assumptions!$D$4:$D$7,Assumptions!$E$4:$E$7)</f>
        <v>Foundation</v>
      </c>
      <c r="M335" s="21" t="n">
        <f aca="false">COUNTIFS(Applications!$B$2:$B$3144,A335)</f>
        <v>2</v>
      </c>
      <c r="N335" s="21" t="n">
        <f aca="false">COUNTIFS(Applications!$B$2:$B$3144,A335,Applications!$F$2:$F$3144,"Offered")</f>
        <v>0</v>
      </c>
      <c r="O335" s="21" t="str">
        <f aca="false">IF(COUNTIFS(Applications!$B$2:$B$3144,A335,Applications!$H$2:$H$3144,"Yes")&gt;0,"Yes","No")</f>
        <v>No</v>
      </c>
      <c r="P335" s="32" t="n">
        <f aca="false">SUMIFS(Applications!$G$2:$G$3144,Applications!$B$2:$B$3144,A335,Applications!$H$2:$H$3144,"Yes")</f>
        <v>0</v>
      </c>
      <c r="Q335" s="21" t="str">
        <f aca="false">IF(O335="Yes",INDEX(Companies!$B$2:$B$31,MATCH(INDEX(Applications!$C$2:$C$3144,MATCH(A335,Applications!$P$2:$P$3144,0)),Companies!$A$2:$A$31,0)),"-")</f>
        <v>-</v>
      </c>
    </row>
    <row r="336" customFormat="false" ht="15" hidden="false" customHeight="false" outlineLevel="0" collapsed="false">
      <c r="A336" s="21" t="s">
        <v>729</v>
      </c>
      <c r="B336" s="21" t="s">
        <v>730</v>
      </c>
      <c r="C336" s="21" t="s">
        <v>458</v>
      </c>
      <c r="D336" s="21" t="s">
        <v>63</v>
      </c>
      <c r="E336" s="21" t="s">
        <v>90</v>
      </c>
      <c r="F336" s="21" t="n">
        <v>7.56</v>
      </c>
      <c r="G336" s="21" t="n">
        <v>143</v>
      </c>
      <c r="H336" s="21" t="n">
        <v>2</v>
      </c>
      <c r="I336" s="21" t="s">
        <v>113</v>
      </c>
      <c r="J336" s="21" t="n">
        <v>68</v>
      </c>
      <c r="K336" s="32" t="n">
        <f aca="false">ROUND(Assumptions!$B$4*MIN(G336/Assumptions!$B$11,1)*100+Assumptions!$B$5*F336/10*100+Assumptions!$B$6*MIN(H336/Assumptions!$B$12,1)*100+Assumptions!$B$7*J336+Assumptions!$B$8*IF(I336="Yes",100,0),1)</f>
        <v>45.3</v>
      </c>
      <c r="L336" s="21" t="str">
        <f aca="false">LOOKUP(K336,Assumptions!$D$4:$D$7,Assumptions!$E$4:$E$7)</f>
        <v>Foundation</v>
      </c>
      <c r="M336" s="21" t="n">
        <f aca="false">COUNTIFS(Applications!$B$2:$B$3144,A336)</f>
        <v>10</v>
      </c>
      <c r="N336" s="21" t="n">
        <f aca="false">COUNTIFS(Applications!$B$2:$B$3144,A336,Applications!$F$2:$F$3144,"Offered")</f>
        <v>0</v>
      </c>
      <c r="O336" s="21" t="str">
        <f aca="false">IF(COUNTIFS(Applications!$B$2:$B$3144,A336,Applications!$H$2:$H$3144,"Yes")&gt;0,"Yes","No")</f>
        <v>No</v>
      </c>
      <c r="P336" s="32" t="n">
        <f aca="false">SUMIFS(Applications!$G$2:$G$3144,Applications!$B$2:$B$3144,A336,Applications!$H$2:$H$3144,"Yes")</f>
        <v>0</v>
      </c>
      <c r="Q336" s="21" t="str">
        <f aca="false">IF(O336="Yes",INDEX(Companies!$B$2:$B$31,MATCH(INDEX(Applications!$C$2:$C$3144,MATCH(A336,Applications!$P$2:$P$3144,0)),Companies!$A$2:$A$31,0)),"-")</f>
        <v>-</v>
      </c>
    </row>
    <row r="337" customFormat="false" ht="15" hidden="false" customHeight="false" outlineLevel="0" collapsed="false">
      <c r="A337" s="21" t="s">
        <v>731</v>
      </c>
      <c r="B337" s="21" t="s">
        <v>244</v>
      </c>
      <c r="C337" s="21" t="s">
        <v>458</v>
      </c>
      <c r="D337" s="21" t="s">
        <v>65</v>
      </c>
      <c r="E337" s="21" t="s">
        <v>92</v>
      </c>
      <c r="F337" s="21" t="n">
        <v>6.8</v>
      </c>
      <c r="G337" s="21" t="n">
        <v>381</v>
      </c>
      <c r="H337" s="21" t="n">
        <v>4</v>
      </c>
      <c r="I337" s="21" t="s">
        <v>120</v>
      </c>
      <c r="J337" s="21" t="n">
        <v>69</v>
      </c>
      <c r="K337" s="32" t="n">
        <f aca="false">ROUND(Assumptions!$B$4*MIN(G337/Assumptions!$B$11,1)*100+Assumptions!$B$5*F337/10*100+Assumptions!$B$6*MIN(H337/Assumptions!$B$12,1)*100+Assumptions!$B$7*J337+Assumptions!$B$8*IF(I337="Yes",100,0),1)</f>
        <v>76.3</v>
      </c>
      <c r="L337" s="21" t="str">
        <f aca="false">LOOKUP(K337,Assumptions!$D$4:$D$7,Assumptions!$E$4:$E$7)</f>
        <v>Job-Ready</v>
      </c>
      <c r="M337" s="21" t="n">
        <f aca="false">COUNTIFS(Applications!$B$2:$B$3144,A337)</f>
        <v>0</v>
      </c>
      <c r="N337" s="21" t="n">
        <f aca="false">COUNTIFS(Applications!$B$2:$B$3144,A337,Applications!$F$2:$F$3144,"Offered")</f>
        <v>0</v>
      </c>
      <c r="O337" s="21" t="str">
        <f aca="false">IF(COUNTIFS(Applications!$B$2:$B$3144,A337,Applications!$H$2:$H$3144,"Yes")&gt;0,"Yes","No")</f>
        <v>No</v>
      </c>
      <c r="P337" s="32" t="n">
        <f aca="false">SUMIFS(Applications!$G$2:$G$3144,Applications!$B$2:$B$3144,A337,Applications!$H$2:$H$3144,"Yes")</f>
        <v>0</v>
      </c>
      <c r="Q337" s="21" t="str">
        <f aca="false">IF(O337="Yes",INDEX(Companies!$B$2:$B$31,MATCH(INDEX(Applications!$C$2:$C$3144,MATCH(A337,Applications!$P$2:$P$3144,0)),Companies!$A$2:$A$31,0)),"-")</f>
        <v>-</v>
      </c>
    </row>
    <row r="338" customFormat="false" ht="15" hidden="false" customHeight="false" outlineLevel="0" collapsed="false">
      <c r="A338" s="21" t="s">
        <v>732</v>
      </c>
      <c r="B338" s="21" t="s">
        <v>733</v>
      </c>
      <c r="C338" s="21" t="s">
        <v>458</v>
      </c>
      <c r="D338" s="21" t="s">
        <v>66</v>
      </c>
      <c r="E338" s="21" t="s">
        <v>91</v>
      </c>
      <c r="F338" s="21" t="n">
        <v>6.95</v>
      </c>
      <c r="G338" s="21" t="n">
        <v>407</v>
      </c>
      <c r="H338" s="21" t="n">
        <v>3</v>
      </c>
      <c r="I338" s="21" t="s">
        <v>113</v>
      </c>
      <c r="J338" s="21" t="n">
        <v>66</v>
      </c>
      <c r="K338" s="32" t="n">
        <f aca="false">ROUND(Assumptions!$B$4*MIN(G338/Assumptions!$B$11,1)*100+Assumptions!$B$5*F338/10*100+Assumptions!$B$6*MIN(H338/Assumptions!$B$12,1)*100+Assumptions!$B$7*J338+Assumptions!$B$8*IF(I338="Yes",100,0),1)</f>
        <v>63.5</v>
      </c>
      <c r="L338" s="21" t="str">
        <f aca="false">LOOKUP(K338,Assumptions!$D$4:$D$7,Assumptions!$E$4:$E$7)</f>
        <v>Developing</v>
      </c>
      <c r="M338" s="21" t="n">
        <f aca="false">COUNTIFS(Applications!$B$2:$B$3144,A338)</f>
        <v>10</v>
      </c>
      <c r="N338" s="21" t="n">
        <f aca="false">COUNTIFS(Applications!$B$2:$B$3144,A338,Applications!$F$2:$F$3144,"Offered")</f>
        <v>4</v>
      </c>
      <c r="O338" s="21" t="str">
        <f aca="false">IF(COUNTIFS(Applications!$B$2:$B$3144,A338,Applications!$H$2:$H$3144,"Yes")&gt;0,"Yes","No")</f>
        <v>Yes</v>
      </c>
      <c r="P338" s="32" t="n">
        <f aca="false">SUMIFS(Applications!$G$2:$G$3144,Applications!$B$2:$B$3144,A338,Applications!$H$2:$H$3144,"Yes")</f>
        <v>22.7</v>
      </c>
      <c r="Q338" s="21" t="str">
        <f aca="false">IF(O338="Yes",INDEX(Companies!$B$2:$B$31,MATCH(INDEX(Applications!$C$2:$C$3144,MATCH(A338,Applications!$P$2:$P$3144,0)),Companies!$A$2:$A$31,0)),"-")</f>
        <v>Quantora Labs</v>
      </c>
    </row>
    <row r="339" customFormat="false" ht="15" hidden="false" customHeight="false" outlineLevel="0" collapsed="false">
      <c r="A339" s="21" t="s">
        <v>734</v>
      </c>
      <c r="B339" s="21" t="s">
        <v>469</v>
      </c>
      <c r="C339" s="21" t="s">
        <v>458</v>
      </c>
      <c r="D339" s="21" t="s">
        <v>67</v>
      </c>
      <c r="E339" s="21" t="s">
        <v>91</v>
      </c>
      <c r="F339" s="21" t="n">
        <v>7.23</v>
      </c>
      <c r="G339" s="21" t="n">
        <v>229</v>
      </c>
      <c r="H339" s="21" t="n">
        <v>3</v>
      </c>
      <c r="I339" s="21" t="s">
        <v>113</v>
      </c>
      <c r="J339" s="21" t="n">
        <v>53</v>
      </c>
      <c r="K339" s="32" t="n">
        <f aca="false">ROUND(Assumptions!$B$4*MIN(G339/Assumptions!$B$11,1)*100+Assumptions!$B$5*F339/10*100+Assumptions!$B$6*MIN(H339/Assumptions!$B$12,1)*100+Assumptions!$B$7*J339+Assumptions!$B$8*IF(I339="Yes",100,0),1)</f>
        <v>50.8</v>
      </c>
      <c r="L339" s="21" t="str">
        <f aca="false">LOOKUP(K339,Assumptions!$D$4:$D$7,Assumptions!$E$4:$E$7)</f>
        <v>Developing</v>
      </c>
      <c r="M339" s="21" t="n">
        <f aca="false">COUNTIFS(Applications!$B$2:$B$3144,A339)</f>
        <v>0</v>
      </c>
      <c r="N339" s="21" t="n">
        <f aca="false">COUNTIFS(Applications!$B$2:$B$3144,A339,Applications!$F$2:$F$3144,"Offered")</f>
        <v>0</v>
      </c>
      <c r="O339" s="21" t="str">
        <f aca="false">IF(COUNTIFS(Applications!$B$2:$B$3144,A339,Applications!$H$2:$H$3144,"Yes")&gt;0,"Yes","No")</f>
        <v>No</v>
      </c>
      <c r="P339" s="32" t="n">
        <f aca="false">SUMIFS(Applications!$G$2:$G$3144,Applications!$B$2:$B$3144,A339,Applications!$H$2:$H$3144,"Yes")</f>
        <v>0</v>
      </c>
      <c r="Q339" s="21" t="str">
        <f aca="false">IF(O339="Yes",INDEX(Companies!$B$2:$B$31,MATCH(INDEX(Applications!$C$2:$C$3144,MATCH(A339,Applications!$P$2:$P$3144,0)),Companies!$A$2:$A$31,0)),"-")</f>
        <v>-</v>
      </c>
    </row>
    <row r="340" customFormat="false" ht="15" hidden="false" customHeight="false" outlineLevel="0" collapsed="false">
      <c r="A340" s="21" t="s">
        <v>735</v>
      </c>
      <c r="B340" s="21" t="s">
        <v>736</v>
      </c>
      <c r="C340" s="21" t="s">
        <v>458</v>
      </c>
      <c r="D340" s="21" t="s">
        <v>64</v>
      </c>
      <c r="E340" s="21" t="s">
        <v>90</v>
      </c>
      <c r="F340" s="21" t="n">
        <v>7.77</v>
      </c>
      <c r="G340" s="21" t="n">
        <v>441</v>
      </c>
      <c r="H340" s="21" t="n">
        <v>7</v>
      </c>
      <c r="I340" s="21" t="s">
        <v>113</v>
      </c>
      <c r="J340" s="21" t="n">
        <v>56</v>
      </c>
      <c r="K340" s="32" t="n">
        <f aca="false">ROUND(Assumptions!$B$4*MIN(G340/Assumptions!$B$11,1)*100+Assumptions!$B$5*F340/10*100+Assumptions!$B$6*MIN(H340/Assumptions!$B$12,1)*100+Assumptions!$B$7*J340+Assumptions!$B$8*IF(I340="Yes",100,0),1)</f>
        <v>73.2</v>
      </c>
      <c r="L340" s="21" t="str">
        <f aca="false">LOOKUP(K340,Assumptions!$D$4:$D$7,Assumptions!$E$4:$E$7)</f>
        <v>Job-Ready</v>
      </c>
      <c r="M340" s="21" t="n">
        <f aca="false">COUNTIFS(Applications!$B$2:$B$3144,A340)</f>
        <v>5</v>
      </c>
      <c r="N340" s="21" t="n">
        <f aca="false">COUNTIFS(Applications!$B$2:$B$3144,A340,Applications!$F$2:$F$3144,"Offered")</f>
        <v>3</v>
      </c>
      <c r="O340" s="21" t="str">
        <f aca="false">IF(COUNTIFS(Applications!$B$2:$B$3144,A340,Applications!$H$2:$H$3144,"Yes")&gt;0,"Yes","No")</f>
        <v>Yes</v>
      </c>
      <c r="P340" s="32" t="n">
        <f aca="false">SUMIFS(Applications!$G$2:$G$3144,Applications!$B$2:$B$3144,A340,Applications!$H$2:$H$3144,"Yes")</f>
        <v>10</v>
      </c>
      <c r="Q340" s="21" t="str">
        <f aca="false">IF(O340="Yes",INDEX(Companies!$B$2:$B$31,MATCH(INDEX(Applications!$C$2:$C$3144,MATCH(A340,Applications!$P$2:$P$3144,0)),Companies!$A$2:$A$31,0)),"-")</f>
        <v>PayRiver</v>
      </c>
    </row>
    <row r="341" customFormat="false" ht="15" hidden="false" customHeight="false" outlineLevel="0" collapsed="false">
      <c r="A341" s="21" t="s">
        <v>737</v>
      </c>
      <c r="B341" s="21" t="s">
        <v>738</v>
      </c>
      <c r="C341" s="21" t="s">
        <v>458</v>
      </c>
      <c r="D341" s="21" t="s">
        <v>67</v>
      </c>
      <c r="E341" s="21" t="s">
        <v>91</v>
      </c>
      <c r="F341" s="21" t="n">
        <v>6.88</v>
      </c>
      <c r="G341" s="21" t="n">
        <v>188</v>
      </c>
      <c r="H341" s="21" t="n">
        <v>2</v>
      </c>
      <c r="I341" s="21" t="s">
        <v>113</v>
      </c>
      <c r="J341" s="21" t="n">
        <v>43</v>
      </c>
      <c r="K341" s="32" t="n">
        <f aca="false">ROUND(Assumptions!$B$4*MIN(G341/Assumptions!$B$11,1)*100+Assumptions!$B$5*F341/10*100+Assumptions!$B$6*MIN(H341/Assumptions!$B$12,1)*100+Assumptions!$B$7*J341+Assumptions!$B$8*IF(I341="Yes",100,0),1)</f>
        <v>41.6</v>
      </c>
      <c r="L341" s="21" t="str">
        <f aca="false">LOOKUP(K341,Assumptions!$D$4:$D$7,Assumptions!$E$4:$E$7)</f>
        <v>Foundation</v>
      </c>
      <c r="M341" s="21" t="n">
        <f aca="false">COUNTIFS(Applications!$B$2:$B$3144,A341)</f>
        <v>5</v>
      </c>
      <c r="N341" s="21" t="n">
        <f aca="false">COUNTIFS(Applications!$B$2:$B$3144,A341,Applications!$F$2:$F$3144,"Offered")</f>
        <v>0</v>
      </c>
      <c r="O341" s="21" t="str">
        <f aca="false">IF(COUNTIFS(Applications!$B$2:$B$3144,A341,Applications!$H$2:$H$3144,"Yes")&gt;0,"Yes","No")</f>
        <v>No</v>
      </c>
      <c r="P341" s="32" t="n">
        <f aca="false">SUMIFS(Applications!$G$2:$G$3144,Applications!$B$2:$B$3144,A341,Applications!$H$2:$H$3144,"Yes")</f>
        <v>0</v>
      </c>
      <c r="Q341" s="21" t="str">
        <f aca="false">IF(O341="Yes",INDEX(Companies!$B$2:$B$31,MATCH(INDEX(Applications!$C$2:$C$3144,MATCH(A341,Applications!$P$2:$P$3144,0)),Companies!$A$2:$A$31,0)),"-")</f>
        <v>-</v>
      </c>
    </row>
    <row r="342" customFormat="false" ht="15" hidden="false" customHeight="false" outlineLevel="0" collapsed="false">
      <c r="A342" s="21" t="s">
        <v>739</v>
      </c>
      <c r="B342" s="21" t="s">
        <v>740</v>
      </c>
      <c r="C342" s="21" t="s">
        <v>458</v>
      </c>
      <c r="D342" s="21" t="s">
        <v>66</v>
      </c>
      <c r="E342" s="21" t="s">
        <v>92</v>
      </c>
      <c r="F342" s="21" t="n">
        <v>7.77</v>
      </c>
      <c r="G342" s="21" t="n">
        <v>122</v>
      </c>
      <c r="H342" s="21" t="n">
        <v>8</v>
      </c>
      <c r="I342" s="21" t="s">
        <v>120</v>
      </c>
      <c r="J342" s="21" t="n">
        <v>67</v>
      </c>
      <c r="K342" s="32" t="n">
        <f aca="false">ROUND(Assumptions!$B$4*MIN(G342/Assumptions!$B$11,1)*100+Assumptions!$B$5*F342/10*100+Assumptions!$B$6*MIN(H342/Assumptions!$B$12,1)*100+Assumptions!$B$7*J342+Assumptions!$B$8*IF(I342="Yes",100,0),1)</f>
        <v>66.3</v>
      </c>
      <c r="L342" s="21" t="str">
        <f aca="false">LOOKUP(K342,Assumptions!$D$4:$D$7,Assumptions!$E$4:$E$7)</f>
        <v>Job-Ready</v>
      </c>
      <c r="M342" s="21" t="n">
        <f aca="false">COUNTIFS(Applications!$B$2:$B$3144,A342)</f>
        <v>5</v>
      </c>
      <c r="N342" s="21" t="n">
        <f aca="false">COUNTIFS(Applications!$B$2:$B$3144,A342,Applications!$F$2:$F$3144,"Offered")</f>
        <v>3</v>
      </c>
      <c r="O342" s="21" t="str">
        <f aca="false">IF(COUNTIFS(Applications!$B$2:$B$3144,A342,Applications!$H$2:$H$3144,"Yes")&gt;0,"Yes","No")</f>
        <v>Yes</v>
      </c>
      <c r="P342" s="32" t="n">
        <f aca="false">SUMIFS(Applications!$G$2:$G$3144,Applications!$B$2:$B$3144,A342,Applications!$H$2:$H$3144,"Yes")</f>
        <v>24.1</v>
      </c>
      <c r="Q342" s="21" t="str">
        <f aca="false">IF(O342="Yes",INDEX(Companies!$B$2:$B$31,MATCH(INDEX(Applications!$C$2:$C$3144,MATCH(A342,Applications!$P$2:$P$3144,0)),Companies!$A$2:$A$31,0)),"-")</f>
        <v>Orbitly</v>
      </c>
    </row>
    <row r="343" customFormat="false" ht="15" hidden="false" customHeight="false" outlineLevel="0" collapsed="false">
      <c r="A343" s="21" t="s">
        <v>741</v>
      </c>
      <c r="B343" s="21" t="s">
        <v>742</v>
      </c>
      <c r="C343" s="21" t="s">
        <v>458</v>
      </c>
      <c r="D343" s="21" t="s">
        <v>66</v>
      </c>
      <c r="E343" s="21" t="s">
        <v>90</v>
      </c>
      <c r="F343" s="21" t="n">
        <v>8.58</v>
      </c>
      <c r="G343" s="21" t="n">
        <v>248</v>
      </c>
      <c r="H343" s="21" t="n">
        <v>3</v>
      </c>
      <c r="I343" s="21" t="s">
        <v>113</v>
      </c>
      <c r="J343" s="21" t="n">
        <v>51</v>
      </c>
      <c r="K343" s="32" t="n">
        <f aca="false">ROUND(Assumptions!$B$4*MIN(G343/Assumptions!$B$11,1)*100+Assumptions!$B$5*F343/10*100+Assumptions!$B$6*MIN(H343/Assumptions!$B$12,1)*100+Assumptions!$B$7*J343+Assumptions!$B$8*IF(I343="Yes",100,0),1)</f>
        <v>54.2</v>
      </c>
      <c r="L343" s="21" t="str">
        <f aca="false">LOOKUP(K343,Assumptions!$D$4:$D$7,Assumptions!$E$4:$E$7)</f>
        <v>Developing</v>
      </c>
      <c r="M343" s="21" t="n">
        <f aca="false">COUNTIFS(Applications!$B$2:$B$3144,A343)</f>
        <v>4</v>
      </c>
      <c r="N343" s="21" t="n">
        <f aca="false">COUNTIFS(Applications!$B$2:$B$3144,A343,Applications!$F$2:$F$3144,"Offered")</f>
        <v>0</v>
      </c>
      <c r="O343" s="21" t="str">
        <f aca="false">IF(COUNTIFS(Applications!$B$2:$B$3144,A343,Applications!$H$2:$H$3144,"Yes")&gt;0,"Yes","No")</f>
        <v>No</v>
      </c>
      <c r="P343" s="32" t="n">
        <f aca="false">SUMIFS(Applications!$G$2:$G$3144,Applications!$B$2:$B$3144,A343,Applications!$H$2:$H$3144,"Yes")</f>
        <v>0</v>
      </c>
      <c r="Q343" s="21" t="str">
        <f aca="false">IF(O343="Yes",INDEX(Companies!$B$2:$B$31,MATCH(INDEX(Applications!$C$2:$C$3144,MATCH(A343,Applications!$P$2:$P$3144,0)),Companies!$A$2:$A$31,0)),"-")</f>
        <v>-</v>
      </c>
    </row>
    <row r="344" customFormat="false" ht="15" hidden="false" customHeight="false" outlineLevel="0" collapsed="false">
      <c r="A344" s="21" t="s">
        <v>743</v>
      </c>
      <c r="B344" s="21" t="s">
        <v>744</v>
      </c>
      <c r="C344" s="21" t="s">
        <v>458</v>
      </c>
      <c r="D344" s="21" t="s">
        <v>63</v>
      </c>
      <c r="E344" s="21" t="s">
        <v>90</v>
      </c>
      <c r="F344" s="21" t="n">
        <v>8.02</v>
      </c>
      <c r="G344" s="21" t="n">
        <v>123</v>
      </c>
      <c r="H344" s="21" t="n">
        <v>5</v>
      </c>
      <c r="I344" s="21" t="s">
        <v>113</v>
      </c>
      <c r="J344" s="21" t="n">
        <v>69</v>
      </c>
      <c r="K344" s="32" t="n">
        <f aca="false">ROUND(Assumptions!$B$4*MIN(G344/Assumptions!$B$11,1)*100+Assumptions!$B$5*F344/10*100+Assumptions!$B$6*MIN(H344/Assumptions!$B$12,1)*100+Assumptions!$B$7*J344+Assumptions!$B$8*IF(I344="Yes",100,0),1)</f>
        <v>57.2</v>
      </c>
      <c r="L344" s="21" t="str">
        <f aca="false">LOOKUP(K344,Assumptions!$D$4:$D$7,Assumptions!$E$4:$E$7)</f>
        <v>Developing</v>
      </c>
      <c r="M344" s="21" t="n">
        <f aca="false">COUNTIFS(Applications!$B$2:$B$3144,A344)</f>
        <v>8</v>
      </c>
      <c r="N344" s="21" t="n">
        <f aca="false">COUNTIFS(Applications!$B$2:$B$3144,A344,Applications!$F$2:$F$3144,"Offered")</f>
        <v>1</v>
      </c>
      <c r="O344" s="21" t="str">
        <f aca="false">IF(COUNTIFS(Applications!$B$2:$B$3144,A344,Applications!$H$2:$H$3144,"Yes")&gt;0,"Yes","No")</f>
        <v>Yes</v>
      </c>
      <c r="P344" s="32" t="n">
        <f aca="false">SUMIFS(Applications!$G$2:$G$3144,Applications!$B$2:$B$3144,A344,Applications!$H$2:$H$3144,"Yes")</f>
        <v>7.3</v>
      </c>
      <c r="Q344" s="21" t="str">
        <f aca="false">IF(O344="Yes",INDEX(Companies!$B$2:$B$31,MATCH(INDEX(Applications!$C$2:$C$3144,MATCH(A344,Applications!$P$2:$P$3144,0)),Companies!$A$2:$A$31,0)),"-")</f>
        <v>RetailRocket</v>
      </c>
    </row>
    <row r="345" customFormat="false" ht="15" hidden="false" customHeight="false" outlineLevel="0" collapsed="false">
      <c r="A345" s="21" t="s">
        <v>745</v>
      </c>
      <c r="B345" s="21" t="s">
        <v>746</v>
      </c>
      <c r="C345" s="21" t="s">
        <v>458</v>
      </c>
      <c r="D345" s="21" t="s">
        <v>63</v>
      </c>
      <c r="E345" s="21" t="s">
        <v>90</v>
      </c>
      <c r="F345" s="21" t="n">
        <v>7.51</v>
      </c>
      <c r="G345" s="21" t="n">
        <v>338</v>
      </c>
      <c r="H345" s="21" t="n">
        <v>6</v>
      </c>
      <c r="I345" s="21" t="s">
        <v>113</v>
      </c>
      <c r="J345" s="21" t="n">
        <v>78</v>
      </c>
      <c r="K345" s="32" t="n">
        <f aca="false">ROUND(Assumptions!$B$4*MIN(G345/Assumptions!$B$11,1)*100+Assumptions!$B$5*F345/10*100+Assumptions!$B$6*MIN(H345/Assumptions!$B$12,1)*100+Assumptions!$B$7*J345+Assumptions!$B$8*IF(I345="Yes",100,0),1)</f>
        <v>70.9</v>
      </c>
      <c r="L345" s="21" t="str">
        <f aca="false">LOOKUP(K345,Assumptions!$D$4:$D$7,Assumptions!$E$4:$E$7)</f>
        <v>Job-Ready</v>
      </c>
      <c r="M345" s="21" t="n">
        <f aca="false">COUNTIFS(Applications!$B$2:$B$3144,A345)</f>
        <v>5</v>
      </c>
      <c r="N345" s="21" t="n">
        <f aca="false">COUNTIFS(Applications!$B$2:$B$3144,A345,Applications!$F$2:$F$3144,"Offered")</f>
        <v>1</v>
      </c>
      <c r="O345" s="21" t="str">
        <f aca="false">IF(COUNTIFS(Applications!$B$2:$B$3144,A345,Applications!$H$2:$H$3144,"Yes")&gt;0,"Yes","No")</f>
        <v>Yes</v>
      </c>
      <c r="P345" s="32" t="n">
        <f aca="false">SUMIFS(Applications!$G$2:$G$3144,Applications!$B$2:$B$3144,A345,Applications!$H$2:$H$3144,"Yes")</f>
        <v>20.1</v>
      </c>
      <c r="Q345" s="21" t="str">
        <f aca="false">IF(O345="Yes",INDEX(Companies!$B$2:$B$31,MATCH(INDEX(Applications!$C$2:$C$3144,MATCH(A345,Applications!$P$2:$P$3144,0)),Companies!$A$2:$A$31,0)),"-")</f>
        <v>Vertex AI Works</v>
      </c>
    </row>
    <row r="346" customFormat="false" ht="15" hidden="false" customHeight="false" outlineLevel="0" collapsed="false">
      <c r="A346" s="21" t="s">
        <v>747</v>
      </c>
      <c r="B346" s="21" t="s">
        <v>748</v>
      </c>
      <c r="C346" s="21" t="s">
        <v>458</v>
      </c>
      <c r="D346" s="21" t="s">
        <v>64</v>
      </c>
      <c r="E346" s="21" t="s">
        <v>91</v>
      </c>
      <c r="F346" s="21" t="n">
        <v>8.96</v>
      </c>
      <c r="G346" s="21" t="n">
        <v>624</v>
      </c>
      <c r="H346" s="21" t="n">
        <v>1</v>
      </c>
      <c r="I346" s="21" t="s">
        <v>113</v>
      </c>
      <c r="J346" s="21" t="n">
        <v>67</v>
      </c>
      <c r="K346" s="32" t="n">
        <f aca="false">ROUND(Assumptions!$B$4*MIN(G346/Assumptions!$B$11,1)*100+Assumptions!$B$5*F346/10*100+Assumptions!$B$6*MIN(H346/Assumptions!$B$12,1)*100+Assumptions!$B$7*J346+Assumptions!$B$8*IF(I346="Yes",100,0),1)</f>
        <v>65.3</v>
      </c>
      <c r="L346" s="21" t="str">
        <f aca="false">LOOKUP(K346,Assumptions!$D$4:$D$7,Assumptions!$E$4:$E$7)</f>
        <v>Job-Ready</v>
      </c>
      <c r="M346" s="21" t="n">
        <f aca="false">COUNTIFS(Applications!$B$2:$B$3144,A346)</f>
        <v>3</v>
      </c>
      <c r="N346" s="21" t="n">
        <f aca="false">COUNTIFS(Applications!$B$2:$B$3144,A346,Applications!$F$2:$F$3144,"Offered")</f>
        <v>0</v>
      </c>
      <c r="O346" s="21" t="str">
        <f aca="false">IF(COUNTIFS(Applications!$B$2:$B$3144,A346,Applications!$H$2:$H$3144,"Yes")&gt;0,"Yes","No")</f>
        <v>No</v>
      </c>
      <c r="P346" s="32" t="n">
        <f aca="false">SUMIFS(Applications!$G$2:$G$3144,Applications!$B$2:$B$3144,A346,Applications!$H$2:$H$3144,"Yes")</f>
        <v>0</v>
      </c>
      <c r="Q346" s="21" t="str">
        <f aca="false">IF(O346="Yes",INDEX(Companies!$B$2:$B$31,MATCH(INDEX(Applications!$C$2:$C$3144,MATCH(A346,Applications!$P$2:$P$3144,0)),Companies!$A$2:$A$31,0)),"-")</f>
        <v>-</v>
      </c>
    </row>
    <row r="347" customFormat="false" ht="15" hidden="false" customHeight="false" outlineLevel="0" collapsed="false">
      <c r="A347" s="21" t="s">
        <v>749</v>
      </c>
      <c r="B347" s="21" t="s">
        <v>750</v>
      </c>
      <c r="C347" s="21" t="s">
        <v>458</v>
      </c>
      <c r="D347" s="21" t="s">
        <v>64</v>
      </c>
      <c r="E347" s="21" t="s">
        <v>92</v>
      </c>
      <c r="F347" s="21" t="n">
        <v>8.55</v>
      </c>
      <c r="G347" s="21" t="n">
        <v>674</v>
      </c>
      <c r="H347" s="21" t="n">
        <v>2</v>
      </c>
      <c r="I347" s="21" t="s">
        <v>120</v>
      </c>
      <c r="J347" s="21" t="n">
        <v>65</v>
      </c>
      <c r="K347" s="32" t="n">
        <f aca="false">ROUND(Assumptions!$B$4*MIN(G347/Assumptions!$B$11,1)*100+Assumptions!$B$5*F347/10*100+Assumptions!$B$6*MIN(H347/Assumptions!$B$12,1)*100+Assumptions!$B$7*J347+Assumptions!$B$8*IF(I347="Yes",100,0),1)</f>
        <v>78.1</v>
      </c>
      <c r="L347" s="21" t="str">
        <f aca="false">LOOKUP(K347,Assumptions!$D$4:$D$7,Assumptions!$E$4:$E$7)</f>
        <v>Job-Ready</v>
      </c>
      <c r="M347" s="21" t="n">
        <f aca="false">COUNTIFS(Applications!$B$2:$B$3144,A347)</f>
        <v>0</v>
      </c>
      <c r="N347" s="21" t="n">
        <f aca="false">COUNTIFS(Applications!$B$2:$B$3144,A347,Applications!$F$2:$F$3144,"Offered")</f>
        <v>0</v>
      </c>
      <c r="O347" s="21" t="str">
        <f aca="false">IF(COUNTIFS(Applications!$B$2:$B$3144,A347,Applications!$H$2:$H$3144,"Yes")&gt;0,"Yes","No")</f>
        <v>No</v>
      </c>
      <c r="P347" s="32" t="n">
        <f aca="false">SUMIFS(Applications!$G$2:$G$3144,Applications!$B$2:$B$3144,A347,Applications!$H$2:$H$3144,"Yes")</f>
        <v>0</v>
      </c>
      <c r="Q347" s="21" t="str">
        <f aca="false">IF(O347="Yes",INDEX(Companies!$B$2:$B$31,MATCH(INDEX(Applications!$C$2:$C$3144,MATCH(A347,Applications!$P$2:$P$3144,0)),Companies!$A$2:$A$31,0)),"-")</f>
        <v>-</v>
      </c>
    </row>
    <row r="348" customFormat="false" ht="15" hidden="false" customHeight="false" outlineLevel="0" collapsed="false">
      <c r="A348" s="21" t="s">
        <v>751</v>
      </c>
      <c r="B348" s="21" t="s">
        <v>738</v>
      </c>
      <c r="C348" s="21" t="s">
        <v>458</v>
      </c>
      <c r="D348" s="21" t="s">
        <v>65</v>
      </c>
      <c r="E348" s="21" t="s">
        <v>90</v>
      </c>
      <c r="F348" s="21" t="n">
        <v>6.74</v>
      </c>
      <c r="G348" s="21" t="n">
        <v>90</v>
      </c>
      <c r="H348" s="21" t="n">
        <v>5</v>
      </c>
      <c r="I348" s="21" t="s">
        <v>113</v>
      </c>
      <c r="J348" s="21" t="n">
        <v>55</v>
      </c>
      <c r="K348" s="32" t="n">
        <f aca="false">ROUND(Assumptions!$B$4*MIN(G348/Assumptions!$B$11,1)*100+Assumptions!$B$5*F348/10*100+Assumptions!$B$6*MIN(H348/Assumptions!$B$12,1)*100+Assumptions!$B$7*J348+Assumptions!$B$8*IF(I348="Yes",100,0),1)</f>
        <v>49.9</v>
      </c>
      <c r="L348" s="21" t="str">
        <f aca="false">LOOKUP(K348,Assumptions!$D$4:$D$7,Assumptions!$E$4:$E$7)</f>
        <v>Foundation</v>
      </c>
      <c r="M348" s="21" t="n">
        <f aca="false">COUNTIFS(Applications!$B$2:$B$3144,A348)</f>
        <v>7</v>
      </c>
      <c r="N348" s="21" t="n">
        <f aca="false">COUNTIFS(Applications!$B$2:$B$3144,A348,Applications!$F$2:$F$3144,"Offered")</f>
        <v>0</v>
      </c>
      <c r="O348" s="21" t="str">
        <f aca="false">IF(COUNTIFS(Applications!$B$2:$B$3144,A348,Applications!$H$2:$H$3144,"Yes")&gt;0,"Yes","No")</f>
        <v>No</v>
      </c>
      <c r="P348" s="32" t="n">
        <f aca="false">SUMIFS(Applications!$G$2:$G$3144,Applications!$B$2:$B$3144,A348,Applications!$H$2:$H$3144,"Yes")</f>
        <v>0</v>
      </c>
      <c r="Q348" s="21" t="str">
        <f aca="false">IF(O348="Yes",INDEX(Companies!$B$2:$B$31,MATCH(INDEX(Applications!$C$2:$C$3144,MATCH(A348,Applications!$P$2:$P$3144,0)),Companies!$A$2:$A$31,0)),"-")</f>
        <v>-</v>
      </c>
    </row>
    <row r="349" customFormat="false" ht="15" hidden="false" customHeight="false" outlineLevel="0" collapsed="false">
      <c r="A349" s="21" t="s">
        <v>752</v>
      </c>
      <c r="B349" s="21" t="s">
        <v>753</v>
      </c>
      <c r="C349" s="21" t="s">
        <v>458</v>
      </c>
      <c r="D349" s="21" t="s">
        <v>64</v>
      </c>
      <c r="E349" s="21" t="s">
        <v>92</v>
      </c>
      <c r="F349" s="21" t="n">
        <v>8.38</v>
      </c>
      <c r="G349" s="21" t="n">
        <v>161</v>
      </c>
      <c r="H349" s="21" t="n">
        <v>5</v>
      </c>
      <c r="I349" s="21" t="s">
        <v>113</v>
      </c>
      <c r="J349" s="21" t="n">
        <v>52</v>
      </c>
      <c r="K349" s="32" t="n">
        <f aca="false">ROUND(Assumptions!$B$4*MIN(G349/Assumptions!$B$11,1)*100+Assumptions!$B$5*F349/10*100+Assumptions!$B$6*MIN(H349/Assumptions!$B$12,1)*100+Assumptions!$B$7*J349+Assumptions!$B$8*IF(I349="Yes",100,0),1)</f>
        <v>56.8</v>
      </c>
      <c r="L349" s="21" t="str">
        <f aca="false">LOOKUP(K349,Assumptions!$D$4:$D$7,Assumptions!$E$4:$E$7)</f>
        <v>Developing</v>
      </c>
      <c r="M349" s="21" t="n">
        <f aca="false">COUNTIFS(Applications!$B$2:$B$3144,A349)</f>
        <v>8</v>
      </c>
      <c r="N349" s="21" t="n">
        <f aca="false">COUNTIFS(Applications!$B$2:$B$3144,A349,Applications!$F$2:$F$3144,"Offered")</f>
        <v>3</v>
      </c>
      <c r="O349" s="21" t="str">
        <f aca="false">IF(COUNTIFS(Applications!$B$2:$B$3144,A349,Applications!$H$2:$H$3144,"Yes")&gt;0,"Yes","No")</f>
        <v>Yes</v>
      </c>
      <c r="P349" s="32" t="n">
        <f aca="false">SUMIFS(Applications!$G$2:$G$3144,Applications!$B$2:$B$3144,A349,Applications!$H$2:$H$3144,"Yes")</f>
        <v>9.5</v>
      </c>
      <c r="Q349" s="21" t="str">
        <f aca="false">IF(O349="Yes",INDEX(Companies!$B$2:$B$31,MATCH(INDEX(Applications!$C$2:$C$3144,MATCH(A349,Applications!$P$2:$P$3144,0)),Companies!$A$2:$A$31,0)),"-")</f>
        <v>PayRiver</v>
      </c>
    </row>
    <row r="350" customFormat="false" ht="15" hidden="false" customHeight="false" outlineLevel="0" collapsed="false">
      <c r="A350" s="21" t="s">
        <v>754</v>
      </c>
      <c r="B350" s="21" t="s">
        <v>170</v>
      </c>
      <c r="C350" s="21" t="s">
        <v>458</v>
      </c>
      <c r="D350" s="21" t="s">
        <v>67</v>
      </c>
      <c r="E350" s="21" t="s">
        <v>90</v>
      </c>
      <c r="F350" s="21" t="n">
        <v>8.54</v>
      </c>
      <c r="G350" s="21" t="n">
        <v>232</v>
      </c>
      <c r="H350" s="21" t="n">
        <v>3</v>
      </c>
      <c r="I350" s="21" t="s">
        <v>113</v>
      </c>
      <c r="J350" s="21" t="n">
        <v>72</v>
      </c>
      <c r="K350" s="32" t="n">
        <f aca="false">ROUND(Assumptions!$B$4*MIN(G350/Assumptions!$B$11,1)*100+Assumptions!$B$5*F350/10*100+Assumptions!$B$6*MIN(H350/Assumptions!$B$12,1)*100+Assumptions!$B$7*J350+Assumptions!$B$8*IF(I350="Yes",100,0),1)</f>
        <v>57.4</v>
      </c>
      <c r="L350" s="21" t="str">
        <f aca="false">LOOKUP(K350,Assumptions!$D$4:$D$7,Assumptions!$E$4:$E$7)</f>
        <v>Developing</v>
      </c>
      <c r="M350" s="21" t="n">
        <f aca="false">COUNTIFS(Applications!$B$2:$B$3144,A350)</f>
        <v>0</v>
      </c>
      <c r="N350" s="21" t="n">
        <f aca="false">COUNTIFS(Applications!$B$2:$B$3144,A350,Applications!$F$2:$F$3144,"Offered")</f>
        <v>0</v>
      </c>
      <c r="O350" s="21" t="str">
        <f aca="false">IF(COUNTIFS(Applications!$B$2:$B$3144,A350,Applications!$H$2:$H$3144,"Yes")&gt;0,"Yes","No")</f>
        <v>No</v>
      </c>
      <c r="P350" s="32" t="n">
        <f aca="false">SUMIFS(Applications!$G$2:$G$3144,Applications!$B$2:$B$3144,A350,Applications!$H$2:$H$3144,"Yes")</f>
        <v>0</v>
      </c>
      <c r="Q350" s="21" t="str">
        <f aca="false">IF(O350="Yes",INDEX(Companies!$B$2:$B$31,MATCH(INDEX(Applications!$C$2:$C$3144,MATCH(A350,Applications!$P$2:$P$3144,0)),Companies!$A$2:$A$31,0)),"-")</f>
        <v>-</v>
      </c>
    </row>
    <row r="351" customFormat="false" ht="15" hidden="false" customHeight="false" outlineLevel="0" collapsed="false">
      <c r="A351" s="21" t="s">
        <v>755</v>
      </c>
      <c r="B351" s="21" t="s">
        <v>444</v>
      </c>
      <c r="C351" s="21" t="s">
        <v>458</v>
      </c>
      <c r="D351" s="21" t="s">
        <v>65</v>
      </c>
      <c r="E351" s="21" t="s">
        <v>90</v>
      </c>
      <c r="F351" s="21" t="n">
        <v>8.77</v>
      </c>
      <c r="G351" s="21" t="n">
        <v>128</v>
      </c>
      <c r="H351" s="21" t="n">
        <v>4</v>
      </c>
      <c r="I351" s="21" t="s">
        <v>113</v>
      </c>
      <c r="J351" s="21" t="n">
        <v>39</v>
      </c>
      <c r="K351" s="32" t="n">
        <f aca="false">ROUND(Assumptions!$B$4*MIN(G351/Assumptions!$B$11,1)*100+Assumptions!$B$5*F351/10*100+Assumptions!$B$6*MIN(H351/Assumptions!$B$12,1)*100+Assumptions!$B$7*J351+Assumptions!$B$8*IF(I351="Yes",100,0),1)</f>
        <v>49</v>
      </c>
      <c r="L351" s="21" t="str">
        <f aca="false">LOOKUP(K351,Assumptions!$D$4:$D$7,Assumptions!$E$4:$E$7)</f>
        <v>Foundation</v>
      </c>
      <c r="M351" s="21" t="n">
        <f aca="false">COUNTIFS(Applications!$B$2:$B$3144,A351)</f>
        <v>4</v>
      </c>
      <c r="N351" s="21" t="n">
        <f aca="false">COUNTIFS(Applications!$B$2:$B$3144,A351,Applications!$F$2:$F$3144,"Offered")</f>
        <v>0</v>
      </c>
      <c r="O351" s="21" t="str">
        <f aca="false">IF(COUNTIFS(Applications!$B$2:$B$3144,A351,Applications!$H$2:$H$3144,"Yes")&gt;0,"Yes","No")</f>
        <v>No</v>
      </c>
      <c r="P351" s="32" t="n">
        <f aca="false">SUMIFS(Applications!$G$2:$G$3144,Applications!$B$2:$B$3144,A351,Applications!$H$2:$H$3144,"Yes")</f>
        <v>0</v>
      </c>
      <c r="Q351" s="21" t="str">
        <f aca="false">IF(O351="Yes",INDEX(Companies!$B$2:$B$31,MATCH(INDEX(Applications!$C$2:$C$3144,MATCH(A351,Applications!$P$2:$P$3144,0)),Companies!$A$2:$A$31,0)),"-")</f>
        <v>-</v>
      </c>
    </row>
    <row r="352" customFormat="false" ht="15" hidden="false" customHeight="false" outlineLevel="0" collapsed="false">
      <c r="A352" s="21" t="s">
        <v>756</v>
      </c>
      <c r="B352" s="21" t="s">
        <v>757</v>
      </c>
      <c r="C352" s="21" t="s">
        <v>458</v>
      </c>
      <c r="D352" s="21" t="s">
        <v>66</v>
      </c>
      <c r="E352" s="21" t="s">
        <v>92</v>
      </c>
      <c r="F352" s="21" t="n">
        <v>7.91</v>
      </c>
      <c r="G352" s="21" t="n">
        <v>207</v>
      </c>
      <c r="H352" s="21" t="n">
        <v>1</v>
      </c>
      <c r="I352" s="21" t="s">
        <v>120</v>
      </c>
      <c r="J352" s="21" t="n">
        <v>77</v>
      </c>
      <c r="K352" s="32" t="n">
        <f aca="false">ROUND(Assumptions!$B$4*MIN(G352/Assumptions!$B$11,1)*100+Assumptions!$B$5*F352/10*100+Assumptions!$B$6*MIN(H352/Assumptions!$B$12,1)*100+Assumptions!$B$7*J352+Assumptions!$B$8*IF(I352="Yes",100,0),1)</f>
        <v>57.6</v>
      </c>
      <c r="L352" s="21" t="str">
        <f aca="false">LOOKUP(K352,Assumptions!$D$4:$D$7,Assumptions!$E$4:$E$7)</f>
        <v>Developing</v>
      </c>
      <c r="M352" s="21" t="n">
        <f aca="false">COUNTIFS(Applications!$B$2:$B$3144,A352)</f>
        <v>5</v>
      </c>
      <c r="N352" s="21" t="n">
        <f aca="false">COUNTIFS(Applications!$B$2:$B$3144,A352,Applications!$F$2:$F$3144,"Offered")</f>
        <v>2</v>
      </c>
      <c r="O352" s="21" t="str">
        <f aca="false">IF(COUNTIFS(Applications!$B$2:$B$3144,A352,Applications!$H$2:$H$3144,"Yes")&gt;0,"Yes","No")</f>
        <v>Yes</v>
      </c>
      <c r="P352" s="32" t="n">
        <f aca="false">SUMIFS(Applications!$G$2:$G$3144,Applications!$B$2:$B$3144,A352,Applications!$H$2:$H$3144,"Yes")</f>
        <v>7.4</v>
      </c>
      <c r="Q352" s="21" t="str">
        <f aca="false">IF(O352="Yes",INDEX(Companies!$B$2:$B$31,MATCH(INDEX(Applications!$C$2:$C$3144,MATCH(A352,Applications!$P$2:$P$3144,0)),Companies!$A$2:$A$31,0)),"-")</f>
        <v>HealthLink Digital</v>
      </c>
    </row>
    <row r="353" customFormat="false" ht="15" hidden="false" customHeight="false" outlineLevel="0" collapsed="false">
      <c r="A353" s="21" t="s">
        <v>758</v>
      </c>
      <c r="B353" s="21" t="s">
        <v>759</v>
      </c>
      <c r="C353" s="21" t="s">
        <v>458</v>
      </c>
      <c r="D353" s="21" t="s">
        <v>65</v>
      </c>
      <c r="E353" s="21" t="s">
        <v>91</v>
      </c>
      <c r="F353" s="21" t="n">
        <v>7.5</v>
      </c>
      <c r="G353" s="21" t="n">
        <v>188</v>
      </c>
      <c r="H353" s="21" t="n">
        <v>2</v>
      </c>
      <c r="I353" s="21" t="s">
        <v>120</v>
      </c>
      <c r="J353" s="21" t="n">
        <v>62</v>
      </c>
      <c r="K353" s="32" t="n">
        <f aca="false">ROUND(Assumptions!$B$4*MIN(G353/Assumptions!$B$11,1)*100+Assumptions!$B$5*F353/10*100+Assumptions!$B$6*MIN(H353/Assumptions!$B$12,1)*100+Assumptions!$B$7*J353+Assumptions!$B$8*IF(I353="Yes",100,0),1)</f>
        <v>56.7</v>
      </c>
      <c r="L353" s="21" t="str">
        <f aca="false">LOOKUP(K353,Assumptions!$D$4:$D$7,Assumptions!$E$4:$E$7)</f>
        <v>Developing</v>
      </c>
      <c r="M353" s="21" t="n">
        <f aca="false">COUNTIFS(Applications!$B$2:$B$3144,A353)</f>
        <v>6</v>
      </c>
      <c r="N353" s="21" t="n">
        <f aca="false">COUNTIFS(Applications!$B$2:$B$3144,A353,Applications!$F$2:$F$3144,"Offered")</f>
        <v>1</v>
      </c>
      <c r="O353" s="21" t="str">
        <f aca="false">IF(COUNTIFS(Applications!$B$2:$B$3144,A353,Applications!$H$2:$H$3144,"Yes")&gt;0,"Yes","No")</f>
        <v>Yes</v>
      </c>
      <c r="P353" s="32" t="n">
        <f aca="false">SUMIFS(Applications!$G$2:$G$3144,Applications!$B$2:$B$3144,A353,Applications!$H$2:$H$3144,"Yes")</f>
        <v>24.7</v>
      </c>
      <c r="Q353" s="21" t="str">
        <f aca="false">IF(O353="Yes",INDEX(Companies!$B$2:$B$31,MATCH(INDEX(Applications!$C$2:$C$3144,MATCH(A353,Applications!$P$2:$P$3144,0)),Companies!$A$2:$A$31,0)),"-")</f>
        <v>HelixSecure</v>
      </c>
    </row>
    <row r="354" customFormat="false" ht="15" hidden="false" customHeight="false" outlineLevel="0" collapsed="false">
      <c r="A354" s="21" t="s">
        <v>760</v>
      </c>
      <c r="B354" s="21" t="s">
        <v>469</v>
      </c>
      <c r="C354" s="21" t="s">
        <v>458</v>
      </c>
      <c r="D354" s="21" t="s">
        <v>67</v>
      </c>
      <c r="E354" s="21" t="s">
        <v>91</v>
      </c>
      <c r="F354" s="21" t="n">
        <v>8.05</v>
      </c>
      <c r="G354" s="21" t="n">
        <v>190</v>
      </c>
      <c r="H354" s="21" t="n">
        <v>3</v>
      </c>
      <c r="I354" s="21" t="s">
        <v>120</v>
      </c>
      <c r="J354" s="21" t="n">
        <v>48</v>
      </c>
      <c r="K354" s="32" t="n">
        <f aca="false">ROUND(Assumptions!$B$4*MIN(G354/Assumptions!$B$11,1)*100+Assumptions!$B$5*F354/10*100+Assumptions!$B$6*MIN(H354/Assumptions!$B$12,1)*100+Assumptions!$B$7*J354+Assumptions!$B$8*IF(I354="Yes",100,0),1)</f>
        <v>59.1</v>
      </c>
      <c r="L354" s="21" t="str">
        <f aca="false">LOOKUP(K354,Assumptions!$D$4:$D$7,Assumptions!$E$4:$E$7)</f>
        <v>Developing</v>
      </c>
      <c r="M354" s="21" t="n">
        <f aca="false">COUNTIFS(Applications!$B$2:$B$3144,A354)</f>
        <v>4</v>
      </c>
      <c r="N354" s="21" t="n">
        <f aca="false">COUNTIFS(Applications!$B$2:$B$3144,A354,Applications!$F$2:$F$3144,"Offered")</f>
        <v>2</v>
      </c>
      <c r="O354" s="21" t="str">
        <f aca="false">IF(COUNTIFS(Applications!$B$2:$B$3144,A354,Applications!$H$2:$H$3144,"Yes")&gt;0,"Yes","No")</f>
        <v>Yes</v>
      </c>
      <c r="P354" s="32" t="n">
        <f aca="false">SUMIFS(Applications!$G$2:$G$3144,Applications!$B$2:$B$3144,A354,Applications!$H$2:$H$3144,"Yes")</f>
        <v>10.7</v>
      </c>
      <c r="Q354" s="21" t="str">
        <f aca="false">IF(O354="Yes",INDEX(Companies!$B$2:$B$31,MATCH(INDEX(Applications!$C$2:$C$3144,MATCH(A354,Applications!$P$2:$P$3144,0)),Companies!$A$2:$A$31,0)),"-")</f>
        <v>ShopSprint</v>
      </c>
    </row>
    <row r="355" customFormat="false" ht="15" hidden="false" customHeight="false" outlineLevel="0" collapsed="false">
      <c r="A355" s="21" t="s">
        <v>761</v>
      </c>
      <c r="B355" s="21" t="s">
        <v>762</v>
      </c>
      <c r="C355" s="21" t="s">
        <v>458</v>
      </c>
      <c r="D355" s="21" t="s">
        <v>67</v>
      </c>
      <c r="E355" s="21" t="s">
        <v>92</v>
      </c>
      <c r="F355" s="21" t="n">
        <v>8.01</v>
      </c>
      <c r="G355" s="21" t="n">
        <v>84</v>
      </c>
      <c r="H355" s="21" t="n">
        <v>3</v>
      </c>
      <c r="I355" s="21" t="s">
        <v>120</v>
      </c>
      <c r="J355" s="21" t="n">
        <v>64</v>
      </c>
      <c r="K355" s="32" t="n">
        <f aca="false">ROUND(Assumptions!$B$4*MIN(G355/Assumptions!$B$11,1)*100+Assumptions!$B$5*F355/10*100+Assumptions!$B$6*MIN(H355/Assumptions!$B$12,1)*100+Assumptions!$B$7*J355+Assumptions!$B$8*IF(I355="Yes",100,0),1)</f>
        <v>55.9</v>
      </c>
      <c r="L355" s="21" t="str">
        <f aca="false">LOOKUP(K355,Assumptions!$D$4:$D$7,Assumptions!$E$4:$E$7)</f>
        <v>Developing</v>
      </c>
      <c r="M355" s="21" t="n">
        <f aca="false">COUNTIFS(Applications!$B$2:$B$3144,A355)</f>
        <v>6</v>
      </c>
      <c r="N355" s="21" t="n">
        <f aca="false">COUNTIFS(Applications!$B$2:$B$3144,A355,Applications!$F$2:$F$3144,"Offered")</f>
        <v>1</v>
      </c>
      <c r="O355" s="21" t="str">
        <f aca="false">IF(COUNTIFS(Applications!$B$2:$B$3144,A355,Applications!$H$2:$H$3144,"Yes")&gt;0,"Yes","No")</f>
        <v>Yes</v>
      </c>
      <c r="P355" s="32" t="n">
        <f aca="false">SUMIFS(Applications!$G$2:$G$3144,Applications!$B$2:$B$3144,A355,Applications!$H$2:$H$3144,"Yes")</f>
        <v>4.6</v>
      </c>
      <c r="Q355" s="21" t="str">
        <f aca="false">IF(O355="Yes",INDEX(Companies!$B$2:$B$31,MATCH(INDEX(Applications!$C$2:$C$3144,MATCH(A355,Applications!$P$2:$P$3144,0)),Companies!$A$2:$A$31,0)),"-")</f>
        <v>Bharat Digital</v>
      </c>
    </row>
    <row r="356" customFormat="false" ht="15" hidden="false" customHeight="false" outlineLevel="0" collapsed="false">
      <c r="A356" s="21" t="s">
        <v>763</v>
      </c>
      <c r="B356" s="21" t="s">
        <v>764</v>
      </c>
      <c r="C356" s="21" t="s">
        <v>458</v>
      </c>
      <c r="D356" s="21" t="s">
        <v>66</v>
      </c>
      <c r="E356" s="21" t="s">
        <v>92</v>
      </c>
      <c r="F356" s="21" t="n">
        <v>5.67</v>
      </c>
      <c r="G356" s="21" t="n">
        <v>406</v>
      </c>
      <c r="H356" s="21" t="n">
        <v>2</v>
      </c>
      <c r="I356" s="21" t="s">
        <v>113</v>
      </c>
      <c r="J356" s="21" t="n">
        <v>30</v>
      </c>
      <c r="K356" s="32" t="n">
        <f aca="false">ROUND(Assumptions!$B$4*MIN(G356/Assumptions!$B$11,1)*100+Assumptions!$B$5*F356/10*100+Assumptions!$B$6*MIN(H356/Assumptions!$B$12,1)*100+Assumptions!$B$7*J356+Assumptions!$B$8*IF(I356="Yes",100,0),1)</f>
        <v>49.7</v>
      </c>
      <c r="L356" s="21" t="str">
        <f aca="false">LOOKUP(K356,Assumptions!$D$4:$D$7,Assumptions!$E$4:$E$7)</f>
        <v>Foundation</v>
      </c>
      <c r="M356" s="21" t="n">
        <f aca="false">COUNTIFS(Applications!$B$2:$B$3144,A356)</f>
        <v>4</v>
      </c>
      <c r="N356" s="21" t="n">
        <f aca="false">COUNTIFS(Applications!$B$2:$B$3144,A356,Applications!$F$2:$F$3144,"Offered")</f>
        <v>0</v>
      </c>
      <c r="O356" s="21" t="str">
        <f aca="false">IF(COUNTIFS(Applications!$B$2:$B$3144,A356,Applications!$H$2:$H$3144,"Yes")&gt;0,"Yes","No")</f>
        <v>No</v>
      </c>
      <c r="P356" s="32" t="n">
        <f aca="false">SUMIFS(Applications!$G$2:$G$3144,Applications!$B$2:$B$3144,A356,Applications!$H$2:$H$3144,"Yes")</f>
        <v>0</v>
      </c>
      <c r="Q356" s="21" t="str">
        <f aca="false">IF(O356="Yes",INDEX(Companies!$B$2:$B$31,MATCH(INDEX(Applications!$C$2:$C$3144,MATCH(A356,Applications!$P$2:$P$3144,0)),Companies!$A$2:$A$31,0)),"-")</f>
        <v>-</v>
      </c>
    </row>
    <row r="357" customFormat="false" ht="15" hidden="false" customHeight="false" outlineLevel="0" collapsed="false">
      <c r="A357" s="21" t="s">
        <v>765</v>
      </c>
      <c r="B357" s="21" t="s">
        <v>766</v>
      </c>
      <c r="C357" s="21" t="s">
        <v>458</v>
      </c>
      <c r="D357" s="21" t="s">
        <v>64</v>
      </c>
      <c r="E357" s="21" t="s">
        <v>91</v>
      </c>
      <c r="F357" s="21" t="n">
        <v>6.47</v>
      </c>
      <c r="G357" s="21" t="n">
        <v>499</v>
      </c>
      <c r="H357" s="21" t="n">
        <v>2</v>
      </c>
      <c r="I357" s="21" t="s">
        <v>113</v>
      </c>
      <c r="J357" s="21" t="n">
        <v>55</v>
      </c>
      <c r="K357" s="32" t="n">
        <f aca="false">ROUND(Assumptions!$B$4*MIN(G357/Assumptions!$B$11,1)*100+Assumptions!$B$5*F357/10*100+Assumptions!$B$6*MIN(H357/Assumptions!$B$12,1)*100+Assumptions!$B$7*J357+Assumptions!$B$8*IF(I357="Yes",100,0),1)</f>
        <v>61.9</v>
      </c>
      <c r="L357" s="21" t="str">
        <f aca="false">LOOKUP(K357,Assumptions!$D$4:$D$7,Assumptions!$E$4:$E$7)</f>
        <v>Developing</v>
      </c>
      <c r="M357" s="21" t="n">
        <f aca="false">COUNTIFS(Applications!$B$2:$B$3144,A357)</f>
        <v>7</v>
      </c>
      <c r="N357" s="21" t="n">
        <f aca="false">COUNTIFS(Applications!$B$2:$B$3144,A357,Applications!$F$2:$F$3144,"Offered")</f>
        <v>2</v>
      </c>
      <c r="O357" s="21" t="str">
        <f aca="false">IF(COUNTIFS(Applications!$B$2:$B$3144,A357,Applications!$H$2:$H$3144,"Yes")&gt;0,"Yes","No")</f>
        <v>Yes</v>
      </c>
      <c r="P357" s="32" t="n">
        <f aca="false">SUMIFS(Applications!$G$2:$G$3144,Applications!$B$2:$B$3144,A357,Applications!$H$2:$H$3144,"Yes")</f>
        <v>6.7</v>
      </c>
      <c r="Q357" s="21" t="str">
        <f aca="false">IF(O357="Yes",INDEX(Companies!$B$2:$B$31,MATCH(INDEX(Applications!$C$2:$C$3144,MATCH(A357,Applications!$P$2:$P$3144,0)),Companies!$A$2:$A$31,0)),"-")</f>
        <v>HealthLink Digital</v>
      </c>
    </row>
    <row r="358" customFormat="false" ht="15" hidden="false" customHeight="false" outlineLevel="0" collapsed="false">
      <c r="A358" s="21" t="s">
        <v>767</v>
      </c>
      <c r="B358" s="21" t="s">
        <v>768</v>
      </c>
      <c r="C358" s="21" t="s">
        <v>458</v>
      </c>
      <c r="D358" s="21" t="s">
        <v>63</v>
      </c>
      <c r="E358" s="21" t="s">
        <v>90</v>
      </c>
      <c r="F358" s="21" t="n">
        <v>7.17</v>
      </c>
      <c r="G358" s="21" t="n">
        <v>158</v>
      </c>
      <c r="H358" s="21" t="n">
        <v>4</v>
      </c>
      <c r="I358" s="21" t="s">
        <v>113</v>
      </c>
      <c r="J358" s="21" t="n">
        <v>53</v>
      </c>
      <c r="K358" s="32" t="n">
        <f aca="false">ROUND(Assumptions!$B$4*MIN(G358/Assumptions!$B$11,1)*100+Assumptions!$B$5*F358/10*100+Assumptions!$B$6*MIN(H358/Assumptions!$B$12,1)*100+Assumptions!$B$7*J358+Assumptions!$B$8*IF(I358="Yes",100,0),1)</f>
        <v>50.4</v>
      </c>
      <c r="L358" s="21" t="str">
        <f aca="false">LOOKUP(K358,Assumptions!$D$4:$D$7,Assumptions!$E$4:$E$7)</f>
        <v>Developing</v>
      </c>
      <c r="M358" s="21" t="n">
        <f aca="false">COUNTIFS(Applications!$B$2:$B$3144,A358)</f>
        <v>6</v>
      </c>
      <c r="N358" s="21" t="n">
        <f aca="false">COUNTIFS(Applications!$B$2:$B$3144,A358,Applications!$F$2:$F$3144,"Offered")</f>
        <v>2</v>
      </c>
      <c r="O358" s="21" t="str">
        <f aca="false">IF(COUNTIFS(Applications!$B$2:$B$3144,A358,Applications!$H$2:$H$3144,"Yes")&gt;0,"Yes","No")</f>
        <v>Yes</v>
      </c>
      <c r="P358" s="32" t="n">
        <f aca="false">SUMIFS(Applications!$G$2:$G$3144,Applications!$B$2:$B$3144,A358,Applications!$H$2:$H$3144,"Yes")</f>
        <v>8.4</v>
      </c>
      <c r="Q358" s="21" t="str">
        <f aca="false">IF(O358="Yes",INDEX(Companies!$B$2:$B$31,MATCH(INDEX(Applications!$C$2:$C$3144,MATCH(A358,Applications!$P$2:$P$3144,0)),Companies!$A$2:$A$31,0)),"-")</f>
        <v>PayRiver</v>
      </c>
    </row>
    <row r="359" customFormat="false" ht="15" hidden="false" customHeight="false" outlineLevel="0" collapsed="false">
      <c r="A359" s="21" t="s">
        <v>769</v>
      </c>
      <c r="B359" s="21" t="s">
        <v>770</v>
      </c>
      <c r="C359" s="21" t="s">
        <v>458</v>
      </c>
      <c r="D359" s="21" t="s">
        <v>65</v>
      </c>
      <c r="E359" s="21" t="s">
        <v>92</v>
      </c>
      <c r="F359" s="21" t="n">
        <v>5.52</v>
      </c>
      <c r="G359" s="21" t="n">
        <v>65</v>
      </c>
      <c r="H359" s="21" t="n">
        <v>4</v>
      </c>
      <c r="I359" s="21" t="s">
        <v>120</v>
      </c>
      <c r="J359" s="21" t="n">
        <v>72</v>
      </c>
      <c r="K359" s="32" t="n">
        <f aca="false">ROUND(Assumptions!$B$4*MIN(G359/Assumptions!$B$11,1)*100+Assumptions!$B$5*F359/10*100+Assumptions!$B$6*MIN(H359/Assumptions!$B$12,1)*100+Assumptions!$B$7*J359+Assumptions!$B$8*IF(I359="Yes",100,0),1)</f>
        <v>55.3</v>
      </c>
      <c r="L359" s="21" t="str">
        <f aca="false">LOOKUP(K359,Assumptions!$D$4:$D$7,Assumptions!$E$4:$E$7)</f>
        <v>Developing</v>
      </c>
      <c r="M359" s="21" t="n">
        <f aca="false">COUNTIFS(Applications!$B$2:$B$3144,A359)</f>
        <v>6</v>
      </c>
      <c r="N359" s="21" t="n">
        <f aca="false">COUNTIFS(Applications!$B$2:$B$3144,A359,Applications!$F$2:$F$3144,"Offered")</f>
        <v>0</v>
      </c>
      <c r="O359" s="21" t="str">
        <f aca="false">IF(COUNTIFS(Applications!$B$2:$B$3144,A359,Applications!$H$2:$H$3144,"Yes")&gt;0,"Yes","No")</f>
        <v>No</v>
      </c>
      <c r="P359" s="32" t="n">
        <f aca="false">SUMIFS(Applications!$G$2:$G$3144,Applications!$B$2:$B$3144,A359,Applications!$H$2:$H$3144,"Yes")</f>
        <v>0</v>
      </c>
      <c r="Q359" s="21" t="str">
        <f aca="false">IF(O359="Yes",INDEX(Companies!$B$2:$B$31,MATCH(INDEX(Applications!$C$2:$C$3144,MATCH(A359,Applications!$P$2:$P$3144,0)),Companies!$A$2:$A$31,0)),"-")</f>
        <v>-</v>
      </c>
    </row>
    <row r="360" customFormat="false" ht="15" hidden="false" customHeight="false" outlineLevel="0" collapsed="false">
      <c r="A360" s="21" t="s">
        <v>771</v>
      </c>
      <c r="B360" s="21" t="s">
        <v>355</v>
      </c>
      <c r="C360" s="21" t="s">
        <v>458</v>
      </c>
      <c r="D360" s="21" t="s">
        <v>65</v>
      </c>
      <c r="E360" s="21" t="s">
        <v>92</v>
      </c>
      <c r="F360" s="21" t="n">
        <v>6.03</v>
      </c>
      <c r="G360" s="21" t="n">
        <v>344</v>
      </c>
      <c r="H360" s="21" t="n">
        <v>5</v>
      </c>
      <c r="I360" s="21" t="s">
        <v>113</v>
      </c>
      <c r="J360" s="21" t="n">
        <v>47</v>
      </c>
      <c r="K360" s="32" t="n">
        <f aca="false">ROUND(Assumptions!$B$4*MIN(G360/Assumptions!$B$11,1)*100+Assumptions!$B$5*F360/10*100+Assumptions!$B$6*MIN(H360/Assumptions!$B$12,1)*100+Assumptions!$B$7*J360+Assumptions!$B$8*IF(I360="Yes",100,0),1)</f>
        <v>62.1</v>
      </c>
      <c r="L360" s="21" t="str">
        <f aca="false">LOOKUP(K360,Assumptions!$D$4:$D$7,Assumptions!$E$4:$E$7)</f>
        <v>Developing</v>
      </c>
      <c r="M360" s="21" t="n">
        <f aca="false">COUNTIFS(Applications!$B$2:$B$3144,A360)</f>
        <v>5</v>
      </c>
      <c r="N360" s="21" t="n">
        <f aca="false">COUNTIFS(Applications!$B$2:$B$3144,A360,Applications!$F$2:$F$3144,"Offered")</f>
        <v>1</v>
      </c>
      <c r="O360" s="21" t="str">
        <f aca="false">IF(COUNTIFS(Applications!$B$2:$B$3144,A360,Applications!$H$2:$H$3144,"Yes")&gt;0,"Yes","No")</f>
        <v>Yes</v>
      </c>
      <c r="P360" s="32" t="n">
        <f aca="false">SUMIFS(Applications!$G$2:$G$3144,Applications!$B$2:$B$3144,A360,Applications!$H$2:$H$3144,"Yes")</f>
        <v>5.1</v>
      </c>
      <c r="Q360" s="21" t="str">
        <f aca="false">IF(O360="Yes",INDEX(Companies!$B$2:$B$31,MATCH(INDEX(Applications!$C$2:$C$3144,MATCH(A360,Applications!$P$2:$P$3144,0)),Companies!$A$2:$A$31,0)),"-")</f>
        <v>HealthLink Digital</v>
      </c>
    </row>
    <row r="361" customFormat="false" ht="15" hidden="false" customHeight="false" outlineLevel="0" collapsed="false">
      <c r="A361" s="21" t="s">
        <v>772</v>
      </c>
      <c r="B361" s="21" t="s">
        <v>600</v>
      </c>
      <c r="C361" s="21" t="s">
        <v>458</v>
      </c>
      <c r="D361" s="21" t="s">
        <v>66</v>
      </c>
      <c r="E361" s="21" t="s">
        <v>91</v>
      </c>
      <c r="F361" s="21" t="n">
        <v>6.88</v>
      </c>
      <c r="G361" s="21" t="n">
        <v>487</v>
      </c>
      <c r="H361" s="21" t="n">
        <v>4</v>
      </c>
      <c r="I361" s="21" t="s">
        <v>120</v>
      </c>
      <c r="J361" s="21" t="n">
        <v>60</v>
      </c>
      <c r="K361" s="32" t="n">
        <f aca="false">ROUND(Assumptions!$B$4*MIN(G361/Assumptions!$B$11,1)*100+Assumptions!$B$5*F361/10*100+Assumptions!$B$6*MIN(H361/Assumptions!$B$12,1)*100+Assumptions!$B$7*J361+Assumptions!$B$8*IF(I361="Yes",100,0),1)</f>
        <v>81</v>
      </c>
      <c r="L361" s="21" t="str">
        <f aca="false">LOOKUP(K361,Assumptions!$D$4:$D$7,Assumptions!$E$4:$E$7)</f>
        <v>Elite</v>
      </c>
      <c r="M361" s="21" t="n">
        <f aca="false">COUNTIFS(Applications!$B$2:$B$3144,A361)</f>
        <v>6</v>
      </c>
      <c r="N361" s="21" t="n">
        <f aca="false">COUNTIFS(Applications!$B$2:$B$3144,A361,Applications!$F$2:$F$3144,"Offered")</f>
        <v>3</v>
      </c>
      <c r="O361" s="21" t="str">
        <f aca="false">IF(COUNTIFS(Applications!$B$2:$B$3144,A361,Applications!$H$2:$H$3144,"Yes")&gt;0,"Yes","No")</f>
        <v>Yes</v>
      </c>
      <c r="P361" s="32" t="n">
        <f aca="false">SUMIFS(Applications!$G$2:$G$3144,Applications!$B$2:$B$3144,A361,Applications!$H$2:$H$3144,"Yes")</f>
        <v>13.7</v>
      </c>
      <c r="Q361" s="21" t="str">
        <f aca="false">IF(O361="Yes",INDEX(Companies!$B$2:$B$31,MATCH(INDEX(Applications!$C$2:$C$3144,MATCH(A361,Applications!$P$2:$P$3144,0)),Companies!$A$2:$A$31,0)),"-")</f>
        <v>CartNest</v>
      </c>
    </row>
    <row r="362" customFormat="false" ht="15" hidden="false" customHeight="false" outlineLevel="0" collapsed="false">
      <c r="A362" s="21" t="s">
        <v>773</v>
      </c>
      <c r="B362" s="21" t="s">
        <v>774</v>
      </c>
      <c r="C362" s="21" t="s">
        <v>458</v>
      </c>
      <c r="D362" s="21" t="s">
        <v>66</v>
      </c>
      <c r="E362" s="21" t="s">
        <v>92</v>
      </c>
      <c r="F362" s="21" t="n">
        <v>6.72</v>
      </c>
      <c r="G362" s="21" t="n">
        <v>427</v>
      </c>
      <c r="H362" s="21" t="n">
        <v>6</v>
      </c>
      <c r="I362" s="21" t="s">
        <v>113</v>
      </c>
      <c r="J362" s="21" t="n">
        <v>64</v>
      </c>
      <c r="K362" s="32" t="n">
        <f aca="false">ROUND(Assumptions!$B$4*MIN(G362/Assumptions!$B$11,1)*100+Assumptions!$B$5*F362/10*100+Assumptions!$B$6*MIN(H362/Assumptions!$B$12,1)*100+Assumptions!$B$7*J362+Assumptions!$B$8*IF(I362="Yes",100,0),1)</f>
        <v>71.9</v>
      </c>
      <c r="L362" s="21" t="str">
        <f aca="false">LOOKUP(K362,Assumptions!$D$4:$D$7,Assumptions!$E$4:$E$7)</f>
        <v>Job-Ready</v>
      </c>
      <c r="M362" s="21" t="n">
        <f aca="false">COUNTIFS(Applications!$B$2:$B$3144,A362)</f>
        <v>12</v>
      </c>
      <c r="N362" s="21" t="n">
        <f aca="false">COUNTIFS(Applications!$B$2:$B$3144,A362,Applications!$F$2:$F$3144,"Offered")</f>
        <v>5</v>
      </c>
      <c r="O362" s="21" t="str">
        <f aca="false">IF(COUNTIFS(Applications!$B$2:$B$3144,A362,Applications!$H$2:$H$3144,"Yes")&gt;0,"Yes","No")</f>
        <v>Yes</v>
      </c>
      <c r="P362" s="32" t="n">
        <f aca="false">SUMIFS(Applications!$G$2:$G$3144,Applications!$B$2:$B$3144,A362,Applications!$H$2:$H$3144,"Yes")</f>
        <v>12.3</v>
      </c>
      <c r="Q362" s="21" t="str">
        <f aca="false">IF(O362="Yes",INDEX(Companies!$B$2:$B$31,MATCH(INDEX(Applications!$C$2:$C$3144,MATCH(A362,Applications!$P$2:$P$3144,0)),Companies!$A$2:$A$31,0)),"-")</f>
        <v>CloudKraft</v>
      </c>
    </row>
    <row r="363" customFormat="false" ht="15" hidden="false" customHeight="false" outlineLevel="0" collapsed="false">
      <c r="A363" s="21" t="s">
        <v>775</v>
      </c>
      <c r="B363" s="21" t="s">
        <v>351</v>
      </c>
      <c r="C363" s="21" t="s">
        <v>458</v>
      </c>
      <c r="D363" s="21" t="s">
        <v>66</v>
      </c>
      <c r="E363" s="21" t="s">
        <v>91</v>
      </c>
      <c r="F363" s="21" t="n">
        <v>7.45</v>
      </c>
      <c r="G363" s="21" t="n">
        <v>85</v>
      </c>
      <c r="H363" s="21" t="n">
        <v>3</v>
      </c>
      <c r="I363" s="21" t="s">
        <v>120</v>
      </c>
      <c r="J363" s="21" t="n">
        <v>73</v>
      </c>
      <c r="K363" s="32" t="n">
        <f aca="false">ROUND(Assumptions!$B$4*MIN(G363/Assumptions!$B$11,1)*100+Assumptions!$B$5*F363/10*100+Assumptions!$B$6*MIN(H363/Assumptions!$B$12,1)*100+Assumptions!$B$7*J363+Assumptions!$B$8*IF(I363="Yes",100,0),1)</f>
        <v>56.6</v>
      </c>
      <c r="L363" s="21" t="str">
        <f aca="false">LOOKUP(K363,Assumptions!$D$4:$D$7,Assumptions!$E$4:$E$7)</f>
        <v>Developing</v>
      </c>
      <c r="M363" s="21" t="n">
        <f aca="false">COUNTIFS(Applications!$B$2:$B$3144,A363)</f>
        <v>3</v>
      </c>
      <c r="N363" s="21" t="n">
        <f aca="false">COUNTIFS(Applications!$B$2:$B$3144,A363,Applications!$F$2:$F$3144,"Offered")</f>
        <v>1</v>
      </c>
      <c r="O363" s="21" t="str">
        <f aca="false">IF(COUNTIFS(Applications!$B$2:$B$3144,A363,Applications!$H$2:$H$3144,"Yes")&gt;0,"Yes","No")</f>
        <v>Yes</v>
      </c>
      <c r="P363" s="32" t="n">
        <f aca="false">SUMIFS(Applications!$G$2:$G$3144,Applications!$B$2:$B$3144,A363,Applications!$H$2:$H$3144,"Yes")</f>
        <v>5.3</v>
      </c>
      <c r="Q363" s="21" t="str">
        <f aca="false">IF(O363="Yes",INDEX(Companies!$B$2:$B$31,MATCH(INDEX(Applications!$C$2:$C$3144,MATCH(A363,Applications!$P$2:$P$3144,0)),Companies!$A$2:$A$31,0)),"-")</f>
        <v>Pioneer Softech</v>
      </c>
    </row>
    <row r="364" customFormat="false" ht="15" hidden="false" customHeight="false" outlineLevel="0" collapsed="false">
      <c r="A364" s="21" t="s">
        <v>776</v>
      </c>
      <c r="B364" s="21" t="s">
        <v>777</v>
      </c>
      <c r="C364" s="21" t="s">
        <v>458</v>
      </c>
      <c r="D364" s="21" t="s">
        <v>65</v>
      </c>
      <c r="E364" s="21" t="s">
        <v>90</v>
      </c>
      <c r="F364" s="21" t="n">
        <v>5.56</v>
      </c>
      <c r="G364" s="21" t="n">
        <v>161</v>
      </c>
      <c r="H364" s="21" t="n">
        <v>1</v>
      </c>
      <c r="I364" s="21" t="s">
        <v>113</v>
      </c>
      <c r="J364" s="21" t="n">
        <v>62</v>
      </c>
      <c r="K364" s="32" t="n">
        <f aca="false">ROUND(Assumptions!$B$4*MIN(G364/Assumptions!$B$11,1)*100+Assumptions!$B$5*F364/10*100+Assumptions!$B$6*MIN(H364/Assumptions!$B$12,1)*100+Assumptions!$B$7*J364+Assumptions!$B$8*IF(I364="Yes",100,0),1)</f>
        <v>37.2</v>
      </c>
      <c r="L364" s="21" t="str">
        <f aca="false">LOOKUP(K364,Assumptions!$D$4:$D$7,Assumptions!$E$4:$E$7)</f>
        <v>Foundation</v>
      </c>
      <c r="M364" s="21" t="n">
        <f aca="false">COUNTIFS(Applications!$B$2:$B$3144,A364)</f>
        <v>5</v>
      </c>
      <c r="N364" s="21" t="n">
        <f aca="false">COUNTIFS(Applications!$B$2:$B$3144,A364,Applications!$F$2:$F$3144,"Offered")</f>
        <v>1</v>
      </c>
      <c r="O364" s="21" t="str">
        <f aca="false">IF(COUNTIFS(Applications!$B$2:$B$3144,A364,Applications!$H$2:$H$3144,"Yes")&gt;0,"Yes","No")</f>
        <v>Yes</v>
      </c>
      <c r="P364" s="32" t="n">
        <f aca="false">SUMIFS(Applications!$G$2:$G$3144,Applications!$B$2:$B$3144,A364,Applications!$H$2:$H$3144,"Yes")</f>
        <v>5.1</v>
      </c>
      <c r="Q364" s="21" t="str">
        <f aca="false">IF(O364="Yes",INDEX(Companies!$B$2:$B$31,MATCH(INDEX(Applications!$C$2:$C$3144,MATCH(A364,Applications!$P$2:$P$3144,0)),Companies!$A$2:$A$31,0)),"-")</f>
        <v>Pioneer Softech</v>
      </c>
    </row>
    <row r="365" customFormat="false" ht="15" hidden="false" customHeight="false" outlineLevel="0" collapsed="false">
      <c r="A365" s="21" t="s">
        <v>778</v>
      </c>
      <c r="B365" s="21" t="s">
        <v>779</v>
      </c>
      <c r="C365" s="21" t="s">
        <v>458</v>
      </c>
      <c r="D365" s="21" t="s">
        <v>64</v>
      </c>
      <c r="E365" s="21" t="s">
        <v>92</v>
      </c>
      <c r="F365" s="21" t="n">
        <v>7.28</v>
      </c>
      <c r="G365" s="21" t="n">
        <v>214</v>
      </c>
      <c r="H365" s="21" t="n">
        <v>5</v>
      </c>
      <c r="I365" s="21" t="s">
        <v>113</v>
      </c>
      <c r="J365" s="21" t="n">
        <v>61</v>
      </c>
      <c r="K365" s="32" t="n">
        <f aca="false">ROUND(Assumptions!$B$4*MIN(G365/Assumptions!$B$11,1)*100+Assumptions!$B$5*F365/10*100+Assumptions!$B$6*MIN(H365/Assumptions!$B$12,1)*100+Assumptions!$B$7*J365+Assumptions!$B$8*IF(I365="Yes",100,0),1)</f>
        <v>59.6</v>
      </c>
      <c r="L365" s="21" t="str">
        <f aca="false">LOOKUP(K365,Assumptions!$D$4:$D$7,Assumptions!$E$4:$E$7)</f>
        <v>Developing</v>
      </c>
      <c r="M365" s="21" t="n">
        <f aca="false">COUNTIFS(Applications!$B$2:$B$3144,A365)</f>
        <v>5</v>
      </c>
      <c r="N365" s="21" t="n">
        <f aca="false">COUNTIFS(Applications!$B$2:$B$3144,A365,Applications!$F$2:$F$3144,"Offered")</f>
        <v>2</v>
      </c>
      <c r="O365" s="21" t="str">
        <f aca="false">IF(COUNTIFS(Applications!$B$2:$B$3144,A365,Applications!$H$2:$H$3144,"Yes")&gt;0,"Yes","No")</f>
        <v>Yes</v>
      </c>
      <c r="P365" s="32" t="n">
        <f aca="false">SUMIFS(Applications!$G$2:$G$3144,Applications!$B$2:$B$3144,A365,Applications!$H$2:$H$3144,"Yes")</f>
        <v>5.7</v>
      </c>
      <c r="Q365" s="21" t="str">
        <f aca="false">IF(O365="Yes",INDEX(Companies!$B$2:$B$31,MATCH(INDEX(Applications!$C$2:$C$3144,MATCH(A365,Applications!$P$2:$P$3144,0)),Companies!$A$2:$A$31,0)),"-")</f>
        <v>DataHarbor</v>
      </c>
    </row>
    <row r="366" customFormat="false" ht="15" hidden="false" customHeight="false" outlineLevel="0" collapsed="false">
      <c r="A366" s="21" t="s">
        <v>780</v>
      </c>
      <c r="B366" s="21" t="s">
        <v>545</v>
      </c>
      <c r="C366" s="21" t="s">
        <v>458</v>
      </c>
      <c r="D366" s="21" t="s">
        <v>67</v>
      </c>
      <c r="E366" s="21" t="s">
        <v>91</v>
      </c>
      <c r="F366" s="21" t="n">
        <v>7.98</v>
      </c>
      <c r="G366" s="21" t="n">
        <v>255</v>
      </c>
      <c r="H366" s="21" t="n">
        <v>4</v>
      </c>
      <c r="I366" s="21" t="s">
        <v>113</v>
      </c>
      <c r="J366" s="21" t="n">
        <v>52</v>
      </c>
      <c r="K366" s="32" t="n">
        <f aca="false">ROUND(Assumptions!$B$4*MIN(G366/Assumptions!$B$11,1)*100+Assumptions!$B$5*F366/10*100+Assumptions!$B$6*MIN(H366/Assumptions!$B$12,1)*100+Assumptions!$B$7*J366+Assumptions!$B$8*IF(I366="Yes",100,0),1)</f>
        <v>57.7</v>
      </c>
      <c r="L366" s="21" t="str">
        <f aca="false">LOOKUP(K366,Assumptions!$D$4:$D$7,Assumptions!$E$4:$E$7)</f>
        <v>Developing</v>
      </c>
      <c r="M366" s="21" t="n">
        <f aca="false">COUNTIFS(Applications!$B$2:$B$3144,A366)</f>
        <v>10</v>
      </c>
      <c r="N366" s="21" t="n">
        <f aca="false">COUNTIFS(Applications!$B$2:$B$3144,A366,Applications!$F$2:$F$3144,"Offered")</f>
        <v>2</v>
      </c>
      <c r="O366" s="21" t="str">
        <f aca="false">IF(COUNTIFS(Applications!$B$2:$B$3144,A366,Applications!$H$2:$H$3144,"Yes")&gt;0,"Yes","No")</f>
        <v>Yes</v>
      </c>
      <c r="P366" s="32" t="n">
        <f aca="false">SUMIFS(Applications!$G$2:$G$3144,Applications!$B$2:$B$3144,A366,Applications!$H$2:$H$3144,"Yes")</f>
        <v>9.4</v>
      </c>
      <c r="Q366" s="21" t="str">
        <f aca="false">IF(O366="Yes",INDEX(Companies!$B$2:$B$31,MATCH(INDEX(Applications!$C$2:$C$3144,MATCH(A366,Applications!$P$2:$P$3144,0)),Companies!$A$2:$A$31,0)),"-")</f>
        <v>DataBridge Analytics</v>
      </c>
    </row>
    <row r="367" customFormat="false" ht="15" hidden="false" customHeight="false" outlineLevel="0" collapsed="false">
      <c r="A367" s="21" t="s">
        <v>781</v>
      </c>
      <c r="B367" s="21" t="s">
        <v>782</v>
      </c>
      <c r="C367" s="21" t="s">
        <v>458</v>
      </c>
      <c r="D367" s="21" t="s">
        <v>64</v>
      </c>
      <c r="E367" s="21" t="s">
        <v>92</v>
      </c>
      <c r="F367" s="21" t="n">
        <v>8.18</v>
      </c>
      <c r="G367" s="21" t="n">
        <v>580</v>
      </c>
      <c r="H367" s="21" t="n">
        <v>5</v>
      </c>
      <c r="I367" s="21" t="s">
        <v>113</v>
      </c>
      <c r="J367" s="21" t="n">
        <v>67</v>
      </c>
      <c r="K367" s="32" t="n">
        <f aca="false">ROUND(Assumptions!$B$4*MIN(G367/Assumptions!$B$11,1)*100+Assumptions!$B$5*F367/10*100+Assumptions!$B$6*MIN(H367/Assumptions!$B$12,1)*100+Assumptions!$B$7*J367+Assumptions!$B$8*IF(I367="Yes",100,0),1)</f>
        <v>79.8</v>
      </c>
      <c r="L367" s="21" t="str">
        <f aca="false">LOOKUP(K367,Assumptions!$D$4:$D$7,Assumptions!$E$4:$E$7)</f>
        <v>Job-Ready</v>
      </c>
      <c r="M367" s="21" t="n">
        <f aca="false">COUNTIFS(Applications!$B$2:$B$3144,A367)</f>
        <v>9</v>
      </c>
      <c r="N367" s="21" t="n">
        <f aca="false">COUNTIFS(Applications!$B$2:$B$3144,A367,Applications!$F$2:$F$3144,"Offered")</f>
        <v>5</v>
      </c>
      <c r="O367" s="21" t="str">
        <f aca="false">IF(COUNTIFS(Applications!$B$2:$B$3144,A367,Applications!$H$2:$H$3144,"Yes")&gt;0,"Yes","No")</f>
        <v>Yes</v>
      </c>
      <c r="P367" s="32" t="n">
        <f aca="false">SUMIFS(Applications!$G$2:$G$3144,Applications!$B$2:$B$3144,A367,Applications!$H$2:$H$3144,"Yes")</f>
        <v>13.7</v>
      </c>
      <c r="Q367" s="21" t="str">
        <f aca="false">IF(O367="Yes",INDEX(Companies!$B$2:$B$31,MATCH(INDEX(Applications!$C$2:$C$3144,MATCH(A367,Applications!$P$2:$P$3144,0)),Companies!$A$2:$A$31,0)),"-")</f>
        <v>FinStack</v>
      </c>
    </row>
    <row r="368" customFormat="false" ht="15" hidden="false" customHeight="false" outlineLevel="0" collapsed="false">
      <c r="A368" s="21" t="s">
        <v>783</v>
      </c>
      <c r="B368" s="21" t="s">
        <v>784</v>
      </c>
      <c r="C368" s="21" t="s">
        <v>458</v>
      </c>
      <c r="D368" s="21" t="s">
        <v>67</v>
      </c>
      <c r="E368" s="21" t="s">
        <v>91</v>
      </c>
      <c r="F368" s="21" t="n">
        <v>6.84</v>
      </c>
      <c r="G368" s="21" t="n">
        <v>147</v>
      </c>
      <c r="H368" s="21" t="n">
        <v>7</v>
      </c>
      <c r="I368" s="21" t="s">
        <v>120</v>
      </c>
      <c r="J368" s="21" t="n">
        <v>52</v>
      </c>
      <c r="K368" s="32" t="n">
        <f aca="false">ROUND(Assumptions!$B$4*MIN(G368/Assumptions!$B$11,1)*100+Assumptions!$B$5*F368/10*100+Assumptions!$B$6*MIN(H368/Assumptions!$B$12,1)*100+Assumptions!$B$7*J368+Assumptions!$B$8*IF(I368="Yes",100,0),1)</f>
        <v>62.9</v>
      </c>
      <c r="L368" s="21" t="str">
        <f aca="false">LOOKUP(K368,Assumptions!$D$4:$D$7,Assumptions!$E$4:$E$7)</f>
        <v>Developing</v>
      </c>
      <c r="M368" s="21" t="n">
        <f aca="false">COUNTIFS(Applications!$B$2:$B$3144,A368)</f>
        <v>8</v>
      </c>
      <c r="N368" s="21" t="n">
        <f aca="false">COUNTIFS(Applications!$B$2:$B$3144,A368,Applications!$F$2:$F$3144,"Offered")</f>
        <v>1</v>
      </c>
      <c r="O368" s="21" t="str">
        <f aca="false">IF(COUNTIFS(Applications!$B$2:$B$3144,A368,Applications!$H$2:$H$3144,"Yes")&gt;0,"Yes","No")</f>
        <v>Yes</v>
      </c>
      <c r="P368" s="32" t="n">
        <f aca="false">SUMIFS(Applications!$G$2:$G$3144,Applications!$B$2:$B$3144,A368,Applications!$H$2:$H$3144,"Yes")</f>
        <v>4.8</v>
      </c>
      <c r="Q368" s="21" t="str">
        <f aca="false">IF(O368="Yes",INDEX(Companies!$B$2:$B$31,MATCH(INDEX(Applications!$C$2:$C$3144,MATCH(A368,Applications!$P$2:$P$3144,0)),Companies!$A$2:$A$31,0)),"-")</f>
        <v>RetailRocket</v>
      </c>
    </row>
    <row r="369" customFormat="false" ht="15" hidden="false" customHeight="false" outlineLevel="0" collapsed="false">
      <c r="A369" s="21" t="s">
        <v>785</v>
      </c>
      <c r="B369" s="21" t="s">
        <v>683</v>
      </c>
      <c r="C369" s="21" t="s">
        <v>458</v>
      </c>
      <c r="D369" s="21" t="s">
        <v>64</v>
      </c>
      <c r="E369" s="21" t="s">
        <v>91</v>
      </c>
      <c r="F369" s="21" t="n">
        <v>6.67</v>
      </c>
      <c r="G369" s="21" t="n">
        <v>643</v>
      </c>
      <c r="H369" s="21" t="n">
        <v>2</v>
      </c>
      <c r="I369" s="21" t="s">
        <v>113</v>
      </c>
      <c r="J369" s="21" t="n">
        <v>75</v>
      </c>
      <c r="K369" s="32" t="n">
        <f aca="false">ROUND(Assumptions!$B$4*MIN(G369/Assumptions!$B$11,1)*100+Assumptions!$B$5*F369/10*100+Assumptions!$B$6*MIN(H369/Assumptions!$B$12,1)*100+Assumptions!$B$7*J369+Assumptions!$B$8*IF(I369="Yes",100,0),1)</f>
        <v>66.3</v>
      </c>
      <c r="L369" s="21" t="str">
        <f aca="false">LOOKUP(K369,Assumptions!$D$4:$D$7,Assumptions!$E$4:$E$7)</f>
        <v>Job-Ready</v>
      </c>
      <c r="M369" s="21" t="n">
        <f aca="false">COUNTIFS(Applications!$B$2:$B$3144,A369)</f>
        <v>6</v>
      </c>
      <c r="N369" s="21" t="n">
        <f aca="false">COUNTIFS(Applications!$B$2:$B$3144,A369,Applications!$F$2:$F$3144,"Offered")</f>
        <v>1</v>
      </c>
      <c r="O369" s="21" t="str">
        <f aca="false">IF(COUNTIFS(Applications!$B$2:$B$3144,A369,Applications!$H$2:$H$3144,"Yes")&gt;0,"Yes","No")</f>
        <v>Yes</v>
      </c>
      <c r="P369" s="32" t="n">
        <f aca="false">SUMIFS(Applications!$G$2:$G$3144,Applications!$B$2:$B$3144,A369,Applications!$H$2:$H$3144,"Yes")</f>
        <v>5.5</v>
      </c>
      <c r="Q369" s="21" t="str">
        <f aca="false">IF(O369="Yes",INDEX(Companies!$B$2:$B$31,MATCH(INDEX(Applications!$C$2:$C$3144,MATCH(A369,Applications!$P$2:$P$3144,0)),Companies!$A$2:$A$31,0)),"-")</f>
        <v>Metro Systems</v>
      </c>
    </row>
    <row r="370" customFormat="false" ht="15" hidden="false" customHeight="false" outlineLevel="0" collapsed="false">
      <c r="A370" s="21" t="s">
        <v>786</v>
      </c>
      <c r="B370" s="21" t="s">
        <v>787</v>
      </c>
      <c r="C370" s="21" t="s">
        <v>458</v>
      </c>
      <c r="D370" s="21" t="s">
        <v>63</v>
      </c>
      <c r="E370" s="21" t="s">
        <v>92</v>
      </c>
      <c r="F370" s="21" t="n">
        <v>5.94</v>
      </c>
      <c r="G370" s="21" t="n">
        <v>119</v>
      </c>
      <c r="H370" s="21" t="n">
        <v>2</v>
      </c>
      <c r="I370" s="21" t="s">
        <v>120</v>
      </c>
      <c r="J370" s="21" t="n">
        <v>58</v>
      </c>
      <c r="K370" s="32" t="n">
        <f aca="false">ROUND(Assumptions!$B$4*MIN(G370/Assumptions!$B$11,1)*100+Assumptions!$B$5*F370/10*100+Assumptions!$B$6*MIN(H370/Assumptions!$B$12,1)*100+Assumptions!$B$7*J370+Assumptions!$B$8*IF(I370="Yes",100,0),1)</f>
        <v>48.6</v>
      </c>
      <c r="L370" s="21" t="str">
        <f aca="false">LOOKUP(K370,Assumptions!$D$4:$D$7,Assumptions!$E$4:$E$7)</f>
        <v>Foundation</v>
      </c>
      <c r="M370" s="21" t="n">
        <f aca="false">COUNTIFS(Applications!$B$2:$B$3144,A370)</f>
        <v>2</v>
      </c>
      <c r="N370" s="21" t="n">
        <f aca="false">COUNTIFS(Applications!$B$2:$B$3144,A370,Applications!$F$2:$F$3144,"Offered")</f>
        <v>0</v>
      </c>
      <c r="O370" s="21" t="str">
        <f aca="false">IF(COUNTIFS(Applications!$B$2:$B$3144,A370,Applications!$H$2:$H$3144,"Yes")&gt;0,"Yes","No")</f>
        <v>No</v>
      </c>
      <c r="P370" s="32" t="n">
        <f aca="false">SUMIFS(Applications!$G$2:$G$3144,Applications!$B$2:$B$3144,A370,Applications!$H$2:$H$3144,"Yes")</f>
        <v>0</v>
      </c>
      <c r="Q370" s="21" t="str">
        <f aca="false">IF(O370="Yes",INDEX(Companies!$B$2:$B$31,MATCH(INDEX(Applications!$C$2:$C$3144,MATCH(A370,Applications!$P$2:$P$3144,0)),Companies!$A$2:$A$31,0)),"-")</f>
        <v>-</v>
      </c>
    </row>
    <row r="371" customFormat="false" ht="15" hidden="false" customHeight="false" outlineLevel="0" collapsed="false">
      <c r="A371" s="21" t="s">
        <v>788</v>
      </c>
      <c r="B371" s="21" t="s">
        <v>789</v>
      </c>
      <c r="C371" s="21" t="s">
        <v>458</v>
      </c>
      <c r="D371" s="21" t="s">
        <v>65</v>
      </c>
      <c r="E371" s="21" t="s">
        <v>91</v>
      </c>
      <c r="F371" s="21" t="n">
        <v>8.32</v>
      </c>
      <c r="G371" s="21" t="n">
        <v>191</v>
      </c>
      <c r="H371" s="21" t="n">
        <v>1</v>
      </c>
      <c r="I371" s="21" t="s">
        <v>113</v>
      </c>
      <c r="J371" s="21" t="n">
        <v>49</v>
      </c>
      <c r="K371" s="32" t="n">
        <f aca="false">ROUND(Assumptions!$B$4*MIN(G371/Assumptions!$B$11,1)*100+Assumptions!$B$5*F371/10*100+Assumptions!$B$6*MIN(H371/Assumptions!$B$12,1)*100+Assumptions!$B$7*J371+Assumptions!$B$8*IF(I371="Yes",100,0),1)</f>
        <v>41.9</v>
      </c>
      <c r="L371" s="21" t="str">
        <f aca="false">LOOKUP(K371,Assumptions!$D$4:$D$7,Assumptions!$E$4:$E$7)</f>
        <v>Foundation</v>
      </c>
      <c r="M371" s="21" t="n">
        <f aca="false">COUNTIFS(Applications!$B$2:$B$3144,A371)</f>
        <v>3</v>
      </c>
      <c r="N371" s="21" t="n">
        <f aca="false">COUNTIFS(Applications!$B$2:$B$3144,A371,Applications!$F$2:$F$3144,"Offered")</f>
        <v>1</v>
      </c>
      <c r="O371" s="21" t="str">
        <f aca="false">IF(COUNTIFS(Applications!$B$2:$B$3144,A371,Applications!$H$2:$H$3144,"Yes")&gt;0,"Yes","No")</f>
        <v>Yes</v>
      </c>
      <c r="P371" s="32" t="n">
        <f aca="false">SUMIFS(Applications!$G$2:$G$3144,Applications!$B$2:$B$3144,A371,Applications!$H$2:$H$3144,"Yes")</f>
        <v>6.1</v>
      </c>
      <c r="Q371" s="21" t="str">
        <f aca="false">IF(O371="Yes",INDEX(Companies!$B$2:$B$31,MATCH(INDEX(Applications!$C$2:$C$3144,MATCH(A371,Applications!$P$2:$P$3144,0)),Companies!$A$2:$A$31,0)),"-")</f>
        <v>Bharat Digital</v>
      </c>
    </row>
    <row r="372" customFormat="false" ht="15" hidden="false" customHeight="false" outlineLevel="0" collapsed="false">
      <c r="A372" s="21" t="s">
        <v>790</v>
      </c>
      <c r="B372" s="21" t="s">
        <v>791</v>
      </c>
      <c r="C372" s="21" t="s">
        <v>458</v>
      </c>
      <c r="D372" s="21" t="s">
        <v>66</v>
      </c>
      <c r="E372" s="21" t="s">
        <v>92</v>
      </c>
      <c r="F372" s="21" t="n">
        <v>8.45</v>
      </c>
      <c r="G372" s="21" t="n">
        <v>273</v>
      </c>
      <c r="H372" s="21" t="n">
        <v>3</v>
      </c>
      <c r="I372" s="21" t="s">
        <v>113</v>
      </c>
      <c r="J372" s="21" t="n">
        <v>79</v>
      </c>
      <c r="K372" s="32" t="n">
        <f aca="false">ROUND(Assumptions!$B$4*MIN(G372/Assumptions!$B$11,1)*100+Assumptions!$B$5*F372/10*100+Assumptions!$B$6*MIN(H372/Assumptions!$B$12,1)*100+Assumptions!$B$7*J372+Assumptions!$B$8*IF(I372="Yes",100,0),1)</f>
        <v>61.1</v>
      </c>
      <c r="L372" s="21" t="str">
        <f aca="false">LOOKUP(K372,Assumptions!$D$4:$D$7,Assumptions!$E$4:$E$7)</f>
        <v>Developing</v>
      </c>
      <c r="M372" s="21" t="n">
        <f aca="false">COUNTIFS(Applications!$B$2:$B$3144,A372)</f>
        <v>3</v>
      </c>
      <c r="N372" s="21" t="n">
        <f aca="false">COUNTIFS(Applications!$B$2:$B$3144,A372,Applications!$F$2:$F$3144,"Offered")</f>
        <v>3</v>
      </c>
      <c r="O372" s="21" t="str">
        <f aca="false">IF(COUNTIFS(Applications!$B$2:$B$3144,A372,Applications!$H$2:$H$3144,"Yes")&gt;0,"Yes","No")</f>
        <v>Yes</v>
      </c>
      <c r="P372" s="32" t="n">
        <f aca="false">SUMIFS(Applications!$G$2:$G$3144,Applications!$B$2:$B$3144,A372,Applications!$H$2:$H$3144,"Yes")</f>
        <v>12.1</v>
      </c>
      <c r="Q372" s="21" t="str">
        <f aca="false">IF(O372="Yes",INDEX(Companies!$B$2:$B$31,MATCH(INDEX(Applications!$C$2:$C$3144,MATCH(A372,Applications!$P$2:$P$3144,0)),Companies!$A$2:$A$31,0)),"-")</f>
        <v>PayRiver</v>
      </c>
    </row>
    <row r="373" customFormat="false" ht="15" hidden="false" customHeight="false" outlineLevel="0" collapsed="false">
      <c r="A373" s="21" t="s">
        <v>792</v>
      </c>
      <c r="B373" s="21" t="s">
        <v>793</v>
      </c>
      <c r="C373" s="21" t="s">
        <v>458</v>
      </c>
      <c r="D373" s="21" t="s">
        <v>64</v>
      </c>
      <c r="E373" s="21" t="s">
        <v>91</v>
      </c>
      <c r="F373" s="21" t="n">
        <v>6.89</v>
      </c>
      <c r="G373" s="21" t="n">
        <v>325</v>
      </c>
      <c r="H373" s="21" t="n">
        <v>2</v>
      </c>
      <c r="I373" s="21" t="s">
        <v>113</v>
      </c>
      <c r="J373" s="21" t="n">
        <v>73</v>
      </c>
      <c r="K373" s="32" t="n">
        <f aca="false">ROUND(Assumptions!$B$4*MIN(G373/Assumptions!$B$11,1)*100+Assumptions!$B$5*F373/10*100+Assumptions!$B$6*MIN(H373/Assumptions!$B$12,1)*100+Assumptions!$B$7*J373+Assumptions!$B$8*IF(I373="Yes",100,0),1)</f>
        <v>55.9</v>
      </c>
      <c r="L373" s="21" t="str">
        <f aca="false">LOOKUP(K373,Assumptions!$D$4:$D$7,Assumptions!$E$4:$E$7)</f>
        <v>Developing</v>
      </c>
      <c r="M373" s="21" t="n">
        <f aca="false">COUNTIFS(Applications!$B$2:$B$3144,A373)</f>
        <v>0</v>
      </c>
      <c r="N373" s="21" t="n">
        <f aca="false">COUNTIFS(Applications!$B$2:$B$3144,A373,Applications!$F$2:$F$3144,"Offered")</f>
        <v>0</v>
      </c>
      <c r="O373" s="21" t="str">
        <f aca="false">IF(COUNTIFS(Applications!$B$2:$B$3144,A373,Applications!$H$2:$H$3144,"Yes")&gt;0,"Yes","No")</f>
        <v>No</v>
      </c>
      <c r="P373" s="32" t="n">
        <f aca="false">SUMIFS(Applications!$G$2:$G$3144,Applications!$B$2:$B$3144,A373,Applications!$H$2:$H$3144,"Yes")</f>
        <v>0</v>
      </c>
      <c r="Q373" s="21" t="str">
        <f aca="false">IF(O373="Yes",INDEX(Companies!$B$2:$B$31,MATCH(INDEX(Applications!$C$2:$C$3144,MATCH(A373,Applications!$P$2:$P$3144,0)),Companies!$A$2:$A$31,0)),"-")</f>
        <v>-</v>
      </c>
    </row>
    <row r="374" customFormat="false" ht="15" hidden="false" customHeight="false" outlineLevel="0" collapsed="false">
      <c r="A374" s="21" t="s">
        <v>794</v>
      </c>
      <c r="B374" s="21" t="s">
        <v>750</v>
      </c>
      <c r="C374" s="21" t="s">
        <v>458</v>
      </c>
      <c r="D374" s="21" t="s">
        <v>66</v>
      </c>
      <c r="E374" s="21" t="s">
        <v>90</v>
      </c>
      <c r="F374" s="21" t="n">
        <v>8.08</v>
      </c>
      <c r="G374" s="21" t="n">
        <v>158</v>
      </c>
      <c r="H374" s="21" t="n">
        <v>2</v>
      </c>
      <c r="I374" s="21" t="s">
        <v>120</v>
      </c>
      <c r="J374" s="21" t="n">
        <v>64</v>
      </c>
      <c r="K374" s="32" t="n">
        <f aca="false">ROUND(Assumptions!$B$4*MIN(G374/Assumptions!$B$11,1)*100+Assumptions!$B$5*F374/10*100+Assumptions!$B$6*MIN(H374/Assumptions!$B$12,1)*100+Assumptions!$B$7*J374+Assumptions!$B$8*IF(I374="Yes",100,0),1)</f>
        <v>56.4</v>
      </c>
      <c r="L374" s="21" t="str">
        <f aca="false">LOOKUP(K374,Assumptions!$D$4:$D$7,Assumptions!$E$4:$E$7)</f>
        <v>Developing</v>
      </c>
      <c r="M374" s="21" t="n">
        <f aca="false">COUNTIFS(Applications!$B$2:$B$3144,A374)</f>
        <v>5</v>
      </c>
      <c r="N374" s="21" t="n">
        <f aca="false">COUNTIFS(Applications!$B$2:$B$3144,A374,Applications!$F$2:$F$3144,"Offered")</f>
        <v>0</v>
      </c>
      <c r="O374" s="21" t="str">
        <f aca="false">IF(COUNTIFS(Applications!$B$2:$B$3144,A374,Applications!$H$2:$H$3144,"Yes")&gt;0,"Yes","No")</f>
        <v>No</v>
      </c>
      <c r="P374" s="32" t="n">
        <f aca="false">SUMIFS(Applications!$G$2:$G$3144,Applications!$B$2:$B$3144,A374,Applications!$H$2:$H$3144,"Yes")</f>
        <v>0</v>
      </c>
      <c r="Q374" s="21" t="str">
        <f aca="false">IF(O374="Yes",INDEX(Companies!$B$2:$B$31,MATCH(INDEX(Applications!$C$2:$C$3144,MATCH(A374,Applications!$P$2:$P$3144,0)),Companies!$A$2:$A$31,0)),"-")</f>
        <v>-</v>
      </c>
    </row>
    <row r="375" customFormat="false" ht="15" hidden="false" customHeight="false" outlineLevel="0" collapsed="false">
      <c r="A375" s="21" t="s">
        <v>795</v>
      </c>
      <c r="B375" s="21" t="s">
        <v>796</v>
      </c>
      <c r="C375" s="21" t="s">
        <v>458</v>
      </c>
      <c r="D375" s="21" t="s">
        <v>67</v>
      </c>
      <c r="E375" s="21" t="s">
        <v>92</v>
      </c>
      <c r="F375" s="21" t="n">
        <v>7.9</v>
      </c>
      <c r="G375" s="21" t="n">
        <v>243</v>
      </c>
      <c r="H375" s="21" t="n">
        <v>5</v>
      </c>
      <c r="I375" s="21" t="s">
        <v>113</v>
      </c>
      <c r="J375" s="21" t="n">
        <v>27</v>
      </c>
      <c r="K375" s="32" t="n">
        <f aca="false">ROUND(Assumptions!$B$4*MIN(G375/Assumptions!$B$11,1)*100+Assumptions!$B$5*F375/10*100+Assumptions!$B$6*MIN(H375/Assumptions!$B$12,1)*100+Assumptions!$B$7*J375+Assumptions!$B$8*IF(I375="Yes",100,0),1)</f>
        <v>55.8</v>
      </c>
      <c r="L375" s="21" t="str">
        <f aca="false">LOOKUP(K375,Assumptions!$D$4:$D$7,Assumptions!$E$4:$E$7)</f>
        <v>Developing</v>
      </c>
      <c r="M375" s="21" t="n">
        <f aca="false">COUNTIFS(Applications!$B$2:$B$3144,A375)</f>
        <v>6</v>
      </c>
      <c r="N375" s="21" t="n">
        <f aca="false">COUNTIFS(Applications!$B$2:$B$3144,A375,Applications!$F$2:$F$3144,"Offered")</f>
        <v>0</v>
      </c>
      <c r="O375" s="21" t="str">
        <f aca="false">IF(COUNTIFS(Applications!$B$2:$B$3144,A375,Applications!$H$2:$H$3144,"Yes")&gt;0,"Yes","No")</f>
        <v>No</v>
      </c>
      <c r="P375" s="32" t="n">
        <f aca="false">SUMIFS(Applications!$G$2:$G$3144,Applications!$B$2:$B$3144,A375,Applications!$H$2:$H$3144,"Yes")</f>
        <v>0</v>
      </c>
      <c r="Q375" s="21" t="str">
        <f aca="false">IF(O375="Yes",INDEX(Companies!$B$2:$B$31,MATCH(INDEX(Applications!$C$2:$C$3144,MATCH(A375,Applications!$P$2:$P$3144,0)),Companies!$A$2:$A$31,0)),"-")</f>
        <v>-</v>
      </c>
    </row>
    <row r="376" customFormat="false" ht="15" hidden="false" customHeight="false" outlineLevel="0" collapsed="false">
      <c r="A376" s="21" t="s">
        <v>797</v>
      </c>
      <c r="B376" s="21" t="s">
        <v>312</v>
      </c>
      <c r="C376" s="21" t="s">
        <v>458</v>
      </c>
      <c r="D376" s="21" t="s">
        <v>64</v>
      </c>
      <c r="E376" s="21" t="s">
        <v>91</v>
      </c>
      <c r="F376" s="21" t="n">
        <v>8.22</v>
      </c>
      <c r="G376" s="21" t="n">
        <v>514</v>
      </c>
      <c r="H376" s="21" t="n">
        <v>5</v>
      </c>
      <c r="I376" s="21" t="s">
        <v>120</v>
      </c>
      <c r="J376" s="21" t="n">
        <v>73</v>
      </c>
      <c r="K376" s="32" t="n">
        <f aca="false">ROUND(Assumptions!$B$4*MIN(G376/Assumptions!$B$11,1)*100+Assumptions!$B$5*F376/10*100+Assumptions!$B$6*MIN(H376/Assumptions!$B$12,1)*100+Assumptions!$B$7*J376+Assumptions!$B$8*IF(I376="Yes",100,0),1)</f>
        <v>91</v>
      </c>
      <c r="L376" s="21" t="str">
        <f aca="false">LOOKUP(K376,Assumptions!$D$4:$D$7,Assumptions!$E$4:$E$7)</f>
        <v>Elite</v>
      </c>
      <c r="M376" s="21" t="n">
        <f aca="false">COUNTIFS(Applications!$B$2:$B$3144,A376)</f>
        <v>7</v>
      </c>
      <c r="N376" s="21" t="n">
        <f aca="false">COUNTIFS(Applications!$B$2:$B$3144,A376,Applications!$F$2:$F$3144,"Offered")</f>
        <v>3</v>
      </c>
      <c r="O376" s="21" t="str">
        <f aca="false">IF(COUNTIFS(Applications!$B$2:$B$3144,A376,Applications!$H$2:$H$3144,"Yes")&gt;0,"Yes","No")</f>
        <v>Yes</v>
      </c>
      <c r="P376" s="32" t="n">
        <f aca="false">SUMIFS(Applications!$G$2:$G$3144,Applications!$B$2:$B$3144,A376,Applications!$H$2:$H$3144,"Yes")</f>
        <v>15.9</v>
      </c>
      <c r="Q376" s="21" t="str">
        <f aca="false">IF(O376="Yes",INDEX(Companies!$B$2:$B$31,MATCH(INDEX(Applications!$C$2:$C$3144,MATCH(A376,Applications!$P$2:$P$3144,0)),Companies!$A$2:$A$31,0)),"-")</f>
        <v>CloudKraft</v>
      </c>
    </row>
    <row r="377" customFormat="false" ht="15" hidden="false" customHeight="false" outlineLevel="0" collapsed="false">
      <c r="A377" s="21" t="s">
        <v>798</v>
      </c>
      <c r="B377" s="21" t="s">
        <v>799</v>
      </c>
      <c r="C377" s="21" t="s">
        <v>458</v>
      </c>
      <c r="D377" s="21" t="s">
        <v>67</v>
      </c>
      <c r="E377" s="21" t="s">
        <v>90</v>
      </c>
      <c r="F377" s="21" t="n">
        <v>8.18</v>
      </c>
      <c r="G377" s="21" t="n">
        <v>391</v>
      </c>
      <c r="H377" s="21" t="n">
        <v>3</v>
      </c>
      <c r="I377" s="21" t="s">
        <v>113</v>
      </c>
      <c r="J377" s="21" t="n">
        <v>61</v>
      </c>
      <c r="K377" s="32" t="n">
        <f aca="false">ROUND(Assumptions!$B$4*MIN(G377/Assumptions!$B$11,1)*100+Assumptions!$B$5*F377/10*100+Assumptions!$B$6*MIN(H377/Assumptions!$B$12,1)*100+Assumptions!$B$7*J377+Assumptions!$B$8*IF(I377="Yes",100,0),1)</f>
        <v>64</v>
      </c>
      <c r="L377" s="21" t="str">
        <f aca="false">LOOKUP(K377,Assumptions!$D$4:$D$7,Assumptions!$E$4:$E$7)</f>
        <v>Developing</v>
      </c>
      <c r="M377" s="21" t="n">
        <f aca="false">COUNTIFS(Applications!$B$2:$B$3144,A377)</f>
        <v>8</v>
      </c>
      <c r="N377" s="21" t="n">
        <f aca="false">COUNTIFS(Applications!$B$2:$B$3144,A377,Applications!$F$2:$F$3144,"Offered")</f>
        <v>3</v>
      </c>
      <c r="O377" s="21" t="str">
        <f aca="false">IF(COUNTIFS(Applications!$B$2:$B$3144,A377,Applications!$H$2:$H$3144,"Yes")&gt;0,"Yes","No")</f>
        <v>Yes</v>
      </c>
      <c r="P377" s="32" t="n">
        <f aca="false">SUMIFS(Applications!$G$2:$G$3144,Applications!$B$2:$B$3144,A377,Applications!$H$2:$H$3144,"Yes")</f>
        <v>5.9</v>
      </c>
      <c r="Q377" s="21" t="str">
        <f aca="false">IF(O377="Yes",INDEX(Companies!$B$2:$B$31,MATCH(INDEX(Applications!$C$2:$C$3144,MATCH(A377,Applications!$P$2:$P$3144,0)),Companies!$A$2:$A$31,0)),"-")</f>
        <v>Sapphire Infotech</v>
      </c>
    </row>
    <row r="378" customFormat="false" ht="15" hidden="false" customHeight="false" outlineLevel="0" collapsed="false">
      <c r="A378" s="21" t="s">
        <v>800</v>
      </c>
      <c r="B378" s="21" t="s">
        <v>801</v>
      </c>
      <c r="C378" s="21" t="s">
        <v>458</v>
      </c>
      <c r="D378" s="21" t="s">
        <v>66</v>
      </c>
      <c r="E378" s="21" t="s">
        <v>90</v>
      </c>
      <c r="F378" s="21" t="n">
        <v>6.55</v>
      </c>
      <c r="G378" s="21" t="n">
        <v>438</v>
      </c>
      <c r="H378" s="21" t="n">
        <v>4</v>
      </c>
      <c r="I378" s="21" t="s">
        <v>113</v>
      </c>
      <c r="J378" s="21" t="n">
        <v>85</v>
      </c>
      <c r="K378" s="32" t="n">
        <f aca="false">ROUND(Assumptions!$B$4*MIN(G378/Assumptions!$B$11,1)*100+Assumptions!$B$5*F378/10*100+Assumptions!$B$6*MIN(H378/Assumptions!$B$12,1)*100+Assumptions!$B$7*J378+Assumptions!$B$8*IF(I378="Yes",100,0),1)</f>
        <v>72.4</v>
      </c>
      <c r="L378" s="21" t="str">
        <f aca="false">LOOKUP(K378,Assumptions!$D$4:$D$7,Assumptions!$E$4:$E$7)</f>
        <v>Job-Ready</v>
      </c>
      <c r="M378" s="21" t="n">
        <f aca="false">COUNTIFS(Applications!$B$2:$B$3144,A378)</f>
        <v>3</v>
      </c>
      <c r="N378" s="21" t="n">
        <f aca="false">COUNTIFS(Applications!$B$2:$B$3144,A378,Applications!$F$2:$F$3144,"Offered")</f>
        <v>0</v>
      </c>
      <c r="O378" s="21" t="str">
        <f aca="false">IF(COUNTIFS(Applications!$B$2:$B$3144,A378,Applications!$H$2:$H$3144,"Yes")&gt;0,"Yes","No")</f>
        <v>No</v>
      </c>
      <c r="P378" s="32" t="n">
        <f aca="false">SUMIFS(Applications!$G$2:$G$3144,Applications!$B$2:$B$3144,A378,Applications!$H$2:$H$3144,"Yes")</f>
        <v>0</v>
      </c>
      <c r="Q378" s="21" t="str">
        <f aca="false">IF(O378="Yes",INDEX(Companies!$B$2:$B$31,MATCH(INDEX(Applications!$C$2:$C$3144,MATCH(A378,Applications!$P$2:$P$3144,0)),Companies!$A$2:$A$31,0)),"-")</f>
        <v>-</v>
      </c>
    </row>
    <row r="379" customFormat="false" ht="15" hidden="false" customHeight="false" outlineLevel="0" collapsed="false">
      <c r="A379" s="21" t="s">
        <v>802</v>
      </c>
      <c r="B379" s="21" t="s">
        <v>803</v>
      </c>
      <c r="C379" s="21" t="s">
        <v>458</v>
      </c>
      <c r="D379" s="21" t="s">
        <v>67</v>
      </c>
      <c r="E379" s="21" t="s">
        <v>92</v>
      </c>
      <c r="F379" s="21" t="n">
        <v>8.03</v>
      </c>
      <c r="G379" s="21" t="n">
        <v>135</v>
      </c>
      <c r="H379" s="21" t="n">
        <v>2</v>
      </c>
      <c r="I379" s="21" t="s">
        <v>113</v>
      </c>
      <c r="J379" s="21" t="n">
        <v>54</v>
      </c>
      <c r="K379" s="32" t="n">
        <f aca="false">ROUND(Assumptions!$B$4*MIN(G379/Assumptions!$B$11,1)*100+Assumptions!$B$5*F379/10*100+Assumptions!$B$6*MIN(H379/Assumptions!$B$12,1)*100+Assumptions!$B$7*J379+Assumptions!$B$8*IF(I379="Yes",100,0),1)</f>
        <v>43</v>
      </c>
      <c r="L379" s="21" t="str">
        <f aca="false">LOOKUP(K379,Assumptions!$D$4:$D$7,Assumptions!$E$4:$E$7)</f>
        <v>Foundation</v>
      </c>
      <c r="M379" s="21" t="n">
        <f aca="false">COUNTIFS(Applications!$B$2:$B$3144,A379)</f>
        <v>6</v>
      </c>
      <c r="N379" s="21" t="n">
        <f aca="false">COUNTIFS(Applications!$B$2:$B$3144,A379,Applications!$F$2:$F$3144,"Offered")</f>
        <v>0</v>
      </c>
      <c r="O379" s="21" t="str">
        <f aca="false">IF(COUNTIFS(Applications!$B$2:$B$3144,A379,Applications!$H$2:$H$3144,"Yes")&gt;0,"Yes","No")</f>
        <v>No</v>
      </c>
      <c r="P379" s="32" t="n">
        <f aca="false">SUMIFS(Applications!$G$2:$G$3144,Applications!$B$2:$B$3144,A379,Applications!$H$2:$H$3144,"Yes")</f>
        <v>0</v>
      </c>
      <c r="Q379" s="21" t="str">
        <f aca="false">IF(O379="Yes",INDEX(Companies!$B$2:$B$31,MATCH(INDEX(Applications!$C$2:$C$3144,MATCH(A379,Applications!$P$2:$P$3144,0)),Companies!$A$2:$A$31,0)),"-")</f>
        <v>-</v>
      </c>
    </row>
    <row r="380" customFormat="false" ht="15" hidden="false" customHeight="false" outlineLevel="0" collapsed="false">
      <c r="A380" s="21" t="s">
        <v>804</v>
      </c>
      <c r="B380" s="21" t="s">
        <v>805</v>
      </c>
      <c r="C380" s="21" t="s">
        <v>458</v>
      </c>
      <c r="D380" s="21" t="s">
        <v>67</v>
      </c>
      <c r="E380" s="21" t="s">
        <v>91</v>
      </c>
      <c r="F380" s="21" t="n">
        <v>5.92</v>
      </c>
      <c r="G380" s="21" t="n">
        <v>98</v>
      </c>
      <c r="H380" s="21" t="n">
        <v>3</v>
      </c>
      <c r="I380" s="21" t="s">
        <v>113</v>
      </c>
      <c r="J380" s="21" t="n">
        <v>55</v>
      </c>
      <c r="K380" s="32" t="n">
        <f aca="false">ROUND(Assumptions!$B$4*MIN(G380/Assumptions!$B$11,1)*100+Assumptions!$B$5*F380/10*100+Assumptions!$B$6*MIN(H380/Assumptions!$B$12,1)*100+Assumptions!$B$7*J380+Assumptions!$B$8*IF(I380="Yes",100,0),1)</f>
        <v>40.7</v>
      </c>
      <c r="L380" s="21" t="str">
        <f aca="false">LOOKUP(K380,Assumptions!$D$4:$D$7,Assumptions!$E$4:$E$7)</f>
        <v>Foundation</v>
      </c>
      <c r="M380" s="21" t="n">
        <f aca="false">COUNTIFS(Applications!$B$2:$B$3144,A380)</f>
        <v>2</v>
      </c>
      <c r="N380" s="21" t="n">
        <f aca="false">COUNTIFS(Applications!$B$2:$B$3144,A380,Applications!$F$2:$F$3144,"Offered")</f>
        <v>0</v>
      </c>
      <c r="O380" s="21" t="str">
        <f aca="false">IF(COUNTIFS(Applications!$B$2:$B$3144,A380,Applications!$H$2:$H$3144,"Yes")&gt;0,"Yes","No")</f>
        <v>No</v>
      </c>
      <c r="P380" s="32" t="n">
        <f aca="false">SUMIFS(Applications!$G$2:$G$3144,Applications!$B$2:$B$3144,A380,Applications!$H$2:$H$3144,"Yes")</f>
        <v>0</v>
      </c>
      <c r="Q380" s="21" t="str">
        <f aca="false">IF(O380="Yes",INDEX(Companies!$B$2:$B$31,MATCH(INDEX(Applications!$C$2:$C$3144,MATCH(A380,Applications!$P$2:$P$3144,0)),Companies!$A$2:$A$31,0)),"-")</f>
        <v>-</v>
      </c>
    </row>
    <row r="381" customFormat="false" ht="15" hidden="false" customHeight="false" outlineLevel="0" collapsed="false">
      <c r="A381" s="21" t="s">
        <v>806</v>
      </c>
      <c r="B381" s="21" t="s">
        <v>807</v>
      </c>
      <c r="C381" s="21" t="s">
        <v>458</v>
      </c>
      <c r="D381" s="21" t="s">
        <v>66</v>
      </c>
      <c r="E381" s="21" t="s">
        <v>90</v>
      </c>
      <c r="F381" s="21" t="n">
        <v>8.29</v>
      </c>
      <c r="G381" s="21" t="n">
        <v>235</v>
      </c>
      <c r="H381" s="21" t="n">
        <v>4</v>
      </c>
      <c r="I381" s="21" t="s">
        <v>113</v>
      </c>
      <c r="J381" s="21" t="n">
        <v>75</v>
      </c>
      <c r="K381" s="32" t="n">
        <f aca="false">ROUND(Assumptions!$B$4*MIN(G381/Assumptions!$B$11,1)*100+Assumptions!$B$5*F381/10*100+Assumptions!$B$6*MIN(H381/Assumptions!$B$12,1)*100+Assumptions!$B$7*J381+Assumptions!$B$8*IF(I381="Yes",100,0),1)</f>
        <v>61.7</v>
      </c>
      <c r="L381" s="21" t="str">
        <f aca="false">LOOKUP(K381,Assumptions!$D$4:$D$7,Assumptions!$E$4:$E$7)</f>
        <v>Developing</v>
      </c>
      <c r="M381" s="21" t="n">
        <f aca="false">COUNTIFS(Applications!$B$2:$B$3144,A381)</f>
        <v>6</v>
      </c>
      <c r="N381" s="21" t="n">
        <f aca="false">COUNTIFS(Applications!$B$2:$B$3144,A381,Applications!$F$2:$F$3144,"Offered")</f>
        <v>2</v>
      </c>
      <c r="O381" s="21" t="str">
        <f aca="false">IF(COUNTIFS(Applications!$B$2:$B$3144,A381,Applications!$H$2:$H$3144,"Yes")&gt;0,"Yes","No")</f>
        <v>Yes</v>
      </c>
      <c r="P381" s="32" t="n">
        <f aca="false">SUMIFS(Applications!$G$2:$G$3144,Applications!$B$2:$B$3144,A381,Applications!$H$2:$H$3144,"Yes")</f>
        <v>7.9</v>
      </c>
      <c r="Q381" s="21" t="str">
        <f aca="false">IF(O381="Yes",INDEX(Companies!$B$2:$B$31,MATCH(INDEX(Applications!$C$2:$C$3144,MATCH(A381,Applications!$P$2:$P$3144,0)),Companies!$A$2:$A$31,0)),"-")</f>
        <v>ShopSprint</v>
      </c>
    </row>
    <row r="382" customFormat="false" ht="15" hidden="false" customHeight="false" outlineLevel="0" collapsed="false">
      <c r="A382" s="21" t="s">
        <v>808</v>
      </c>
      <c r="B382" s="21" t="s">
        <v>809</v>
      </c>
      <c r="C382" s="21" t="s">
        <v>810</v>
      </c>
      <c r="D382" s="21" t="s">
        <v>64</v>
      </c>
      <c r="E382" s="21" t="s">
        <v>91</v>
      </c>
      <c r="F382" s="21" t="n">
        <v>7.42</v>
      </c>
      <c r="G382" s="21" t="n">
        <v>291</v>
      </c>
      <c r="H382" s="21" t="n">
        <v>1</v>
      </c>
      <c r="I382" s="21" t="s">
        <v>120</v>
      </c>
      <c r="J382" s="21" t="n">
        <v>56</v>
      </c>
      <c r="K382" s="32" t="n">
        <f aca="false">ROUND(Assumptions!$B$4*MIN(G382/Assumptions!$B$11,1)*100+Assumptions!$B$5*F382/10*100+Assumptions!$B$6*MIN(H382/Assumptions!$B$12,1)*100+Assumptions!$B$7*J382+Assumptions!$B$8*IF(I382="Yes",100,0),1)</f>
        <v>57.5</v>
      </c>
      <c r="L382" s="21" t="str">
        <f aca="false">LOOKUP(K382,Assumptions!$D$4:$D$7,Assumptions!$E$4:$E$7)</f>
        <v>Developing</v>
      </c>
      <c r="M382" s="21" t="n">
        <f aca="false">COUNTIFS(Applications!$B$2:$B$3144,A382)</f>
        <v>3</v>
      </c>
      <c r="N382" s="21" t="n">
        <f aca="false">COUNTIFS(Applications!$B$2:$B$3144,A382,Applications!$F$2:$F$3144,"Offered")</f>
        <v>1</v>
      </c>
      <c r="O382" s="21" t="str">
        <f aca="false">IF(COUNTIFS(Applications!$B$2:$B$3144,A382,Applications!$H$2:$H$3144,"Yes")&gt;0,"Yes","No")</f>
        <v>Yes</v>
      </c>
      <c r="P382" s="32" t="n">
        <f aca="false">SUMIFS(Applications!$G$2:$G$3144,Applications!$B$2:$B$3144,A382,Applications!$H$2:$H$3144,"Yes")</f>
        <v>4.4</v>
      </c>
      <c r="Q382" s="21" t="str">
        <f aca="false">IF(O382="Yes",INDEX(Companies!$B$2:$B$31,MATCH(INDEX(Applications!$C$2:$C$3144,MATCH(A382,Applications!$P$2:$P$3144,0)),Companies!$A$2:$A$31,0)),"-")</f>
        <v>Pioneer Softech</v>
      </c>
    </row>
    <row r="383" customFormat="false" ht="15" hidden="false" customHeight="false" outlineLevel="0" collapsed="false">
      <c r="A383" s="21" t="s">
        <v>811</v>
      </c>
      <c r="B383" s="21" t="s">
        <v>577</v>
      </c>
      <c r="C383" s="21" t="s">
        <v>810</v>
      </c>
      <c r="D383" s="21" t="s">
        <v>64</v>
      </c>
      <c r="E383" s="21" t="s">
        <v>92</v>
      </c>
      <c r="F383" s="21" t="n">
        <v>8.3</v>
      </c>
      <c r="G383" s="21" t="n">
        <v>880</v>
      </c>
      <c r="H383" s="21" t="n">
        <v>3</v>
      </c>
      <c r="I383" s="21" t="s">
        <v>113</v>
      </c>
      <c r="J383" s="21" t="n">
        <v>69</v>
      </c>
      <c r="K383" s="32" t="n">
        <f aca="false">ROUND(Assumptions!$B$4*MIN(G383/Assumptions!$B$11,1)*100+Assumptions!$B$5*F383/10*100+Assumptions!$B$6*MIN(H383/Assumptions!$B$12,1)*100+Assumptions!$B$7*J383+Assumptions!$B$8*IF(I383="Yes",100,0),1)</f>
        <v>72.4</v>
      </c>
      <c r="L383" s="21" t="str">
        <f aca="false">LOOKUP(K383,Assumptions!$D$4:$D$7,Assumptions!$E$4:$E$7)</f>
        <v>Job-Ready</v>
      </c>
      <c r="M383" s="21" t="n">
        <f aca="false">COUNTIFS(Applications!$B$2:$B$3144,A383)</f>
        <v>1</v>
      </c>
      <c r="N383" s="21" t="n">
        <f aca="false">COUNTIFS(Applications!$B$2:$B$3144,A383,Applications!$F$2:$F$3144,"Offered")</f>
        <v>0</v>
      </c>
      <c r="O383" s="21" t="str">
        <f aca="false">IF(COUNTIFS(Applications!$B$2:$B$3144,A383,Applications!$H$2:$H$3144,"Yes")&gt;0,"Yes","No")</f>
        <v>No</v>
      </c>
      <c r="P383" s="32" t="n">
        <f aca="false">SUMIFS(Applications!$G$2:$G$3144,Applications!$B$2:$B$3144,A383,Applications!$H$2:$H$3144,"Yes")</f>
        <v>0</v>
      </c>
      <c r="Q383" s="21" t="str">
        <f aca="false">IF(O383="Yes",INDEX(Companies!$B$2:$B$31,MATCH(INDEX(Applications!$C$2:$C$3144,MATCH(A383,Applications!$P$2:$P$3144,0)),Companies!$A$2:$A$31,0)),"-")</f>
        <v>-</v>
      </c>
    </row>
    <row r="384" customFormat="false" ht="15" hidden="false" customHeight="false" outlineLevel="0" collapsed="false">
      <c r="A384" s="21" t="s">
        <v>812</v>
      </c>
      <c r="B384" s="21" t="s">
        <v>541</v>
      </c>
      <c r="C384" s="21" t="s">
        <v>810</v>
      </c>
      <c r="D384" s="21" t="s">
        <v>67</v>
      </c>
      <c r="E384" s="21" t="s">
        <v>92</v>
      </c>
      <c r="F384" s="21" t="n">
        <v>7.84</v>
      </c>
      <c r="G384" s="21" t="n">
        <v>379</v>
      </c>
      <c r="H384" s="21" t="n">
        <v>4</v>
      </c>
      <c r="I384" s="21" t="s">
        <v>120</v>
      </c>
      <c r="J384" s="21" t="n">
        <v>52</v>
      </c>
      <c r="K384" s="32" t="n">
        <f aca="false">ROUND(Assumptions!$B$4*MIN(G384/Assumptions!$B$11,1)*100+Assumptions!$B$5*F384/10*100+Assumptions!$B$6*MIN(H384/Assumptions!$B$12,1)*100+Assumptions!$B$7*J384+Assumptions!$B$8*IF(I384="Yes",100,0),1)</f>
        <v>74.8</v>
      </c>
      <c r="L384" s="21" t="str">
        <f aca="false">LOOKUP(K384,Assumptions!$D$4:$D$7,Assumptions!$E$4:$E$7)</f>
        <v>Job-Ready</v>
      </c>
      <c r="M384" s="21" t="n">
        <f aca="false">COUNTIFS(Applications!$B$2:$B$3144,A384)</f>
        <v>4</v>
      </c>
      <c r="N384" s="21" t="n">
        <f aca="false">COUNTIFS(Applications!$B$2:$B$3144,A384,Applications!$F$2:$F$3144,"Offered")</f>
        <v>3</v>
      </c>
      <c r="O384" s="21" t="str">
        <f aca="false">IF(COUNTIFS(Applications!$B$2:$B$3144,A384,Applications!$H$2:$H$3144,"Yes")&gt;0,"Yes","No")</f>
        <v>Yes</v>
      </c>
      <c r="P384" s="32" t="n">
        <f aca="false">SUMIFS(Applications!$G$2:$G$3144,Applications!$B$2:$B$3144,A384,Applications!$H$2:$H$3144,"Yes")</f>
        <v>12.5</v>
      </c>
      <c r="Q384" s="21" t="str">
        <f aca="false">IF(O384="Yes",INDEX(Companies!$B$2:$B$31,MATCH(INDEX(Applications!$C$2:$C$3144,MATCH(A384,Applications!$P$2:$P$3144,0)),Companies!$A$2:$A$31,0)),"-")</f>
        <v>FinStack</v>
      </c>
    </row>
    <row r="385" customFormat="false" ht="15" hidden="false" customHeight="false" outlineLevel="0" collapsed="false">
      <c r="A385" s="21" t="s">
        <v>813</v>
      </c>
      <c r="B385" s="21" t="s">
        <v>462</v>
      </c>
      <c r="C385" s="21" t="s">
        <v>810</v>
      </c>
      <c r="D385" s="21" t="s">
        <v>64</v>
      </c>
      <c r="E385" s="21" t="s">
        <v>91</v>
      </c>
      <c r="F385" s="21" t="n">
        <v>6.97</v>
      </c>
      <c r="G385" s="21" t="n">
        <v>808</v>
      </c>
      <c r="H385" s="21" t="n">
        <v>5</v>
      </c>
      <c r="I385" s="21" t="s">
        <v>120</v>
      </c>
      <c r="J385" s="21" t="n">
        <v>62</v>
      </c>
      <c r="K385" s="32" t="n">
        <f aca="false">ROUND(Assumptions!$B$4*MIN(G385/Assumptions!$B$11,1)*100+Assumptions!$B$5*F385/10*100+Assumptions!$B$6*MIN(H385/Assumptions!$B$12,1)*100+Assumptions!$B$7*J385+Assumptions!$B$8*IF(I385="Yes",100,0),1)</f>
        <v>86.3</v>
      </c>
      <c r="L385" s="21" t="str">
        <f aca="false">LOOKUP(K385,Assumptions!$D$4:$D$7,Assumptions!$E$4:$E$7)</f>
        <v>Elite</v>
      </c>
      <c r="M385" s="21" t="n">
        <f aca="false">COUNTIFS(Applications!$B$2:$B$3144,A385)</f>
        <v>9</v>
      </c>
      <c r="N385" s="21" t="n">
        <f aca="false">COUNTIFS(Applications!$B$2:$B$3144,A385,Applications!$F$2:$F$3144,"Offered")</f>
        <v>5</v>
      </c>
      <c r="O385" s="21" t="str">
        <f aca="false">IF(COUNTIFS(Applications!$B$2:$B$3144,A385,Applications!$H$2:$H$3144,"Yes")&gt;0,"Yes","No")</f>
        <v>Yes</v>
      </c>
      <c r="P385" s="32" t="n">
        <f aca="false">SUMIFS(Applications!$G$2:$G$3144,Applications!$B$2:$B$3144,A385,Applications!$H$2:$H$3144,"Yes")</f>
        <v>24.7</v>
      </c>
      <c r="Q385" s="21" t="str">
        <f aca="false">IF(O385="Yes",INDEX(Companies!$B$2:$B$31,MATCH(INDEX(Applications!$C$2:$C$3144,MATCH(A385,Applications!$P$2:$P$3144,0)),Companies!$A$2:$A$31,0)),"-")</f>
        <v>Zenith Pay</v>
      </c>
    </row>
    <row r="386" customFormat="false" ht="15" hidden="false" customHeight="false" outlineLevel="0" collapsed="false">
      <c r="A386" s="21" t="s">
        <v>814</v>
      </c>
      <c r="B386" s="21" t="s">
        <v>692</v>
      </c>
      <c r="C386" s="21" t="s">
        <v>810</v>
      </c>
      <c r="D386" s="21" t="s">
        <v>65</v>
      </c>
      <c r="E386" s="21" t="s">
        <v>92</v>
      </c>
      <c r="F386" s="21" t="n">
        <v>7.74</v>
      </c>
      <c r="G386" s="21" t="n">
        <v>235</v>
      </c>
      <c r="H386" s="21" t="n">
        <v>2</v>
      </c>
      <c r="I386" s="21" t="s">
        <v>113</v>
      </c>
      <c r="J386" s="21" t="n">
        <v>67</v>
      </c>
      <c r="K386" s="32" t="n">
        <f aca="false">ROUND(Assumptions!$B$4*MIN(G386/Assumptions!$B$11,1)*100+Assumptions!$B$5*F386/10*100+Assumptions!$B$6*MIN(H386/Assumptions!$B$12,1)*100+Assumptions!$B$7*J386+Assumptions!$B$8*IF(I386="Yes",100,0),1)</f>
        <v>51</v>
      </c>
      <c r="L386" s="21" t="str">
        <f aca="false">LOOKUP(K386,Assumptions!$D$4:$D$7,Assumptions!$E$4:$E$7)</f>
        <v>Developing</v>
      </c>
      <c r="M386" s="21" t="n">
        <f aca="false">COUNTIFS(Applications!$B$2:$B$3144,A386)</f>
        <v>5</v>
      </c>
      <c r="N386" s="21" t="n">
        <f aca="false">COUNTIFS(Applications!$B$2:$B$3144,A386,Applications!$F$2:$F$3144,"Offered")</f>
        <v>0</v>
      </c>
      <c r="O386" s="21" t="str">
        <f aca="false">IF(COUNTIFS(Applications!$B$2:$B$3144,A386,Applications!$H$2:$H$3144,"Yes")&gt;0,"Yes","No")</f>
        <v>No</v>
      </c>
      <c r="P386" s="32" t="n">
        <f aca="false">SUMIFS(Applications!$G$2:$G$3144,Applications!$B$2:$B$3144,A386,Applications!$H$2:$H$3144,"Yes")</f>
        <v>0</v>
      </c>
      <c r="Q386" s="21" t="str">
        <f aca="false">IF(O386="Yes",INDEX(Companies!$B$2:$B$31,MATCH(INDEX(Applications!$C$2:$C$3144,MATCH(A386,Applications!$P$2:$P$3144,0)),Companies!$A$2:$A$31,0)),"-")</f>
        <v>-</v>
      </c>
    </row>
    <row r="387" customFormat="false" ht="15" hidden="false" customHeight="false" outlineLevel="0" collapsed="false">
      <c r="A387" s="21" t="s">
        <v>815</v>
      </c>
      <c r="B387" s="21" t="s">
        <v>816</v>
      </c>
      <c r="C387" s="21" t="s">
        <v>810</v>
      </c>
      <c r="D387" s="21" t="s">
        <v>63</v>
      </c>
      <c r="E387" s="21" t="s">
        <v>90</v>
      </c>
      <c r="F387" s="21" t="n">
        <v>6.97</v>
      </c>
      <c r="G387" s="21" t="n">
        <v>466</v>
      </c>
      <c r="H387" s="21" t="n">
        <v>2</v>
      </c>
      <c r="I387" s="21" t="s">
        <v>120</v>
      </c>
      <c r="J387" s="21" t="n">
        <v>49</v>
      </c>
      <c r="K387" s="32" t="n">
        <f aca="false">ROUND(Assumptions!$B$4*MIN(G387/Assumptions!$B$11,1)*100+Assumptions!$B$5*F387/10*100+Assumptions!$B$6*MIN(H387/Assumptions!$B$12,1)*100+Assumptions!$B$7*J387+Assumptions!$B$8*IF(I387="Yes",100,0),1)</f>
        <v>69.7</v>
      </c>
      <c r="L387" s="21" t="str">
        <f aca="false">LOOKUP(K387,Assumptions!$D$4:$D$7,Assumptions!$E$4:$E$7)</f>
        <v>Job-Ready</v>
      </c>
      <c r="M387" s="21" t="n">
        <f aca="false">COUNTIFS(Applications!$B$2:$B$3144,A387)</f>
        <v>9</v>
      </c>
      <c r="N387" s="21" t="n">
        <f aca="false">COUNTIFS(Applications!$B$2:$B$3144,A387,Applications!$F$2:$F$3144,"Offered")</f>
        <v>2</v>
      </c>
      <c r="O387" s="21" t="str">
        <f aca="false">IF(COUNTIFS(Applications!$B$2:$B$3144,A387,Applications!$H$2:$H$3144,"Yes")&gt;0,"Yes","No")</f>
        <v>Yes</v>
      </c>
      <c r="P387" s="32" t="n">
        <f aca="false">SUMIFS(Applications!$G$2:$G$3144,Applications!$B$2:$B$3144,A387,Applications!$H$2:$H$3144,"Yes")</f>
        <v>6.6</v>
      </c>
      <c r="Q387" s="21" t="str">
        <f aca="false">IF(O387="Yes",INDEX(Companies!$B$2:$B$31,MATCH(INDEX(Applications!$C$2:$C$3144,MATCH(A387,Applications!$P$2:$P$3144,0)),Companies!$A$2:$A$31,0)),"-")</f>
        <v>Bharat Digital</v>
      </c>
    </row>
    <row r="388" customFormat="false" ht="15" hidden="false" customHeight="false" outlineLevel="0" collapsed="false">
      <c r="A388" s="21" t="s">
        <v>817</v>
      </c>
      <c r="B388" s="21" t="s">
        <v>818</v>
      </c>
      <c r="C388" s="21" t="s">
        <v>810</v>
      </c>
      <c r="D388" s="21" t="s">
        <v>64</v>
      </c>
      <c r="E388" s="21" t="s">
        <v>90</v>
      </c>
      <c r="F388" s="21" t="n">
        <v>8.52</v>
      </c>
      <c r="G388" s="21" t="n">
        <v>401</v>
      </c>
      <c r="H388" s="21" t="n">
        <v>2</v>
      </c>
      <c r="I388" s="21" t="s">
        <v>113</v>
      </c>
      <c r="J388" s="21" t="n">
        <v>93</v>
      </c>
      <c r="K388" s="32" t="n">
        <f aca="false">ROUND(Assumptions!$B$4*MIN(G388/Assumptions!$B$11,1)*100+Assumptions!$B$5*F388/10*100+Assumptions!$B$6*MIN(H388/Assumptions!$B$12,1)*100+Assumptions!$B$7*J388+Assumptions!$B$8*IF(I388="Yes",100,0),1)</f>
        <v>67.7</v>
      </c>
      <c r="L388" s="21" t="str">
        <f aca="false">LOOKUP(K388,Assumptions!$D$4:$D$7,Assumptions!$E$4:$E$7)</f>
        <v>Job-Ready</v>
      </c>
      <c r="M388" s="21" t="n">
        <f aca="false">COUNTIFS(Applications!$B$2:$B$3144,A388)</f>
        <v>3</v>
      </c>
      <c r="N388" s="21" t="n">
        <f aca="false">COUNTIFS(Applications!$B$2:$B$3144,A388,Applications!$F$2:$F$3144,"Offered")</f>
        <v>0</v>
      </c>
      <c r="O388" s="21" t="str">
        <f aca="false">IF(COUNTIFS(Applications!$B$2:$B$3144,A388,Applications!$H$2:$H$3144,"Yes")&gt;0,"Yes","No")</f>
        <v>No</v>
      </c>
      <c r="P388" s="32" t="n">
        <f aca="false">SUMIFS(Applications!$G$2:$G$3144,Applications!$B$2:$B$3144,A388,Applications!$H$2:$H$3144,"Yes")</f>
        <v>0</v>
      </c>
      <c r="Q388" s="21" t="str">
        <f aca="false">IF(O388="Yes",INDEX(Companies!$B$2:$B$31,MATCH(INDEX(Applications!$C$2:$C$3144,MATCH(A388,Applications!$P$2:$P$3144,0)),Companies!$A$2:$A$31,0)),"-")</f>
        <v>-</v>
      </c>
    </row>
    <row r="389" customFormat="false" ht="15" hidden="false" customHeight="false" outlineLevel="0" collapsed="false">
      <c r="A389" s="21" t="s">
        <v>819</v>
      </c>
      <c r="B389" s="21" t="s">
        <v>820</v>
      </c>
      <c r="C389" s="21" t="s">
        <v>810</v>
      </c>
      <c r="D389" s="21" t="s">
        <v>64</v>
      </c>
      <c r="E389" s="21" t="s">
        <v>90</v>
      </c>
      <c r="F389" s="21" t="n">
        <v>6.8</v>
      </c>
      <c r="G389" s="21" t="n">
        <v>737</v>
      </c>
      <c r="H389" s="21" t="n">
        <v>1</v>
      </c>
      <c r="I389" s="21" t="s">
        <v>120</v>
      </c>
      <c r="J389" s="21" t="n">
        <v>60</v>
      </c>
      <c r="K389" s="32" t="n">
        <f aca="false">ROUND(Assumptions!$B$4*MIN(G389/Assumptions!$B$11,1)*100+Assumptions!$B$5*F389/10*100+Assumptions!$B$6*MIN(H389/Assumptions!$B$12,1)*100+Assumptions!$B$7*J389+Assumptions!$B$8*IF(I389="Yes",100,0),1)</f>
        <v>69.6</v>
      </c>
      <c r="L389" s="21" t="str">
        <f aca="false">LOOKUP(K389,Assumptions!$D$4:$D$7,Assumptions!$E$4:$E$7)</f>
        <v>Job-Ready</v>
      </c>
      <c r="M389" s="21" t="n">
        <f aca="false">COUNTIFS(Applications!$B$2:$B$3144,A389)</f>
        <v>10</v>
      </c>
      <c r="N389" s="21" t="n">
        <f aca="false">COUNTIFS(Applications!$B$2:$B$3144,A389,Applications!$F$2:$F$3144,"Offered")</f>
        <v>3</v>
      </c>
      <c r="O389" s="21" t="str">
        <f aca="false">IF(COUNTIFS(Applications!$B$2:$B$3144,A389,Applications!$H$2:$H$3144,"Yes")&gt;0,"Yes","No")</f>
        <v>Yes</v>
      </c>
      <c r="P389" s="32" t="n">
        <f aca="false">SUMIFS(Applications!$G$2:$G$3144,Applications!$B$2:$B$3144,A389,Applications!$H$2:$H$3144,"Yes")</f>
        <v>13.6</v>
      </c>
      <c r="Q389" s="21" t="str">
        <f aca="false">IF(O389="Yes",INDEX(Companies!$B$2:$B$31,MATCH(INDEX(Applications!$C$2:$C$3144,MATCH(A389,Applications!$P$2:$P$3144,0)),Companies!$A$2:$A$31,0)),"-")</f>
        <v>MediSphere</v>
      </c>
    </row>
    <row r="390" customFormat="false" ht="15" hidden="false" customHeight="false" outlineLevel="0" collapsed="false">
      <c r="A390" s="21" t="s">
        <v>821</v>
      </c>
      <c r="B390" s="21" t="s">
        <v>202</v>
      </c>
      <c r="C390" s="21" t="s">
        <v>810</v>
      </c>
      <c r="D390" s="21" t="s">
        <v>64</v>
      </c>
      <c r="E390" s="21" t="s">
        <v>92</v>
      </c>
      <c r="F390" s="21" t="n">
        <v>8.18</v>
      </c>
      <c r="G390" s="21" t="n">
        <v>231</v>
      </c>
      <c r="H390" s="21" t="n">
        <v>3</v>
      </c>
      <c r="I390" s="21" t="s">
        <v>120</v>
      </c>
      <c r="J390" s="21" t="n">
        <v>86</v>
      </c>
      <c r="K390" s="32" t="n">
        <f aca="false">ROUND(Assumptions!$B$4*MIN(G390/Assumptions!$B$11,1)*100+Assumptions!$B$5*F390/10*100+Assumptions!$B$6*MIN(H390/Assumptions!$B$12,1)*100+Assumptions!$B$7*J390+Assumptions!$B$8*IF(I390="Yes",100,0),1)</f>
        <v>69.4</v>
      </c>
      <c r="L390" s="21" t="str">
        <f aca="false">LOOKUP(K390,Assumptions!$D$4:$D$7,Assumptions!$E$4:$E$7)</f>
        <v>Job-Ready</v>
      </c>
      <c r="M390" s="21" t="n">
        <f aca="false">COUNTIFS(Applications!$B$2:$B$3144,A390)</f>
        <v>5</v>
      </c>
      <c r="N390" s="21" t="n">
        <f aca="false">COUNTIFS(Applications!$B$2:$B$3144,A390,Applications!$F$2:$F$3144,"Offered")</f>
        <v>2</v>
      </c>
      <c r="O390" s="21" t="str">
        <f aca="false">IF(COUNTIFS(Applications!$B$2:$B$3144,A390,Applications!$H$2:$H$3144,"Yes")&gt;0,"Yes","No")</f>
        <v>Yes</v>
      </c>
      <c r="P390" s="32" t="n">
        <f aca="false">SUMIFS(Applications!$G$2:$G$3144,Applications!$B$2:$B$3144,A390,Applications!$H$2:$H$3144,"Yes")</f>
        <v>7.9</v>
      </c>
      <c r="Q390" s="21" t="str">
        <f aca="false">IF(O390="Yes",INDEX(Companies!$B$2:$B$31,MATCH(INDEX(Applications!$C$2:$C$3144,MATCH(A390,Applications!$P$2:$P$3144,0)),Companies!$A$2:$A$31,0)),"-")</f>
        <v>Bharat Digital</v>
      </c>
    </row>
    <row r="391" customFormat="false" ht="15" hidden="false" customHeight="false" outlineLevel="0" collapsed="false">
      <c r="A391" s="21" t="s">
        <v>822</v>
      </c>
      <c r="B391" s="21" t="s">
        <v>823</v>
      </c>
      <c r="C391" s="21" t="s">
        <v>810</v>
      </c>
      <c r="D391" s="21" t="s">
        <v>65</v>
      </c>
      <c r="E391" s="21" t="s">
        <v>91</v>
      </c>
      <c r="F391" s="21" t="n">
        <v>6.61</v>
      </c>
      <c r="G391" s="21" t="n">
        <v>122</v>
      </c>
      <c r="H391" s="21" t="n">
        <v>2</v>
      </c>
      <c r="I391" s="21" t="s">
        <v>113</v>
      </c>
      <c r="J391" s="21" t="n">
        <v>67</v>
      </c>
      <c r="K391" s="32" t="n">
        <f aca="false">ROUND(Assumptions!$B$4*MIN(G391/Assumptions!$B$11,1)*100+Assumptions!$B$5*F391/10*100+Assumptions!$B$6*MIN(H391/Assumptions!$B$12,1)*100+Assumptions!$B$7*J391+Assumptions!$B$8*IF(I391="Yes",100,0),1)</f>
        <v>41.9</v>
      </c>
      <c r="L391" s="21" t="str">
        <f aca="false">LOOKUP(K391,Assumptions!$D$4:$D$7,Assumptions!$E$4:$E$7)</f>
        <v>Foundation</v>
      </c>
      <c r="M391" s="21" t="n">
        <f aca="false">COUNTIFS(Applications!$B$2:$B$3144,A391)</f>
        <v>8</v>
      </c>
      <c r="N391" s="21" t="n">
        <f aca="false">COUNTIFS(Applications!$B$2:$B$3144,A391,Applications!$F$2:$F$3144,"Offered")</f>
        <v>0</v>
      </c>
      <c r="O391" s="21" t="str">
        <f aca="false">IF(COUNTIFS(Applications!$B$2:$B$3144,A391,Applications!$H$2:$H$3144,"Yes")&gt;0,"Yes","No")</f>
        <v>No</v>
      </c>
      <c r="P391" s="32" t="n">
        <f aca="false">SUMIFS(Applications!$G$2:$G$3144,Applications!$B$2:$B$3144,A391,Applications!$H$2:$H$3144,"Yes")</f>
        <v>0</v>
      </c>
      <c r="Q391" s="21" t="str">
        <f aca="false">IF(O391="Yes",INDEX(Companies!$B$2:$B$31,MATCH(INDEX(Applications!$C$2:$C$3144,MATCH(A391,Applications!$P$2:$P$3144,0)),Companies!$A$2:$A$31,0)),"-")</f>
        <v>-</v>
      </c>
    </row>
    <row r="392" customFormat="false" ht="15" hidden="false" customHeight="false" outlineLevel="0" collapsed="false">
      <c r="A392" s="21" t="s">
        <v>824</v>
      </c>
      <c r="B392" s="21" t="s">
        <v>825</v>
      </c>
      <c r="C392" s="21" t="s">
        <v>810</v>
      </c>
      <c r="D392" s="21" t="s">
        <v>64</v>
      </c>
      <c r="E392" s="21" t="s">
        <v>90</v>
      </c>
      <c r="F392" s="21" t="n">
        <v>8.94</v>
      </c>
      <c r="G392" s="21" t="n">
        <v>528</v>
      </c>
      <c r="H392" s="21" t="n">
        <v>2</v>
      </c>
      <c r="I392" s="21" t="s">
        <v>120</v>
      </c>
      <c r="J392" s="21" t="n">
        <v>72</v>
      </c>
      <c r="K392" s="32" t="n">
        <f aca="false">ROUND(Assumptions!$B$4*MIN(G392/Assumptions!$B$11,1)*100+Assumptions!$B$5*F392/10*100+Assumptions!$B$6*MIN(H392/Assumptions!$B$12,1)*100+Assumptions!$B$7*J392+Assumptions!$B$8*IF(I392="Yes",100,0),1)</f>
        <v>80.3</v>
      </c>
      <c r="L392" s="21" t="str">
        <f aca="false">LOOKUP(K392,Assumptions!$D$4:$D$7,Assumptions!$E$4:$E$7)</f>
        <v>Elite</v>
      </c>
      <c r="M392" s="21" t="n">
        <f aca="false">COUNTIFS(Applications!$B$2:$B$3144,A392)</f>
        <v>9</v>
      </c>
      <c r="N392" s="21" t="n">
        <f aca="false">COUNTIFS(Applications!$B$2:$B$3144,A392,Applications!$F$2:$F$3144,"Offered")</f>
        <v>7</v>
      </c>
      <c r="O392" s="21" t="str">
        <f aca="false">IF(COUNTIFS(Applications!$B$2:$B$3144,A392,Applications!$H$2:$H$3144,"Yes")&gt;0,"Yes","No")</f>
        <v>Yes</v>
      </c>
      <c r="P392" s="32" t="n">
        <f aca="false">SUMIFS(Applications!$G$2:$G$3144,Applications!$B$2:$B$3144,A392,Applications!$H$2:$H$3144,"Yes")</f>
        <v>20.3</v>
      </c>
      <c r="Q392" s="21" t="str">
        <f aca="false">IF(O392="Yes",INDEX(Companies!$B$2:$B$31,MATCH(INDEX(Applications!$C$2:$C$3144,MATCH(A392,Applications!$P$2:$P$3144,0)),Companies!$A$2:$A$31,0)),"-")</f>
        <v>Orbitly</v>
      </c>
    </row>
    <row r="393" customFormat="false" ht="15" hidden="false" customHeight="false" outlineLevel="0" collapsed="false">
      <c r="A393" s="21" t="s">
        <v>826</v>
      </c>
      <c r="B393" s="21" t="s">
        <v>827</v>
      </c>
      <c r="C393" s="21" t="s">
        <v>810</v>
      </c>
      <c r="D393" s="21" t="s">
        <v>65</v>
      </c>
      <c r="E393" s="21" t="s">
        <v>91</v>
      </c>
      <c r="F393" s="21" t="n">
        <v>7.53</v>
      </c>
      <c r="G393" s="21" t="n">
        <v>136</v>
      </c>
      <c r="H393" s="21" t="n">
        <v>3</v>
      </c>
      <c r="I393" s="21" t="s">
        <v>113</v>
      </c>
      <c r="J393" s="21" t="n">
        <v>62</v>
      </c>
      <c r="K393" s="32" t="n">
        <f aca="false">ROUND(Assumptions!$B$4*MIN(G393/Assumptions!$B$11,1)*100+Assumptions!$B$5*F393/10*100+Assumptions!$B$6*MIN(H393/Assumptions!$B$12,1)*100+Assumptions!$B$7*J393+Assumptions!$B$8*IF(I393="Yes",100,0),1)</f>
        <v>47.6</v>
      </c>
      <c r="L393" s="21" t="str">
        <f aca="false">LOOKUP(K393,Assumptions!$D$4:$D$7,Assumptions!$E$4:$E$7)</f>
        <v>Foundation</v>
      </c>
      <c r="M393" s="21" t="n">
        <f aca="false">COUNTIFS(Applications!$B$2:$B$3144,A393)</f>
        <v>6</v>
      </c>
      <c r="N393" s="21" t="n">
        <f aca="false">COUNTIFS(Applications!$B$2:$B$3144,A393,Applications!$F$2:$F$3144,"Offered")</f>
        <v>1</v>
      </c>
      <c r="O393" s="21" t="str">
        <f aca="false">IF(COUNTIFS(Applications!$B$2:$B$3144,A393,Applications!$H$2:$H$3144,"Yes")&gt;0,"Yes","No")</f>
        <v>Yes</v>
      </c>
      <c r="P393" s="32" t="n">
        <f aca="false">SUMIFS(Applications!$G$2:$G$3144,Applications!$B$2:$B$3144,A393,Applications!$H$2:$H$3144,"Yes")</f>
        <v>10.2</v>
      </c>
      <c r="Q393" s="21" t="str">
        <f aca="false">IF(O393="Yes",INDEX(Companies!$B$2:$B$31,MATCH(INDEX(Applications!$C$2:$C$3144,MATCH(A393,Applications!$P$2:$P$3144,0)),Companies!$A$2:$A$31,0)),"-")</f>
        <v>VitalByte</v>
      </c>
    </row>
    <row r="394" customFormat="false" ht="15" hidden="false" customHeight="false" outlineLevel="0" collapsed="false">
      <c r="A394" s="21" t="s">
        <v>828</v>
      </c>
      <c r="B394" s="21" t="s">
        <v>753</v>
      </c>
      <c r="C394" s="21" t="s">
        <v>810</v>
      </c>
      <c r="D394" s="21" t="s">
        <v>67</v>
      </c>
      <c r="E394" s="21" t="s">
        <v>90</v>
      </c>
      <c r="F394" s="21" t="n">
        <v>5</v>
      </c>
      <c r="G394" s="21" t="n">
        <v>367</v>
      </c>
      <c r="H394" s="21" t="n">
        <v>7</v>
      </c>
      <c r="I394" s="21" t="s">
        <v>120</v>
      </c>
      <c r="J394" s="21" t="n">
        <v>69</v>
      </c>
      <c r="K394" s="32" t="n">
        <f aca="false">ROUND(Assumptions!$B$4*MIN(G394/Assumptions!$B$11,1)*100+Assumptions!$B$5*F394/10*100+Assumptions!$B$6*MIN(H394/Assumptions!$B$12,1)*100+Assumptions!$B$7*J394+Assumptions!$B$8*IF(I394="Yes",100,0),1)</f>
        <v>75.8</v>
      </c>
      <c r="L394" s="21" t="str">
        <f aca="false">LOOKUP(K394,Assumptions!$D$4:$D$7,Assumptions!$E$4:$E$7)</f>
        <v>Job-Ready</v>
      </c>
      <c r="M394" s="21" t="n">
        <f aca="false">COUNTIFS(Applications!$B$2:$B$3144,A394)</f>
        <v>8</v>
      </c>
      <c r="N394" s="21" t="n">
        <f aca="false">COUNTIFS(Applications!$B$2:$B$3144,A394,Applications!$F$2:$F$3144,"Offered")</f>
        <v>2</v>
      </c>
      <c r="O394" s="21" t="str">
        <f aca="false">IF(COUNTIFS(Applications!$B$2:$B$3144,A394,Applications!$H$2:$H$3144,"Yes")&gt;0,"Yes","No")</f>
        <v>Yes</v>
      </c>
      <c r="P394" s="32" t="n">
        <f aca="false">SUMIFS(Applications!$G$2:$G$3144,Applications!$B$2:$B$3144,A394,Applications!$H$2:$H$3144,"Yes")</f>
        <v>7.7</v>
      </c>
      <c r="Q394" s="21" t="str">
        <f aca="false">IF(O394="Yes",INDEX(Companies!$B$2:$B$31,MATCH(INDEX(Applications!$C$2:$C$3144,MATCH(A394,Applications!$P$2:$P$3144,0)),Companies!$A$2:$A$31,0)),"-")</f>
        <v>InfoNova Services</v>
      </c>
    </row>
    <row r="395" customFormat="false" ht="15" hidden="false" customHeight="false" outlineLevel="0" collapsed="false">
      <c r="A395" s="21" t="s">
        <v>829</v>
      </c>
      <c r="B395" s="21" t="s">
        <v>830</v>
      </c>
      <c r="C395" s="21" t="s">
        <v>810</v>
      </c>
      <c r="D395" s="21" t="s">
        <v>64</v>
      </c>
      <c r="E395" s="21" t="s">
        <v>91</v>
      </c>
      <c r="F395" s="21" t="n">
        <v>6.3</v>
      </c>
      <c r="G395" s="21" t="n">
        <v>950</v>
      </c>
      <c r="H395" s="21" t="n">
        <v>4</v>
      </c>
      <c r="I395" s="21" t="s">
        <v>113</v>
      </c>
      <c r="J395" s="21" t="n">
        <v>64</v>
      </c>
      <c r="K395" s="32" t="n">
        <f aca="false">ROUND(Assumptions!$B$4*MIN(G395/Assumptions!$B$11,1)*100+Assumptions!$B$5*F395/10*100+Assumptions!$B$6*MIN(H395/Assumptions!$B$12,1)*100+Assumptions!$B$7*J395+Assumptions!$B$8*IF(I395="Yes",100,0),1)</f>
        <v>71.4</v>
      </c>
      <c r="L395" s="21" t="str">
        <f aca="false">LOOKUP(K395,Assumptions!$D$4:$D$7,Assumptions!$E$4:$E$7)</f>
        <v>Job-Ready</v>
      </c>
      <c r="M395" s="21" t="n">
        <f aca="false">COUNTIFS(Applications!$B$2:$B$3144,A395)</f>
        <v>7</v>
      </c>
      <c r="N395" s="21" t="n">
        <f aca="false">COUNTIFS(Applications!$B$2:$B$3144,A395,Applications!$F$2:$F$3144,"Offered")</f>
        <v>3</v>
      </c>
      <c r="O395" s="21" t="str">
        <f aca="false">IF(COUNTIFS(Applications!$B$2:$B$3144,A395,Applications!$H$2:$H$3144,"Yes")&gt;0,"Yes","No")</f>
        <v>Yes</v>
      </c>
      <c r="P395" s="32" t="n">
        <f aca="false">SUMIFS(Applications!$G$2:$G$3144,Applications!$B$2:$B$3144,A395,Applications!$H$2:$H$3144,"Yes")</f>
        <v>13.9</v>
      </c>
      <c r="Q395" s="21" t="str">
        <f aca="false">IF(O395="Yes",INDEX(Companies!$B$2:$B$31,MATCH(INDEX(Applications!$C$2:$C$3144,MATCH(A395,Applications!$P$2:$P$3144,0)),Companies!$A$2:$A$31,0)),"-")</f>
        <v>VitalByte</v>
      </c>
    </row>
    <row r="396" customFormat="false" ht="15" hidden="false" customHeight="false" outlineLevel="0" collapsed="false">
      <c r="A396" s="21" t="s">
        <v>831</v>
      </c>
      <c r="B396" s="21" t="s">
        <v>832</v>
      </c>
      <c r="C396" s="21" t="s">
        <v>810</v>
      </c>
      <c r="D396" s="21" t="s">
        <v>66</v>
      </c>
      <c r="E396" s="21" t="s">
        <v>91</v>
      </c>
      <c r="F396" s="21" t="n">
        <v>8.02</v>
      </c>
      <c r="G396" s="21" t="n">
        <v>104</v>
      </c>
      <c r="H396" s="21" t="n">
        <v>8</v>
      </c>
      <c r="I396" s="21" t="s">
        <v>113</v>
      </c>
      <c r="J396" s="21" t="n">
        <v>34</v>
      </c>
      <c r="K396" s="32" t="n">
        <f aca="false">ROUND(Assumptions!$B$4*MIN(G396/Assumptions!$B$11,1)*100+Assumptions!$B$5*F396/10*100+Assumptions!$B$6*MIN(H396/Assumptions!$B$12,1)*100+Assumptions!$B$7*J396+Assumptions!$B$8*IF(I396="Yes",100,0),1)</f>
        <v>49.1</v>
      </c>
      <c r="L396" s="21" t="str">
        <f aca="false">LOOKUP(K396,Assumptions!$D$4:$D$7,Assumptions!$E$4:$E$7)</f>
        <v>Foundation</v>
      </c>
      <c r="M396" s="21" t="n">
        <f aca="false">COUNTIFS(Applications!$B$2:$B$3144,A396)</f>
        <v>5</v>
      </c>
      <c r="N396" s="21" t="n">
        <f aca="false">COUNTIFS(Applications!$B$2:$B$3144,A396,Applications!$F$2:$F$3144,"Offered")</f>
        <v>0</v>
      </c>
      <c r="O396" s="21" t="str">
        <f aca="false">IF(COUNTIFS(Applications!$B$2:$B$3144,A396,Applications!$H$2:$H$3144,"Yes")&gt;0,"Yes","No")</f>
        <v>No</v>
      </c>
      <c r="P396" s="32" t="n">
        <f aca="false">SUMIFS(Applications!$G$2:$G$3144,Applications!$B$2:$B$3144,A396,Applications!$H$2:$H$3144,"Yes")</f>
        <v>0</v>
      </c>
      <c r="Q396" s="21" t="str">
        <f aca="false">IF(O396="Yes",INDEX(Companies!$B$2:$B$31,MATCH(INDEX(Applications!$C$2:$C$3144,MATCH(A396,Applications!$P$2:$P$3144,0)),Companies!$A$2:$A$31,0)),"-")</f>
        <v>-</v>
      </c>
    </row>
    <row r="397" customFormat="false" ht="15" hidden="false" customHeight="false" outlineLevel="0" collapsed="false">
      <c r="A397" s="21" t="s">
        <v>833</v>
      </c>
      <c r="B397" s="21" t="s">
        <v>834</v>
      </c>
      <c r="C397" s="21" t="s">
        <v>810</v>
      </c>
      <c r="D397" s="21" t="s">
        <v>63</v>
      </c>
      <c r="E397" s="21" t="s">
        <v>90</v>
      </c>
      <c r="F397" s="21" t="n">
        <v>6.84</v>
      </c>
      <c r="G397" s="21" t="n">
        <v>60</v>
      </c>
      <c r="H397" s="21" t="n">
        <v>2</v>
      </c>
      <c r="I397" s="21" t="s">
        <v>113</v>
      </c>
      <c r="J397" s="21" t="n">
        <v>40</v>
      </c>
      <c r="K397" s="32" t="n">
        <f aca="false">ROUND(Assumptions!$B$4*MIN(G397/Assumptions!$B$11,1)*100+Assumptions!$B$5*F397/10*100+Assumptions!$B$6*MIN(H397/Assumptions!$B$12,1)*100+Assumptions!$B$7*J397+Assumptions!$B$8*IF(I397="Yes",100,0),1)</f>
        <v>33.3</v>
      </c>
      <c r="L397" s="21" t="str">
        <f aca="false">LOOKUP(K397,Assumptions!$D$4:$D$7,Assumptions!$E$4:$E$7)</f>
        <v>Foundation</v>
      </c>
      <c r="M397" s="21" t="n">
        <f aca="false">COUNTIFS(Applications!$B$2:$B$3144,A397)</f>
        <v>1</v>
      </c>
      <c r="N397" s="21" t="n">
        <f aca="false">COUNTIFS(Applications!$B$2:$B$3144,A397,Applications!$F$2:$F$3144,"Offered")</f>
        <v>0</v>
      </c>
      <c r="O397" s="21" t="str">
        <f aca="false">IF(COUNTIFS(Applications!$B$2:$B$3144,A397,Applications!$H$2:$H$3144,"Yes")&gt;0,"Yes","No")</f>
        <v>No</v>
      </c>
      <c r="P397" s="32" t="n">
        <f aca="false">SUMIFS(Applications!$G$2:$G$3144,Applications!$B$2:$B$3144,A397,Applications!$H$2:$H$3144,"Yes")</f>
        <v>0</v>
      </c>
      <c r="Q397" s="21" t="str">
        <f aca="false">IF(O397="Yes",INDEX(Companies!$B$2:$B$31,MATCH(INDEX(Applications!$C$2:$C$3144,MATCH(A397,Applications!$P$2:$P$3144,0)),Companies!$A$2:$A$31,0)),"-")</f>
        <v>-</v>
      </c>
    </row>
    <row r="398" customFormat="false" ht="15" hidden="false" customHeight="false" outlineLevel="0" collapsed="false">
      <c r="A398" s="21" t="s">
        <v>835</v>
      </c>
      <c r="B398" s="21" t="s">
        <v>302</v>
      </c>
      <c r="C398" s="21" t="s">
        <v>810</v>
      </c>
      <c r="D398" s="21" t="s">
        <v>67</v>
      </c>
      <c r="E398" s="21" t="s">
        <v>91</v>
      </c>
      <c r="F398" s="21" t="n">
        <v>8.31</v>
      </c>
      <c r="G398" s="21" t="n">
        <v>350</v>
      </c>
      <c r="H398" s="21" t="n">
        <v>2</v>
      </c>
      <c r="I398" s="21" t="s">
        <v>113</v>
      </c>
      <c r="J398" s="21" t="n">
        <v>37</v>
      </c>
      <c r="K398" s="32" t="n">
        <f aca="false">ROUND(Assumptions!$B$4*MIN(G398/Assumptions!$B$11,1)*100+Assumptions!$B$5*F398/10*100+Assumptions!$B$6*MIN(H398/Assumptions!$B$12,1)*100+Assumptions!$B$7*J398+Assumptions!$B$8*IF(I398="Yes",100,0),1)</f>
        <v>53</v>
      </c>
      <c r="L398" s="21" t="str">
        <f aca="false">LOOKUP(K398,Assumptions!$D$4:$D$7,Assumptions!$E$4:$E$7)</f>
        <v>Developing</v>
      </c>
      <c r="M398" s="21" t="n">
        <f aca="false">COUNTIFS(Applications!$B$2:$B$3144,A398)</f>
        <v>0</v>
      </c>
      <c r="N398" s="21" t="n">
        <f aca="false">COUNTIFS(Applications!$B$2:$B$3144,A398,Applications!$F$2:$F$3144,"Offered")</f>
        <v>0</v>
      </c>
      <c r="O398" s="21" t="str">
        <f aca="false">IF(COUNTIFS(Applications!$B$2:$B$3144,A398,Applications!$H$2:$H$3144,"Yes")&gt;0,"Yes","No")</f>
        <v>No</v>
      </c>
      <c r="P398" s="32" t="n">
        <f aca="false">SUMIFS(Applications!$G$2:$G$3144,Applications!$B$2:$B$3144,A398,Applications!$H$2:$H$3144,"Yes")</f>
        <v>0</v>
      </c>
      <c r="Q398" s="21" t="str">
        <f aca="false">IF(O398="Yes",INDEX(Companies!$B$2:$B$31,MATCH(INDEX(Applications!$C$2:$C$3144,MATCH(A398,Applications!$P$2:$P$3144,0)),Companies!$A$2:$A$31,0)),"-")</f>
        <v>-</v>
      </c>
    </row>
    <row r="399" customFormat="false" ht="15" hidden="false" customHeight="false" outlineLevel="0" collapsed="false">
      <c r="A399" s="21" t="s">
        <v>836</v>
      </c>
      <c r="B399" s="21" t="s">
        <v>837</v>
      </c>
      <c r="C399" s="21" t="s">
        <v>810</v>
      </c>
      <c r="D399" s="21" t="s">
        <v>66</v>
      </c>
      <c r="E399" s="21" t="s">
        <v>90</v>
      </c>
      <c r="F399" s="21" t="n">
        <v>6.92</v>
      </c>
      <c r="G399" s="21" t="n">
        <v>178</v>
      </c>
      <c r="H399" s="21" t="n">
        <v>2</v>
      </c>
      <c r="I399" s="21" t="s">
        <v>120</v>
      </c>
      <c r="J399" s="21" t="n">
        <v>49</v>
      </c>
      <c r="K399" s="32" t="n">
        <f aca="false">ROUND(Assumptions!$B$4*MIN(G399/Assumptions!$B$11,1)*100+Assumptions!$B$5*F399/10*100+Assumptions!$B$6*MIN(H399/Assumptions!$B$12,1)*100+Assumptions!$B$7*J399+Assumptions!$B$8*IF(I399="Yes",100,0),1)</f>
        <v>52.3</v>
      </c>
      <c r="L399" s="21" t="str">
        <f aca="false">LOOKUP(K399,Assumptions!$D$4:$D$7,Assumptions!$E$4:$E$7)</f>
        <v>Developing</v>
      </c>
      <c r="M399" s="21" t="n">
        <f aca="false">COUNTIFS(Applications!$B$2:$B$3144,A399)</f>
        <v>10</v>
      </c>
      <c r="N399" s="21" t="n">
        <f aca="false">COUNTIFS(Applications!$B$2:$B$3144,A399,Applications!$F$2:$F$3144,"Offered")</f>
        <v>0</v>
      </c>
      <c r="O399" s="21" t="str">
        <f aca="false">IF(COUNTIFS(Applications!$B$2:$B$3144,A399,Applications!$H$2:$H$3144,"Yes")&gt;0,"Yes","No")</f>
        <v>No</v>
      </c>
      <c r="P399" s="32" t="n">
        <f aca="false">SUMIFS(Applications!$G$2:$G$3144,Applications!$B$2:$B$3144,A399,Applications!$H$2:$H$3144,"Yes")</f>
        <v>0</v>
      </c>
      <c r="Q399" s="21" t="str">
        <f aca="false">IF(O399="Yes",INDEX(Companies!$B$2:$B$31,MATCH(INDEX(Applications!$C$2:$C$3144,MATCH(A399,Applications!$P$2:$P$3144,0)),Companies!$A$2:$A$31,0)),"-")</f>
        <v>-</v>
      </c>
    </row>
    <row r="400" customFormat="false" ht="15" hidden="false" customHeight="false" outlineLevel="0" collapsed="false">
      <c r="A400" s="21" t="s">
        <v>838</v>
      </c>
      <c r="B400" s="21" t="s">
        <v>839</v>
      </c>
      <c r="C400" s="21" t="s">
        <v>810</v>
      </c>
      <c r="D400" s="21" t="s">
        <v>65</v>
      </c>
      <c r="E400" s="21" t="s">
        <v>92</v>
      </c>
      <c r="F400" s="21" t="n">
        <v>9.44</v>
      </c>
      <c r="G400" s="21" t="n">
        <v>173</v>
      </c>
      <c r="H400" s="21" t="n">
        <v>3</v>
      </c>
      <c r="I400" s="21" t="s">
        <v>120</v>
      </c>
      <c r="J400" s="21" t="n">
        <v>75</v>
      </c>
      <c r="K400" s="32" t="n">
        <f aca="false">ROUND(Assumptions!$B$4*MIN(G400/Assumptions!$B$11,1)*100+Assumptions!$B$5*F400/10*100+Assumptions!$B$6*MIN(H400/Assumptions!$B$12,1)*100+Assumptions!$B$7*J400+Assumptions!$B$8*IF(I400="Yes",100,0),1)</f>
        <v>66.3</v>
      </c>
      <c r="L400" s="21" t="str">
        <f aca="false">LOOKUP(K400,Assumptions!$D$4:$D$7,Assumptions!$E$4:$E$7)</f>
        <v>Job-Ready</v>
      </c>
      <c r="M400" s="21" t="n">
        <f aca="false">COUNTIFS(Applications!$B$2:$B$3144,A400)</f>
        <v>7</v>
      </c>
      <c r="N400" s="21" t="n">
        <f aca="false">COUNTIFS(Applications!$B$2:$B$3144,A400,Applications!$F$2:$F$3144,"Offered")</f>
        <v>3</v>
      </c>
      <c r="O400" s="21" t="str">
        <f aca="false">IF(COUNTIFS(Applications!$B$2:$B$3144,A400,Applications!$H$2:$H$3144,"Yes")&gt;0,"Yes","No")</f>
        <v>Yes</v>
      </c>
      <c r="P400" s="32" t="n">
        <f aca="false">SUMIFS(Applications!$G$2:$G$3144,Applications!$B$2:$B$3144,A400,Applications!$H$2:$H$3144,"Yes")</f>
        <v>11.4</v>
      </c>
      <c r="Q400" s="21" t="str">
        <f aca="false">IF(O400="Yes",INDEX(Companies!$B$2:$B$31,MATCH(INDEX(Applications!$C$2:$C$3144,MATCH(A400,Applications!$P$2:$P$3144,0)),Companies!$A$2:$A$31,0)),"-")</f>
        <v>MediSphere</v>
      </c>
    </row>
    <row r="401" customFormat="false" ht="15" hidden="false" customHeight="false" outlineLevel="0" collapsed="false">
      <c r="A401" s="21" t="s">
        <v>840</v>
      </c>
      <c r="B401" s="21" t="s">
        <v>841</v>
      </c>
      <c r="C401" s="21" t="s">
        <v>810</v>
      </c>
      <c r="D401" s="21" t="s">
        <v>66</v>
      </c>
      <c r="E401" s="21" t="s">
        <v>90</v>
      </c>
      <c r="F401" s="21" t="n">
        <v>7.01</v>
      </c>
      <c r="G401" s="21" t="n">
        <v>273</v>
      </c>
      <c r="H401" s="21" t="n">
        <v>1</v>
      </c>
      <c r="I401" s="21" t="s">
        <v>113</v>
      </c>
      <c r="J401" s="21" t="n">
        <v>65</v>
      </c>
      <c r="K401" s="32" t="n">
        <f aca="false">ROUND(Assumptions!$B$4*MIN(G401/Assumptions!$B$11,1)*100+Assumptions!$B$5*F401/10*100+Assumptions!$B$6*MIN(H401/Assumptions!$B$12,1)*100+Assumptions!$B$7*J401+Assumptions!$B$8*IF(I401="Yes",100,0),1)</f>
        <v>47.4</v>
      </c>
      <c r="L401" s="21" t="str">
        <f aca="false">LOOKUP(K401,Assumptions!$D$4:$D$7,Assumptions!$E$4:$E$7)</f>
        <v>Foundation</v>
      </c>
      <c r="M401" s="21" t="n">
        <f aca="false">COUNTIFS(Applications!$B$2:$B$3144,A401)</f>
        <v>1</v>
      </c>
      <c r="N401" s="21" t="n">
        <f aca="false">COUNTIFS(Applications!$B$2:$B$3144,A401,Applications!$F$2:$F$3144,"Offered")</f>
        <v>1</v>
      </c>
      <c r="O401" s="21" t="str">
        <f aca="false">IF(COUNTIFS(Applications!$B$2:$B$3144,A401,Applications!$H$2:$H$3144,"Yes")&gt;0,"Yes","No")</f>
        <v>Yes</v>
      </c>
      <c r="P401" s="32" t="n">
        <f aca="false">SUMIFS(Applications!$G$2:$G$3144,Applications!$B$2:$B$3144,A401,Applications!$H$2:$H$3144,"Yes")</f>
        <v>4</v>
      </c>
      <c r="Q401" s="21" t="str">
        <f aca="false">IF(O401="Yes",INDEX(Companies!$B$2:$B$31,MATCH(INDEX(Applications!$C$2:$C$3144,MATCH(A401,Applications!$P$2:$P$3144,0)),Companies!$A$2:$A$31,0)),"-")</f>
        <v>Bharat Digital</v>
      </c>
    </row>
    <row r="402" customFormat="false" ht="15" hidden="false" customHeight="false" outlineLevel="0" collapsed="false">
      <c r="A402" s="21" t="s">
        <v>842</v>
      </c>
      <c r="B402" s="21" t="s">
        <v>666</v>
      </c>
      <c r="C402" s="21" t="s">
        <v>810</v>
      </c>
      <c r="D402" s="21" t="s">
        <v>64</v>
      </c>
      <c r="E402" s="21" t="s">
        <v>90</v>
      </c>
      <c r="F402" s="21" t="n">
        <v>8</v>
      </c>
      <c r="G402" s="21" t="n">
        <v>196</v>
      </c>
      <c r="H402" s="21" t="n">
        <v>2</v>
      </c>
      <c r="I402" s="21" t="s">
        <v>113</v>
      </c>
      <c r="J402" s="21" t="n">
        <v>79</v>
      </c>
      <c r="K402" s="32" t="n">
        <f aca="false">ROUND(Assumptions!$B$4*MIN(G402/Assumptions!$B$11,1)*100+Assumptions!$B$5*F402/10*100+Assumptions!$B$6*MIN(H402/Assumptions!$B$12,1)*100+Assumptions!$B$7*J402+Assumptions!$B$8*IF(I402="Yes",100,0),1)</f>
        <v>51.6</v>
      </c>
      <c r="L402" s="21" t="str">
        <f aca="false">LOOKUP(K402,Assumptions!$D$4:$D$7,Assumptions!$E$4:$E$7)</f>
        <v>Developing</v>
      </c>
      <c r="M402" s="21" t="n">
        <f aca="false">COUNTIFS(Applications!$B$2:$B$3144,A402)</f>
        <v>5</v>
      </c>
      <c r="N402" s="21" t="n">
        <f aca="false">COUNTIFS(Applications!$B$2:$B$3144,A402,Applications!$F$2:$F$3144,"Offered")</f>
        <v>2</v>
      </c>
      <c r="O402" s="21" t="str">
        <f aca="false">IF(COUNTIFS(Applications!$B$2:$B$3144,A402,Applications!$H$2:$H$3144,"Yes")&gt;0,"Yes","No")</f>
        <v>Yes</v>
      </c>
      <c r="P402" s="32" t="n">
        <f aca="false">SUMIFS(Applications!$G$2:$G$3144,Applications!$B$2:$B$3144,A402,Applications!$H$2:$H$3144,"Yes")</f>
        <v>11.1</v>
      </c>
      <c r="Q402" s="21" t="str">
        <f aca="false">IF(O402="Yes",INDEX(Companies!$B$2:$B$31,MATCH(INDEX(Applications!$C$2:$C$3144,MATCH(A402,Applications!$P$2:$P$3144,0)),Companies!$A$2:$A$31,0)),"-")</f>
        <v>LearnLoop</v>
      </c>
    </row>
    <row r="403" customFormat="false" ht="15" hidden="false" customHeight="false" outlineLevel="0" collapsed="false">
      <c r="A403" s="21" t="s">
        <v>843</v>
      </c>
      <c r="B403" s="21" t="s">
        <v>721</v>
      </c>
      <c r="C403" s="21" t="s">
        <v>810</v>
      </c>
      <c r="D403" s="21" t="s">
        <v>66</v>
      </c>
      <c r="E403" s="21" t="s">
        <v>92</v>
      </c>
      <c r="F403" s="21" t="n">
        <v>7.56</v>
      </c>
      <c r="G403" s="21" t="n">
        <v>241</v>
      </c>
      <c r="H403" s="21" t="n">
        <v>4</v>
      </c>
      <c r="I403" s="21" t="s">
        <v>120</v>
      </c>
      <c r="J403" s="21" t="n">
        <v>51</v>
      </c>
      <c r="K403" s="32" t="n">
        <f aca="false">ROUND(Assumptions!$B$4*MIN(G403/Assumptions!$B$11,1)*100+Assumptions!$B$5*F403/10*100+Assumptions!$B$6*MIN(H403/Assumptions!$B$12,1)*100+Assumptions!$B$7*J403+Assumptions!$B$8*IF(I403="Yes",100,0),1)</f>
        <v>65.8</v>
      </c>
      <c r="L403" s="21" t="str">
        <f aca="false">LOOKUP(K403,Assumptions!$D$4:$D$7,Assumptions!$E$4:$E$7)</f>
        <v>Job-Ready</v>
      </c>
      <c r="M403" s="21" t="n">
        <f aca="false">COUNTIFS(Applications!$B$2:$B$3144,A403)</f>
        <v>0</v>
      </c>
      <c r="N403" s="21" t="n">
        <f aca="false">COUNTIFS(Applications!$B$2:$B$3144,A403,Applications!$F$2:$F$3144,"Offered")</f>
        <v>0</v>
      </c>
      <c r="O403" s="21" t="str">
        <f aca="false">IF(COUNTIFS(Applications!$B$2:$B$3144,A403,Applications!$H$2:$H$3144,"Yes")&gt;0,"Yes","No")</f>
        <v>No</v>
      </c>
      <c r="P403" s="32" t="n">
        <f aca="false">SUMIFS(Applications!$G$2:$G$3144,Applications!$B$2:$B$3144,A403,Applications!$H$2:$H$3144,"Yes")</f>
        <v>0</v>
      </c>
      <c r="Q403" s="21" t="str">
        <f aca="false">IF(O403="Yes",INDEX(Companies!$B$2:$B$31,MATCH(INDEX(Applications!$C$2:$C$3144,MATCH(A403,Applications!$P$2:$P$3144,0)),Companies!$A$2:$A$31,0)),"-")</f>
        <v>-</v>
      </c>
    </row>
    <row r="404" customFormat="false" ht="15" hidden="false" customHeight="false" outlineLevel="0" collapsed="false">
      <c r="A404" s="21" t="s">
        <v>844</v>
      </c>
      <c r="B404" s="21" t="s">
        <v>845</v>
      </c>
      <c r="C404" s="21" t="s">
        <v>810</v>
      </c>
      <c r="D404" s="21" t="s">
        <v>67</v>
      </c>
      <c r="E404" s="21" t="s">
        <v>91</v>
      </c>
      <c r="F404" s="21" t="n">
        <v>8.58</v>
      </c>
      <c r="G404" s="21" t="n">
        <v>270</v>
      </c>
      <c r="H404" s="21" t="n">
        <v>3</v>
      </c>
      <c r="I404" s="21" t="s">
        <v>120</v>
      </c>
      <c r="J404" s="21" t="n">
        <v>64</v>
      </c>
      <c r="K404" s="32" t="n">
        <f aca="false">ROUND(Assumptions!$B$4*MIN(G404/Assumptions!$B$11,1)*100+Assumptions!$B$5*F404/10*100+Assumptions!$B$6*MIN(H404/Assumptions!$B$12,1)*100+Assumptions!$B$7*J404+Assumptions!$B$8*IF(I404="Yes",100,0),1)</f>
        <v>68.2</v>
      </c>
      <c r="L404" s="21" t="str">
        <f aca="false">LOOKUP(K404,Assumptions!$D$4:$D$7,Assumptions!$E$4:$E$7)</f>
        <v>Job-Ready</v>
      </c>
      <c r="M404" s="21" t="n">
        <f aca="false">COUNTIFS(Applications!$B$2:$B$3144,A404)</f>
        <v>2</v>
      </c>
      <c r="N404" s="21" t="n">
        <f aca="false">COUNTIFS(Applications!$B$2:$B$3144,A404,Applications!$F$2:$F$3144,"Offered")</f>
        <v>1</v>
      </c>
      <c r="O404" s="21" t="str">
        <f aca="false">IF(COUNTIFS(Applications!$B$2:$B$3144,A404,Applications!$H$2:$H$3144,"Yes")&gt;0,"Yes","No")</f>
        <v>Yes</v>
      </c>
      <c r="P404" s="32" t="n">
        <f aca="false">SUMIFS(Applications!$G$2:$G$3144,Applications!$B$2:$B$3144,A404,Applications!$H$2:$H$3144,"Yes")</f>
        <v>4.3</v>
      </c>
      <c r="Q404" s="21" t="str">
        <f aca="false">IF(O404="Yes",INDEX(Companies!$B$2:$B$31,MATCH(INDEX(Applications!$C$2:$C$3144,MATCH(A404,Applications!$P$2:$P$3144,0)),Companies!$A$2:$A$31,0)),"-")</f>
        <v>CodeCrest Solutions</v>
      </c>
    </row>
    <row r="405" customFormat="false" ht="15" hidden="false" customHeight="false" outlineLevel="0" collapsed="false">
      <c r="A405" s="21" t="s">
        <v>846</v>
      </c>
      <c r="B405" s="21" t="s">
        <v>784</v>
      </c>
      <c r="C405" s="21" t="s">
        <v>810</v>
      </c>
      <c r="D405" s="21" t="s">
        <v>67</v>
      </c>
      <c r="E405" s="21" t="s">
        <v>90</v>
      </c>
      <c r="F405" s="21" t="n">
        <v>8.58</v>
      </c>
      <c r="G405" s="21" t="n">
        <v>302</v>
      </c>
      <c r="H405" s="21" t="n">
        <v>3</v>
      </c>
      <c r="I405" s="21" t="s">
        <v>113</v>
      </c>
      <c r="J405" s="21" t="n">
        <v>56</v>
      </c>
      <c r="K405" s="32" t="n">
        <f aca="false">ROUND(Assumptions!$B$4*MIN(G405/Assumptions!$B$11,1)*100+Assumptions!$B$5*F405/10*100+Assumptions!$B$6*MIN(H405/Assumptions!$B$12,1)*100+Assumptions!$B$7*J405+Assumptions!$B$8*IF(I405="Yes",100,0),1)</f>
        <v>58.5</v>
      </c>
      <c r="L405" s="21" t="str">
        <f aca="false">LOOKUP(K405,Assumptions!$D$4:$D$7,Assumptions!$E$4:$E$7)</f>
        <v>Developing</v>
      </c>
      <c r="M405" s="21" t="n">
        <f aca="false">COUNTIFS(Applications!$B$2:$B$3144,A405)</f>
        <v>0</v>
      </c>
      <c r="N405" s="21" t="n">
        <f aca="false">COUNTIFS(Applications!$B$2:$B$3144,A405,Applications!$F$2:$F$3144,"Offered")</f>
        <v>0</v>
      </c>
      <c r="O405" s="21" t="str">
        <f aca="false">IF(COUNTIFS(Applications!$B$2:$B$3144,A405,Applications!$H$2:$H$3144,"Yes")&gt;0,"Yes","No")</f>
        <v>No</v>
      </c>
      <c r="P405" s="32" t="n">
        <f aca="false">SUMIFS(Applications!$G$2:$G$3144,Applications!$B$2:$B$3144,A405,Applications!$H$2:$H$3144,"Yes")</f>
        <v>0</v>
      </c>
      <c r="Q405" s="21" t="str">
        <f aca="false">IF(O405="Yes",INDEX(Companies!$B$2:$B$31,MATCH(INDEX(Applications!$C$2:$C$3144,MATCH(A405,Applications!$P$2:$P$3144,0)),Companies!$A$2:$A$31,0)),"-")</f>
        <v>-</v>
      </c>
    </row>
    <row r="406" customFormat="false" ht="15" hidden="false" customHeight="false" outlineLevel="0" collapsed="false">
      <c r="A406" s="21" t="s">
        <v>847</v>
      </c>
      <c r="B406" s="21" t="s">
        <v>848</v>
      </c>
      <c r="C406" s="21" t="s">
        <v>810</v>
      </c>
      <c r="D406" s="21" t="s">
        <v>65</v>
      </c>
      <c r="E406" s="21" t="s">
        <v>91</v>
      </c>
      <c r="F406" s="21" t="n">
        <v>8.13</v>
      </c>
      <c r="G406" s="21" t="n">
        <v>95</v>
      </c>
      <c r="H406" s="21" t="n">
        <v>3</v>
      </c>
      <c r="I406" s="21" t="s">
        <v>113</v>
      </c>
      <c r="J406" s="21" t="n">
        <v>81</v>
      </c>
      <c r="K406" s="32" t="n">
        <f aca="false">ROUND(Assumptions!$B$4*MIN(G406/Assumptions!$B$11,1)*100+Assumptions!$B$5*F406/10*100+Assumptions!$B$6*MIN(H406/Assumptions!$B$12,1)*100+Assumptions!$B$7*J406+Assumptions!$B$8*IF(I406="Yes",100,0),1)</f>
        <v>50.2</v>
      </c>
      <c r="L406" s="21" t="str">
        <f aca="false">LOOKUP(K406,Assumptions!$D$4:$D$7,Assumptions!$E$4:$E$7)</f>
        <v>Developing</v>
      </c>
      <c r="M406" s="21" t="n">
        <f aca="false">COUNTIFS(Applications!$B$2:$B$3144,A406)</f>
        <v>8</v>
      </c>
      <c r="N406" s="21" t="n">
        <f aca="false">COUNTIFS(Applications!$B$2:$B$3144,A406,Applications!$F$2:$F$3144,"Offered")</f>
        <v>0</v>
      </c>
      <c r="O406" s="21" t="str">
        <f aca="false">IF(COUNTIFS(Applications!$B$2:$B$3144,A406,Applications!$H$2:$H$3144,"Yes")&gt;0,"Yes","No")</f>
        <v>No</v>
      </c>
      <c r="P406" s="32" t="n">
        <f aca="false">SUMIFS(Applications!$G$2:$G$3144,Applications!$B$2:$B$3144,A406,Applications!$H$2:$H$3144,"Yes")</f>
        <v>0</v>
      </c>
      <c r="Q406" s="21" t="str">
        <f aca="false">IF(O406="Yes",INDEX(Companies!$B$2:$B$31,MATCH(INDEX(Applications!$C$2:$C$3144,MATCH(A406,Applications!$P$2:$P$3144,0)),Companies!$A$2:$A$31,0)),"-")</f>
        <v>-</v>
      </c>
    </row>
    <row r="407" customFormat="false" ht="15" hidden="false" customHeight="false" outlineLevel="0" collapsed="false">
      <c r="A407" s="21" t="s">
        <v>849</v>
      </c>
      <c r="B407" s="21" t="s">
        <v>500</v>
      </c>
      <c r="C407" s="21" t="s">
        <v>810</v>
      </c>
      <c r="D407" s="21" t="s">
        <v>66</v>
      </c>
      <c r="E407" s="21" t="s">
        <v>90</v>
      </c>
      <c r="F407" s="21" t="n">
        <v>8.52</v>
      </c>
      <c r="G407" s="21" t="n">
        <v>149</v>
      </c>
      <c r="H407" s="21" t="n">
        <v>3</v>
      </c>
      <c r="I407" s="21" t="s">
        <v>120</v>
      </c>
      <c r="J407" s="21" t="n">
        <v>70</v>
      </c>
      <c r="K407" s="32" t="n">
        <f aca="false">ROUND(Assumptions!$B$4*MIN(G407/Assumptions!$B$11,1)*100+Assumptions!$B$5*F407/10*100+Assumptions!$B$6*MIN(H407/Assumptions!$B$12,1)*100+Assumptions!$B$7*J407+Assumptions!$B$8*IF(I407="Yes",100,0),1)</f>
        <v>62</v>
      </c>
      <c r="L407" s="21" t="str">
        <f aca="false">LOOKUP(K407,Assumptions!$D$4:$D$7,Assumptions!$E$4:$E$7)</f>
        <v>Developing</v>
      </c>
      <c r="M407" s="21" t="n">
        <f aca="false">COUNTIFS(Applications!$B$2:$B$3144,A407)</f>
        <v>7</v>
      </c>
      <c r="N407" s="21" t="n">
        <f aca="false">COUNTIFS(Applications!$B$2:$B$3144,A407,Applications!$F$2:$F$3144,"Offered")</f>
        <v>1</v>
      </c>
      <c r="O407" s="21" t="str">
        <f aca="false">IF(COUNTIFS(Applications!$B$2:$B$3144,A407,Applications!$H$2:$H$3144,"Yes")&gt;0,"Yes","No")</f>
        <v>Yes</v>
      </c>
      <c r="P407" s="32" t="n">
        <f aca="false">SUMIFS(Applications!$G$2:$G$3144,Applications!$B$2:$B$3144,A407,Applications!$H$2:$H$3144,"Yes")</f>
        <v>9.8</v>
      </c>
      <c r="Q407" s="21" t="str">
        <f aca="false">IF(O407="Yes",INDEX(Companies!$B$2:$B$31,MATCH(INDEX(Applications!$C$2:$C$3144,MATCH(A407,Applications!$P$2:$P$3144,0)),Companies!$A$2:$A$31,0)),"-")</f>
        <v>CartNest</v>
      </c>
    </row>
    <row r="408" customFormat="false" ht="15" hidden="false" customHeight="false" outlineLevel="0" collapsed="false">
      <c r="A408" s="21" t="s">
        <v>850</v>
      </c>
      <c r="B408" s="21" t="s">
        <v>851</v>
      </c>
      <c r="C408" s="21" t="s">
        <v>810</v>
      </c>
      <c r="D408" s="21" t="s">
        <v>67</v>
      </c>
      <c r="E408" s="21" t="s">
        <v>91</v>
      </c>
      <c r="F408" s="21" t="n">
        <v>7.73</v>
      </c>
      <c r="G408" s="21" t="n">
        <v>196</v>
      </c>
      <c r="H408" s="21" t="n">
        <v>4</v>
      </c>
      <c r="I408" s="21" t="s">
        <v>113</v>
      </c>
      <c r="J408" s="21" t="n">
        <v>42</v>
      </c>
      <c r="K408" s="32" t="n">
        <f aca="false">ROUND(Assumptions!$B$4*MIN(G408/Assumptions!$B$11,1)*100+Assumptions!$B$5*F408/10*100+Assumptions!$B$6*MIN(H408/Assumptions!$B$12,1)*100+Assumptions!$B$7*J408+Assumptions!$B$8*IF(I408="Yes",100,0),1)</f>
        <v>51.6</v>
      </c>
      <c r="L408" s="21" t="str">
        <f aca="false">LOOKUP(K408,Assumptions!$D$4:$D$7,Assumptions!$E$4:$E$7)</f>
        <v>Developing</v>
      </c>
      <c r="M408" s="21" t="n">
        <f aca="false">COUNTIFS(Applications!$B$2:$B$3144,A408)</f>
        <v>4</v>
      </c>
      <c r="N408" s="21" t="n">
        <f aca="false">COUNTIFS(Applications!$B$2:$B$3144,A408,Applications!$F$2:$F$3144,"Offered")</f>
        <v>0</v>
      </c>
      <c r="O408" s="21" t="str">
        <f aca="false">IF(COUNTIFS(Applications!$B$2:$B$3144,A408,Applications!$H$2:$H$3144,"Yes")&gt;0,"Yes","No")</f>
        <v>No</v>
      </c>
      <c r="P408" s="32" t="n">
        <f aca="false">SUMIFS(Applications!$G$2:$G$3144,Applications!$B$2:$B$3144,A408,Applications!$H$2:$H$3144,"Yes")</f>
        <v>0</v>
      </c>
      <c r="Q408" s="21" t="str">
        <f aca="false">IF(O408="Yes",INDEX(Companies!$B$2:$B$31,MATCH(INDEX(Applications!$C$2:$C$3144,MATCH(A408,Applications!$P$2:$P$3144,0)),Companies!$A$2:$A$31,0)),"-")</f>
        <v>-</v>
      </c>
    </row>
    <row r="409" customFormat="false" ht="15" hidden="false" customHeight="false" outlineLevel="0" collapsed="false">
      <c r="A409" s="21" t="s">
        <v>852</v>
      </c>
      <c r="B409" s="21" t="s">
        <v>210</v>
      </c>
      <c r="C409" s="21" t="s">
        <v>810</v>
      </c>
      <c r="D409" s="21" t="s">
        <v>66</v>
      </c>
      <c r="E409" s="21" t="s">
        <v>91</v>
      </c>
      <c r="F409" s="21" t="n">
        <v>6.94</v>
      </c>
      <c r="G409" s="21" t="n">
        <v>257</v>
      </c>
      <c r="H409" s="21" t="n">
        <v>3</v>
      </c>
      <c r="I409" s="21" t="s">
        <v>113</v>
      </c>
      <c r="J409" s="21" t="n">
        <v>88</v>
      </c>
      <c r="K409" s="32" t="n">
        <f aca="false">ROUND(Assumptions!$B$4*MIN(G409/Assumptions!$B$11,1)*100+Assumptions!$B$5*F409/10*100+Assumptions!$B$6*MIN(H409/Assumptions!$B$12,1)*100+Assumptions!$B$7*J409+Assumptions!$B$8*IF(I409="Yes",100,0),1)</f>
        <v>58.9</v>
      </c>
      <c r="L409" s="21" t="str">
        <f aca="false">LOOKUP(K409,Assumptions!$D$4:$D$7,Assumptions!$E$4:$E$7)</f>
        <v>Developing</v>
      </c>
      <c r="M409" s="21" t="n">
        <f aca="false">COUNTIFS(Applications!$B$2:$B$3144,A409)</f>
        <v>5</v>
      </c>
      <c r="N409" s="21" t="n">
        <f aca="false">COUNTIFS(Applications!$B$2:$B$3144,A409,Applications!$F$2:$F$3144,"Offered")</f>
        <v>1</v>
      </c>
      <c r="O409" s="21" t="str">
        <f aca="false">IF(COUNTIFS(Applications!$B$2:$B$3144,A409,Applications!$H$2:$H$3144,"Yes")&gt;0,"Yes","No")</f>
        <v>Yes</v>
      </c>
      <c r="P409" s="32" t="n">
        <f aca="false">SUMIFS(Applications!$G$2:$G$3144,Applications!$B$2:$B$3144,A409,Applications!$H$2:$H$3144,"Yes")</f>
        <v>17.3</v>
      </c>
      <c r="Q409" s="21" t="str">
        <f aca="false">IF(O409="Yes",INDEX(Companies!$B$2:$B$31,MATCH(INDEX(Applications!$C$2:$C$3144,MATCH(A409,Applications!$P$2:$P$3144,0)),Companies!$A$2:$A$31,0)),"-")</f>
        <v>Orbitly</v>
      </c>
    </row>
    <row r="410" customFormat="false" ht="15" hidden="false" customHeight="false" outlineLevel="0" collapsed="false">
      <c r="A410" s="21" t="s">
        <v>853</v>
      </c>
      <c r="B410" s="21" t="s">
        <v>854</v>
      </c>
      <c r="C410" s="21" t="s">
        <v>810</v>
      </c>
      <c r="D410" s="21" t="s">
        <v>66</v>
      </c>
      <c r="E410" s="21" t="s">
        <v>90</v>
      </c>
      <c r="F410" s="21" t="n">
        <v>7.75</v>
      </c>
      <c r="G410" s="21" t="n">
        <v>181</v>
      </c>
      <c r="H410" s="21" t="n">
        <v>5</v>
      </c>
      <c r="I410" s="21" t="s">
        <v>113</v>
      </c>
      <c r="J410" s="21" t="n">
        <v>72</v>
      </c>
      <c r="K410" s="32" t="n">
        <f aca="false">ROUND(Assumptions!$B$4*MIN(G410/Assumptions!$B$11,1)*100+Assumptions!$B$5*F410/10*100+Assumptions!$B$6*MIN(H410/Assumptions!$B$12,1)*100+Assumptions!$B$7*J410+Assumptions!$B$8*IF(I410="Yes",100,0),1)</f>
        <v>60.8</v>
      </c>
      <c r="L410" s="21" t="str">
        <f aca="false">LOOKUP(K410,Assumptions!$D$4:$D$7,Assumptions!$E$4:$E$7)</f>
        <v>Developing</v>
      </c>
      <c r="M410" s="21" t="n">
        <f aca="false">COUNTIFS(Applications!$B$2:$B$3144,A410)</f>
        <v>3</v>
      </c>
      <c r="N410" s="21" t="n">
        <f aca="false">COUNTIFS(Applications!$B$2:$B$3144,A410,Applications!$F$2:$F$3144,"Offered")</f>
        <v>0</v>
      </c>
      <c r="O410" s="21" t="str">
        <f aca="false">IF(COUNTIFS(Applications!$B$2:$B$3144,A410,Applications!$H$2:$H$3144,"Yes")&gt;0,"Yes","No")</f>
        <v>No</v>
      </c>
      <c r="P410" s="32" t="n">
        <f aca="false">SUMIFS(Applications!$G$2:$G$3144,Applications!$B$2:$B$3144,A410,Applications!$H$2:$H$3144,"Yes")</f>
        <v>0</v>
      </c>
      <c r="Q410" s="21" t="str">
        <f aca="false">IF(O410="Yes",INDEX(Companies!$B$2:$B$31,MATCH(INDEX(Applications!$C$2:$C$3144,MATCH(A410,Applications!$P$2:$P$3144,0)),Companies!$A$2:$A$31,0)),"-")</f>
        <v>-</v>
      </c>
    </row>
    <row r="411" customFormat="false" ht="15" hidden="false" customHeight="false" outlineLevel="0" collapsed="false">
      <c r="A411" s="21" t="s">
        <v>855</v>
      </c>
      <c r="B411" s="21" t="s">
        <v>232</v>
      </c>
      <c r="C411" s="21" t="s">
        <v>810</v>
      </c>
      <c r="D411" s="21" t="s">
        <v>65</v>
      </c>
      <c r="E411" s="21" t="s">
        <v>91</v>
      </c>
      <c r="F411" s="21" t="n">
        <v>7.23</v>
      </c>
      <c r="G411" s="21" t="n">
        <v>111</v>
      </c>
      <c r="H411" s="21" t="n">
        <v>1</v>
      </c>
      <c r="I411" s="21" t="s">
        <v>120</v>
      </c>
      <c r="J411" s="21" t="n">
        <v>67</v>
      </c>
      <c r="K411" s="32" t="n">
        <f aca="false">ROUND(Assumptions!$B$4*MIN(G411/Assumptions!$B$11,1)*100+Assumptions!$B$5*F411/10*100+Assumptions!$B$6*MIN(H411/Assumptions!$B$12,1)*100+Assumptions!$B$7*J411+Assumptions!$B$8*IF(I411="Yes",100,0),1)</f>
        <v>48.5</v>
      </c>
      <c r="L411" s="21" t="str">
        <f aca="false">LOOKUP(K411,Assumptions!$D$4:$D$7,Assumptions!$E$4:$E$7)</f>
        <v>Foundation</v>
      </c>
      <c r="M411" s="21" t="n">
        <f aca="false">COUNTIFS(Applications!$B$2:$B$3144,A411)</f>
        <v>2</v>
      </c>
      <c r="N411" s="21" t="n">
        <f aca="false">COUNTIFS(Applications!$B$2:$B$3144,A411,Applications!$F$2:$F$3144,"Offered")</f>
        <v>0</v>
      </c>
      <c r="O411" s="21" t="str">
        <f aca="false">IF(COUNTIFS(Applications!$B$2:$B$3144,A411,Applications!$H$2:$H$3144,"Yes")&gt;0,"Yes","No")</f>
        <v>No</v>
      </c>
      <c r="P411" s="32" t="n">
        <f aca="false">SUMIFS(Applications!$G$2:$G$3144,Applications!$B$2:$B$3144,A411,Applications!$H$2:$H$3144,"Yes")</f>
        <v>0</v>
      </c>
      <c r="Q411" s="21" t="str">
        <f aca="false">IF(O411="Yes",INDEX(Companies!$B$2:$B$31,MATCH(INDEX(Applications!$C$2:$C$3144,MATCH(A411,Applications!$P$2:$P$3144,0)),Companies!$A$2:$A$31,0)),"-")</f>
        <v>-</v>
      </c>
    </row>
    <row r="412" customFormat="false" ht="15" hidden="false" customHeight="false" outlineLevel="0" collapsed="false">
      <c r="A412" s="21" t="s">
        <v>856</v>
      </c>
      <c r="B412" s="21" t="s">
        <v>857</v>
      </c>
      <c r="C412" s="21" t="s">
        <v>810</v>
      </c>
      <c r="D412" s="21" t="s">
        <v>63</v>
      </c>
      <c r="E412" s="21" t="s">
        <v>90</v>
      </c>
      <c r="F412" s="21" t="n">
        <v>6.36</v>
      </c>
      <c r="G412" s="21" t="n">
        <v>94</v>
      </c>
      <c r="H412" s="21" t="n">
        <v>1</v>
      </c>
      <c r="I412" s="21" t="s">
        <v>120</v>
      </c>
      <c r="J412" s="21" t="n">
        <v>48</v>
      </c>
      <c r="K412" s="32" t="n">
        <f aca="false">ROUND(Assumptions!$B$4*MIN(G412/Assumptions!$B$11,1)*100+Assumptions!$B$5*F412/10*100+Assumptions!$B$6*MIN(H412/Assumptions!$B$12,1)*100+Assumptions!$B$7*J412+Assumptions!$B$8*IF(I412="Yes",100,0),1)</f>
        <v>42</v>
      </c>
      <c r="L412" s="21" t="str">
        <f aca="false">LOOKUP(K412,Assumptions!$D$4:$D$7,Assumptions!$E$4:$E$7)</f>
        <v>Foundation</v>
      </c>
      <c r="M412" s="21" t="n">
        <f aca="false">COUNTIFS(Applications!$B$2:$B$3144,A412)</f>
        <v>5</v>
      </c>
      <c r="N412" s="21" t="n">
        <f aca="false">COUNTIFS(Applications!$B$2:$B$3144,A412,Applications!$F$2:$F$3144,"Offered")</f>
        <v>0</v>
      </c>
      <c r="O412" s="21" t="str">
        <f aca="false">IF(COUNTIFS(Applications!$B$2:$B$3144,A412,Applications!$H$2:$H$3144,"Yes")&gt;0,"Yes","No")</f>
        <v>No</v>
      </c>
      <c r="P412" s="32" t="n">
        <f aca="false">SUMIFS(Applications!$G$2:$G$3144,Applications!$B$2:$B$3144,A412,Applications!$H$2:$H$3144,"Yes")</f>
        <v>0</v>
      </c>
      <c r="Q412" s="21" t="str">
        <f aca="false">IF(O412="Yes",INDEX(Companies!$B$2:$B$31,MATCH(INDEX(Applications!$C$2:$C$3144,MATCH(A412,Applications!$P$2:$P$3144,0)),Companies!$A$2:$A$31,0)),"-")</f>
        <v>-</v>
      </c>
    </row>
    <row r="413" customFormat="false" ht="15" hidden="false" customHeight="false" outlineLevel="0" collapsed="false">
      <c r="A413" s="21" t="s">
        <v>858</v>
      </c>
      <c r="B413" s="21" t="s">
        <v>859</v>
      </c>
      <c r="C413" s="21" t="s">
        <v>810</v>
      </c>
      <c r="D413" s="21" t="s">
        <v>64</v>
      </c>
      <c r="E413" s="21" t="s">
        <v>91</v>
      </c>
      <c r="F413" s="21" t="n">
        <v>6.8</v>
      </c>
      <c r="G413" s="21" t="n">
        <v>803</v>
      </c>
      <c r="H413" s="21" t="n">
        <v>6</v>
      </c>
      <c r="I413" s="21" t="s">
        <v>113</v>
      </c>
      <c r="J413" s="21" t="n">
        <v>73</v>
      </c>
      <c r="K413" s="32" t="n">
        <f aca="false">ROUND(Assumptions!$B$4*MIN(G413/Assumptions!$B$11,1)*100+Assumptions!$B$5*F413/10*100+Assumptions!$B$6*MIN(H413/Assumptions!$B$12,1)*100+Assumptions!$B$7*J413+Assumptions!$B$8*IF(I413="Yes",100,0),1)</f>
        <v>78.2</v>
      </c>
      <c r="L413" s="21" t="str">
        <f aca="false">LOOKUP(K413,Assumptions!$D$4:$D$7,Assumptions!$E$4:$E$7)</f>
        <v>Job-Ready</v>
      </c>
      <c r="M413" s="21" t="n">
        <f aca="false">COUNTIFS(Applications!$B$2:$B$3144,A413)</f>
        <v>5</v>
      </c>
      <c r="N413" s="21" t="n">
        <f aca="false">COUNTIFS(Applications!$B$2:$B$3144,A413,Applications!$F$2:$F$3144,"Offered")</f>
        <v>3</v>
      </c>
      <c r="O413" s="21" t="str">
        <f aca="false">IF(COUNTIFS(Applications!$B$2:$B$3144,A413,Applications!$H$2:$H$3144,"Yes")&gt;0,"Yes","No")</f>
        <v>Yes</v>
      </c>
      <c r="P413" s="32" t="n">
        <f aca="false">SUMIFS(Applications!$G$2:$G$3144,Applications!$B$2:$B$3144,A413,Applications!$H$2:$H$3144,"Yes")</f>
        <v>22.7</v>
      </c>
      <c r="Q413" s="21" t="str">
        <f aca="false">IF(O413="Yes",INDEX(Companies!$B$2:$B$31,MATCH(INDEX(Applications!$C$2:$C$3144,MATCH(A413,Applications!$P$2:$P$3144,0)),Companies!$A$2:$A$31,0)),"-")</f>
        <v>Zenith Pay</v>
      </c>
    </row>
    <row r="414" customFormat="false" ht="15" hidden="false" customHeight="false" outlineLevel="0" collapsed="false">
      <c r="A414" s="21" t="s">
        <v>860</v>
      </c>
      <c r="B414" s="21" t="s">
        <v>302</v>
      </c>
      <c r="C414" s="21" t="s">
        <v>810</v>
      </c>
      <c r="D414" s="21" t="s">
        <v>67</v>
      </c>
      <c r="E414" s="21" t="s">
        <v>91</v>
      </c>
      <c r="F414" s="21" t="n">
        <v>6.18</v>
      </c>
      <c r="G414" s="21" t="n">
        <v>364</v>
      </c>
      <c r="H414" s="21" t="n">
        <v>4</v>
      </c>
      <c r="I414" s="21" t="s">
        <v>113</v>
      </c>
      <c r="J414" s="21" t="n">
        <v>32</v>
      </c>
      <c r="K414" s="32" t="n">
        <f aca="false">ROUND(Assumptions!$B$4*MIN(G414/Assumptions!$B$11,1)*100+Assumptions!$B$5*F414/10*100+Assumptions!$B$6*MIN(H414/Assumptions!$B$12,1)*100+Assumptions!$B$7*J414+Assumptions!$B$8*IF(I414="Yes",100,0),1)</f>
        <v>56.6</v>
      </c>
      <c r="L414" s="21" t="str">
        <f aca="false">LOOKUP(K414,Assumptions!$D$4:$D$7,Assumptions!$E$4:$E$7)</f>
        <v>Developing</v>
      </c>
      <c r="M414" s="21" t="n">
        <f aca="false">COUNTIFS(Applications!$B$2:$B$3144,A414)</f>
        <v>4</v>
      </c>
      <c r="N414" s="21" t="n">
        <f aca="false">COUNTIFS(Applications!$B$2:$B$3144,A414,Applications!$F$2:$F$3144,"Offered")</f>
        <v>1</v>
      </c>
      <c r="O414" s="21" t="str">
        <f aca="false">IF(COUNTIFS(Applications!$B$2:$B$3144,A414,Applications!$H$2:$H$3144,"Yes")&gt;0,"Yes","No")</f>
        <v>Yes</v>
      </c>
      <c r="P414" s="32" t="n">
        <f aca="false">SUMIFS(Applications!$G$2:$G$3144,Applications!$B$2:$B$3144,A414,Applications!$H$2:$H$3144,"Yes")</f>
        <v>6.5</v>
      </c>
      <c r="Q414" s="21" t="str">
        <f aca="false">IF(O414="Yes",INDEX(Companies!$B$2:$B$31,MATCH(INDEX(Applications!$C$2:$C$3144,MATCH(A414,Applications!$P$2:$P$3144,0)),Companies!$A$2:$A$31,0)),"-")</f>
        <v>DataHarbor</v>
      </c>
    </row>
    <row r="415" customFormat="false" ht="15" hidden="false" customHeight="false" outlineLevel="0" collapsed="false">
      <c r="A415" s="21" t="s">
        <v>861</v>
      </c>
      <c r="B415" s="21" t="s">
        <v>862</v>
      </c>
      <c r="C415" s="21" t="s">
        <v>810</v>
      </c>
      <c r="D415" s="21" t="s">
        <v>64</v>
      </c>
      <c r="E415" s="21" t="s">
        <v>91</v>
      </c>
      <c r="F415" s="21" t="n">
        <v>6.56</v>
      </c>
      <c r="G415" s="21" t="n">
        <v>475</v>
      </c>
      <c r="H415" s="21" t="n">
        <v>1</v>
      </c>
      <c r="I415" s="21" t="s">
        <v>120</v>
      </c>
      <c r="J415" s="21" t="n">
        <v>51</v>
      </c>
      <c r="K415" s="32" t="n">
        <f aca="false">ROUND(Assumptions!$B$4*MIN(G415/Assumptions!$B$11,1)*100+Assumptions!$B$5*F415/10*100+Assumptions!$B$6*MIN(H415/Assumptions!$B$12,1)*100+Assumptions!$B$7*J415+Assumptions!$B$8*IF(I415="Yes",100,0),1)</f>
        <v>65.8</v>
      </c>
      <c r="L415" s="21" t="str">
        <f aca="false">LOOKUP(K415,Assumptions!$D$4:$D$7,Assumptions!$E$4:$E$7)</f>
        <v>Job-Ready</v>
      </c>
      <c r="M415" s="21" t="n">
        <f aca="false">COUNTIFS(Applications!$B$2:$B$3144,A415)</f>
        <v>8</v>
      </c>
      <c r="N415" s="21" t="n">
        <f aca="false">COUNTIFS(Applications!$B$2:$B$3144,A415,Applications!$F$2:$F$3144,"Offered")</f>
        <v>0</v>
      </c>
      <c r="O415" s="21" t="str">
        <f aca="false">IF(COUNTIFS(Applications!$B$2:$B$3144,A415,Applications!$H$2:$H$3144,"Yes")&gt;0,"Yes","No")</f>
        <v>No</v>
      </c>
      <c r="P415" s="32" t="n">
        <f aca="false">SUMIFS(Applications!$G$2:$G$3144,Applications!$B$2:$B$3144,A415,Applications!$H$2:$H$3144,"Yes")</f>
        <v>0</v>
      </c>
      <c r="Q415" s="21" t="str">
        <f aca="false">IF(O415="Yes",INDEX(Companies!$B$2:$B$31,MATCH(INDEX(Applications!$C$2:$C$3144,MATCH(A415,Applications!$P$2:$P$3144,0)),Companies!$A$2:$A$31,0)),"-")</f>
        <v>-</v>
      </c>
    </row>
    <row r="416" customFormat="false" ht="15" hidden="false" customHeight="false" outlineLevel="0" collapsed="false">
      <c r="A416" s="21" t="s">
        <v>863</v>
      </c>
      <c r="B416" s="21" t="s">
        <v>254</v>
      </c>
      <c r="C416" s="21" t="s">
        <v>810</v>
      </c>
      <c r="D416" s="21" t="s">
        <v>67</v>
      </c>
      <c r="E416" s="21" t="s">
        <v>91</v>
      </c>
      <c r="F416" s="21" t="n">
        <v>7.15</v>
      </c>
      <c r="G416" s="21" t="n">
        <v>266</v>
      </c>
      <c r="H416" s="21" t="n">
        <v>1</v>
      </c>
      <c r="I416" s="21" t="s">
        <v>113</v>
      </c>
      <c r="J416" s="21" t="n">
        <v>58</v>
      </c>
      <c r="K416" s="32" t="n">
        <f aca="false">ROUND(Assumptions!$B$4*MIN(G416/Assumptions!$B$11,1)*100+Assumptions!$B$5*F416/10*100+Assumptions!$B$6*MIN(H416/Assumptions!$B$12,1)*100+Assumptions!$B$7*J416+Assumptions!$B$8*IF(I416="Yes",100,0),1)</f>
        <v>45.9</v>
      </c>
      <c r="L416" s="21" t="str">
        <f aca="false">LOOKUP(K416,Assumptions!$D$4:$D$7,Assumptions!$E$4:$E$7)</f>
        <v>Foundation</v>
      </c>
      <c r="M416" s="21" t="n">
        <f aca="false">COUNTIFS(Applications!$B$2:$B$3144,A416)</f>
        <v>9</v>
      </c>
      <c r="N416" s="21" t="n">
        <f aca="false">COUNTIFS(Applications!$B$2:$B$3144,A416,Applications!$F$2:$F$3144,"Offered")</f>
        <v>0</v>
      </c>
      <c r="O416" s="21" t="str">
        <f aca="false">IF(COUNTIFS(Applications!$B$2:$B$3144,A416,Applications!$H$2:$H$3144,"Yes")&gt;0,"Yes","No")</f>
        <v>No</v>
      </c>
      <c r="P416" s="32" t="n">
        <f aca="false">SUMIFS(Applications!$G$2:$G$3144,Applications!$B$2:$B$3144,A416,Applications!$H$2:$H$3144,"Yes")</f>
        <v>0</v>
      </c>
      <c r="Q416" s="21" t="str">
        <f aca="false">IF(O416="Yes",INDEX(Companies!$B$2:$B$31,MATCH(INDEX(Applications!$C$2:$C$3144,MATCH(A416,Applications!$P$2:$P$3144,0)),Companies!$A$2:$A$31,0)),"-")</f>
        <v>-</v>
      </c>
    </row>
    <row r="417" customFormat="false" ht="15" hidden="false" customHeight="false" outlineLevel="0" collapsed="false">
      <c r="A417" s="21" t="s">
        <v>864</v>
      </c>
      <c r="B417" s="21" t="s">
        <v>865</v>
      </c>
      <c r="C417" s="21" t="s">
        <v>810</v>
      </c>
      <c r="D417" s="21" t="s">
        <v>65</v>
      </c>
      <c r="E417" s="21" t="s">
        <v>91</v>
      </c>
      <c r="F417" s="21" t="n">
        <v>8.3</v>
      </c>
      <c r="G417" s="21" t="n">
        <v>113</v>
      </c>
      <c r="H417" s="21" t="n">
        <v>6</v>
      </c>
      <c r="I417" s="21" t="s">
        <v>120</v>
      </c>
      <c r="J417" s="21" t="n">
        <v>73</v>
      </c>
      <c r="K417" s="32" t="n">
        <f aca="false">ROUND(Assumptions!$B$4*MIN(G417/Assumptions!$B$11,1)*100+Assumptions!$B$5*F417/10*100+Assumptions!$B$6*MIN(H417/Assumptions!$B$12,1)*100+Assumptions!$B$7*J417+Assumptions!$B$8*IF(I417="Yes",100,0),1)</f>
        <v>68</v>
      </c>
      <c r="L417" s="21" t="str">
        <f aca="false">LOOKUP(K417,Assumptions!$D$4:$D$7,Assumptions!$E$4:$E$7)</f>
        <v>Job-Ready</v>
      </c>
      <c r="M417" s="21" t="n">
        <f aca="false">COUNTIFS(Applications!$B$2:$B$3144,A417)</f>
        <v>4</v>
      </c>
      <c r="N417" s="21" t="n">
        <f aca="false">COUNTIFS(Applications!$B$2:$B$3144,A417,Applications!$F$2:$F$3144,"Offered")</f>
        <v>2</v>
      </c>
      <c r="O417" s="21" t="str">
        <f aca="false">IF(COUNTIFS(Applications!$B$2:$B$3144,A417,Applications!$H$2:$H$3144,"Yes")&gt;0,"Yes","No")</f>
        <v>Yes</v>
      </c>
      <c r="P417" s="32" t="n">
        <f aca="false">SUMIFS(Applications!$G$2:$G$3144,Applications!$B$2:$B$3144,A417,Applications!$H$2:$H$3144,"Yes")</f>
        <v>8.9</v>
      </c>
      <c r="Q417" s="21" t="str">
        <f aca="false">IF(O417="Yes",INDEX(Companies!$B$2:$B$31,MATCH(INDEX(Applications!$C$2:$C$3144,MATCH(A417,Applications!$P$2:$P$3144,0)),Companies!$A$2:$A$31,0)),"-")</f>
        <v>DataBridge Analytics</v>
      </c>
    </row>
    <row r="418" customFormat="false" ht="15" hidden="false" customHeight="false" outlineLevel="0" collapsed="false">
      <c r="A418" s="21" t="s">
        <v>866</v>
      </c>
      <c r="B418" s="21" t="s">
        <v>867</v>
      </c>
      <c r="C418" s="21" t="s">
        <v>810</v>
      </c>
      <c r="D418" s="21" t="s">
        <v>67</v>
      </c>
      <c r="E418" s="21" t="s">
        <v>90</v>
      </c>
      <c r="F418" s="21" t="n">
        <v>7.59</v>
      </c>
      <c r="G418" s="21" t="n">
        <v>228</v>
      </c>
      <c r="H418" s="21" t="n">
        <v>1</v>
      </c>
      <c r="I418" s="21" t="s">
        <v>113</v>
      </c>
      <c r="J418" s="21" t="n">
        <v>41</v>
      </c>
      <c r="K418" s="32" t="n">
        <f aca="false">ROUND(Assumptions!$B$4*MIN(G418/Assumptions!$B$11,1)*100+Assumptions!$B$5*F418/10*100+Assumptions!$B$6*MIN(H418/Assumptions!$B$12,1)*100+Assumptions!$B$7*J418+Assumptions!$B$8*IF(I418="Yes",100,0),1)</f>
        <v>41.1</v>
      </c>
      <c r="L418" s="21" t="str">
        <f aca="false">LOOKUP(K418,Assumptions!$D$4:$D$7,Assumptions!$E$4:$E$7)</f>
        <v>Foundation</v>
      </c>
      <c r="M418" s="21" t="n">
        <f aca="false">COUNTIFS(Applications!$B$2:$B$3144,A418)</f>
        <v>8</v>
      </c>
      <c r="N418" s="21" t="n">
        <f aca="false">COUNTIFS(Applications!$B$2:$B$3144,A418,Applications!$F$2:$F$3144,"Offered")</f>
        <v>1</v>
      </c>
      <c r="O418" s="21" t="str">
        <f aca="false">IF(COUNTIFS(Applications!$B$2:$B$3144,A418,Applications!$H$2:$H$3144,"Yes")&gt;0,"Yes","No")</f>
        <v>Yes</v>
      </c>
      <c r="P418" s="32" t="n">
        <f aca="false">SUMIFS(Applications!$G$2:$G$3144,Applications!$B$2:$B$3144,A418,Applications!$H$2:$H$3144,"Yes")</f>
        <v>4.4</v>
      </c>
      <c r="Q418" s="21" t="str">
        <f aca="false">IF(O418="Yes",INDEX(Companies!$B$2:$B$31,MATCH(INDEX(Applications!$C$2:$C$3144,MATCH(A418,Applications!$P$2:$P$3144,0)),Companies!$A$2:$A$31,0)),"-")</f>
        <v>Metro Systems</v>
      </c>
    </row>
    <row r="419" customFormat="false" ht="15" hidden="false" customHeight="false" outlineLevel="0" collapsed="false">
      <c r="A419" s="21" t="s">
        <v>868</v>
      </c>
      <c r="B419" s="21" t="s">
        <v>869</v>
      </c>
      <c r="C419" s="21" t="s">
        <v>810</v>
      </c>
      <c r="D419" s="21" t="s">
        <v>63</v>
      </c>
      <c r="E419" s="21" t="s">
        <v>91</v>
      </c>
      <c r="F419" s="21" t="n">
        <v>6.29</v>
      </c>
      <c r="G419" s="21" t="n">
        <v>219</v>
      </c>
      <c r="H419" s="21" t="n">
        <v>1</v>
      </c>
      <c r="I419" s="21" t="s">
        <v>120</v>
      </c>
      <c r="J419" s="21" t="n">
        <v>48</v>
      </c>
      <c r="K419" s="32" t="n">
        <f aca="false">ROUND(Assumptions!$B$4*MIN(G419/Assumptions!$B$11,1)*100+Assumptions!$B$5*F419/10*100+Assumptions!$B$6*MIN(H419/Assumptions!$B$12,1)*100+Assumptions!$B$7*J419+Assumptions!$B$8*IF(I419="Yes",100,0),1)</f>
        <v>49.3</v>
      </c>
      <c r="L419" s="21" t="str">
        <f aca="false">LOOKUP(K419,Assumptions!$D$4:$D$7,Assumptions!$E$4:$E$7)</f>
        <v>Foundation</v>
      </c>
      <c r="M419" s="21" t="n">
        <f aca="false">COUNTIFS(Applications!$B$2:$B$3144,A419)</f>
        <v>4</v>
      </c>
      <c r="N419" s="21" t="n">
        <f aca="false">COUNTIFS(Applications!$B$2:$B$3144,A419,Applications!$F$2:$F$3144,"Offered")</f>
        <v>1</v>
      </c>
      <c r="O419" s="21" t="str">
        <f aca="false">IF(COUNTIFS(Applications!$B$2:$B$3144,A419,Applications!$H$2:$H$3144,"Yes")&gt;0,"Yes","No")</f>
        <v>Yes</v>
      </c>
      <c r="P419" s="32" t="n">
        <f aca="false">SUMIFS(Applications!$G$2:$G$3144,Applications!$B$2:$B$3144,A419,Applications!$H$2:$H$3144,"Yes")</f>
        <v>5.8</v>
      </c>
      <c r="Q419" s="21" t="str">
        <f aca="false">IF(O419="Yes",INDEX(Companies!$B$2:$B$31,MATCH(INDEX(Applications!$C$2:$C$3144,MATCH(A419,Applications!$P$2:$P$3144,0)),Companies!$A$2:$A$31,0)),"-")</f>
        <v>LearnEasy</v>
      </c>
    </row>
    <row r="420" customFormat="false" ht="15" hidden="false" customHeight="false" outlineLevel="0" collapsed="false">
      <c r="A420" s="21" t="s">
        <v>870</v>
      </c>
      <c r="B420" s="21" t="s">
        <v>256</v>
      </c>
      <c r="C420" s="21" t="s">
        <v>810</v>
      </c>
      <c r="D420" s="21" t="s">
        <v>67</v>
      </c>
      <c r="E420" s="21" t="s">
        <v>91</v>
      </c>
      <c r="F420" s="21" t="n">
        <v>8.44</v>
      </c>
      <c r="G420" s="21" t="n">
        <v>238</v>
      </c>
      <c r="H420" s="21" t="n">
        <v>2</v>
      </c>
      <c r="I420" s="21" t="s">
        <v>113</v>
      </c>
      <c r="J420" s="21" t="n">
        <v>70</v>
      </c>
      <c r="K420" s="32" t="n">
        <f aca="false">ROUND(Assumptions!$B$4*MIN(G420/Assumptions!$B$11,1)*100+Assumptions!$B$5*F420/10*100+Assumptions!$B$6*MIN(H420/Assumptions!$B$12,1)*100+Assumptions!$B$7*J420+Assumptions!$B$8*IF(I420="Yes",100,0),1)</f>
        <v>53.2</v>
      </c>
      <c r="L420" s="21" t="str">
        <f aca="false">LOOKUP(K420,Assumptions!$D$4:$D$7,Assumptions!$E$4:$E$7)</f>
        <v>Developing</v>
      </c>
      <c r="M420" s="21" t="n">
        <f aca="false">COUNTIFS(Applications!$B$2:$B$3144,A420)</f>
        <v>7</v>
      </c>
      <c r="N420" s="21" t="n">
        <f aca="false">COUNTIFS(Applications!$B$2:$B$3144,A420,Applications!$F$2:$F$3144,"Offered")</f>
        <v>0</v>
      </c>
      <c r="O420" s="21" t="str">
        <f aca="false">IF(COUNTIFS(Applications!$B$2:$B$3144,A420,Applications!$H$2:$H$3144,"Yes")&gt;0,"Yes","No")</f>
        <v>No</v>
      </c>
      <c r="P420" s="32" t="n">
        <f aca="false">SUMIFS(Applications!$G$2:$G$3144,Applications!$B$2:$B$3144,A420,Applications!$H$2:$H$3144,"Yes")</f>
        <v>0</v>
      </c>
      <c r="Q420" s="21" t="str">
        <f aca="false">IF(O420="Yes",INDEX(Companies!$B$2:$B$31,MATCH(INDEX(Applications!$C$2:$C$3144,MATCH(A420,Applications!$P$2:$P$3144,0)),Companies!$A$2:$A$31,0)),"-")</f>
        <v>-</v>
      </c>
    </row>
    <row r="421" customFormat="false" ht="15" hidden="false" customHeight="false" outlineLevel="0" collapsed="false">
      <c r="A421" s="21" t="s">
        <v>871</v>
      </c>
      <c r="B421" s="21" t="s">
        <v>117</v>
      </c>
      <c r="C421" s="21" t="s">
        <v>810</v>
      </c>
      <c r="D421" s="21" t="s">
        <v>66</v>
      </c>
      <c r="E421" s="21" t="s">
        <v>91</v>
      </c>
      <c r="F421" s="21" t="n">
        <v>8.22</v>
      </c>
      <c r="G421" s="21" t="n">
        <v>507</v>
      </c>
      <c r="H421" s="21" t="n">
        <v>2</v>
      </c>
      <c r="I421" s="21" t="s">
        <v>120</v>
      </c>
      <c r="J421" s="21" t="n">
        <v>64</v>
      </c>
      <c r="K421" s="32" t="n">
        <f aca="false">ROUND(Assumptions!$B$4*MIN(G421/Assumptions!$B$11,1)*100+Assumptions!$B$5*F421/10*100+Assumptions!$B$6*MIN(H421/Assumptions!$B$12,1)*100+Assumptions!$B$7*J421+Assumptions!$B$8*IF(I421="Yes",100,0),1)</f>
        <v>77.2</v>
      </c>
      <c r="L421" s="21" t="str">
        <f aca="false">LOOKUP(K421,Assumptions!$D$4:$D$7,Assumptions!$E$4:$E$7)</f>
        <v>Job-Ready</v>
      </c>
      <c r="M421" s="21" t="n">
        <f aca="false">COUNTIFS(Applications!$B$2:$B$3144,A421)</f>
        <v>7</v>
      </c>
      <c r="N421" s="21" t="n">
        <f aca="false">COUNTIFS(Applications!$B$2:$B$3144,A421,Applications!$F$2:$F$3144,"Offered")</f>
        <v>5</v>
      </c>
      <c r="O421" s="21" t="str">
        <f aca="false">IF(COUNTIFS(Applications!$B$2:$B$3144,A421,Applications!$H$2:$H$3144,"Yes")&gt;0,"Yes","No")</f>
        <v>Yes</v>
      </c>
      <c r="P421" s="32" t="n">
        <f aca="false">SUMIFS(Applications!$G$2:$G$3144,Applications!$B$2:$B$3144,A421,Applications!$H$2:$H$3144,"Yes")</f>
        <v>11.4</v>
      </c>
      <c r="Q421" s="21" t="str">
        <f aca="false">IF(O421="Yes",INDEX(Companies!$B$2:$B$31,MATCH(INDEX(Applications!$C$2:$C$3144,MATCH(A421,Applications!$P$2:$P$3144,0)),Companies!$A$2:$A$31,0)),"-")</f>
        <v>LearnLoop</v>
      </c>
    </row>
    <row r="422" customFormat="false" ht="15" hidden="false" customHeight="false" outlineLevel="0" collapsed="false">
      <c r="A422" s="21" t="s">
        <v>872</v>
      </c>
      <c r="B422" s="21" t="s">
        <v>873</v>
      </c>
      <c r="C422" s="21" t="s">
        <v>810</v>
      </c>
      <c r="D422" s="21" t="s">
        <v>66</v>
      </c>
      <c r="E422" s="21" t="s">
        <v>91</v>
      </c>
      <c r="F422" s="21" t="n">
        <v>7.04</v>
      </c>
      <c r="G422" s="21" t="n">
        <v>474</v>
      </c>
      <c r="H422" s="21" t="n">
        <v>1</v>
      </c>
      <c r="I422" s="21" t="s">
        <v>120</v>
      </c>
      <c r="J422" s="21" t="n">
        <v>48</v>
      </c>
      <c r="K422" s="32" t="n">
        <f aca="false">ROUND(Assumptions!$B$4*MIN(G422/Assumptions!$B$11,1)*100+Assumptions!$B$5*F422/10*100+Assumptions!$B$6*MIN(H422/Assumptions!$B$12,1)*100+Assumptions!$B$7*J422+Assumptions!$B$8*IF(I422="Yes",100,0),1)</f>
        <v>66.1</v>
      </c>
      <c r="L422" s="21" t="str">
        <f aca="false">LOOKUP(K422,Assumptions!$D$4:$D$7,Assumptions!$E$4:$E$7)</f>
        <v>Job-Ready</v>
      </c>
      <c r="M422" s="21" t="n">
        <f aca="false">COUNTIFS(Applications!$B$2:$B$3144,A422)</f>
        <v>6</v>
      </c>
      <c r="N422" s="21" t="n">
        <f aca="false">COUNTIFS(Applications!$B$2:$B$3144,A422,Applications!$F$2:$F$3144,"Offered")</f>
        <v>3</v>
      </c>
      <c r="O422" s="21" t="str">
        <f aca="false">IF(COUNTIFS(Applications!$B$2:$B$3144,A422,Applications!$H$2:$H$3144,"Yes")&gt;0,"Yes","No")</f>
        <v>Yes</v>
      </c>
      <c r="P422" s="32" t="n">
        <f aca="false">SUMIFS(Applications!$G$2:$G$3144,Applications!$B$2:$B$3144,A422,Applications!$H$2:$H$3144,"Yes")</f>
        <v>22</v>
      </c>
      <c r="Q422" s="21" t="str">
        <f aca="false">IF(O422="Yes",INDEX(Companies!$B$2:$B$31,MATCH(INDEX(Applications!$C$2:$C$3144,MATCH(A422,Applications!$P$2:$P$3144,0)),Companies!$A$2:$A$31,0)),"-")</f>
        <v>Nimbus Cloud Systems</v>
      </c>
    </row>
    <row r="423" customFormat="false" ht="15" hidden="false" customHeight="false" outlineLevel="0" collapsed="false">
      <c r="A423" s="21" t="s">
        <v>874</v>
      </c>
      <c r="B423" s="21" t="s">
        <v>875</v>
      </c>
      <c r="C423" s="21" t="s">
        <v>810</v>
      </c>
      <c r="D423" s="21" t="s">
        <v>64</v>
      </c>
      <c r="E423" s="21" t="s">
        <v>91</v>
      </c>
      <c r="F423" s="21" t="n">
        <v>7.01</v>
      </c>
      <c r="G423" s="21" t="n">
        <v>400</v>
      </c>
      <c r="H423" s="21" t="n">
        <v>4</v>
      </c>
      <c r="I423" s="21" t="s">
        <v>120</v>
      </c>
      <c r="J423" s="21" t="n">
        <v>77</v>
      </c>
      <c r="K423" s="32" t="n">
        <f aca="false">ROUND(Assumptions!$B$4*MIN(G423/Assumptions!$B$11,1)*100+Assumptions!$B$5*F423/10*100+Assumptions!$B$6*MIN(H423/Assumptions!$B$12,1)*100+Assumptions!$B$7*J423+Assumptions!$B$8*IF(I423="Yes",100,0),1)</f>
        <v>79.4</v>
      </c>
      <c r="L423" s="21" t="str">
        <f aca="false">LOOKUP(K423,Assumptions!$D$4:$D$7,Assumptions!$E$4:$E$7)</f>
        <v>Job-Ready</v>
      </c>
      <c r="M423" s="21" t="n">
        <f aca="false">COUNTIFS(Applications!$B$2:$B$3144,A423)</f>
        <v>3</v>
      </c>
      <c r="N423" s="21" t="n">
        <f aca="false">COUNTIFS(Applications!$B$2:$B$3144,A423,Applications!$F$2:$F$3144,"Offered")</f>
        <v>2</v>
      </c>
      <c r="O423" s="21" t="str">
        <f aca="false">IF(COUNTIFS(Applications!$B$2:$B$3144,A423,Applications!$H$2:$H$3144,"Yes")&gt;0,"Yes","No")</f>
        <v>Yes</v>
      </c>
      <c r="P423" s="32" t="n">
        <f aca="false">SUMIFS(Applications!$G$2:$G$3144,Applications!$B$2:$B$3144,A423,Applications!$H$2:$H$3144,"Yes")</f>
        <v>23.8</v>
      </c>
      <c r="Q423" s="21" t="str">
        <f aca="false">IF(O423="Yes",INDEX(Companies!$B$2:$B$31,MATCH(INDEX(Applications!$C$2:$C$3144,MATCH(A423,Applications!$P$2:$P$3144,0)),Companies!$A$2:$A$31,0)),"-")</f>
        <v>Nimbus Cloud Systems</v>
      </c>
    </row>
    <row r="424" customFormat="false" ht="15" hidden="false" customHeight="false" outlineLevel="0" collapsed="false">
      <c r="A424" s="21" t="s">
        <v>876</v>
      </c>
      <c r="B424" s="21" t="s">
        <v>877</v>
      </c>
      <c r="C424" s="21" t="s">
        <v>810</v>
      </c>
      <c r="D424" s="21" t="s">
        <v>64</v>
      </c>
      <c r="E424" s="21" t="s">
        <v>91</v>
      </c>
      <c r="F424" s="21" t="n">
        <v>6.82</v>
      </c>
      <c r="G424" s="21" t="n">
        <v>477</v>
      </c>
      <c r="H424" s="21" t="n">
        <v>5</v>
      </c>
      <c r="I424" s="21" t="s">
        <v>113</v>
      </c>
      <c r="J424" s="21" t="n">
        <v>68</v>
      </c>
      <c r="K424" s="32" t="n">
        <f aca="false">ROUND(Assumptions!$B$4*MIN(G424/Assumptions!$B$11,1)*100+Assumptions!$B$5*F424/10*100+Assumptions!$B$6*MIN(H424/Assumptions!$B$12,1)*100+Assumptions!$B$7*J424+Assumptions!$B$8*IF(I424="Yes",100,0),1)</f>
        <v>75.9</v>
      </c>
      <c r="L424" s="21" t="str">
        <f aca="false">LOOKUP(K424,Assumptions!$D$4:$D$7,Assumptions!$E$4:$E$7)</f>
        <v>Job-Ready</v>
      </c>
      <c r="M424" s="21" t="n">
        <f aca="false">COUNTIFS(Applications!$B$2:$B$3144,A424)</f>
        <v>7</v>
      </c>
      <c r="N424" s="21" t="n">
        <f aca="false">COUNTIFS(Applications!$B$2:$B$3144,A424,Applications!$F$2:$F$3144,"Offered")</f>
        <v>5</v>
      </c>
      <c r="O424" s="21" t="str">
        <f aca="false">IF(COUNTIFS(Applications!$B$2:$B$3144,A424,Applications!$H$2:$H$3144,"Yes")&gt;0,"Yes","No")</f>
        <v>Yes</v>
      </c>
      <c r="P424" s="32" t="n">
        <f aca="false">SUMIFS(Applications!$G$2:$G$3144,Applications!$B$2:$B$3144,A424,Applications!$H$2:$H$3144,"Yes")</f>
        <v>11.8</v>
      </c>
      <c r="Q424" s="21" t="str">
        <f aca="false">IF(O424="Yes",INDEX(Companies!$B$2:$B$31,MATCH(INDEX(Applications!$C$2:$C$3144,MATCH(A424,Applications!$P$2:$P$3144,0)),Companies!$A$2:$A$31,0)),"-")</f>
        <v>PayRiver</v>
      </c>
    </row>
    <row r="425" customFormat="false" ht="15" hidden="false" customHeight="false" outlineLevel="0" collapsed="false">
      <c r="A425" s="21" t="s">
        <v>878</v>
      </c>
      <c r="B425" s="21" t="s">
        <v>879</v>
      </c>
      <c r="C425" s="21" t="s">
        <v>810</v>
      </c>
      <c r="D425" s="21" t="s">
        <v>66</v>
      </c>
      <c r="E425" s="21" t="s">
        <v>91</v>
      </c>
      <c r="F425" s="21" t="n">
        <v>6.17</v>
      </c>
      <c r="G425" s="21" t="n">
        <v>501</v>
      </c>
      <c r="H425" s="21" t="n">
        <v>3</v>
      </c>
      <c r="I425" s="21" t="s">
        <v>113</v>
      </c>
      <c r="J425" s="21" t="n">
        <v>93</v>
      </c>
      <c r="K425" s="32" t="n">
        <f aca="false">ROUND(Assumptions!$B$4*MIN(G425/Assumptions!$B$11,1)*100+Assumptions!$B$5*F425/10*100+Assumptions!$B$6*MIN(H425/Assumptions!$B$12,1)*100+Assumptions!$B$7*J425+Assumptions!$B$8*IF(I425="Yes",100,0),1)</f>
        <v>72.9</v>
      </c>
      <c r="L425" s="21" t="str">
        <f aca="false">LOOKUP(K425,Assumptions!$D$4:$D$7,Assumptions!$E$4:$E$7)</f>
        <v>Job-Ready</v>
      </c>
      <c r="M425" s="21" t="n">
        <f aca="false">COUNTIFS(Applications!$B$2:$B$3144,A425)</f>
        <v>6</v>
      </c>
      <c r="N425" s="21" t="n">
        <f aca="false">COUNTIFS(Applications!$B$2:$B$3144,A425,Applications!$F$2:$F$3144,"Offered")</f>
        <v>2</v>
      </c>
      <c r="O425" s="21" t="str">
        <f aca="false">IF(COUNTIFS(Applications!$B$2:$B$3144,A425,Applications!$H$2:$H$3144,"Yes")&gt;0,"Yes","No")</f>
        <v>Yes</v>
      </c>
      <c r="P425" s="32" t="n">
        <f aca="false">SUMIFS(Applications!$G$2:$G$3144,Applications!$B$2:$B$3144,A425,Applications!$H$2:$H$3144,"Yes")</f>
        <v>6.3</v>
      </c>
      <c r="Q425" s="21" t="str">
        <f aca="false">IF(O425="Yes",INDEX(Companies!$B$2:$B$31,MATCH(INDEX(Applications!$C$2:$C$3144,MATCH(A425,Applications!$P$2:$P$3144,0)),Companies!$A$2:$A$31,0)),"-")</f>
        <v>TechBridge Consulting</v>
      </c>
    </row>
    <row r="426" customFormat="false" ht="15" hidden="false" customHeight="false" outlineLevel="0" collapsed="false">
      <c r="A426" s="21" t="s">
        <v>880</v>
      </c>
      <c r="B426" s="21" t="s">
        <v>881</v>
      </c>
      <c r="C426" s="21" t="s">
        <v>810</v>
      </c>
      <c r="D426" s="21" t="s">
        <v>64</v>
      </c>
      <c r="E426" s="21" t="s">
        <v>91</v>
      </c>
      <c r="F426" s="21" t="n">
        <v>6.64</v>
      </c>
      <c r="G426" s="21" t="n">
        <v>950</v>
      </c>
      <c r="H426" s="21" t="n">
        <v>2</v>
      </c>
      <c r="I426" s="21" t="s">
        <v>113</v>
      </c>
      <c r="J426" s="21" t="n">
        <v>52</v>
      </c>
      <c r="K426" s="32" t="n">
        <f aca="false">ROUND(Assumptions!$B$4*MIN(G426/Assumptions!$B$11,1)*100+Assumptions!$B$5*F426/10*100+Assumptions!$B$6*MIN(H426/Assumptions!$B$12,1)*100+Assumptions!$B$7*J426+Assumptions!$B$8*IF(I426="Yes",100,0),1)</f>
        <v>61.7</v>
      </c>
      <c r="L426" s="21" t="str">
        <f aca="false">LOOKUP(K426,Assumptions!$D$4:$D$7,Assumptions!$E$4:$E$7)</f>
        <v>Developing</v>
      </c>
      <c r="M426" s="21" t="n">
        <f aca="false">COUNTIFS(Applications!$B$2:$B$3144,A426)</f>
        <v>6</v>
      </c>
      <c r="N426" s="21" t="n">
        <f aca="false">COUNTIFS(Applications!$B$2:$B$3144,A426,Applications!$F$2:$F$3144,"Offered")</f>
        <v>1</v>
      </c>
      <c r="O426" s="21" t="str">
        <f aca="false">IF(COUNTIFS(Applications!$B$2:$B$3144,A426,Applications!$H$2:$H$3144,"Yes")&gt;0,"Yes","No")</f>
        <v>Yes</v>
      </c>
      <c r="P426" s="32" t="n">
        <f aca="false">SUMIFS(Applications!$G$2:$G$3144,Applications!$B$2:$B$3144,A426,Applications!$H$2:$H$3144,"Yes")</f>
        <v>5.8</v>
      </c>
      <c r="Q426" s="21" t="str">
        <f aca="false">IF(O426="Yes",INDEX(Companies!$B$2:$B$31,MATCH(INDEX(Applications!$C$2:$C$3144,MATCH(A426,Applications!$P$2:$P$3144,0)),Companies!$A$2:$A$31,0)),"-")</f>
        <v>InfoNova Services</v>
      </c>
    </row>
    <row r="427" customFormat="false" ht="15" hidden="false" customHeight="false" outlineLevel="0" collapsed="false">
      <c r="A427" s="21" t="s">
        <v>882</v>
      </c>
      <c r="B427" s="21" t="s">
        <v>883</v>
      </c>
      <c r="C427" s="21" t="s">
        <v>810</v>
      </c>
      <c r="D427" s="21" t="s">
        <v>67</v>
      </c>
      <c r="E427" s="21" t="s">
        <v>92</v>
      </c>
      <c r="F427" s="21" t="n">
        <v>7.85</v>
      </c>
      <c r="G427" s="21" t="n">
        <v>137</v>
      </c>
      <c r="H427" s="21" t="n">
        <v>3</v>
      </c>
      <c r="I427" s="21" t="s">
        <v>120</v>
      </c>
      <c r="J427" s="21" t="n">
        <v>63</v>
      </c>
      <c r="K427" s="32" t="n">
        <f aca="false">ROUND(Assumptions!$B$4*MIN(G427/Assumptions!$B$11,1)*100+Assumptions!$B$5*F427/10*100+Assumptions!$B$6*MIN(H427/Assumptions!$B$12,1)*100+Assumptions!$B$7*J427+Assumptions!$B$8*IF(I427="Yes",100,0),1)</f>
        <v>58.5</v>
      </c>
      <c r="L427" s="21" t="str">
        <f aca="false">LOOKUP(K427,Assumptions!$D$4:$D$7,Assumptions!$E$4:$E$7)</f>
        <v>Developing</v>
      </c>
      <c r="M427" s="21" t="n">
        <f aca="false">COUNTIFS(Applications!$B$2:$B$3144,A427)</f>
        <v>0</v>
      </c>
      <c r="N427" s="21" t="n">
        <f aca="false">COUNTIFS(Applications!$B$2:$B$3144,A427,Applications!$F$2:$F$3144,"Offered")</f>
        <v>0</v>
      </c>
      <c r="O427" s="21" t="str">
        <f aca="false">IF(COUNTIFS(Applications!$B$2:$B$3144,A427,Applications!$H$2:$H$3144,"Yes")&gt;0,"Yes","No")</f>
        <v>No</v>
      </c>
      <c r="P427" s="32" t="n">
        <f aca="false">SUMIFS(Applications!$G$2:$G$3144,Applications!$B$2:$B$3144,A427,Applications!$H$2:$H$3144,"Yes")</f>
        <v>0</v>
      </c>
      <c r="Q427" s="21" t="str">
        <f aca="false">IF(O427="Yes",INDEX(Companies!$B$2:$B$31,MATCH(INDEX(Applications!$C$2:$C$3144,MATCH(A427,Applications!$P$2:$P$3144,0)),Companies!$A$2:$A$31,0)),"-")</f>
        <v>-</v>
      </c>
    </row>
    <row r="428" customFormat="false" ht="15" hidden="false" customHeight="false" outlineLevel="0" collapsed="false">
      <c r="A428" s="21" t="s">
        <v>884</v>
      </c>
      <c r="B428" s="21" t="s">
        <v>885</v>
      </c>
      <c r="C428" s="21" t="s">
        <v>810</v>
      </c>
      <c r="D428" s="21" t="s">
        <v>67</v>
      </c>
      <c r="E428" s="21" t="s">
        <v>91</v>
      </c>
      <c r="F428" s="21" t="n">
        <v>8.77</v>
      </c>
      <c r="G428" s="21" t="n">
        <v>403</v>
      </c>
      <c r="H428" s="21" t="n">
        <v>1</v>
      </c>
      <c r="I428" s="21" t="s">
        <v>120</v>
      </c>
      <c r="J428" s="21" t="n">
        <v>65</v>
      </c>
      <c r="K428" s="32" t="n">
        <f aca="false">ROUND(Assumptions!$B$4*MIN(G428/Assumptions!$B$11,1)*100+Assumptions!$B$5*F428/10*100+Assumptions!$B$6*MIN(H428/Assumptions!$B$12,1)*100+Assumptions!$B$7*J428+Assumptions!$B$8*IF(I428="Yes",100,0),1)</f>
        <v>68.7</v>
      </c>
      <c r="L428" s="21" t="str">
        <f aca="false">LOOKUP(K428,Assumptions!$D$4:$D$7,Assumptions!$E$4:$E$7)</f>
        <v>Job-Ready</v>
      </c>
      <c r="M428" s="21" t="n">
        <f aca="false">COUNTIFS(Applications!$B$2:$B$3144,A428)</f>
        <v>3</v>
      </c>
      <c r="N428" s="21" t="n">
        <f aca="false">COUNTIFS(Applications!$B$2:$B$3144,A428,Applications!$F$2:$F$3144,"Offered")</f>
        <v>1</v>
      </c>
      <c r="O428" s="21" t="str">
        <f aca="false">IF(COUNTIFS(Applications!$B$2:$B$3144,A428,Applications!$H$2:$H$3144,"Yes")&gt;0,"Yes","No")</f>
        <v>Yes</v>
      </c>
      <c r="P428" s="32" t="n">
        <f aca="false">SUMIFS(Applications!$G$2:$G$3144,Applications!$B$2:$B$3144,A428,Applications!$H$2:$H$3144,"Yes")</f>
        <v>5.7</v>
      </c>
      <c r="Q428" s="21" t="str">
        <f aca="false">IF(O428="Yes",INDEX(Companies!$B$2:$B$31,MATCH(INDEX(Applications!$C$2:$C$3144,MATCH(A428,Applications!$P$2:$P$3144,0)),Companies!$A$2:$A$31,0)),"-")</f>
        <v>Bharat Digital</v>
      </c>
    </row>
    <row r="429" customFormat="false" ht="15" hidden="false" customHeight="false" outlineLevel="0" collapsed="false">
      <c r="A429" s="21" t="s">
        <v>886</v>
      </c>
      <c r="B429" s="21" t="s">
        <v>887</v>
      </c>
      <c r="C429" s="21" t="s">
        <v>810</v>
      </c>
      <c r="D429" s="21" t="s">
        <v>65</v>
      </c>
      <c r="E429" s="21" t="s">
        <v>91</v>
      </c>
      <c r="F429" s="21" t="n">
        <v>6.01</v>
      </c>
      <c r="G429" s="21" t="n">
        <v>145</v>
      </c>
      <c r="H429" s="21" t="n">
        <v>2</v>
      </c>
      <c r="I429" s="21" t="s">
        <v>113</v>
      </c>
      <c r="J429" s="21" t="n">
        <v>72</v>
      </c>
      <c r="K429" s="32" t="n">
        <f aca="false">ROUND(Assumptions!$B$4*MIN(G429/Assumptions!$B$11,1)*100+Assumptions!$B$5*F429/10*100+Assumptions!$B$6*MIN(H429/Assumptions!$B$12,1)*100+Assumptions!$B$7*J429+Assumptions!$B$8*IF(I429="Yes",100,0),1)</f>
        <v>43.1</v>
      </c>
      <c r="L429" s="21" t="str">
        <f aca="false">LOOKUP(K429,Assumptions!$D$4:$D$7,Assumptions!$E$4:$E$7)</f>
        <v>Foundation</v>
      </c>
      <c r="M429" s="21" t="n">
        <f aca="false">COUNTIFS(Applications!$B$2:$B$3144,A429)</f>
        <v>10</v>
      </c>
      <c r="N429" s="21" t="n">
        <f aca="false">COUNTIFS(Applications!$B$2:$B$3144,A429,Applications!$F$2:$F$3144,"Offered")</f>
        <v>1</v>
      </c>
      <c r="O429" s="21" t="str">
        <f aca="false">IF(COUNTIFS(Applications!$B$2:$B$3144,A429,Applications!$H$2:$H$3144,"Yes")&gt;0,"Yes","No")</f>
        <v>Yes</v>
      </c>
      <c r="P429" s="32" t="n">
        <f aca="false">SUMIFS(Applications!$G$2:$G$3144,Applications!$B$2:$B$3144,A429,Applications!$H$2:$H$3144,"Yes")</f>
        <v>4.2</v>
      </c>
      <c r="Q429" s="21" t="str">
        <f aca="false">IF(O429="Yes",INDEX(Companies!$B$2:$B$31,MATCH(INDEX(Applications!$C$2:$C$3144,MATCH(A429,Applications!$P$2:$P$3144,0)),Companies!$A$2:$A$31,0)),"-")</f>
        <v>TechBridge Consulting</v>
      </c>
    </row>
    <row r="430" customFormat="false" ht="15" hidden="false" customHeight="false" outlineLevel="0" collapsed="false">
      <c r="A430" s="21" t="s">
        <v>888</v>
      </c>
      <c r="B430" s="21" t="s">
        <v>889</v>
      </c>
      <c r="C430" s="21" t="s">
        <v>810</v>
      </c>
      <c r="D430" s="21" t="s">
        <v>64</v>
      </c>
      <c r="E430" s="21" t="s">
        <v>90</v>
      </c>
      <c r="F430" s="21" t="n">
        <v>6.86</v>
      </c>
      <c r="G430" s="21" t="n">
        <v>307</v>
      </c>
      <c r="H430" s="21" t="n">
        <v>2</v>
      </c>
      <c r="I430" s="21" t="s">
        <v>113</v>
      </c>
      <c r="J430" s="21" t="n">
        <v>80</v>
      </c>
      <c r="K430" s="32" t="n">
        <f aca="false">ROUND(Assumptions!$B$4*MIN(G430/Assumptions!$B$11,1)*100+Assumptions!$B$5*F430/10*100+Assumptions!$B$6*MIN(H430/Assumptions!$B$12,1)*100+Assumptions!$B$7*J430+Assumptions!$B$8*IF(I430="Yes",100,0),1)</f>
        <v>56.1</v>
      </c>
      <c r="L430" s="21" t="str">
        <f aca="false">LOOKUP(K430,Assumptions!$D$4:$D$7,Assumptions!$E$4:$E$7)</f>
        <v>Developing</v>
      </c>
      <c r="M430" s="21" t="n">
        <f aca="false">COUNTIFS(Applications!$B$2:$B$3144,A430)</f>
        <v>0</v>
      </c>
      <c r="N430" s="21" t="n">
        <f aca="false">COUNTIFS(Applications!$B$2:$B$3144,A430,Applications!$F$2:$F$3144,"Offered")</f>
        <v>0</v>
      </c>
      <c r="O430" s="21" t="str">
        <f aca="false">IF(COUNTIFS(Applications!$B$2:$B$3144,A430,Applications!$H$2:$H$3144,"Yes")&gt;0,"Yes","No")</f>
        <v>No</v>
      </c>
      <c r="P430" s="32" t="n">
        <f aca="false">SUMIFS(Applications!$G$2:$G$3144,Applications!$B$2:$B$3144,A430,Applications!$H$2:$H$3144,"Yes")</f>
        <v>0</v>
      </c>
      <c r="Q430" s="21" t="str">
        <f aca="false">IF(O430="Yes",INDEX(Companies!$B$2:$B$31,MATCH(INDEX(Applications!$C$2:$C$3144,MATCH(A430,Applications!$P$2:$P$3144,0)),Companies!$A$2:$A$31,0)),"-")</f>
        <v>-</v>
      </c>
    </row>
    <row r="431" customFormat="false" ht="15" hidden="false" customHeight="false" outlineLevel="0" collapsed="false">
      <c r="A431" s="21" t="s">
        <v>890</v>
      </c>
      <c r="B431" s="21" t="s">
        <v>891</v>
      </c>
      <c r="C431" s="21" t="s">
        <v>810</v>
      </c>
      <c r="D431" s="21" t="s">
        <v>64</v>
      </c>
      <c r="E431" s="21" t="s">
        <v>92</v>
      </c>
      <c r="F431" s="21" t="n">
        <v>7.54</v>
      </c>
      <c r="G431" s="21" t="n">
        <v>411</v>
      </c>
      <c r="H431" s="21" t="n">
        <v>7</v>
      </c>
      <c r="I431" s="21" t="s">
        <v>120</v>
      </c>
      <c r="J431" s="21" t="n">
        <v>51</v>
      </c>
      <c r="K431" s="32" t="n">
        <f aca="false">ROUND(Assumptions!$B$4*MIN(G431/Assumptions!$B$11,1)*100+Assumptions!$B$5*F431/10*100+Assumptions!$B$6*MIN(H431/Assumptions!$B$12,1)*100+Assumptions!$B$7*J431+Assumptions!$B$8*IF(I431="Yes",100,0),1)</f>
        <v>79.9</v>
      </c>
      <c r="L431" s="21" t="str">
        <f aca="false">LOOKUP(K431,Assumptions!$D$4:$D$7,Assumptions!$E$4:$E$7)</f>
        <v>Job-Ready</v>
      </c>
      <c r="M431" s="21" t="n">
        <f aca="false">COUNTIFS(Applications!$B$2:$B$3144,A431)</f>
        <v>11</v>
      </c>
      <c r="N431" s="21" t="n">
        <f aca="false">COUNTIFS(Applications!$B$2:$B$3144,A431,Applications!$F$2:$F$3144,"Offered")</f>
        <v>7</v>
      </c>
      <c r="O431" s="21" t="str">
        <f aca="false">IF(COUNTIFS(Applications!$B$2:$B$3144,A431,Applications!$H$2:$H$3144,"Yes")&gt;0,"Yes","No")</f>
        <v>Yes</v>
      </c>
      <c r="P431" s="32" t="n">
        <f aca="false">SUMIFS(Applications!$G$2:$G$3144,Applications!$B$2:$B$3144,A431,Applications!$H$2:$H$3144,"Yes")</f>
        <v>15</v>
      </c>
      <c r="Q431" s="21" t="str">
        <f aca="false">IF(O431="Yes",INDEX(Companies!$B$2:$B$31,MATCH(INDEX(Applications!$C$2:$C$3144,MATCH(A431,Applications!$P$2:$P$3144,0)),Companies!$A$2:$A$31,0)),"-")</f>
        <v>CyberNest</v>
      </c>
    </row>
    <row r="432" customFormat="false" ht="15" hidden="false" customHeight="false" outlineLevel="0" collapsed="false">
      <c r="A432" s="21" t="s">
        <v>892</v>
      </c>
      <c r="B432" s="21" t="s">
        <v>711</v>
      </c>
      <c r="C432" s="21" t="s">
        <v>810</v>
      </c>
      <c r="D432" s="21" t="s">
        <v>64</v>
      </c>
      <c r="E432" s="21" t="s">
        <v>91</v>
      </c>
      <c r="F432" s="21" t="n">
        <v>8.21</v>
      </c>
      <c r="G432" s="21" t="n">
        <v>712</v>
      </c>
      <c r="H432" s="21" t="n">
        <v>2</v>
      </c>
      <c r="I432" s="21" t="s">
        <v>113</v>
      </c>
      <c r="J432" s="21" t="n">
        <v>66</v>
      </c>
      <c r="K432" s="32" t="n">
        <f aca="false">ROUND(Assumptions!$B$4*MIN(G432/Assumptions!$B$11,1)*100+Assumptions!$B$5*F432/10*100+Assumptions!$B$6*MIN(H432/Assumptions!$B$12,1)*100+Assumptions!$B$7*J432+Assumptions!$B$8*IF(I432="Yes",100,0),1)</f>
        <v>67.6</v>
      </c>
      <c r="L432" s="21" t="str">
        <f aca="false">LOOKUP(K432,Assumptions!$D$4:$D$7,Assumptions!$E$4:$E$7)</f>
        <v>Job-Ready</v>
      </c>
      <c r="M432" s="21" t="n">
        <f aca="false">COUNTIFS(Applications!$B$2:$B$3144,A432)</f>
        <v>8</v>
      </c>
      <c r="N432" s="21" t="n">
        <f aca="false">COUNTIFS(Applications!$B$2:$B$3144,A432,Applications!$F$2:$F$3144,"Offered")</f>
        <v>2</v>
      </c>
      <c r="O432" s="21" t="str">
        <f aca="false">IF(COUNTIFS(Applications!$B$2:$B$3144,A432,Applications!$H$2:$H$3144,"Yes")&gt;0,"Yes","No")</f>
        <v>Yes</v>
      </c>
      <c r="P432" s="32" t="n">
        <f aca="false">SUMIFS(Applications!$G$2:$G$3144,Applications!$B$2:$B$3144,A432,Applications!$H$2:$H$3144,"Yes")</f>
        <v>12</v>
      </c>
      <c r="Q432" s="21" t="str">
        <f aca="false">IF(O432="Yes",INDEX(Companies!$B$2:$B$31,MATCH(INDEX(Applications!$C$2:$C$3144,MATCH(A432,Applications!$P$2:$P$3144,0)),Companies!$A$2:$A$31,0)),"-")</f>
        <v>CartNest</v>
      </c>
    </row>
    <row r="433" customFormat="false" ht="15" hidden="false" customHeight="false" outlineLevel="0" collapsed="false">
      <c r="A433" s="21" t="s">
        <v>893</v>
      </c>
      <c r="B433" s="21" t="s">
        <v>465</v>
      </c>
      <c r="C433" s="21" t="s">
        <v>810</v>
      </c>
      <c r="D433" s="21" t="s">
        <v>64</v>
      </c>
      <c r="E433" s="21" t="s">
        <v>92</v>
      </c>
      <c r="F433" s="21" t="n">
        <v>9.04</v>
      </c>
      <c r="G433" s="21" t="n">
        <v>947</v>
      </c>
      <c r="H433" s="21" t="n">
        <v>3</v>
      </c>
      <c r="I433" s="21" t="s">
        <v>113</v>
      </c>
      <c r="J433" s="21" t="n">
        <v>69</v>
      </c>
      <c r="K433" s="32" t="n">
        <f aca="false">ROUND(Assumptions!$B$4*MIN(G433/Assumptions!$B$11,1)*100+Assumptions!$B$5*F433/10*100+Assumptions!$B$6*MIN(H433/Assumptions!$B$12,1)*100+Assumptions!$B$7*J433+Assumptions!$B$8*IF(I433="Yes",100,0),1)</f>
        <v>73.9</v>
      </c>
      <c r="L433" s="21" t="str">
        <f aca="false">LOOKUP(K433,Assumptions!$D$4:$D$7,Assumptions!$E$4:$E$7)</f>
        <v>Job-Ready</v>
      </c>
      <c r="M433" s="21" t="n">
        <f aca="false">COUNTIFS(Applications!$B$2:$B$3144,A433)</f>
        <v>3</v>
      </c>
      <c r="N433" s="21" t="n">
        <f aca="false">COUNTIFS(Applications!$B$2:$B$3144,A433,Applications!$F$2:$F$3144,"Offered")</f>
        <v>2</v>
      </c>
      <c r="O433" s="21" t="str">
        <f aca="false">IF(COUNTIFS(Applications!$B$2:$B$3144,A433,Applications!$H$2:$H$3144,"Yes")&gt;0,"Yes","No")</f>
        <v>Yes</v>
      </c>
      <c r="P433" s="32" t="n">
        <f aca="false">SUMIFS(Applications!$G$2:$G$3144,Applications!$B$2:$B$3144,A433,Applications!$H$2:$H$3144,"Yes")</f>
        <v>10.8</v>
      </c>
      <c r="Q433" s="21" t="str">
        <f aca="false">IF(O433="Yes",INDEX(Companies!$B$2:$B$31,MATCH(INDEX(Applications!$C$2:$C$3144,MATCH(A433,Applications!$P$2:$P$3144,0)),Companies!$A$2:$A$31,0)),"-")</f>
        <v>CartNest</v>
      </c>
    </row>
    <row r="434" customFormat="false" ht="15" hidden="false" customHeight="false" outlineLevel="0" collapsed="false">
      <c r="A434" s="21" t="s">
        <v>894</v>
      </c>
      <c r="B434" s="21" t="s">
        <v>269</v>
      </c>
      <c r="C434" s="21" t="s">
        <v>810</v>
      </c>
      <c r="D434" s="21" t="s">
        <v>67</v>
      </c>
      <c r="E434" s="21" t="s">
        <v>92</v>
      </c>
      <c r="F434" s="21" t="n">
        <v>6.61</v>
      </c>
      <c r="G434" s="21" t="n">
        <v>242</v>
      </c>
      <c r="H434" s="21" t="n">
        <v>3</v>
      </c>
      <c r="I434" s="21" t="s">
        <v>120</v>
      </c>
      <c r="J434" s="21" t="n">
        <v>53</v>
      </c>
      <c r="K434" s="32" t="n">
        <f aca="false">ROUND(Assumptions!$B$4*MIN(G434/Assumptions!$B$11,1)*100+Assumptions!$B$5*F434/10*100+Assumptions!$B$6*MIN(H434/Assumptions!$B$12,1)*100+Assumptions!$B$7*J434+Assumptions!$B$8*IF(I434="Yes",100,0),1)</f>
        <v>60.3</v>
      </c>
      <c r="L434" s="21" t="str">
        <f aca="false">LOOKUP(K434,Assumptions!$D$4:$D$7,Assumptions!$E$4:$E$7)</f>
        <v>Developing</v>
      </c>
      <c r="M434" s="21" t="n">
        <f aca="false">COUNTIFS(Applications!$B$2:$B$3144,A434)</f>
        <v>5</v>
      </c>
      <c r="N434" s="21" t="n">
        <f aca="false">COUNTIFS(Applications!$B$2:$B$3144,A434,Applications!$F$2:$F$3144,"Offered")</f>
        <v>1</v>
      </c>
      <c r="O434" s="21" t="str">
        <f aca="false">IF(COUNTIFS(Applications!$B$2:$B$3144,A434,Applications!$H$2:$H$3144,"Yes")&gt;0,"Yes","No")</f>
        <v>Yes</v>
      </c>
      <c r="P434" s="32" t="n">
        <f aca="false">SUMIFS(Applications!$G$2:$G$3144,Applications!$B$2:$B$3144,A434,Applications!$H$2:$H$3144,"Yes")</f>
        <v>11</v>
      </c>
      <c r="Q434" s="21" t="str">
        <f aca="false">IF(O434="Yes",INDEX(Companies!$B$2:$B$31,MATCH(INDEX(Applications!$C$2:$C$3144,MATCH(A434,Applications!$P$2:$P$3144,0)),Companies!$A$2:$A$31,0)),"-")</f>
        <v>FinStack</v>
      </c>
    </row>
    <row r="435" customFormat="false" ht="15" hidden="false" customHeight="false" outlineLevel="0" collapsed="false">
      <c r="A435" s="21" t="s">
        <v>895</v>
      </c>
      <c r="B435" s="21" t="s">
        <v>646</v>
      </c>
      <c r="C435" s="21" t="s">
        <v>810</v>
      </c>
      <c r="D435" s="21" t="s">
        <v>67</v>
      </c>
      <c r="E435" s="21" t="s">
        <v>90</v>
      </c>
      <c r="F435" s="21" t="n">
        <v>7.61</v>
      </c>
      <c r="G435" s="21" t="n">
        <v>198</v>
      </c>
      <c r="H435" s="21" t="n">
        <v>3</v>
      </c>
      <c r="I435" s="21" t="s">
        <v>113</v>
      </c>
      <c r="J435" s="21" t="n">
        <v>66</v>
      </c>
      <c r="K435" s="32" t="n">
        <f aca="false">ROUND(Assumptions!$B$4*MIN(G435/Assumptions!$B$11,1)*100+Assumptions!$B$5*F435/10*100+Assumptions!$B$6*MIN(H435/Assumptions!$B$12,1)*100+Assumptions!$B$7*J435+Assumptions!$B$8*IF(I435="Yes",100,0),1)</f>
        <v>52.3</v>
      </c>
      <c r="L435" s="21" t="str">
        <f aca="false">LOOKUP(K435,Assumptions!$D$4:$D$7,Assumptions!$E$4:$E$7)</f>
        <v>Developing</v>
      </c>
      <c r="M435" s="21" t="n">
        <f aca="false">COUNTIFS(Applications!$B$2:$B$3144,A435)</f>
        <v>3</v>
      </c>
      <c r="N435" s="21" t="n">
        <f aca="false">COUNTIFS(Applications!$B$2:$B$3144,A435,Applications!$F$2:$F$3144,"Offered")</f>
        <v>1</v>
      </c>
      <c r="O435" s="21" t="str">
        <f aca="false">IF(COUNTIFS(Applications!$B$2:$B$3144,A435,Applications!$H$2:$H$3144,"Yes")&gt;0,"Yes","No")</f>
        <v>Yes</v>
      </c>
      <c r="P435" s="32" t="n">
        <f aca="false">SUMIFS(Applications!$G$2:$G$3144,Applications!$B$2:$B$3144,A435,Applications!$H$2:$H$3144,"Yes")</f>
        <v>4.4</v>
      </c>
      <c r="Q435" s="21" t="str">
        <f aca="false">IF(O435="Yes",INDEX(Companies!$B$2:$B$31,MATCH(INDEX(Applications!$C$2:$C$3144,MATCH(A435,Applications!$P$2:$P$3144,0)),Companies!$A$2:$A$31,0)),"-")</f>
        <v>Pioneer Softech</v>
      </c>
    </row>
    <row r="436" customFormat="false" ht="15" hidden="false" customHeight="false" outlineLevel="0" collapsed="false">
      <c r="A436" s="21" t="s">
        <v>896</v>
      </c>
      <c r="B436" s="21" t="s">
        <v>897</v>
      </c>
      <c r="C436" s="21" t="s">
        <v>810</v>
      </c>
      <c r="D436" s="21" t="s">
        <v>64</v>
      </c>
      <c r="E436" s="21" t="s">
        <v>90</v>
      </c>
      <c r="F436" s="21" t="n">
        <v>8.33</v>
      </c>
      <c r="G436" s="21" t="n">
        <v>950</v>
      </c>
      <c r="H436" s="21" t="n">
        <v>3</v>
      </c>
      <c r="I436" s="21" t="s">
        <v>113</v>
      </c>
      <c r="J436" s="21" t="n">
        <v>51</v>
      </c>
      <c r="K436" s="32" t="n">
        <f aca="false">ROUND(Assumptions!$B$4*MIN(G436/Assumptions!$B$11,1)*100+Assumptions!$B$5*F436/10*100+Assumptions!$B$6*MIN(H436/Assumptions!$B$12,1)*100+Assumptions!$B$7*J436+Assumptions!$B$8*IF(I436="Yes",100,0),1)</f>
        <v>68.9</v>
      </c>
      <c r="L436" s="21" t="str">
        <f aca="false">LOOKUP(K436,Assumptions!$D$4:$D$7,Assumptions!$E$4:$E$7)</f>
        <v>Job-Ready</v>
      </c>
      <c r="M436" s="21" t="n">
        <f aca="false">COUNTIFS(Applications!$B$2:$B$3144,A436)</f>
        <v>4</v>
      </c>
      <c r="N436" s="21" t="n">
        <f aca="false">COUNTIFS(Applications!$B$2:$B$3144,A436,Applications!$F$2:$F$3144,"Offered")</f>
        <v>2</v>
      </c>
      <c r="O436" s="21" t="str">
        <f aca="false">IF(COUNTIFS(Applications!$B$2:$B$3144,A436,Applications!$H$2:$H$3144,"Yes")&gt;0,"Yes","No")</f>
        <v>Yes</v>
      </c>
      <c r="P436" s="32" t="n">
        <f aca="false">SUMIFS(Applications!$G$2:$G$3144,Applications!$B$2:$B$3144,A436,Applications!$H$2:$H$3144,"Yes")</f>
        <v>12.6</v>
      </c>
      <c r="Q436" s="21" t="str">
        <f aca="false">IF(O436="Yes",INDEX(Companies!$B$2:$B$31,MATCH(INDEX(Applications!$C$2:$C$3144,MATCH(A436,Applications!$P$2:$P$3144,0)),Companies!$A$2:$A$31,0)),"-")</f>
        <v>DataBridge Analytics</v>
      </c>
    </row>
    <row r="437" customFormat="false" ht="15" hidden="false" customHeight="false" outlineLevel="0" collapsed="false">
      <c r="A437" s="21" t="s">
        <v>898</v>
      </c>
      <c r="B437" s="21" t="s">
        <v>899</v>
      </c>
      <c r="C437" s="21" t="s">
        <v>810</v>
      </c>
      <c r="D437" s="21" t="s">
        <v>67</v>
      </c>
      <c r="E437" s="21" t="s">
        <v>91</v>
      </c>
      <c r="F437" s="21" t="n">
        <v>6.81</v>
      </c>
      <c r="G437" s="21" t="n">
        <v>162</v>
      </c>
      <c r="H437" s="21" t="n">
        <v>4</v>
      </c>
      <c r="I437" s="21" t="s">
        <v>113</v>
      </c>
      <c r="J437" s="21" t="n">
        <v>71</v>
      </c>
      <c r="K437" s="32" t="n">
        <f aca="false">ROUND(Assumptions!$B$4*MIN(G437/Assumptions!$B$11,1)*100+Assumptions!$B$5*F437/10*100+Assumptions!$B$6*MIN(H437/Assumptions!$B$12,1)*100+Assumptions!$B$7*J437+Assumptions!$B$8*IF(I437="Yes",100,0),1)</f>
        <v>53.5</v>
      </c>
      <c r="L437" s="21" t="str">
        <f aca="false">LOOKUP(K437,Assumptions!$D$4:$D$7,Assumptions!$E$4:$E$7)</f>
        <v>Developing</v>
      </c>
      <c r="M437" s="21" t="n">
        <f aca="false">COUNTIFS(Applications!$B$2:$B$3144,A437)</f>
        <v>5</v>
      </c>
      <c r="N437" s="21" t="n">
        <f aca="false">COUNTIFS(Applications!$B$2:$B$3144,A437,Applications!$F$2:$F$3144,"Offered")</f>
        <v>0</v>
      </c>
      <c r="O437" s="21" t="str">
        <f aca="false">IF(COUNTIFS(Applications!$B$2:$B$3144,A437,Applications!$H$2:$H$3144,"Yes")&gt;0,"Yes","No")</f>
        <v>No</v>
      </c>
      <c r="P437" s="32" t="n">
        <f aca="false">SUMIFS(Applications!$G$2:$G$3144,Applications!$B$2:$B$3144,A437,Applications!$H$2:$H$3144,"Yes")</f>
        <v>0</v>
      </c>
      <c r="Q437" s="21" t="str">
        <f aca="false">IF(O437="Yes",INDEX(Companies!$B$2:$B$31,MATCH(INDEX(Applications!$C$2:$C$3144,MATCH(A437,Applications!$P$2:$P$3144,0)),Companies!$A$2:$A$31,0)),"-")</f>
        <v>-</v>
      </c>
    </row>
    <row r="438" customFormat="false" ht="15" hidden="false" customHeight="false" outlineLevel="0" collapsed="false">
      <c r="A438" s="21" t="s">
        <v>900</v>
      </c>
      <c r="B438" s="21" t="s">
        <v>901</v>
      </c>
      <c r="C438" s="21" t="s">
        <v>810</v>
      </c>
      <c r="D438" s="21" t="s">
        <v>64</v>
      </c>
      <c r="E438" s="21" t="s">
        <v>92</v>
      </c>
      <c r="F438" s="21" t="n">
        <v>7.34</v>
      </c>
      <c r="G438" s="21" t="n">
        <v>470</v>
      </c>
      <c r="H438" s="21" t="n">
        <v>6</v>
      </c>
      <c r="I438" s="21" t="s">
        <v>113</v>
      </c>
      <c r="J438" s="21" t="n">
        <v>62</v>
      </c>
      <c r="K438" s="32" t="n">
        <f aca="false">ROUND(Assumptions!$B$4*MIN(G438/Assumptions!$B$11,1)*100+Assumptions!$B$5*F438/10*100+Assumptions!$B$6*MIN(H438/Assumptions!$B$12,1)*100+Assumptions!$B$7*J438+Assumptions!$B$8*IF(I438="Yes",100,0),1)</f>
        <v>75.3</v>
      </c>
      <c r="L438" s="21" t="str">
        <f aca="false">LOOKUP(K438,Assumptions!$D$4:$D$7,Assumptions!$E$4:$E$7)</f>
        <v>Job-Ready</v>
      </c>
      <c r="M438" s="21" t="n">
        <f aca="false">COUNTIFS(Applications!$B$2:$B$3144,A438)</f>
        <v>3</v>
      </c>
      <c r="N438" s="21" t="n">
        <f aca="false">COUNTIFS(Applications!$B$2:$B$3144,A438,Applications!$F$2:$F$3144,"Offered")</f>
        <v>2</v>
      </c>
      <c r="O438" s="21" t="str">
        <f aca="false">IF(COUNTIFS(Applications!$B$2:$B$3144,A438,Applications!$H$2:$H$3144,"Yes")&gt;0,"Yes","No")</f>
        <v>Yes</v>
      </c>
      <c r="P438" s="32" t="n">
        <f aca="false">SUMIFS(Applications!$G$2:$G$3144,Applications!$B$2:$B$3144,A438,Applications!$H$2:$H$3144,"Yes")</f>
        <v>11.9</v>
      </c>
      <c r="Q438" s="21" t="str">
        <f aca="false">IF(O438="Yes",INDEX(Companies!$B$2:$B$31,MATCH(INDEX(Applications!$C$2:$C$3144,MATCH(A438,Applications!$P$2:$P$3144,0)),Companies!$A$2:$A$31,0)),"-")</f>
        <v>DataBridge Analytics</v>
      </c>
    </row>
    <row r="439" customFormat="false" ht="15" hidden="false" customHeight="false" outlineLevel="0" collapsed="false">
      <c r="A439" s="21" t="s">
        <v>902</v>
      </c>
      <c r="B439" s="21" t="s">
        <v>416</v>
      </c>
      <c r="C439" s="21" t="s">
        <v>810</v>
      </c>
      <c r="D439" s="21" t="s">
        <v>65</v>
      </c>
      <c r="E439" s="21" t="s">
        <v>90</v>
      </c>
      <c r="F439" s="21" t="n">
        <v>7.97</v>
      </c>
      <c r="G439" s="21" t="n">
        <v>217</v>
      </c>
      <c r="H439" s="21" t="n">
        <v>2</v>
      </c>
      <c r="I439" s="21" t="s">
        <v>113</v>
      </c>
      <c r="J439" s="21" t="n">
        <v>47</v>
      </c>
      <c r="K439" s="32" t="n">
        <f aca="false">ROUND(Assumptions!$B$4*MIN(G439/Assumptions!$B$11,1)*100+Assumptions!$B$5*F439/10*100+Assumptions!$B$6*MIN(H439/Assumptions!$B$12,1)*100+Assumptions!$B$7*J439+Assumptions!$B$8*IF(I439="Yes",100,0),1)</f>
        <v>46.4</v>
      </c>
      <c r="L439" s="21" t="str">
        <f aca="false">LOOKUP(K439,Assumptions!$D$4:$D$7,Assumptions!$E$4:$E$7)</f>
        <v>Foundation</v>
      </c>
      <c r="M439" s="21" t="n">
        <f aca="false">COUNTIFS(Applications!$B$2:$B$3144,A439)</f>
        <v>5</v>
      </c>
      <c r="N439" s="21" t="n">
        <f aca="false">COUNTIFS(Applications!$B$2:$B$3144,A439,Applications!$F$2:$F$3144,"Offered")</f>
        <v>1</v>
      </c>
      <c r="O439" s="21" t="str">
        <f aca="false">IF(COUNTIFS(Applications!$B$2:$B$3144,A439,Applications!$H$2:$H$3144,"Yes")&gt;0,"Yes","No")</f>
        <v>Yes</v>
      </c>
      <c r="P439" s="32" t="n">
        <f aca="false">SUMIFS(Applications!$G$2:$G$3144,Applications!$B$2:$B$3144,A439,Applications!$H$2:$H$3144,"Yes")</f>
        <v>6.1</v>
      </c>
      <c r="Q439" s="21" t="str">
        <f aca="false">IF(O439="Yes",INDEX(Companies!$B$2:$B$31,MATCH(INDEX(Applications!$C$2:$C$3144,MATCH(A439,Applications!$P$2:$P$3144,0)),Companies!$A$2:$A$31,0)),"-")</f>
        <v>Pioneer Softech</v>
      </c>
    </row>
    <row r="440" customFormat="false" ht="15" hidden="false" customHeight="false" outlineLevel="0" collapsed="false">
      <c r="A440" s="21" t="s">
        <v>903</v>
      </c>
      <c r="B440" s="21" t="s">
        <v>904</v>
      </c>
      <c r="C440" s="21" t="s">
        <v>810</v>
      </c>
      <c r="D440" s="21" t="s">
        <v>67</v>
      </c>
      <c r="E440" s="21" t="s">
        <v>90</v>
      </c>
      <c r="F440" s="21" t="n">
        <v>8.52</v>
      </c>
      <c r="G440" s="21" t="n">
        <v>282</v>
      </c>
      <c r="H440" s="21" t="n">
        <v>2</v>
      </c>
      <c r="I440" s="21" t="s">
        <v>120</v>
      </c>
      <c r="J440" s="21" t="n">
        <v>45</v>
      </c>
      <c r="K440" s="32" t="n">
        <f aca="false">ROUND(Assumptions!$B$4*MIN(G440/Assumptions!$B$11,1)*100+Assumptions!$B$5*F440/10*100+Assumptions!$B$6*MIN(H440/Assumptions!$B$12,1)*100+Assumptions!$B$7*J440+Assumptions!$B$8*IF(I440="Yes",100,0),1)</f>
        <v>61</v>
      </c>
      <c r="L440" s="21" t="str">
        <f aca="false">LOOKUP(K440,Assumptions!$D$4:$D$7,Assumptions!$E$4:$E$7)</f>
        <v>Developing</v>
      </c>
      <c r="M440" s="21" t="n">
        <f aca="false">COUNTIFS(Applications!$B$2:$B$3144,A440)</f>
        <v>7</v>
      </c>
      <c r="N440" s="21" t="n">
        <f aca="false">COUNTIFS(Applications!$B$2:$B$3144,A440,Applications!$F$2:$F$3144,"Offered")</f>
        <v>0</v>
      </c>
      <c r="O440" s="21" t="str">
        <f aca="false">IF(COUNTIFS(Applications!$B$2:$B$3144,A440,Applications!$H$2:$H$3144,"Yes")&gt;0,"Yes","No")</f>
        <v>No</v>
      </c>
      <c r="P440" s="32" t="n">
        <f aca="false">SUMIFS(Applications!$G$2:$G$3144,Applications!$B$2:$B$3144,A440,Applications!$H$2:$H$3144,"Yes")</f>
        <v>0</v>
      </c>
      <c r="Q440" s="21" t="str">
        <f aca="false">IF(O440="Yes",INDEX(Companies!$B$2:$B$31,MATCH(INDEX(Applications!$C$2:$C$3144,MATCH(A440,Applications!$P$2:$P$3144,0)),Companies!$A$2:$A$31,0)),"-")</f>
        <v>-</v>
      </c>
    </row>
    <row r="441" customFormat="false" ht="15" hidden="false" customHeight="false" outlineLevel="0" collapsed="false">
      <c r="A441" s="21" t="s">
        <v>905</v>
      </c>
      <c r="B441" s="21" t="s">
        <v>906</v>
      </c>
      <c r="C441" s="21" t="s">
        <v>810</v>
      </c>
      <c r="D441" s="21" t="s">
        <v>67</v>
      </c>
      <c r="E441" s="21" t="s">
        <v>90</v>
      </c>
      <c r="F441" s="21" t="n">
        <v>6.99</v>
      </c>
      <c r="G441" s="21" t="n">
        <v>298</v>
      </c>
      <c r="H441" s="21" t="n">
        <v>1</v>
      </c>
      <c r="I441" s="21" t="s">
        <v>120</v>
      </c>
      <c r="J441" s="21" t="n">
        <v>74</v>
      </c>
      <c r="K441" s="32" t="n">
        <f aca="false">ROUND(Assumptions!$B$4*MIN(G441/Assumptions!$B$11,1)*100+Assumptions!$B$5*F441/10*100+Assumptions!$B$6*MIN(H441/Assumptions!$B$12,1)*100+Assumptions!$B$7*J441+Assumptions!$B$8*IF(I441="Yes",100,0),1)</f>
        <v>60.7</v>
      </c>
      <c r="L441" s="21" t="str">
        <f aca="false">LOOKUP(K441,Assumptions!$D$4:$D$7,Assumptions!$E$4:$E$7)</f>
        <v>Developing</v>
      </c>
      <c r="M441" s="21" t="n">
        <f aca="false">COUNTIFS(Applications!$B$2:$B$3144,A441)</f>
        <v>4</v>
      </c>
      <c r="N441" s="21" t="n">
        <f aca="false">COUNTIFS(Applications!$B$2:$B$3144,A441,Applications!$F$2:$F$3144,"Offered")</f>
        <v>1</v>
      </c>
      <c r="O441" s="21" t="str">
        <f aca="false">IF(COUNTIFS(Applications!$B$2:$B$3144,A441,Applications!$H$2:$H$3144,"Yes")&gt;0,"Yes","No")</f>
        <v>Yes</v>
      </c>
      <c r="P441" s="32" t="n">
        <f aca="false">SUMIFS(Applications!$G$2:$G$3144,Applications!$B$2:$B$3144,A441,Applications!$H$2:$H$3144,"Yes")</f>
        <v>9.7</v>
      </c>
      <c r="Q441" s="21" t="str">
        <f aca="false">IF(O441="Yes",INDEX(Companies!$B$2:$B$31,MATCH(INDEX(Applications!$C$2:$C$3144,MATCH(A441,Applications!$P$2:$P$3144,0)),Companies!$A$2:$A$31,0)),"-")</f>
        <v>ShopSprint</v>
      </c>
    </row>
    <row r="442" customFormat="false" ht="15" hidden="false" customHeight="false" outlineLevel="0" collapsed="false">
      <c r="A442" s="21" t="s">
        <v>907</v>
      </c>
      <c r="B442" s="21" t="s">
        <v>908</v>
      </c>
      <c r="C442" s="21" t="s">
        <v>810</v>
      </c>
      <c r="D442" s="21" t="s">
        <v>66</v>
      </c>
      <c r="E442" s="21" t="s">
        <v>92</v>
      </c>
      <c r="F442" s="21" t="n">
        <v>7.38</v>
      </c>
      <c r="G442" s="21" t="n">
        <v>181</v>
      </c>
      <c r="H442" s="21" t="n">
        <v>3</v>
      </c>
      <c r="I442" s="21" t="s">
        <v>120</v>
      </c>
      <c r="J442" s="21" t="n">
        <v>87</v>
      </c>
      <c r="K442" s="32" t="n">
        <f aca="false">ROUND(Assumptions!$B$4*MIN(G442/Assumptions!$B$11,1)*100+Assumptions!$B$5*F442/10*100+Assumptions!$B$6*MIN(H442/Assumptions!$B$12,1)*100+Assumptions!$B$7*J442+Assumptions!$B$8*IF(I442="Yes",100,0),1)</f>
        <v>65</v>
      </c>
      <c r="L442" s="21" t="str">
        <f aca="false">LOOKUP(K442,Assumptions!$D$4:$D$7,Assumptions!$E$4:$E$7)</f>
        <v>Job-Ready</v>
      </c>
      <c r="M442" s="21" t="n">
        <f aca="false">COUNTIFS(Applications!$B$2:$B$3144,A442)</f>
        <v>7</v>
      </c>
      <c r="N442" s="21" t="n">
        <f aca="false">COUNTIFS(Applications!$B$2:$B$3144,A442,Applications!$F$2:$F$3144,"Offered")</f>
        <v>1</v>
      </c>
      <c r="O442" s="21" t="str">
        <f aca="false">IF(COUNTIFS(Applications!$B$2:$B$3144,A442,Applications!$H$2:$H$3144,"Yes")&gt;0,"Yes","No")</f>
        <v>Yes</v>
      </c>
      <c r="P442" s="32" t="n">
        <f aca="false">SUMIFS(Applications!$G$2:$G$3144,Applications!$B$2:$B$3144,A442,Applications!$H$2:$H$3144,"Yes")</f>
        <v>5.9</v>
      </c>
      <c r="Q442" s="21" t="str">
        <f aca="false">IF(O442="Yes",INDEX(Companies!$B$2:$B$31,MATCH(INDEX(Applications!$C$2:$C$3144,MATCH(A442,Applications!$P$2:$P$3144,0)),Companies!$A$2:$A$31,0)),"-")</f>
        <v>CodeCrest Solutions</v>
      </c>
    </row>
    <row r="443" customFormat="false" ht="15" hidden="false" customHeight="false" outlineLevel="0" collapsed="false">
      <c r="A443" s="21" t="s">
        <v>909</v>
      </c>
      <c r="B443" s="21" t="s">
        <v>430</v>
      </c>
      <c r="C443" s="21" t="s">
        <v>810</v>
      </c>
      <c r="D443" s="21" t="s">
        <v>67</v>
      </c>
      <c r="E443" s="21" t="s">
        <v>91</v>
      </c>
      <c r="F443" s="21" t="n">
        <v>7.78</v>
      </c>
      <c r="G443" s="21" t="n">
        <v>247</v>
      </c>
      <c r="H443" s="21" t="n">
        <v>2</v>
      </c>
      <c r="I443" s="21" t="s">
        <v>113</v>
      </c>
      <c r="J443" s="21" t="n">
        <v>81</v>
      </c>
      <c r="K443" s="32" t="n">
        <f aca="false">ROUND(Assumptions!$B$4*MIN(G443/Assumptions!$B$11,1)*100+Assumptions!$B$5*F443/10*100+Assumptions!$B$6*MIN(H443/Assumptions!$B$12,1)*100+Assumptions!$B$7*J443+Assumptions!$B$8*IF(I443="Yes",100,0),1)</f>
        <v>54.6</v>
      </c>
      <c r="L443" s="21" t="str">
        <f aca="false">LOOKUP(K443,Assumptions!$D$4:$D$7,Assumptions!$E$4:$E$7)</f>
        <v>Developing</v>
      </c>
      <c r="M443" s="21" t="n">
        <f aca="false">COUNTIFS(Applications!$B$2:$B$3144,A443)</f>
        <v>2</v>
      </c>
      <c r="N443" s="21" t="n">
        <f aca="false">COUNTIFS(Applications!$B$2:$B$3144,A443,Applications!$F$2:$F$3144,"Offered")</f>
        <v>0</v>
      </c>
      <c r="O443" s="21" t="str">
        <f aca="false">IF(COUNTIFS(Applications!$B$2:$B$3144,A443,Applications!$H$2:$H$3144,"Yes")&gt;0,"Yes","No")</f>
        <v>No</v>
      </c>
      <c r="P443" s="32" t="n">
        <f aca="false">SUMIFS(Applications!$G$2:$G$3144,Applications!$B$2:$B$3144,A443,Applications!$H$2:$H$3144,"Yes")</f>
        <v>0</v>
      </c>
      <c r="Q443" s="21" t="str">
        <f aca="false">IF(O443="Yes",INDEX(Companies!$B$2:$B$31,MATCH(INDEX(Applications!$C$2:$C$3144,MATCH(A443,Applications!$P$2:$P$3144,0)),Companies!$A$2:$A$31,0)),"-")</f>
        <v>-</v>
      </c>
    </row>
    <row r="444" customFormat="false" ht="15" hidden="false" customHeight="false" outlineLevel="0" collapsed="false">
      <c r="A444" s="21" t="s">
        <v>910</v>
      </c>
      <c r="B444" s="21" t="s">
        <v>911</v>
      </c>
      <c r="C444" s="21" t="s">
        <v>810</v>
      </c>
      <c r="D444" s="21" t="s">
        <v>67</v>
      </c>
      <c r="E444" s="21" t="s">
        <v>92</v>
      </c>
      <c r="F444" s="21" t="n">
        <v>8.6</v>
      </c>
      <c r="G444" s="21" t="n">
        <v>177</v>
      </c>
      <c r="H444" s="21" t="n">
        <v>2</v>
      </c>
      <c r="I444" s="21" t="s">
        <v>113</v>
      </c>
      <c r="J444" s="21" t="n">
        <v>58</v>
      </c>
      <c r="K444" s="32" t="n">
        <f aca="false">ROUND(Assumptions!$B$4*MIN(G444/Assumptions!$B$11,1)*100+Assumptions!$B$5*F444/10*100+Assumptions!$B$6*MIN(H444/Assumptions!$B$12,1)*100+Assumptions!$B$7*J444+Assumptions!$B$8*IF(I444="Yes",100,0),1)</f>
        <v>47.4</v>
      </c>
      <c r="L444" s="21" t="str">
        <f aca="false">LOOKUP(K444,Assumptions!$D$4:$D$7,Assumptions!$E$4:$E$7)</f>
        <v>Foundation</v>
      </c>
      <c r="M444" s="21" t="n">
        <f aca="false">COUNTIFS(Applications!$B$2:$B$3144,A444)</f>
        <v>5</v>
      </c>
      <c r="N444" s="21" t="n">
        <f aca="false">COUNTIFS(Applications!$B$2:$B$3144,A444,Applications!$F$2:$F$3144,"Offered")</f>
        <v>0</v>
      </c>
      <c r="O444" s="21" t="str">
        <f aca="false">IF(COUNTIFS(Applications!$B$2:$B$3144,A444,Applications!$H$2:$H$3144,"Yes")&gt;0,"Yes","No")</f>
        <v>No</v>
      </c>
      <c r="P444" s="32" t="n">
        <f aca="false">SUMIFS(Applications!$G$2:$G$3144,Applications!$B$2:$B$3144,A444,Applications!$H$2:$H$3144,"Yes")</f>
        <v>0</v>
      </c>
      <c r="Q444" s="21" t="str">
        <f aca="false">IF(O444="Yes",INDEX(Companies!$B$2:$B$31,MATCH(INDEX(Applications!$C$2:$C$3144,MATCH(A444,Applications!$P$2:$P$3144,0)),Companies!$A$2:$A$31,0)),"-")</f>
        <v>-</v>
      </c>
    </row>
    <row r="445" customFormat="false" ht="15" hidden="false" customHeight="false" outlineLevel="0" collapsed="false">
      <c r="A445" s="21" t="s">
        <v>912</v>
      </c>
      <c r="B445" s="21" t="s">
        <v>913</v>
      </c>
      <c r="C445" s="21" t="s">
        <v>810</v>
      </c>
      <c r="D445" s="21" t="s">
        <v>67</v>
      </c>
      <c r="E445" s="21" t="s">
        <v>91</v>
      </c>
      <c r="F445" s="21" t="n">
        <v>6.22</v>
      </c>
      <c r="G445" s="21" t="n">
        <v>95</v>
      </c>
      <c r="H445" s="21" t="n">
        <v>3</v>
      </c>
      <c r="I445" s="21" t="s">
        <v>113</v>
      </c>
      <c r="J445" s="21" t="n">
        <v>78</v>
      </c>
      <c r="K445" s="32" t="n">
        <f aca="false">ROUND(Assumptions!$B$4*MIN(G445/Assumptions!$B$11,1)*100+Assumptions!$B$5*F445/10*100+Assumptions!$B$6*MIN(H445/Assumptions!$B$12,1)*100+Assumptions!$B$7*J445+Assumptions!$B$8*IF(I445="Yes",100,0),1)</f>
        <v>45.7</v>
      </c>
      <c r="L445" s="21" t="str">
        <f aca="false">LOOKUP(K445,Assumptions!$D$4:$D$7,Assumptions!$E$4:$E$7)</f>
        <v>Foundation</v>
      </c>
      <c r="M445" s="21" t="n">
        <f aca="false">COUNTIFS(Applications!$B$2:$B$3144,A445)</f>
        <v>9</v>
      </c>
      <c r="N445" s="21" t="n">
        <f aca="false">COUNTIFS(Applications!$B$2:$B$3144,A445,Applications!$F$2:$F$3144,"Offered")</f>
        <v>0</v>
      </c>
      <c r="O445" s="21" t="str">
        <f aca="false">IF(COUNTIFS(Applications!$B$2:$B$3144,A445,Applications!$H$2:$H$3144,"Yes")&gt;0,"Yes","No")</f>
        <v>No</v>
      </c>
      <c r="P445" s="32" t="n">
        <f aca="false">SUMIFS(Applications!$G$2:$G$3144,Applications!$B$2:$B$3144,A445,Applications!$H$2:$H$3144,"Yes")</f>
        <v>0</v>
      </c>
      <c r="Q445" s="21" t="str">
        <f aca="false">IF(O445="Yes",INDEX(Companies!$B$2:$B$31,MATCH(INDEX(Applications!$C$2:$C$3144,MATCH(A445,Applications!$P$2:$P$3144,0)),Companies!$A$2:$A$31,0)),"-")</f>
        <v>-</v>
      </c>
    </row>
    <row r="446" customFormat="false" ht="15" hidden="false" customHeight="false" outlineLevel="0" collapsed="false">
      <c r="A446" s="21" t="s">
        <v>914</v>
      </c>
      <c r="B446" s="21" t="s">
        <v>398</v>
      </c>
      <c r="C446" s="21" t="s">
        <v>810</v>
      </c>
      <c r="D446" s="21" t="s">
        <v>66</v>
      </c>
      <c r="E446" s="21" t="s">
        <v>91</v>
      </c>
      <c r="F446" s="21" t="n">
        <v>8.16</v>
      </c>
      <c r="G446" s="21" t="n">
        <v>108</v>
      </c>
      <c r="H446" s="21" t="n">
        <v>3</v>
      </c>
      <c r="I446" s="21" t="s">
        <v>113</v>
      </c>
      <c r="J446" s="21" t="n">
        <v>69</v>
      </c>
      <c r="K446" s="32" t="n">
        <f aca="false">ROUND(Assumptions!$B$4*MIN(G446/Assumptions!$B$11,1)*100+Assumptions!$B$5*F446/10*100+Assumptions!$B$6*MIN(H446/Assumptions!$B$12,1)*100+Assumptions!$B$7*J446+Assumptions!$B$8*IF(I446="Yes",100,0),1)</f>
        <v>48.6</v>
      </c>
      <c r="L446" s="21" t="str">
        <f aca="false">LOOKUP(K446,Assumptions!$D$4:$D$7,Assumptions!$E$4:$E$7)</f>
        <v>Foundation</v>
      </c>
      <c r="M446" s="21" t="n">
        <f aca="false">COUNTIFS(Applications!$B$2:$B$3144,A446)</f>
        <v>1</v>
      </c>
      <c r="N446" s="21" t="n">
        <f aca="false">COUNTIFS(Applications!$B$2:$B$3144,A446,Applications!$F$2:$F$3144,"Offered")</f>
        <v>0</v>
      </c>
      <c r="O446" s="21" t="str">
        <f aca="false">IF(COUNTIFS(Applications!$B$2:$B$3144,A446,Applications!$H$2:$H$3144,"Yes")&gt;0,"Yes","No")</f>
        <v>No</v>
      </c>
      <c r="P446" s="32" t="n">
        <f aca="false">SUMIFS(Applications!$G$2:$G$3144,Applications!$B$2:$B$3144,A446,Applications!$H$2:$H$3144,"Yes")</f>
        <v>0</v>
      </c>
      <c r="Q446" s="21" t="str">
        <f aca="false">IF(O446="Yes",INDEX(Companies!$B$2:$B$31,MATCH(INDEX(Applications!$C$2:$C$3144,MATCH(A446,Applications!$P$2:$P$3144,0)),Companies!$A$2:$A$31,0)),"-")</f>
        <v>-</v>
      </c>
    </row>
    <row r="447" customFormat="false" ht="15" hidden="false" customHeight="false" outlineLevel="0" collapsed="false">
      <c r="A447" s="21" t="s">
        <v>915</v>
      </c>
      <c r="B447" s="21" t="s">
        <v>240</v>
      </c>
      <c r="C447" s="21" t="s">
        <v>810</v>
      </c>
      <c r="D447" s="21" t="s">
        <v>65</v>
      </c>
      <c r="E447" s="21" t="s">
        <v>91</v>
      </c>
      <c r="F447" s="21" t="n">
        <v>8.33</v>
      </c>
      <c r="G447" s="21" t="n">
        <v>312</v>
      </c>
      <c r="H447" s="21" t="n">
        <v>3</v>
      </c>
      <c r="I447" s="21" t="s">
        <v>113</v>
      </c>
      <c r="J447" s="21" t="n">
        <v>45</v>
      </c>
      <c r="K447" s="32" t="n">
        <f aca="false">ROUND(Assumptions!$B$4*MIN(G447/Assumptions!$B$11,1)*100+Assumptions!$B$5*F447/10*100+Assumptions!$B$6*MIN(H447/Assumptions!$B$12,1)*100+Assumptions!$B$7*J447+Assumptions!$B$8*IF(I447="Yes",100,0),1)</f>
        <v>56.4</v>
      </c>
      <c r="L447" s="21" t="str">
        <f aca="false">LOOKUP(K447,Assumptions!$D$4:$D$7,Assumptions!$E$4:$E$7)</f>
        <v>Developing</v>
      </c>
      <c r="M447" s="21" t="n">
        <f aca="false">COUNTIFS(Applications!$B$2:$B$3144,A447)</f>
        <v>4</v>
      </c>
      <c r="N447" s="21" t="n">
        <f aca="false">COUNTIFS(Applications!$B$2:$B$3144,A447,Applications!$F$2:$F$3144,"Offered")</f>
        <v>2</v>
      </c>
      <c r="O447" s="21" t="str">
        <f aca="false">IF(COUNTIFS(Applications!$B$2:$B$3144,A447,Applications!$H$2:$H$3144,"Yes")&gt;0,"Yes","No")</f>
        <v>Yes</v>
      </c>
      <c r="P447" s="32" t="n">
        <f aca="false">SUMIFS(Applications!$G$2:$G$3144,Applications!$B$2:$B$3144,A447,Applications!$H$2:$H$3144,"Yes")</f>
        <v>28.7</v>
      </c>
      <c r="Q447" s="21" t="str">
        <f aca="false">IF(O447="Yes",INDEX(Companies!$B$2:$B$31,MATCH(INDEX(Applications!$C$2:$C$3144,MATCH(A447,Applications!$P$2:$P$3144,0)),Companies!$A$2:$A$31,0)),"-")</f>
        <v>Orbitly</v>
      </c>
    </row>
    <row r="448" customFormat="false" ht="15" hidden="false" customHeight="false" outlineLevel="0" collapsed="false">
      <c r="A448" s="21" t="s">
        <v>916</v>
      </c>
      <c r="B448" s="21" t="s">
        <v>512</v>
      </c>
      <c r="C448" s="21" t="s">
        <v>810</v>
      </c>
      <c r="D448" s="21" t="s">
        <v>64</v>
      </c>
      <c r="E448" s="21" t="s">
        <v>91</v>
      </c>
      <c r="F448" s="21" t="n">
        <v>6.94</v>
      </c>
      <c r="G448" s="21" t="n">
        <v>325</v>
      </c>
      <c r="H448" s="21" t="n">
        <v>2</v>
      </c>
      <c r="I448" s="21" t="s">
        <v>120</v>
      </c>
      <c r="J448" s="21" t="n">
        <v>46</v>
      </c>
      <c r="K448" s="32" t="n">
        <f aca="false">ROUND(Assumptions!$B$4*MIN(G448/Assumptions!$B$11,1)*100+Assumptions!$B$5*F448/10*100+Assumptions!$B$6*MIN(H448/Assumptions!$B$12,1)*100+Assumptions!$B$7*J448+Assumptions!$B$8*IF(I448="Yes",100,0),1)</f>
        <v>60.6</v>
      </c>
      <c r="L448" s="21" t="str">
        <f aca="false">LOOKUP(K448,Assumptions!$D$4:$D$7,Assumptions!$E$4:$E$7)</f>
        <v>Developing</v>
      </c>
      <c r="M448" s="21" t="n">
        <f aca="false">COUNTIFS(Applications!$B$2:$B$3144,A448)</f>
        <v>3</v>
      </c>
      <c r="N448" s="21" t="n">
        <f aca="false">COUNTIFS(Applications!$B$2:$B$3144,A448,Applications!$F$2:$F$3144,"Offered")</f>
        <v>0</v>
      </c>
      <c r="O448" s="21" t="str">
        <f aca="false">IF(COUNTIFS(Applications!$B$2:$B$3144,A448,Applications!$H$2:$H$3144,"Yes")&gt;0,"Yes","No")</f>
        <v>No</v>
      </c>
      <c r="P448" s="32" t="n">
        <f aca="false">SUMIFS(Applications!$G$2:$G$3144,Applications!$B$2:$B$3144,A448,Applications!$H$2:$H$3144,"Yes")</f>
        <v>0</v>
      </c>
      <c r="Q448" s="21" t="str">
        <f aca="false">IF(O448="Yes",INDEX(Companies!$B$2:$B$31,MATCH(INDEX(Applications!$C$2:$C$3144,MATCH(A448,Applications!$P$2:$P$3144,0)),Companies!$A$2:$A$31,0)),"-")</f>
        <v>-</v>
      </c>
    </row>
    <row r="449" customFormat="false" ht="15" hidden="false" customHeight="false" outlineLevel="0" collapsed="false">
      <c r="A449" s="21" t="s">
        <v>917</v>
      </c>
      <c r="B449" s="21" t="s">
        <v>351</v>
      </c>
      <c r="C449" s="21" t="s">
        <v>810</v>
      </c>
      <c r="D449" s="21" t="s">
        <v>67</v>
      </c>
      <c r="E449" s="21" t="s">
        <v>90</v>
      </c>
      <c r="F449" s="21" t="n">
        <v>6.97</v>
      </c>
      <c r="G449" s="21" t="n">
        <v>246</v>
      </c>
      <c r="H449" s="21" t="n">
        <v>0</v>
      </c>
      <c r="I449" s="21" t="s">
        <v>113</v>
      </c>
      <c r="J449" s="21" t="n">
        <v>43</v>
      </c>
      <c r="K449" s="32" t="n">
        <f aca="false">ROUND(Assumptions!$B$4*MIN(G449/Assumptions!$B$11,1)*100+Assumptions!$B$5*F449/10*100+Assumptions!$B$6*MIN(H449/Assumptions!$B$12,1)*100+Assumptions!$B$7*J449+Assumptions!$B$8*IF(I449="Yes",100,0),1)</f>
        <v>37.3</v>
      </c>
      <c r="L449" s="21" t="str">
        <f aca="false">LOOKUP(K449,Assumptions!$D$4:$D$7,Assumptions!$E$4:$E$7)</f>
        <v>Foundation</v>
      </c>
      <c r="M449" s="21" t="n">
        <f aca="false">COUNTIFS(Applications!$B$2:$B$3144,A449)</f>
        <v>6</v>
      </c>
      <c r="N449" s="21" t="n">
        <f aca="false">COUNTIFS(Applications!$B$2:$B$3144,A449,Applications!$F$2:$F$3144,"Offered")</f>
        <v>1</v>
      </c>
      <c r="O449" s="21" t="str">
        <f aca="false">IF(COUNTIFS(Applications!$B$2:$B$3144,A449,Applications!$H$2:$H$3144,"Yes")&gt;0,"Yes","No")</f>
        <v>Yes</v>
      </c>
      <c r="P449" s="32" t="n">
        <f aca="false">SUMIFS(Applications!$G$2:$G$3144,Applications!$B$2:$B$3144,A449,Applications!$H$2:$H$3144,"Yes")</f>
        <v>5.6</v>
      </c>
      <c r="Q449" s="21" t="str">
        <f aca="false">IF(O449="Yes",INDEX(Companies!$B$2:$B$31,MATCH(INDEX(Applications!$C$2:$C$3144,MATCH(A449,Applications!$P$2:$P$3144,0)),Companies!$A$2:$A$31,0)),"-")</f>
        <v>HealthLink Digital</v>
      </c>
    </row>
    <row r="450" customFormat="false" ht="15" hidden="false" customHeight="false" outlineLevel="0" collapsed="false">
      <c r="A450" s="21" t="s">
        <v>918</v>
      </c>
      <c r="B450" s="21" t="s">
        <v>600</v>
      </c>
      <c r="C450" s="21" t="s">
        <v>810</v>
      </c>
      <c r="D450" s="21" t="s">
        <v>66</v>
      </c>
      <c r="E450" s="21" t="s">
        <v>92</v>
      </c>
      <c r="F450" s="21" t="n">
        <v>6.86</v>
      </c>
      <c r="G450" s="21" t="n">
        <v>89</v>
      </c>
      <c r="H450" s="21" t="n">
        <v>6</v>
      </c>
      <c r="I450" s="21" t="s">
        <v>120</v>
      </c>
      <c r="J450" s="21" t="n">
        <v>36</v>
      </c>
      <c r="K450" s="32" t="n">
        <f aca="false">ROUND(Assumptions!$B$4*MIN(G450/Assumptions!$B$11,1)*100+Assumptions!$B$5*F450/10*100+Assumptions!$B$6*MIN(H450/Assumptions!$B$12,1)*100+Assumptions!$B$7*J450+Assumptions!$B$8*IF(I450="Yes",100,0),1)</f>
        <v>56.3</v>
      </c>
      <c r="L450" s="21" t="str">
        <f aca="false">LOOKUP(K450,Assumptions!$D$4:$D$7,Assumptions!$E$4:$E$7)</f>
        <v>Developing</v>
      </c>
      <c r="M450" s="21" t="n">
        <f aca="false">COUNTIFS(Applications!$B$2:$B$3144,A450)</f>
        <v>6</v>
      </c>
      <c r="N450" s="21" t="n">
        <f aca="false">COUNTIFS(Applications!$B$2:$B$3144,A450,Applications!$F$2:$F$3144,"Offered")</f>
        <v>0</v>
      </c>
      <c r="O450" s="21" t="str">
        <f aca="false">IF(COUNTIFS(Applications!$B$2:$B$3144,A450,Applications!$H$2:$H$3144,"Yes")&gt;0,"Yes","No")</f>
        <v>No</v>
      </c>
      <c r="P450" s="32" t="n">
        <f aca="false">SUMIFS(Applications!$G$2:$G$3144,Applications!$B$2:$B$3144,A450,Applications!$H$2:$H$3144,"Yes")</f>
        <v>0</v>
      </c>
      <c r="Q450" s="21" t="str">
        <f aca="false">IF(O450="Yes",INDEX(Companies!$B$2:$B$31,MATCH(INDEX(Applications!$C$2:$C$3144,MATCH(A450,Applications!$P$2:$P$3144,0)),Companies!$A$2:$A$31,0)),"-")</f>
        <v>-</v>
      </c>
    </row>
    <row r="451" customFormat="false" ht="15" hidden="false" customHeight="false" outlineLevel="0" collapsed="false">
      <c r="A451" s="21" t="s">
        <v>919</v>
      </c>
      <c r="B451" s="21" t="s">
        <v>229</v>
      </c>
      <c r="C451" s="21" t="s">
        <v>810</v>
      </c>
      <c r="D451" s="21" t="s">
        <v>65</v>
      </c>
      <c r="E451" s="21" t="s">
        <v>92</v>
      </c>
      <c r="F451" s="21" t="n">
        <v>8</v>
      </c>
      <c r="G451" s="21" t="n">
        <v>151</v>
      </c>
      <c r="H451" s="21" t="n">
        <v>5</v>
      </c>
      <c r="I451" s="21" t="s">
        <v>120</v>
      </c>
      <c r="J451" s="21" t="n">
        <v>57</v>
      </c>
      <c r="K451" s="32" t="n">
        <f aca="false">ROUND(Assumptions!$B$4*MIN(G451/Assumptions!$B$11,1)*100+Assumptions!$B$5*F451/10*100+Assumptions!$B$6*MIN(H451/Assumptions!$B$12,1)*100+Assumptions!$B$7*J451+Assumptions!$B$8*IF(I451="Yes",100,0),1)</f>
        <v>66.5</v>
      </c>
      <c r="L451" s="21" t="str">
        <f aca="false">LOOKUP(K451,Assumptions!$D$4:$D$7,Assumptions!$E$4:$E$7)</f>
        <v>Job-Ready</v>
      </c>
      <c r="M451" s="21" t="n">
        <f aca="false">COUNTIFS(Applications!$B$2:$B$3144,A451)</f>
        <v>8</v>
      </c>
      <c r="N451" s="21" t="n">
        <f aca="false">COUNTIFS(Applications!$B$2:$B$3144,A451,Applications!$F$2:$F$3144,"Offered")</f>
        <v>5</v>
      </c>
      <c r="O451" s="21" t="str">
        <f aca="false">IF(COUNTIFS(Applications!$B$2:$B$3144,A451,Applications!$H$2:$H$3144,"Yes")&gt;0,"Yes","No")</f>
        <v>Yes</v>
      </c>
      <c r="P451" s="32" t="n">
        <f aca="false">SUMIFS(Applications!$G$2:$G$3144,Applications!$B$2:$B$3144,A451,Applications!$H$2:$H$3144,"Yes")</f>
        <v>16.4</v>
      </c>
      <c r="Q451" s="21" t="str">
        <f aca="false">IF(O451="Yes",INDEX(Companies!$B$2:$B$31,MATCH(INDEX(Applications!$C$2:$C$3144,MATCH(A451,Applications!$P$2:$P$3144,0)),Companies!$A$2:$A$31,0)),"-")</f>
        <v>CartNest</v>
      </c>
    </row>
    <row r="452" customFormat="false" ht="15" hidden="false" customHeight="false" outlineLevel="0" collapsed="false">
      <c r="A452" s="21" t="s">
        <v>920</v>
      </c>
      <c r="B452" s="21" t="s">
        <v>265</v>
      </c>
      <c r="C452" s="21" t="s">
        <v>810</v>
      </c>
      <c r="D452" s="21" t="s">
        <v>63</v>
      </c>
      <c r="E452" s="21" t="s">
        <v>91</v>
      </c>
      <c r="F452" s="21" t="n">
        <v>7.74</v>
      </c>
      <c r="G452" s="21" t="n">
        <v>119</v>
      </c>
      <c r="H452" s="21" t="n">
        <v>1</v>
      </c>
      <c r="I452" s="21" t="s">
        <v>113</v>
      </c>
      <c r="J452" s="21" t="n">
        <v>71</v>
      </c>
      <c r="K452" s="32" t="n">
        <f aca="false">ROUND(Assumptions!$B$4*MIN(G452/Assumptions!$B$11,1)*100+Assumptions!$B$5*F452/10*100+Assumptions!$B$6*MIN(H452/Assumptions!$B$12,1)*100+Assumptions!$B$7*J452+Assumptions!$B$8*IF(I452="Yes",100,0),1)</f>
        <v>40.8</v>
      </c>
      <c r="L452" s="21" t="str">
        <f aca="false">LOOKUP(K452,Assumptions!$D$4:$D$7,Assumptions!$E$4:$E$7)</f>
        <v>Foundation</v>
      </c>
      <c r="M452" s="21" t="n">
        <f aca="false">COUNTIFS(Applications!$B$2:$B$3144,A452)</f>
        <v>3</v>
      </c>
      <c r="N452" s="21" t="n">
        <f aca="false">COUNTIFS(Applications!$B$2:$B$3144,A452,Applications!$F$2:$F$3144,"Offered")</f>
        <v>0</v>
      </c>
      <c r="O452" s="21" t="str">
        <f aca="false">IF(COUNTIFS(Applications!$B$2:$B$3144,A452,Applications!$H$2:$H$3144,"Yes")&gt;0,"Yes","No")</f>
        <v>No</v>
      </c>
      <c r="P452" s="32" t="n">
        <f aca="false">SUMIFS(Applications!$G$2:$G$3144,Applications!$B$2:$B$3144,A452,Applications!$H$2:$H$3144,"Yes")</f>
        <v>0</v>
      </c>
      <c r="Q452" s="21" t="str">
        <f aca="false">IF(O452="Yes",INDEX(Companies!$B$2:$B$31,MATCH(INDEX(Applications!$C$2:$C$3144,MATCH(A452,Applications!$P$2:$P$3144,0)),Companies!$A$2:$A$31,0)),"-")</f>
        <v>-</v>
      </c>
    </row>
    <row r="453" customFormat="false" ht="15" hidden="false" customHeight="false" outlineLevel="0" collapsed="false">
      <c r="A453" s="21" t="s">
        <v>921</v>
      </c>
      <c r="B453" s="21" t="s">
        <v>922</v>
      </c>
      <c r="C453" s="21" t="s">
        <v>810</v>
      </c>
      <c r="D453" s="21" t="s">
        <v>64</v>
      </c>
      <c r="E453" s="21" t="s">
        <v>90</v>
      </c>
      <c r="F453" s="21" t="n">
        <v>8.23</v>
      </c>
      <c r="G453" s="21" t="n">
        <v>703</v>
      </c>
      <c r="H453" s="21" t="n">
        <v>1</v>
      </c>
      <c r="I453" s="21" t="s">
        <v>120</v>
      </c>
      <c r="J453" s="21" t="n">
        <v>58</v>
      </c>
      <c r="K453" s="32" t="n">
        <f aca="false">ROUND(Assumptions!$B$4*MIN(G453/Assumptions!$B$11,1)*100+Assumptions!$B$5*F453/10*100+Assumptions!$B$6*MIN(H453/Assumptions!$B$12,1)*100+Assumptions!$B$7*J453+Assumptions!$B$8*IF(I453="Yes",100,0),1)</f>
        <v>72.1</v>
      </c>
      <c r="L453" s="21" t="str">
        <f aca="false">LOOKUP(K453,Assumptions!$D$4:$D$7,Assumptions!$E$4:$E$7)</f>
        <v>Job-Ready</v>
      </c>
      <c r="M453" s="21" t="n">
        <f aca="false">COUNTIFS(Applications!$B$2:$B$3144,A453)</f>
        <v>5</v>
      </c>
      <c r="N453" s="21" t="n">
        <f aca="false">COUNTIFS(Applications!$B$2:$B$3144,A453,Applications!$F$2:$F$3144,"Offered")</f>
        <v>2</v>
      </c>
      <c r="O453" s="21" t="str">
        <f aca="false">IF(COUNTIFS(Applications!$B$2:$B$3144,A453,Applications!$H$2:$H$3144,"Yes")&gt;0,"Yes","No")</f>
        <v>Yes</v>
      </c>
      <c r="P453" s="32" t="n">
        <f aca="false">SUMIFS(Applications!$G$2:$G$3144,Applications!$B$2:$B$3144,A453,Applications!$H$2:$H$3144,"Yes")</f>
        <v>14.9</v>
      </c>
      <c r="Q453" s="21" t="str">
        <f aca="false">IF(O453="Yes",INDEX(Companies!$B$2:$B$31,MATCH(INDEX(Applications!$C$2:$C$3144,MATCH(A453,Applications!$P$2:$P$3144,0)),Companies!$A$2:$A$31,0)),"-")</f>
        <v>PayRiver</v>
      </c>
    </row>
    <row r="454" customFormat="false" ht="15" hidden="false" customHeight="false" outlineLevel="0" collapsed="false">
      <c r="A454" s="21" t="s">
        <v>923</v>
      </c>
      <c r="B454" s="21" t="s">
        <v>924</v>
      </c>
      <c r="C454" s="21" t="s">
        <v>810</v>
      </c>
      <c r="D454" s="21" t="s">
        <v>65</v>
      </c>
      <c r="E454" s="21" t="s">
        <v>91</v>
      </c>
      <c r="F454" s="21" t="n">
        <v>8.21</v>
      </c>
      <c r="G454" s="21" t="n">
        <v>197</v>
      </c>
      <c r="H454" s="21" t="n">
        <v>2</v>
      </c>
      <c r="I454" s="21" t="s">
        <v>113</v>
      </c>
      <c r="J454" s="21" t="n">
        <v>30</v>
      </c>
      <c r="K454" s="32" t="n">
        <f aca="false">ROUND(Assumptions!$B$4*MIN(G454/Assumptions!$B$11,1)*100+Assumptions!$B$5*F454/10*100+Assumptions!$B$6*MIN(H454/Assumptions!$B$12,1)*100+Assumptions!$B$7*J454+Assumptions!$B$8*IF(I454="Yes",100,0),1)</f>
        <v>42.2</v>
      </c>
      <c r="L454" s="21" t="str">
        <f aca="false">LOOKUP(K454,Assumptions!$D$4:$D$7,Assumptions!$E$4:$E$7)</f>
        <v>Foundation</v>
      </c>
      <c r="M454" s="21" t="n">
        <f aca="false">COUNTIFS(Applications!$B$2:$B$3144,A454)</f>
        <v>7</v>
      </c>
      <c r="N454" s="21" t="n">
        <f aca="false">COUNTIFS(Applications!$B$2:$B$3144,A454,Applications!$F$2:$F$3144,"Offered")</f>
        <v>0</v>
      </c>
      <c r="O454" s="21" t="str">
        <f aca="false">IF(COUNTIFS(Applications!$B$2:$B$3144,A454,Applications!$H$2:$H$3144,"Yes")&gt;0,"Yes","No")</f>
        <v>No</v>
      </c>
      <c r="P454" s="32" t="n">
        <f aca="false">SUMIFS(Applications!$G$2:$G$3144,Applications!$B$2:$B$3144,A454,Applications!$H$2:$H$3144,"Yes")</f>
        <v>0</v>
      </c>
      <c r="Q454" s="21" t="str">
        <f aca="false">IF(O454="Yes",INDEX(Companies!$B$2:$B$31,MATCH(INDEX(Applications!$C$2:$C$3144,MATCH(A454,Applications!$P$2:$P$3144,0)),Companies!$A$2:$A$31,0)),"-")</f>
        <v>-</v>
      </c>
    </row>
    <row r="455" customFormat="false" ht="15" hidden="false" customHeight="false" outlineLevel="0" collapsed="false">
      <c r="A455" s="21" t="s">
        <v>925</v>
      </c>
      <c r="B455" s="21" t="s">
        <v>926</v>
      </c>
      <c r="C455" s="21" t="s">
        <v>810</v>
      </c>
      <c r="D455" s="21" t="s">
        <v>67</v>
      </c>
      <c r="E455" s="21" t="s">
        <v>90</v>
      </c>
      <c r="F455" s="21" t="n">
        <v>6.65</v>
      </c>
      <c r="G455" s="21" t="n">
        <v>193</v>
      </c>
      <c r="H455" s="21" t="n">
        <v>5</v>
      </c>
      <c r="I455" s="21" t="s">
        <v>113</v>
      </c>
      <c r="J455" s="21" t="n">
        <v>53</v>
      </c>
      <c r="K455" s="32" t="n">
        <f aca="false">ROUND(Assumptions!$B$4*MIN(G455/Assumptions!$B$11,1)*100+Assumptions!$B$5*F455/10*100+Assumptions!$B$6*MIN(H455/Assumptions!$B$12,1)*100+Assumptions!$B$7*J455+Assumptions!$B$8*IF(I455="Yes",100,0),1)</f>
        <v>55.5</v>
      </c>
      <c r="L455" s="21" t="str">
        <f aca="false">LOOKUP(K455,Assumptions!$D$4:$D$7,Assumptions!$E$4:$E$7)</f>
        <v>Developing</v>
      </c>
      <c r="M455" s="21" t="n">
        <f aca="false">COUNTIFS(Applications!$B$2:$B$3144,A455)</f>
        <v>6</v>
      </c>
      <c r="N455" s="21" t="n">
        <f aca="false">COUNTIFS(Applications!$B$2:$B$3144,A455,Applications!$F$2:$F$3144,"Offered")</f>
        <v>0</v>
      </c>
      <c r="O455" s="21" t="str">
        <f aca="false">IF(COUNTIFS(Applications!$B$2:$B$3144,A455,Applications!$H$2:$H$3144,"Yes")&gt;0,"Yes","No")</f>
        <v>No</v>
      </c>
      <c r="P455" s="32" t="n">
        <f aca="false">SUMIFS(Applications!$G$2:$G$3144,Applications!$B$2:$B$3144,A455,Applications!$H$2:$H$3144,"Yes")</f>
        <v>0</v>
      </c>
      <c r="Q455" s="21" t="str">
        <f aca="false">IF(O455="Yes",INDEX(Companies!$B$2:$B$31,MATCH(INDEX(Applications!$C$2:$C$3144,MATCH(A455,Applications!$P$2:$P$3144,0)),Companies!$A$2:$A$31,0)),"-")</f>
        <v>-</v>
      </c>
    </row>
    <row r="456" customFormat="false" ht="15" hidden="false" customHeight="false" outlineLevel="0" collapsed="false">
      <c r="A456" s="21" t="s">
        <v>927</v>
      </c>
      <c r="B456" s="21" t="s">
        <v>531</v>
      </c>
      <c r="C456" s="21" t="s">
        <v>810</v>
      </c>
      <c r="D456" s="21" t="s">
        <v>66</v>
      </c>
      <c r="E456" s="21" t="s">
        <v>92</v>
      </c>
      <c r="F456" s="21" t="n">
        <v>8.78</v>
      </c>
      <c r="G456" s="21" t="n">
        <v>354</v>
      </c>
      <c r="H456" s="21" t="n">
        <v>4</v>
      </c>
      <c r="I456" s="21" t="s">
        <v>113</v>
      </c>
      <c r="J456" s="21" t="n">
        <v>68</v>
      </c>
      <c r="K456" s="32" t="n">
        <f aca="false">ROUND(Assumptions!$B$4*MIN(G456/Assumptions!$B$11,1)*100+Assumptions!$B$5*F456/10*100+Assumptions!$B$6*MIN(H456/Assumptions!$B$12,1)*100+Assumptions!$B$7*J456+Assumptions!$B$8*IF(I456="Yes",100,0),1)</f>
        <v>68.4</v>
      </c>
      <c r="L456" s="21" t="str">
        <f aca="false">LOOKUP(K456,Assumptions!$D$4:$D$7,Assumptions!$E$4:$E$7)</f>
        <v>Job-Ready</v>
      </c>
      <c r="M456" s="21" t="n">
        <f aca="false">COUNTIFS(Applications!$B$2:$B$3144,A456)</f>
        <v>3</v>
      </c>
      <c r="N456" s="21" t="n">
        <f aca="false">COUNTIFS(Applications!$B$2:$B$3144,A456,Applications!$F$2:$F$3144,"Offered")</f>
        <v>1</v>
      </c>
      <c r="O456" s="21" t="str">
        <f aca="false">IF(COUNTIFS(Applications!$B$2:$B$3144,A456,Applications!$H$2:$H$3144,"Yes")&gt;0,"Yes","No")</f>
        <v>Yes</v>
      </c>
      <c r="P456" s="32" t="n">
        <f aca="false">SUMIFS(Applications!$G$2:$G$3144,Applications!$B$2:$B$3144,A456,Applications!$H$2:$H$3144,"Yes")</f>
        <v>13.5</v>
      </c>
      <c r="Q456" s="21" t="str">
        <f aca="false">IF(O456="Yes",INDEX(Companies!$B$2:$B$31,MATCH(INDEX(Applications!$C$2:$C$3144,MATCH(A456,Applications!$P$2:$P$3144,0)),Companies!$A$2:$A$31,0)),"-")</f>
        <v>SkillForge</v>
      </c>
    </row>
    <row r="457" customFormat="false" ht="15" hidden="false" customHeight="false" outlineLevel="0" collapsed="false">
      <c r="A457" s="21" t="s">
        <v>928</v>
      </c>
      <c r="B457" s="21" t="s">
        <v>929</v>
      </c>
      <c r="C457" s="21" t="s">
        <v>810</v>
      </c>
      <c r="D457" s="21" t="s">
        <v>67</v>
      </c>
      <c r="E457" s="21" t="s">
        <v>90</v>
      </c>
      <c r="F457" s="21" t="n">
        <v>6.85</v>
      </c>
      <c r="G457" s="21" t="n">
        <v>347</v>
      </c>
      <c r="H457" s="21" t="n">
        <v>7</v>
      </c>
      <c r="I457" s="21" t="s">
        <v>113</v>
      </c>
      <c r="J457" s="21" t="n">
        <v>70</v>
      </c>
      <c r="K457" s="32" t="n">
        <f aca="false">ROUND(Assumptions!$B$4*MIN(G457/Assumptions!$B$11,1)*100+Assumptions!$B$5*F457/10*100+Assumptions!$B$6*MIN(H457/Assumptions!$B$12,1)*100+Assumptions!$B$7*J457+Assumptions!$B$8*IF(I457="Yes",100,0),1)</f>
        <v>68.5</v>
      </c>
      <c r="L457" s="21" t="str">
        <f aca="false">LOOKUP(K457,Assumptions!$D$4:$D$7,Assumptions!$E$4:$E$7)</f>
        <v>Job-Ready</v>
      </c>
      <c r="M457" s="21" t="n">
        <f aca="false">COUNTIFS(Applications!$B$2:$B$3144,A457)</f>
        <v>6</v>
      </c>
      <c r="N457" s="21" t="n">
        <f aca="false">COUNTIFS(Applications!$B$2:$B$3144,A457,Applications!$F$2:$F$3144,"Offered")</f>
        <v>3</v>
      </c>
      <c r="O457" s="21" t="str">
        <f aca="false">IF(COUNTIFS(Applications!$B$2:$B$3144,A457,Applications!$H$2:$H$3144,"Yes")&gt;0,"Yes","No")</f>
        <v>Yes</v>
      </c>
      <c r="P457" s="32" t="n">
        <f aca="false">SUMIFS(Applications!$G$2:$G$3144,Applications!$B$2:$B$3144,A457,Applications!$H$2:$H$3144,"Yes")</f>
        <v>7.1</v>
      </c>
      <c r="Q457" s="21" t="str">
        <f aca="false">IF(O457="Yes",INDEX(Companies!$B$2:$B$31,MATCH(INDEX(Applications!$C$2:$C$3144,MATCH(A457,Applications!$P$2:$P$3144,0)),Companies!$A$2:$A$31,0)),"-")</f>
        <v>TechBridge Consulting</v>
      </c>
    </row>
    <row r="458" customFormat="false" ht="15" hidden="false" customHeight="false" outlineLevel="0" collapsed="false">
      <c r="A458" s="21" t="s">
        <v>930</v>
      </c>
      <c r="B458" s="21" t="s">
        <v>931</v>
      </c>
      <c r="C458" s="21" t="s">
        <v>810</v>
      </c>
      <c r="D458" s="21" t="s">
        <v>65</v>
      </c>
      <c r="E458" s="21" t="s">
        <v>91</v>
      </c>
      <c r="F458" s="21" t="n">
        <v>9.04</v>
      </c>
      <c r="G458" s="21" t="n">
        <v>265</v>
      </c>
      <c r="H458" s="21" t="n">
        <v>2</v>
      </c>
      <c r="I458" s="21" t="s">
        <v>120</v>
      </c>
      <c r="J458" s="21" t="n">
        <v>53</v>
      </c>
      <c r="K458" s="32" t="n">
        <f aca="false">ROUND(Assumptions!$B$4*MIN(G458/Assumptions!$B$11,1)*100+Assumptions!$B$5*F458/10*100+Assumptions!$B$6*MIN(H458/Assumptions!$B$12,1)*100+Assumptions!$B$7*J458+Assumptions!$B$8*IF(I458="Yes",100,0),1)</f>
        <v>62.6</v>
      </c>
      <c r="L458" s="21" t="str">
        <f aca="false">LOOKUP(K458,Assumptions!$D$4:$D$7,Assumptions!$E$4:$E$7)</f>
        <v>Developing</v>
      </c>
      <c r="M458" s="21" t="n">
        <f aca="false">COUNTIFS(Applications!$B$2:$B$3144,A458)</f>
        <v>4</v>
      </c>
      <c r="N458" s="21" t="n">
        <f aca="false">COUNTIFS(Applications!$B$2:$B$3144,A458,Applications!$F$2:$F$3144,"Offered")</f>
        <v>1</v>
      </c>
      <c r="O458" s="21" t="str">
        <f aca="false">IF(COUNTIFS(Applications!$B$2:$B$3144,A458,Applications!$H$2:$H$3144,"Yes")&gt;0,"Yes","No")</f>
        <v>Yes</v>
      </c>
      <c r="P458" s="32" t="n">
        <f aca="false">SUMIFS(Applications!$G$2:$G$3144,Applications!$B$2:$B$3144,A458,Applications!$H$2:$H$3144,"Yes")</f>
        <v>4.6</v>
      </c>
      <c r="Q458" s="21" t="str">
        <f aca="false">IF(O458="Yes",INDEX(Companies!$B$2:$B$31,MATCH(INDEX(Applications!$C$2:$C$3144,MATCH(A458,Applications!$P$2:$P$3144,0)),Companies!$A$2:$A$31,0)),"-")</f>
        <v>AlphaGrid Tech</v>
      </c>
    </row>
    <row r="459" customFormat="false" ht="15" hidden="false" customHeight="false" outlineLevel="0" collapsed="false">
      <c r="A459" s="21" t="s">
        <v>932</v>
      </c>
      <c r="B459" s="21" t="s">
        <v>471</v>
      </c>
      <c r="C459" s="21" t="s">
        <v>810</v>
      </c>
      <c r="D459" s="21" t="s">
        <v>64</v>
      </c>
      <c r="E459" s="21" t="s">
        <v>91</v>
      </c>
      <c r="F459" s="21" t="n">
        <v>7.94</v>
      </c>
      <c r="G459" s="21" t="n">
        <v>346</v>
      </c>
      <c r="H459" s="21" t="n">
        <v>2</v>
      </c>
      <c r="I459" s="21" t="s">
        <v>113</v>
      </c>
      <c r="J459" s="21" t="n">
        <v>43</v>
      </c>
      <c r="K459" s="32" t="n">
        <f aca="false">ROUND(Assumptions!$B$4*MIN(G459/Assumptions!$B$11,1)*100+Assumptions!$B$5*F459/10*100+Assumptions!$B$6*MIN(H459/Assumptions!$B$12,1)*100+Assumptions!$B$7*J459+Assumptions!$B$8*IF(I459="Yes",100,0),1)</f>
        <v>53.2</v>
      </c>
      <c r="L459" s="21" t="str">
        <f aca="false">LOOKUP(K459,Assumptions!$D$4:$D$7,Assumptions!$E$4:$E$7)</f>
        <v>Developing</v>
      </c>
      <c r="M459" s="21" t="n">
        <f aca="false">COUNTIFS(Applications!$B$2:$B$3144,A459)</f>
        <v>2</v>
      </c>
      <c r="N459" s="21" t="n">
        <f aca="false">COUNTIFS(Applications!$B$2:$B$3144,A459,Applications!$F$2:$F$3144,"Offered")</f>
        <v>0</v>
      </c>
      <c r="O459" s="21" t="str">
        <f aca="false">IF(COUNTIFS(Applications!$B$2:$B$3144,A459,Applications!$H$2:$H$3144,"Yes")&gt;0,"Yes","No")</f>
        <v>No</v>
      </c>
      <c r="P459" s="32" t="n">
        <f aca="false">SUMIFS(Applications!$G$2:$G$3144,Applications!$B$2:$B$3144,A459,Applications!$H$2:$H$3144,"Yes")</f>
        <v>0</v>
      </c>
      <c r="Q459" s="21" t="str">
        <f aca="false">IF(O459="Yes",INDEX(Companies!$B$2:$B$31,MATCH(INDEX(Applications!$C$2:$C$3144,MATCH(A459,Applications!$P$2:$P$3144,0)),Companies!$A$2:$A$31,0)),"-")</f>
        <v>-</v>
      </c>
    </row>
    <row r="460" customFormat="false" ht="15" hidden="false" customHeight="false" outlineLevel="0" collapsed="false">
      <c r="A460" s="21" t="s">
        <v>933</v>
      </c>
      <c r="B460" s="21" t="s">
        <v>934</v>
      </c>
      <c r="C460" s="21" t="s">
        <v>810</v>
      </c>
      <c r="D460" s="21" t="s">
        <v>67</v>
      </c>
      <c r="E460" s="21" t="s">
        <v>90</v>
      </c>
      <c r="F460" s="21" t="n">
        <v>6.41</v>
      </c>
      <c r="G460" s="21" t="n">
        <v>240</v>
      </c>
      <c r="H460" s="21" t="n">
        <v>3</v>
      </c>
      <c r="I460" s="21" t="s">
        <v>113</v>
      </c>
      <c r="J460" s="21" t="n">
        <v>60</v>
      </c>
      <c r="K460" s="32" t="n">
        <f aca="false">ROUND(Assumptions!$B$4*MIN(G460/Assumptions!$B$11,1)*100+Assumptions!$B$5*F460/10*100+Assumptions!$B$6*MIN(H460/Assumptions!$B$12,1)*100+Assumptions!$B$7*J460+Assumptions!$B$8*IF(I460="Yes",100,0),1)</f>
        <v>51.2</v>
      </c>
      <c r="L460" s="21" t="str">
        <f aca="false">LOOKUP(K460,Assumptions!$D$4:$D$7,Assumptions!$E$4:$E$7)</f>
        <v>Developing</v>
      </c>
      <c r="M460" s="21" t="n">
        <f aca="false">COUNTIFS(Applications!$B$2:$B$3144,A460)</f>
        <v>5</v>
      </c>
      <c r="N460" s="21" t="n">
        <f aca="false">COUNTIFS(Applications!$B$2:$B$3144,A460,Applications!$F$2:$F$3144,"Offered")</f>
        <v>0</v>
      </c>
      <c r="O460" s="21" t="str">
        <f aca="false">IF(COUNTIFS(Applications!$B$2:$B$3144,A460,Applications!$H$2:$H$3144,"Yes")&gt;0,"Yes","No")</f>
        <v>No</v>
      </c>
      <c r="P460" s="32" t="n">
        <f aca="false">SUMIFS(Applications!$G$2:$G$3144,Applications!$B$2:$B$3144,A460,Applications!$H$2:$H$3144,"Yes")</f>
        <v>0</v>
      </c>
      <c r="Q460" s="21" t="str">
        <f aca="false">IF(O460="Yes",INDEX(Companies!$B$2:$B$31,MATCH(INDEX(Applications!$C$2:$C$3144,MATCH(A460,Applications!$P$2:$P$3144,0)),Companies!$A$2:$A$31,0)),"-")</f>
        <v>-</v>
      </c>
    </row>
    <row r="461" customFormat="false" ht="15" hidden="false" customHeight="false" outlineLevel="0" collapsed="false">
      <c r="A461" s="21" t="s">
        <v>935</v>
      </c>
      <c r="B461" s="21" t="s">
        <v>130</v>
      </c>
      <c r="C461" s="21" t="s">
        <v>810</v>
      </c>
      <c r="D461" s="21" t="s">
        <v>65</v>
      </c>
      <c r="E461" s="21" t="s">
        <v>91</v>
      </c>
      <c r="F461" s="21" t="n">
        <v>8.42</v>
      </c>
      <c r="G461" s="21" t="n">
        <v>200</v>
      </c>
      <c r="H461" s="21" t="n">
        <v>2</v>
      </c>
      <c r="I461" s="21" t="s">
        <v>113</v>
      </c>
      <c r="J461" s="21" t="n">
        <v>54</v>
      </c>
      <c r="K461" s="32" t="n">
        <f aca="false">ROUND(Assumptions!$B$4*MIN(G461/Assumptions!$B$11,1)*100+Assumptions!$B$5*F461/10*100+Assumptions!$B$6*MIN(H461/Assumptions!$B$12,1)*100+Assumptions!$B$7*J461+Assumptions!$B$8*IF(I461="Yes",100,0),1)</f>
        <v>47.6</v>
      </c>
      <c r="L461" s="21" t="str">
        <f aca="false">LOOKUP(K461,Assumptions!$D$4:$D$7,Assumptions!$E$4:$E$7)</f>
        <v>Foundation</v>
      </c>
      <c r="M461" s="21" t="n">
        <f aca="false">COUNTIFS(Applications!$B$2:$B$3144,A461)</f>
        <v>9</v>
      </c>
      <c r="N461" s="21" t="n">
        <f aca="false">COUNTIFS(Applications!$B$2:$B$3144,A461,Applications!$F$2:$F$3144,"Offered")</f>
        <v>2</v>
      </c>
      <c r="O461" s="21" t="str">
        <f aca="false">IF(COUNTIFS(Applications!$B$2:$B$3144,A461,Applications!$H$2:$H$3144,"Yes")&gt;0,"Yes","No")</f>
        <v>Yes</v>
      </c>
      <c r="P461" s="32" t="n">
        <f aca="false">SUMIFS(Applications!$G$2:$G$3144,Applications!$B$2:$B$3144,A461,Applications!$H$2:$H$3144,"Yes")</f>
        <v>5.4</v>
      </c>
      <c r="Q461" s="21" t="str">
        <f aca="false">IF(O461="Yes",INDEX(Companies!$B$2:$B$31,MATCH(INDEX(Applications!$C$2:$C$3144,MATCH(A461,Applications!$P$2:$P$3144,0)),Companies!$A$2:$A$31,0)),"-")</f>
        <v>InfoNova Services</v>
      </c>
    </row>
    <row r="462" customFormat="false" ht="15" hidden="false" customHeight="false" outlineLevel="0" collapsed="false">
      <c r="A462" s="21" t="s">
        <v>936</v>
      </c>
      <c r="B462" s="21" t="s">
        <v>224</v>
      </c>
      <c r="C462" s="21" t="s">
        <v>810</v>
      </c>
      <c r="D462" s="21" t="s">
        <v>67</v>
      </c>
      <c r="E462" s="21" t="s">
        <v>92</v>
      </c>
      <c r="F462" s="21" t="n">
        <v>7.56</v>
      </c>
      <c r="G462" s="21" t="n">
        <v>280</v>
      </c>
      <c r="H462" s="21" t="n">
        <v>6</v>
      </c>
      <c r="I462" s="21" t="s">
        <v>113</v>
      </c>
      <c r="J462" s="21" t="n">
        <v>80</v>
      </c>
      <c r="K462" s="32" t="n">
        <f aca="false">ROUND(Assumptions!$B$4*MIN(G462/Assumptions!$B$11,1)*100+Assumptions!$B$5*F462/10*100+Assumptions!$B$6*MIN(H462/Assumptions!$B$12,1)*100+Assumptions!$B$7*J462+Assumptions!$B$8*IF(I462="Yes",100,0),1)</f>
        <v>67.9</v>
      </c>
      <c r="L462" s="21" t="str">
        <f aca="false">LOOKUP(K462,Assumptions!$D$4:$D$7,Assumptions!$E$4:$E$7)</f>
        <v>Job-Ready</v>
      </c>
      <c r="M462" s="21" t="n">
        <f aca="false">COUNTIFS(Applications!$B$2:$B$3144,A462)</f>
        <v>8</v>
      </c>
      <c r="N462" s="21" t="n">
        <f aca="false">COUNTIFS(Applications!$B$2:$B$3144,A462,Applications!$F$2:$F$3144,"Offered")</f>
        <v>3</v>
      </c>
      <c r="O462" s="21" t="str">
        <f aca="false">IF(COUNTIFS(Applications!$B$2:$B$3144,A462,Applications!$H$2:$H$3144,"Yes")&gt;0,"Yes","No")</f>
        <v>Yes</v>
      </c>
      <c r="P462" s="32" t="n">
        <f aca="false">SUMIFS(Applications!$G$2:$G$3144,Applications!$B$2:$B$3144,A462,Applications!$H$2:$H$3144,"Yes")</f>
        <v>9.9</v>
      </c>
      <c r="Q462" s="21" t="str">
        <f aca="false">IF(O462="Yes",INDEX(Companies!$B$2:$B$31,MATCH(INDEX(Applications!$C$2:$C$3144,MATCH(A462,Applications!$P$2:$P$3144,0)),Companies!$A$2:$A$31,0)),"-")</f>
        <v>ShopSprint</v>
      </c>
    </row>
    <row r="463" customFormat="false" ht="15" hidden="false" customHeight="false" outlineLevel="0" collapsed="false">
      <c r="A463" s="21" t="s">
        <v>937</v>
      </c>
      <c r="B463" s="21" t="s">
        <v>885</v>
      </c>
      <c r="C463" s="21" t="s">
        <v>810</v>
      </c>
      <c r="D463" s="21" t="s">
        <v>64</v>
      </c>
      <c r="E463" s="21" t="s">
        <v>91</v>
      </c>
      <c r="F463" s="21" t="n">
        <v>6.36</v>
      </c>
      <c r="G463" s="21" t="n">
        <v>424</v>
      </c>
      <c r="H463" s="21" t="n">
        <v>3</v>
      </c>
      <c r="I463" s="21" t="s">
        <v>113</v>
      </c>
      <c r="J463" s="21" t="n">
        <v>82</v>
      </c>
      <c r="K463" s="32" t="n">
        <f aca="false">ROUND(Assumptions!$B$4*MIN(G463/Assumptions!$B$11,1)*100+Assumptions!$B$5*F463/10*100+Assumptions!$B$6*MIN(H463/Assumptions!$B$12,1)*100+Assumptions!$B$7*J463+Assumptions!$B$8*IF(I463="Yes",100,0),1)</f>
        <v>66.6</v>
      </c>
      <c r="L463" s="21" t="str">
        <f aca="false">LOOKUP(K463,Assumptions!$D$4:$D$7,Assumptions!$E$4:$E$7)</f>
        <v>Job-Ready</v>
      </c>
      <c r="M463" s="21" t="n">
        <f aca="false">COUNTIFS(Applications!$B$2:$B$3144,A463)</f>
        <v>9</v>
      </c>
      <c r="N463" s="21" t="n">
        <f aca="false">COUNTIFS(Applications!$B$2:$B$3144,A463,Applications!$F$2:$F$3144,"Offered")</f>
        <v>1</v>
      </c>
      <c r="O463" s="21" t="str">
        <f aca="false">IF(COUNTIFS(Applications!$B$2:$B$3144,A463,Applications!$H$2:$H$3144,"Yes")&gt;0,"Yes","No")</f>
        <v>Yes</v>
      </c>
      <c r="P463" s="32" t="n">
        <f aca="false">SUMIFS(Applications!$G$2:$G$3144,Applications!$B$2:$B$3144,A463,Applications!$H$2:$H$3144,"Yes")</f>
        <v>7.3</v>
      </c>
      <c r="Q463" s="21" t="str">
        <f aca="false">IF(O463="Yes",INDEX(Companies!$B$2:$B$31,MATCH(INDEX(Applications!$C$2:$C$3144,MATCH(A463,Applications!$P$2:$P$3144,0)),Companies!$A$2:$A$31,0)),"-")</f>
        <v>InfoNova Services</v>
      </c>
    </row>
    <row r="464" customFormat="false" ht="15" hidden="false" customHeight="false" outlineLevel="0" collapsed="false">
      <c r="A464" s="21" t="s">
        <v>938</v>
      </c>
      <c r="B464" s="21" t="s">
        <v>805</v>
      </c>
      <c r="C464" s="21" t="s">
        <v>810</v>
      </c>
      <c r="D464" s="21" t="s">
        <v>63</v>
      </c>
      <c r="E464" s="21" t="s">
        <v>91</v>
      </c>
      <c r="F464" s="21" t="n">
        <v>7.41</v>
      </c>
      <c r="G464" s="21" t="n">
        <v>223</v>
      </c>
      <c r="H464" s="21" t="n">
        <v>3</v>
      </c>
      <c r="I464" s="21" t="s">
        <v>120</v>
      </c>
      <c r="J464" s="21" t="n">
        <v>79</v>
      </c>
      <c r="K464" s="32" t="n">
        <f aca="false">ROUND(Assumptions!$B$4*MIN(G464/Assumptions!$B$11,1)*100+Assumptions!$B$5*F464/10*100+Assumptions!$B$6*MIN(H464/Assumptions!$B$12,1)*100+Assumptions!$B$7*J464+Assumptions!$B$8*IF(I464="Yes",100,0),1)</f>
        <v>66</v>
      </c>
      <c r="L464" s="21" t="str">
        <f aca="false">LOOKUP(K464,Assumptions!$D$4:$D$7,Assumptions!$E$4:$E$7)</f>
        <v>Job-Ready</v>
      </c>
      <c r="M464" s="21" t="n">
        <f aca="false">COUNTIFS(Applications!$B$2:$B$3144,A464)</f>
        <v>4</v>
      </c>
      <c r="N464" s="21" t="n">
        <f aca="false">COUNTIFS(Applications!$B$2:$B$3144,A464,Applications!$F$2:$F$3144,"Offered")</f>
        <v>0</v>
      </c>
      <c r="O464" s="21" t="str">
        <f aca="false">IF(COUNTIFS(Applications!$B$2:$B$3144,A464,Applications!$H$2:$H$3144,"Yes")&gt;0,"Yes","No")</f>
        <v>No</v>
      </c>
      <c r="P464" s="32" t="n">
        <f aca="false">SUMIFS(Applications!$G$2:$G$3144,Applications!$B$2:$B$3144,A464,Applications!$H$2:$H$3144,"Yes")</f>
        <v>0</v>
      </c>
      <c r="Q464" s="21" t="str">
        <f aca="false">IF(O464="Yes",INDEX(Companies!$B$2:$B$31,MATCH(INDEX(Applications!$C$2:$C$3144,MATCH(A464,Applications!$P$2:$P$3144,0)),Companies!$A$2:$A$31,0)),"-")</f>
        <v>-</v>
      </c>
    </row>
    <row r="465" customFormat="false" ht="15" hidden="false" customHeight="false" outlineLevel="0" collapsed="false">
      <c r="A465" s="21" t="s">
        <v>939</v>
      </c>
      <c r="B465" s="21" t="s">
        <v>940</v>
      </c>
      <c r="C465" s="21" t="s">
        <v>810</v>
      </c>
      <c r="D465" s="21" t="s">
        <v>63</v>
      </c>
      <c r="E465" s="21" t="s">
        <v>92</v>
      </c>
      <c r="F465" s="21" t="n">
        <v>5.9</v>
      </c>
      <c r="G465" s="21" t="n">
        <v>306</v>
      </c>
      <c r="H465" s="21" t="n">
        <v>5</v>
      </c>
      <c r="I465" s="21" t="s">
        <v>113</v>
      </c>
      <c r="J465" s="21" t="n">
        <v>78</v>
      </c>
      <c r="K465" s="32" t="n">
        <f aca="false">ROUND(Assumptions!$B$4*MIN(G465/Assumptions!$B$11,1)*100+Assumptions!$B$5*F465/10*100+Assumptions!$B$6*MIN(H465/Assumptions!$B$12,1)*100+Assumptions!$B$7*J465+Assumptions!$B$8*IF(I465="Yes",100,0),1)</f>
        <v>65.8</v>
      </c>
      <c r="L465" s="21" t="str">
        <f aca="false">LOOKUP(K465,Assumptions!$D$4:$D$7,Assumptions!$E$4:$E$7)</f>
        <v>Job-Ready</v>
      </c>
      <c r="M465" s="21" t="n">
        <f aca="false">COUNTIFS(Applications!$B$2:$B$3144,A465)</f>
        <v>5</v>
      </c>
      <c r="N465" s="21" t="n">
        <f aca="false">COUNTIFS(Applications!$B$2:$B$3144,A465,Applications!$F$2:$F$3144,"Offered")</f>
        <v>0</v>
      </c>
      <c r="O465" s="21" t="str">
        <f aca="false">IF(COUNTIFS(Applications!$B$2:$B$3144,A465,Applications!$H$2:$H$3144,"Yes")&gt;0,"Yes","No")</f>
        <v>No</v>
      </c>
      <c r="P465" s="32" t="n">
        <f aca="false">SUMIFS(Applications!$G$2:$G$3144,Applications!$B$2:$B$3144,A465,Applications!$H$2:$H$3144,"Yes")</f>
        <v>0</v>
      </c>
      <c r="Q465" s="21" t="str">
        <f aca="false">IF(O465="Yes",INDEX(Companies!$B$2:$B$31,MATCH(INDEX(Applications!$C$2:$C$3144,MATCH(A465,Applications!$P$2:$P$3144,0)),Companies!$A$2:$A$31,0)),"-")</f>
        <v>-</v>
      </c>
    </row>
    <row r="466" customFormat="false" ht="15" hidden="false" customHeight="false" outlineLevel="0" collapsed="false">
      <c r="A466" s="21" t="s">
        <v>941</v>
      </c>
      <c r="B466" s="21" t="s">
        <v>942</v>
      </c>
      <c r="C466" s="21" t="s">
        <v>810</v>
      </c>
      <c r="D466" s="21" t="s">
        <v>67</v>
      </c>
      <c r="E466" s="21" t="s">
        <v>91</v>
      </c>
      <c r="F466" s="21" t="n">
        <v>5.82</v>
      </c>
      <c r="G466" s="21" t="n">
        <v>361</v>
      </c>
      <c r="H466" s="21" t="n">
        <v>8</v>
      </c>
      <c r="I466" s="21" t="s">
        <v>113</v>
      </c>
      <c r="J466" s="21" t="n">
        <v>54</v>
      </c>
      <c r="K466" s="32" t="n">
        <f aca="false">ROUND(Assumptions!$B$4*MIN(G466/Assumptions!$B$11,1)*100+Assumptions!$B$5*F466/10*100+Assumptions!$B$6*MIN(H466/Assumptions!$B$12,1)*100+Assumptions!$B$7*J466+Assumptions!$B$8*IF(I466="Yes",100,0),1)</f>
        <v>64.1</v>
      </c>
      <c r="L466" s="21" t="str">
        <f aca="false">LOOKUP(K466,Assumptions!$D$4:$D$7,Assumptions!$E$4:$E$7)</f>
        <v>Developing</v>
      </c>
      <c r="M466" s="21" t="n">
        <f aca="false">COUNTIFS(Applications!$B$2:$B$3144,A466)</f>
        <v>3</v>
      </c>
      <c r="N466" s="21" t="n">
        <f aca="false">COUNTIFS(Applications!$B$2:$B$3144,A466,Applications!$F$2:$F$3144,"Offered")</f>
        <v>2</v>
      </c>
      <c r="O466" s="21" t="str">
        <f aca="false">IF(COUNTIFS(Applications!$B$2:$B$3144,A466,Applications!$H$2:$H$3144,"Yes")&gt;0,"Yes","No")</f>
        <v>Yes</v>
      </c>
      <c r="P466" s="32" t="n">
        <f aca="false">SUMIFS(Applications!$G$2:$G$3144,Applications!$B$2:$B$3144,A466,Applications!$H$2:$H$3144,"Yes")</f>
        <v>22.8</v>
      </c>
      <c r="Q466" s="21" t="str">
        <f aca="false">IF(O466="Yes",INDEX(Companies!$B$2:$B$31,MATCH(INDEX(Applications!$C$2:$C$3144,MATCH(A466,Applications!$P$2:$P$3144,0)),Companies!$A$2:$A$31,0)),"-")</f>
        <v>Orbitly</v>
      </c>
    </row>
    <row r="467" customFormat="false" ht="15" hidden="false" customHeight="false" outlineLevel="0" collapsed="false">
      <c r="A467" s="21" t="s">
        <v>943</v>
      </c>
      <c r="B467" s="21" t="s">
        <v>944</v>
      </c>
      <c r="C467" s="21" t="s">
        <v>810</v>
      </c>
      <c r="D467" s="21" t="s">
        <v>67</v>
      </c>
      <c r="E467" s="21" t="s">
        <v>92</v>
      </c>
      <c r="F467" s="21" t="n">
        <v>7.51</v>
      </c>
      <c r="G467" s="21" t="n">
        <v>279</v>
      </c>
      <c r="H467" s="21" t="n">
        <v>5</v>
      </c>
      <c r="I467" s="21" t="s">
        <v>113</v>
      </c>
      <c r="J467" s="21" t="n">
        <v>52</v>
      </c>
      <c r="K467" s="32" t="n">
        <f aca="false">ROUND(Assumptions!$B$4*MIN(G467/Assumptions!$B$11,1)*100+Assumptions!$B$5*F467/10*100+Assumptions!$B$6*MIN(H467/Assumptions!$B$12,1)*100+Assumptions!$B$7*J467+Assumptions!$B$8*IF(I467="Yes",100,0),1)</f>
        <v>62.2</v>
      </c>
      <c r="L467" s="21" t="str">
        <f aca="false">LOOKUP(K467,Assumptions!$D$4:$D$7,Assumptions!$E$4:$E$7)</f>
        <v>Developing</v>
      </c>
      <c r="M467" s="21" t="n">
        <f aca="false">COUNTIFS(Applications!$B$2:$B$3144,A467)</f>
        <v>3</v>
      </c>
      <c r="N467" s="21" t="n">
        <f aca="false">COUNTIFS(Applications!$B$2:$B$3144,A467,Applications!$F$2:$F$3144,"Offered")</f>
        <v>1</v>
      </c>
      <c r="O467" s="21" t="str">
        <f aca="false">IF(COUNTIFS(Applications!$B$2:$B$3144,A467,Applications!$H$2:$H$3144,"Yes")&gt;0,"Yes","No")</f>
        <v>Yes</v>
      </c>
      <c r="P467" s="32" t="n">
        <f aca="false">SUMIFS(Applications!$G$2:$G$3144,Applications!$B$2:$B$3144,A467,Applications!$H$2:$H$3144,"Yes")</f>
        <v>4.3</v>
      </c>
      <c r="Q467" s="21" t="str">
        <f aca="false">IF(O467="Yes",INDEX(Companies!$B$2:$B$31,MATCH(INDEX(Applications!$C$2:$C$3144,MATCH(A467,Applications!$P$2:$P$3144,0)),Companies!$A$2:$A$31,0)),"-")</f>
        <v>HealthLink Digital</v>
      </c>
    </row>
    <row r="468" customFormat="false" ht="15" hidden="false" customHeight="false" outlineLevel="0" collapsed="false">
      <c r="A468" s="21" t="s">
        <v>945</v>
      </c>
      <c r="B468" s="21" t="s">
        <v>946</v>
      </c>
      <c r="C468" s="21" t="s">
        <v>810</v>
      </c>
      <c r="D468" s="21" t="s">
        <v>64</v>
      </c>
      <c r="E468" s="21" t="s">
        <v>90</v>
      </c>
      <c r="F468" s="21" t="n">
        <v>7.53</v>
      </c>
      <c r="G468" s="21" t="n">
        <v>404</v>
      </c>
      <c r="H468" s="21" t="n">
        <v>5</v>
      </c>
      <c r="I468" s="21" t="s">
        <v>113</v>
      </c>
      <c r="J468" s="21" t="n">
        <v>56</v>
      </c>
      <c r="K468" s="32" t="n">
        <f aca="false">ROUND(Assumptions!$B$4*MIN(G468/Assumptions!$B$11,1)*100+Assumptions!$B$5*F468/10*100+Assumptions!$B$6*MIN(H468/Assumptions!$B$12,1)*100+Assumptions!$B$7*J468+Assumptions!$B$8*IF(I468="Yes",100,0),1)</f>
        <v>70.5</v>
      </c>
      <c r="L468" s="21" t="str">
        <f aca="false">LOOKUP(K468,Assumptions!$D$4:$D$7,Assumptions!$E$4:$E$7)</f>
        <v>Job-Ready</v>
      </c>
      <c r="M468" s="21" t="n">
        <f aca="false">COUNTIFS(Applications!$B$2:$B$3144,A468)</f>
        <v>5</v>
      </c>
      <c r="N468" s="21" t="n">
        <f aca="false">COUNTIFS(Applications!$B$2:$B$3144,A468,Applications!$F$2:$F$3144,"Offered")</f>
        <v>1</v>
      </c>
      <c r="O468" s="21" t="str">
        <f aca="false">IF(COUNTIFS(Applications!$B$2:$B$3144,A468,Applications!$H$2:$H$3144,"Yes")&gt;0,"Yes","No")</f>
        <v>Yes</v>
      </c>
      <c r="P468" s="32" t="n">
        <f aca="false">SUMIFS(Applications!$G$2:$G$3144,Applications!$B$2:$B$3144,A468,Applications!$H$2:$H$3144,"Yes")</f>
        <v>29.7</v>
      </c>
      <c r="Q468" s="21" t="str">
        <f aca="false">IF(O468="Yes",INDEX(Companies!$B$2:$B$31,MATCH(INDEX(Applications!$C$2:$C$3144,MATCH(A468,Applications!$P$2:$P$3144,0)),Companies!$A$2:$A$31,0)),"-")</f>
        <v>Zenith Pay</v>
      </c>
    </row>
    <row r="469" customFormat="false" ht="15" hidden="false" customHeight="false" outlineLevel="0" collapsed="false">
      <c r="A469" s="21" t="s">
        <v>947</v>
      </c>
      <c r="B469" s="21" t="s">
        <v>514</v>
      </c>
      <c r="C469" s="21" t="s">
        <v>810</v>
      </c>
      <c r="D469" s="21" t="s">
        <v>64</v>
      </c>
      <c r="E469" s="21" t="s">
        <v>92</v>
      </c>
      <c r="F469" s="21" t="n">
        <v>8.88</v>
      </c>
      <c r="G469" s="21" t="n">
        <v>905</v>
      </c>
      <c r="H469" s="21" t="n">
        <v>5</v>
      </c>
      <c r="I469" s="21" t="s">
        <v>120</v>
      </c>
      <c r="J469" s="21" t="n">
        <v>65</v>
      </c>
      <c r="K469" s="32" t="n">
        <f aca="false">ROUND(Assumptions!$B$4*MIN(G469/Assumptions!$B$11,1)*100+Assumptions!$B$5*F469/10*100+Assumptions!$B$6*MIN(H469/Assumptions!$B$12,1)*100+Assumptions!$B$7*J469+Assumptions!$B$8*IF(I469="Yes",100,0),1)</f>
        <v>90.8</v>
      </c>
      <c r="L469" s="21" t="str">
        <f aca="false">LOOKUP(K469,Assumptions!$D$4:$D$7,Assumptions!$E$4:$E$7)</f>
        <v>Elite</v>
      </c>
      <c r="M469" s="21" t="n">
        <f aca="false">COUNTIFS(Applications!$B$2:$B$3144,A469)</f>
        <v>9</v>
      </c>
      <c r="N469" s="21" t="n">
        <f aca="false">COUNTIFS(Applications!$B$2:$B$3144,A469,Applications!$F$2:$F$3144,"Offered")</f>
        <v>7</v>
      </c>
      <c r="O469" s="21" t="str">
        <f aca="false">IF(COUNTIFS(Applications!$B$2:$B$3144,A469,Applications!$H$2:$H$3144,"Yes")&gt;0,"Yes","No")</f>
        <v>Yes</v>
      </c>
      <c r="P469" s="32" t="n">
        <f aca="false">SUMIFS(Applications!$G$2:$G$3144,Applications!$B$2:$B$3144,A469,Applications!$H$2:$H$3144,"Yes")</f>
        <v>28.6</v>
      </c>
      <c r="Q469" s="21" t="str">
        <f aca="false">IF(O469="Yes",INDEX(Companies!$B$2:$B$31,MATCH(INDEX(Applications!$C$2:$C$3144,MATCH(A469,Applications!$P$2:$P$3144,0)),Companies!$A$2:$A$31,0)),"-")</f>
        <v>Zenith Pay</v>
      </c>
    </row>
    <row r="470" customFormat="false" ht="15" hidden="false" customHeight="false" outlineLevel="0" collapsed="false">
      <c r="A470" s="21" t="s">
        <v>948</v>
      </c>
      <c r="B470" s="21" t="s">
        <v>949</v>
      </c>
      <c r="C470" s="21" t="s">
        <v>810</v>
      </c>
      <c r="D470" s="21" t="s">
        <v>65</v>
      </c>
      <c r="E470" s="21" t="s">
        <v>92</v>
      </c>
      <c r="F470" s="21" t="n">
        <v>7.25</v>
      </c>
      <c r="G470" s="21" t="n">
        <v>284</v>
      </c>
      <c r="H470" s="21" t="n">
        <v>2</v>
      </c>
      <c r="I470" s="21" t="s">
        <v>113</v>
      </c>
      <c r="J470" s="21" t="n">
        <v>68</v>
      </c>
      <c r="K470" s="32" t="n">
        <f aca="false">ROUND(Assumptions!$B$4*MIN(G470/Assumptions!$B$11,1)*100+Assumptions!$B$5*F470/10*100+Assumptions!$B$6*MIN(H470/Assumptions!$B$12,1)*100+Assumptions!$B$7*J470+Assumptions!$B$8*IF(I470="Yes",100,0),1)</f>
        <v>53.1</v>
      </c>
      <c r="L470" s="21" t="str">
        <f aca="false">LOOKUP(K470,Assumptions!$D$4:$D$7,Assumptions!$E$4:$E$7)</f>
        <v>Developing</v>
      </c>
      <c r="M470" s="21" t="n">
        <f aca="false">COUNTIFS(Applications!$B$2:$B$3144,A470)</f>
        <v>0</v>
      </c>
      <c r="N470" s="21" t="n">
        <f aca="false">COUNTIFS(Applications!$B$2:$B$3144,A470,Applications!$F$2:$F$3144,"Offered")</f>
        <v>0</v>
      </c>
      <c r="O470" s="21" t="str">
        <f aca="false">IF(COUNTIFS(Applications!$B$2:$B$3144,A470,Applications!$H$2:$H$3144,"Yes")&gt;0,"Yes","No")</f>
        <v>No</v>
      </c>
      <c r="P470" s="32" t="n">
        <f aca="false">SUMIFS(Applications!$G$2:$G$3144,Applications!$B$2:$B$3144,A470,Applications!$H$2:$H$3144,"Yes")</f>
        <v>0</v>
      </c>
      <c r="Q470" s="21" t="str">
        <f aca="false">IF(O470="Yes",INDEX(Companies!$B$2:$B$31,MATCH(INDEX(Applications!$C$2:$C$3144,MATCH(A470,Applications!$P$2:$P$3144,0)),Companies!$A$2:$A$31,0)),"-")</f>
        <v>-</v>
      </c>
    </row>
    <row r="471" customFormat="false" ht="15" hidden="false" customHeight="false" outlineLevel="0" collapsed="false">
      <c r="A471" s="21" t="s">
        <v>950</v>
      </c>
      <c r="B471" s="21" t="s">
        <v>951</v>
      </c>
      <c r="C471" s="21" t="s">
        <v>810</v>
      </c>
      <c r="D471" s="21" t="s">
        <v>64</v>
      </c>
      <c r="E471" s="21" t="s">
        <v>90</v>
      </c>
      <c r="F471" s="21" t="n">
        <v>5</v>
      </c>
      <c r="G471" s="21" t="n">
        <v>578</v>
      </c>
      <c r="H471" s="21" t="n">
        <v>1</v>
      </c>
      <c r="I471" s="21" t="s">
        <v>120</v>
      </c>
      <c r="J471" s="21" t="n">
        <v>55</v>
      </c>
      <c r="K471" s="32" t="n">
        <f aca="false">ROUND(Assumptions!$B$4*MIN(G471/Assumptions!$B$11,1)*100+Assumptions!$B$5*F471/10*100+Assumptions!$B$6*MIN(H471/Assumptions!$B$12,1)*100+Assumptions!$B$7*J471+Assumptions!$B$8*IF(I471="Yes",100,0),1)</f>
        <v>65</v>
      </c>
      <c r="L471" s="21" t="str">
        <f aca="false">LOOKUP(K471,Assumptions!$D$4:$D$7,Assumptions!$E$4:$E$7)</f>
        <v>Job-Ready</v>
      </c>
      <c r="M471" s="21" t="n">
        <f aca="false">COUNTIFS(Applications!$B$2:$B$3144,A471)</f>
        <v>10</v>
      </c>
      <c r="N471" s="21" t="n">
        <f aca="false">COUNTIFS(Applications!$B$2:$B$3144,A471,Applications!$F$2:$F$3144,"Offered")</f>
        <v>3</v>
      </c>
      <c r="O471" s="21" t="str">
        <f aca="false">IF(COUNTIFS(Applications!$B$2:$B$3144,A471,Applications!$H$2:$H$3144,"Yes")&gt;0,"Yes","No")</f>
        <v>Yes</v>
      </c>
      <c r="P471" s="32" t="n">
        <f aca="false">SUMIFS(Applications!$G$2:$G$3144,Applications!$B$2:$B$3144,A471,Applications!$H$2:$H$3144,"Yes")</f>
        <v>12.4</v>
      </c>
      <c r="Q471" s="21" t="str">
        <f aca="false">IF(O471="Yes",INDEX(Companies!$B$2:$B$31,MATCH(INDEX(Applications!$C$2:$C$3144,MATCH(A471,Applications!$P$2:$P$3144,0)),Companies!$A$2:$A$31,0)),"-")</f>
        <v>CyberNest</v>
      </c>
    </row>
    <row r="472" customFormat="false" ht="15" hidden="false" customHeight="false" outlineLevel="0" collapsed="false">
      <c r="A472" s="21" t="s">
        <v>952</v>
      </c>
      <c r="B472" s="21" t="s">
        <v>953</v>
      </c>
      <c r="C472" s="21" t="s">
        <v>810</v>
      </c>
      <c r="D472" s="21" t="s">
        <v>64</v>
      </c>
      <c r="E472" s="21" t="s">
        <v>91</v>
      </c>
      <c r="F472" s="21" t="n">
        <v>8.22</v>
      </c>
      <c r="G472" s="21" t="n">
        <v>480</v>
      </c>
      <c r="H472" s="21" t="n">
        <v>0</v>
      </c>
      <c r="I472" s="21" t="s">
        <v>113</v>
      </c>
      <c r="J472" s="21" t="n">
        <v>38</v>
      </c>
      <c r="K472" s="32" t="n">
        <f aca="false">ROUND(Assumptions!$B$4*MIN(G472/Assumptions!$B$11,1)*100+Assumptions!$B$5*F472/10*100+Assumptions!$B$6*MIN(H472/Assumptions!$B$12,1)*100+Assumptions!$B$7*J472+Assumptions!$B$8*IF(I472="Yes",100,0),1)</f>
        <v>52.8</v>
      </c>
      <c r="L472" s="21" t="str">
        <f aca="false">LOOKUP(K472,Assumptions!$D$4:$D$7,Assumptions!$E$4:$E$7)</f>
        <v>Developing</v>
      </c>
      <c r="M472" s="21" t="n">
        <f aca="false">COUNTIFS(Applications!$B$2:$B$3144,A472)</f>
        <v>6</v>
      </c>
      <c r="N472" s="21" t="n">
        <f aca="false">COUNTIFS(Applications!$B$2:$B$3144,A472,Applications!$F$2:$F$3144,"Offered")</f>
        <v>1</v>
      </c>
      <c r="O472" s="21" t="str">
        <f aca="false">IF(COUNTIFS(Applications!$B$2:$B$3144,A472,Applications!$H$2:$H$3144,"Yes")&gt;0,"Yes","No")</f>
        <v>Yes</v>
      </c>
      <c r="P472" s="32" t="n">
        <f aca="false">SUMIFS(Applications!$G$2:$G$3144,Applications!$B$2:$B$3144,A472,Applications!$H$2:$H$3144,"Yes")</f>
        <v>11.4</v>
      </c>
      <c r="Q472" s="21" t="str">
        <f aca="false">IF(O472="Yes",INDEX(Companies!$B$2:$B$31,MATCH(INDEX(Applications!$C$2:$C$3144,MATCH(A472,Applications!$P$2:$P$3144,0)),Companies!$A$2:$A$31,0)),"-")</f>
        <v>CartNest</v>
      </c>
    </row>
    <row r="473" customFormat="false" ht="15" hidden="false" customHeight="false" outlineLevel="0" collapsed="false">
      <c r="A473" s="21" t="s">
        <v>954</v>
      </c>
      <c r="B473" s="21" t="s">
        <v>955</v>
      </c>
      <c r="C473" s="21" t="s">
        <v>810</v>
      </c>
      <c r="D473" s="21" t="s">
        <v>64</v>
      </c>
      <c r="E473" s="21" t="s">
        <v>92</v>
      </c>
      <c r="F473" s="21" t="n">
        <v>5.56</v>
      </c>
      <c r="G473" s="21" t="n">
        <v>484</v>
      </c>
      <c r="H473" s="21" t="n">
        <v>2</v>
      </c>
      <c r="I473" s="21" t="s">
        <v>120</v>
      </c>
      <c r="J473" s="21" t="n">
        <v>71</v>
      </c>
      <c r="K473" s="32" t="n">
        <f aca="false">ROUND(Assumptions!$B$4*MIN(G473/Assumptions!$B$11,1)*100+Assumptions!$B$5*F473/10*100+Assumptions!$B$6*MIN(H473/Assumptions!$B$12,1)*100+Assumptions!$B$7*J473+Assumptions!$B$8*IF(I473="Yes",100,0),1)</f>
        <v>72.4</v>
      </c>
      <c r="L473" s="21" t="str">
        <f aca="false">LOOKUP(K473,Assumptions!$D$4:$D$7,Assumptions!$E$4:$E$7)</f>
        <v>Job-Ready</v>
      </c>
      <c r="M473" s="21" t="n">
        <f aca="false">COUNTIFS(Applications!$B$2:$B$3144,A473)</f>
        <v>4</v>
      </c>
      <c r="N473" s="21" t="n">
        <f aca="false">COUNTIFS(Applications!$B$2:$B$3144,A473,Applications!$F$2:$F$3144,"Offered")</f>
        <v>3</v>
      </c>
      <c r="O473" s="21" t="str">
        <f aca="false">IF(COUNTIFS(Applications!$B$2:$B$3144,A473,Applications!$H$2:$H$3144,"Yes")&gt;0,"Yes","No")</f>
        <v>Yes</v>
      </c>
      <c r="P473" s="32" t="n">
        <f aca="false">SUMIFS(Applications!$G$2:$G$3144,Applications!$B$2:$B$3144,A473,Applications!$H$2:$H$3144,"Yes")</f>
        <v>12</v>
      </c>
      <c r="Q473" s="21" t="str">
        <f aca="false">IF(O473="Yes",INDEX(Companies!$B$2:$B$31,MATCH(INDEX(Applications!$C$2:$C$3144,MATCH(A473,Applications!$P$2:$P$3144,0)),Companies!$A$2:$A$31,0)),"-")</f>
        <v>SkillForge</v>
      </c>
    </row>
    <row r="474" customFormat="false" ht="15" hidden="false" customHeight="false" outlineLevel="0" collapsed="false">
      <c r="A474" s="21" t="s">
        <v>956</v>
      </c>
      <c r="B474" s="21" t="s">
        <v>636</v>
      </c>
      <c r="C474" s="21" t="s">
        <v>810</v>
      </c>
      <c r="D474" s="21" t="s">
        <v>65</v>
      </c>
      <c r="E474" s="21" t="s">
        <v>90</v>
      </c>
      <c r="F474" s="21" t="n">
        <v>8.52</v>
      </c>
      <c r="G474" s="21" t="n">
        <v>220</v>
      </c>
      <c r="H474" s="21" t="n">
        <v>4</v>
      </c>
      <c r="I474" s="21" t="s">
        <v>120</v>
      </c>
      <c r="J474" s="21" t="n">
        <v>67</v>
      </c>
      <c r="K474" s="32" t="n">
        <f aca="false">ROUND(Assumptions!$B$4*MIN(G474/Assumptions!$B$11,1)*100+Assumptions!$B$5*F474/10*100+Assumptions!$B$6*MIN(H474/Assumptions!$B$12,1)*100+Assumptions!$B$7*J474+Assumptions!$B$8*IF(I474="Yes",100,0),1)</f>
        <v>69.6</v>
      </c>
      <c r="L474" s="21" t="str">
        <f aca="false">LOOKUP(K474,Assumptions!$D$4:$D$7,Assumptions!$E$4:$E$7)</f>
        <v>Job-Ready</v>
      </c>
      <c r="M474" s="21" t="n">
        <f aca="false">COUNTIFS(Applications!$B$2:$B$3144,A474)</f>
        <v>12</v>
      </c>
      <c r="N474" s="21" t="n">
        <f aca="false">COUNTIFS(Applications!$B$2:$B$3144,A474,Applications!$F$2:$F$3144,"Offered")</f>
        <v>4</v>
      </c>
      <c r="O474" s="21" t="str">
        <f aca="false">IF(COUNTIFS(Applications!$B$2:$B$3144,A474,Applications!$H$2:$H$3144,"Yes")&gt;0,"Yes","No")</f>
        <v>Yes</v>
      </c>
      <c r="P474" s="32" t="n">
        <f aca="false">SUMIFS(Applications!$G$2:$G$3144,Applications!$B$2:$B$3144,A474,Applications!$H$2:$H$3144,"Yes")</f>
        <v>7.3</v>
      </c>
      <c r="Q474" s="21" t="str">
        <f aca="false">IF(O474="Yes",INDEX(Companies!$B$2:$B$31,MATCH(INDEX(Applications!$C$2:$C$3144,MATCH(A474,Applications!$P$2:$P$3144,0)),Companies!$A$2:$A$31,0)),"-")</f>
        <v>HealthLink Digital</v>
      </c>
    </row>
    <row r="475" customFormat="false" ht="15" hidden="false" customHeight="false" outlineLevel="0" collapsed="false">
      <c r="A475" s="21" t="s">
        <v>957</v>
      </c>
      <c r="B475" s="21" t="s">
        <v>154</v>
      </c>
      <c r="C475" s="21" t="s">
        <v>810</v>
      </c>
      <c r="D475" s="21" t="s">
        <v>64</v>
      </c>
      <c r="E475" s="21" t="s">
        <v>92</v>
      </c>
      <c r="F475" s="21" t="n">
        <v>6.71</v>
      </c>
      <c r="G475" s="21" t="n">
        <v>538</v>
      </c>
      <c r="H475" s="21" t="n">
        <v>0</v>
      </c>
      <c r="I475" s="21" t="s">
        <v>113</v>
      </c>
      <c r="J475" s="21" t="n">
        <v>25</v>
      </c>
      <c r="K475" s="32" t="n">
        <f aca="false">ROUND(Assumptions!$B$4*MIN(G475/Assumptions!$B$11,1)*100+Assumptions!$B$5*F475/10*100+Assumptions!$B$6*MIN(H475/Assumptions!$B$12,1)*100+Assumptions!$B$7*J475+Assumptions!$B$8*IF(I475="Yes",100,0),1)</f>
        <v>48.4</v>
      </c>
      <c r="L475" s="21" t="str">
        <f aca="false">LOOKUP(K475,Assumptions!$D$4:$D$7,Assumptions!$E$4:$E$7)</f>
        <v>Foundation</v>
      </c>
      <c r="M475" s="21" t="n">
        <f aca="false">COUNTIFS(Applications!$B$2:$B$3144,A475)</f>
        <v>8</v>
      </c>
      <c r="N475" s="21" t="n">
        <f aca="false">COUNTIFS(Applications!$B$2:$B$3144,A475,Applications!$F$2:$F$3144,"Offered")</f>
        <v>2</v>
      </c>
      <c r="O475" s="21" t="str">
        <f aca="false">IF(COUNTIFS(Applications!$B$2:$B$3144,A475,Applications!$H$2:$H$3144,"Yes")&gt;0,"Yes","No")</f>
        <v>Yes</v>
      </c>
      <c r="P475" s="32" t="n">
        <f aca="false">SUMIFS(Applications!$G$2:$G$3144,Applications!$B$2:$B$3144,A475,Applications!$H$2:$H$3144,"Yes")</f>
        <v>5.6</v>
      </c>
      <c r="Q475" s="21" t="str">
        <f aca="false">IF(O475="Yes",INDEX(Companies!$B$2:$B$31,MATCH(INDEX(Applications!$C$2:$C$3144,MATCH(A475,Applications!$P$2:$P$3144,0)),Companies!$A$2:$A$31,0)),"-")</f>
        <v>Sapphire Infotech</v>
      </c>
    </row>
    <row r="476" customFormat="false" ht="15" hidden="false" customHeight="false" outlineLevel="0" collapsed="false">
      <c r="A476" s="21" t="s">
        <v>958</v>
      </c>
      <c r="B476" s="21" t="s">
        <v>959</v>
      </c>
      <c r="C476" s="21" t="s">
        <v>810</v>
      </c>
      <c r="D476" s="21" t="s">
        <v>64</v>
      </c>
      <c r="E476" s="21" t="s">
        <v>90</v>
      </c>
      <c r="F476" s="21" t="n">
        <v>9.23</v>
      </c>
      <c r="G476" s="21" t="n">
        <v>395</v>
      </c>
      <c r="H476" s="21" t="n">
        <v>6</v>
      </c>
      <c r="I476" s="21" t="s">
        <v>113</v>
      </c>
      <c r="J476" s="21" t="n">
        <v>97</v>
      </c>
      <c r="K476" s="32" t="n">
        <f aca="false">ROUND(Assumptions!$B$4*MIN(G476/Assumptions!$B$11,1)*100+Assumptions!$B$5*F476/10*100+Assumptions!$B$6*MIN(H476/Assumptions!$B$12,1)*100+Assumptions!$B$7*J476+Assumptions!$B$8*IF(I476="Yes",100,0),1)</f>
        <v>81.6</v>
      </c>
      <c r="L476" s="21" t="str">
        <f aca="false">LOOKUP(K476,Assumptions!$D$4:$D$7,Assumptions!$E$4:$E$7)</f>
        <v>Elite</v>
      </c>
      <c r="M476" s="21" t="n">
        <f aca="false">COUNTIFS(Applications!$B$2:$B$3144,A476)</f>
        <v>4</v>
      </c>
      <c r="N476" s="21" t="n">
        <f aca="false">COUNTIFS(Applications!$B$2:$B$3144,A476,Applications!$F$2:$F$3144,"Offered")</f>
        <v>3</v>
      </c>
      <c r="O476" s="21" t="str">
        <f aca="false">IF(COUNTIFS(Applications!$B$2:$B$3144,A476,Applications!$H$2:$H$3144,"Yes")&gt;0,"Yes","No")</f>
        <v>Yes</v>
      </c>
      <c r="P476" s="32" t="n">
        <f aca="false">SUMIFS(Applications!$G$2:$G$3144,Applications!$B$2:$B$3144,A476,Applications!$H$2:$H$3144,"Yes")</f>
        <v>12.5</v>
      </c>
      <c r="Q476" s="21" t="str">
        <f aca="false">IF(O476="Yes",INDEX(Companies!$B$2:$B$31,MATCH(INDEX(Applications!$C$2:$C$3144,MATCH(A476,Applications!$P$2:$P$3144,0)),Companies!$A$2:$A$31,0)),"-")</f>
        <v>FinStack</v>
      </c>
    </row>
    <row r="477" customFormat="false" ht="15" hidden="false" customHeight="false" outlineLevel="0" collapsed="false">
      <c r="A477" s="21" t="s">
        <v>960</v>
      </c>
      <c r="B477" s="21" t="s">
        <v>525</v>
      </c>
      <c r="C477" s="21" t="s">
        <v>810</v>
      </c>
      <c r="D477" s="21" t="s">
        <v>65</v>
      </c>
      <c r="E477" s="21" t="s">
        <v>90</v>
      </c>
      <c r="F477" s="21" t="n">
        <v>8.68</v>
      </c>
      <c r="G477" s="21" t="n">
        <v>118</v>
      </c>
      <c r="H477" s="21" t="n">
        <v>3</v>
      </c>
      <c r="I477" s="21" t="s">
        <v>113</v>
      </c>
      <c r="J477" s="21" t="n">
        <v>69</v>
      </c>
      <c r="K477" s="32" t="n">
        <f aca="false">ROUND(Assumptions!$B$4*MIN(G477/Assumptions!$B$11,1)*100+Assumptions!$B$5*F477/10*100+Assumptions!$B$6*MIN(H477/Assumptions!$B$12,1)*100+Assumptions!$B$7*J477+Assumptions!$B$8*IF(I477="Yes",100,0),1)</f>
        <v>50.2</v>
      </c>
      <c r="L477" s="21" t="str">
        <f aca="false">LOOKUP(K477,Assumptions!$D$4:$D$7,Assumptions!$E$4:$E$7)</f>
        <v>Developing</v>
      </c>
      <c r="M477" s="21" t="n">
        <f aca="false">COUNTIFS(Applications!$B$2:$B$3144,A477)</f>
        <v>0</v>
      </c>
      <c r="N477" s="21" t="n">
        <f aca="false">COUNTIFS(Applications!$B$2:$B$3144,A477,Applications!$F$2:$F$3144,"Offered")</f>
        <v>0</v>
      </c>
      <c r="O477" s="21" t="str">
        <f aca="false">IF(COUNTIFS(Applications!$B$2:$B$3144,A477,Applications!$H$2:$H$3144,"Yes")&gt;0,"Yes","No")</f>
        <v>No</v>
      </c>
      <c r="P477" s="32" t="n">
        <f aca="false">SUMIFS(Applications!$G$2:$G$3144,Applications!$B$2:$B$3144,A477,Applications!$H$2:$H$3144,"Yes")</f>
        <v>0</v>
      </c>
      <c r="Q477" s="21" t="str">
        <f aca="false">IF(O477="Yes",INDEX(Companies!$B$2:$B$31,MATCH(INDEX(Applications!$C$2:$C$3144,MATCH(A477,Applications!$P$2:$P$3144,0)),Companies!$A$2:$A$31,0)),"-")</f>
        <v>-</v>
      </c>
    </row>
    <row r="478" customFormat="false" ht="15" hidden="false" customHeight="false" outlineLevel="0" collapsed="false">
      <c r="A478" s="21" t="s">
        <v>961</v>
      </c>
      <c r="B478" s="21" t="s">
        <v>962</v>
      </c>
      <c r="C478" s="21" t="s">
        <v>810</v>
      </c>
      <c r="D478" s="21" t="s">
        <v>65</v>
      </c>
      <c r="E478" s="21" t="s">
        <v>92</v>
      </c>
      <c r="F478" s="21" t="n">
        <v>8.51</v>
      </c>
      <c r="G478" s="21" t="n">
        <v>167</v>
      </c>
      <c r="H478" s="21" t="n">
        <v>3</v>
      </c>
      <c r="I478" s="21" t="s">
        <v>120</v>
      </c>
      <c r="J478" s="21" t="n">
        <v>64</v>
      </c>
      <c r="K478" s="32" t="n">
        <f aca="false">ROUND(Assumptions!$B$4*MIN(G478/Assumptions!$B$11,1)*100+Assumptions!$B$5*F478/10*100+Assumptions!$B$6*MIN(H478/Assumptions!$B$12,1)*100+Assumptions!$B$7*J478+Assumptions!$B$8*IF(I478="Yes",100,0),1)</f>
        <v>61.8</v>
      </c>
      <c r="L478" s="21" t="str">
        <f aca="false">LOOKUP(K478,Assumptions!$D$4:$D$7,Assumptions!$E$4:$E$7)</f>
        <v>Developing</v>
      </c>
      <c r="M478" s="21" t="n">
        <f aca="false">COUNTIFS(Applications!$B$2:$B$3144,A478)</f>
        <v>8</v>
      </c>
      <c r="N478" s="21" t="n">
        <f aca="false">COUNTIFS(Applications!$B$2:$B$3144,A478,Applications!$F$2:$F$3144,"Offered")</f>
        <v>3</v>
      </c>
      <c r="O478" s="21" t="str">
        <f aca="false">IF(COUNTIFS(Applications!$B$2:$B$3144,A478,Applications!$H$2:$H$3144,"Yes")&gt;0,"Yes","No")</f>
        <v>Yes</v>
      </c>
      <c r="P478" s="32" t="n">
        <f aca="false">SUMIFS(Applications!$G$2:$G$3144,Applications!$B$2:$B$3144,A478,Applications!$H$2:$H$3144,"Yes")</f>
        <v>11.9</v>
      </c>
      <c r="Q478" s="21" t="str">
        <f aca="false">IF(O478="Yes",INDEX(Companies!$B$2:$B$31,MATCH(INDEX(Applications!$C$2:$C$3144,MATCH(A478,Applications!$P$2:$P$3144,0)),Companies!$A$2:$A$31,0)),"-")</f>
        <v>SkillForge</v>
      </c>
    </row>
    <row r="479" customFormat="false" ht="15" hidden="false" customHeight="false" outlineLevel="0" collapsed="false">
      <c r="A479" s="21" t="s">
        <v>963</v>
      </c>
      <c r="B479" s="21" t="s">
        <v>964</v>
      </c>
      <c r="C479" s="21" t="s">
        <v>810</v>
      </c>
      <c r="D479" s="21" t="s">
        <v>67</v>
      </c>
      <c r="E479" s="21" t="s">
        <v>91</v>
      </c>
      <c r="F479" s="21" t="n">
        <v>6.25</v>
      </c>
      <c r="G479" s="21" t="n">
        <v>362</v>
      </c>
      <c r="H479" s="21" t="n">
        <v>2</v>
      </c>
      <c r="I479" s="21" t="s">
        <v>120</v>
      </c>
      <c r="J479" s="21" t="n">
        <v>54</v>
      </c>
      <c r="K479" s="32" t="n">
        <f aca="false">ROUND(Assumptions!$B$4*MIN(G479/Assumptions!$B$11,1)*100+Assumptions!$B$5*F479/10*100+Assumptions!$B$6*MIN(H479/Assumptions!$B$12,1)*100+Assumptions!$B$7*J479+Assumptions!$B$8*IF(I479="Yes",100,0),1)</f>
        <v>63</v>
      </c>
      <c r="L479" s="21" t="str">
        <f aca="false">LOOKUP(K479,Assumptions!$D$4:$D$7,Assumptions!$E$4:$E$7)</f>
        <v>Developing</v>
      </c>
      <c r="M479" s="21" t="n">
        <f aca="false">COUNTIFS(Applications!$B$2:$B$3144,A479)</f>
        <v>8</v>
      </c>
      <c r="N479" s="21" t="n">
        <f aca="false">COUNTIFS(Applications!$B$2:$B$3144,A479,Applications!$F$2:$F$3144,"Offered")</f>
        <v>2</v>
      </c>
      <c r="O479" s="21" t="str">
        <f aca="false">IF(COUNTIFS(Applications!$B$2:$B$3144,A479,Applications!$H$2:$H$3144,"Yes")&gt;0,"Yes","No")</f>
        <v>Yes</v>
      </c>
      <c r="P479" s="32" t="n">
        <f aca="false">SUMIFS(Applications!$G$2:$G$3144,Applications!$B$2:$B$3144,A479,Applications!$H$2:$H$3144,"Yes")</f>
        <v>6</v>
      </c>
      <c r="Q479" s="21" t="str">
        <f aca="false">IF(O479="Yes",INDEX(Companies!$B$2:$B$31,MATCH(INDEX(Applications!$C$2:$C$3144,MATCH(A479,Applications!$P$2:$P$3144,0)),Companies!$A$2:$A$31,0)),"-")</f>
        <v>Sapphire Infotech</v>
      </c>
    </row>
    <row r="480" customFormat="false" ht="15" hidden="false" customHeight="false" outlineLevel="0" collapsed="false">
      <c r="A480" s="21" t="s">
        <v>965</v>
      </c>
      <c r="B480" s="21" t="s">
        <v>966</v>
      </c>
      <c r="C480" s="21" t="s">
        <v>810</v>
      </c>
      <c r="D480" s="21" t="s">
        <v>64</v>
      </c>
      <c r="E480" s="21" t="s">
        <v>91</v>
      </c>
      <c r="F480" s="21" t="n">
        <v>8.02</v>
      </c>
      <c r="G480" s="21" t="n">
        <v>732</v>
      </c>
      <c r="H480" s="21" t="n">
        <v>1</v>
      </c>
      <c r="I480" s="21" t="s">
        <v>113</v>
      </c>
      <c r="J480" s="21" t="n">
        <v>68</v>
      </c>
      <c r="K480" s="32" t="n">
        <f aca="false">ROUND(Assumptions!$B$4*MIN(G480/Assumptions!$B$11,1)*100+Assumptions!$B$5*F480/10*100+Assumptions!$B$6*MIN(H480/Assumptions!$B$12,1)*100+Assumptions!$B$7*J480+Assumptions!$B$8*IF(I480="Yes",100,0),1)</f>
        <v>63.6</v>
      </c>
      <c r="L480" s="21" t="str">
        <f aca="false">LOOKUP(K480,Assumptions!$D$4:$D$7,Assumptions!$E$4:$E$7)</f>
        <v>Developing</v>
      </c>
      <c r="M480" s="21" t="n">
        <f aca="false">COUNTIFS(Applications!$B$2:$B$3144,A480)</f>
        <v>0</v>
      </c>
      <c r="N480" s="21" t="n">
        <f aca="false">COUNTIFS(Applications!$B$2:$B$3144,A480,Applications!$F$2:$F$3144,"Offered")</f>
        <v>0</v>
      </c>
      <c r="O480" s="21" t="str">
        <f aca="false">IF(COUNTIFS(Applications!$B$2:$B$3144,A480,Applications!$H$2:$H$3144,"Yes")&gt;0,"Yes","No")</f>
        <v>No</v>
      </c>
      <c r="P480" s="32" t="n">
        <f aca="false">SUMIFS(Applications!$G$2:$G$3144,Applications!$B$2:$B$3144,A480,Applications!$H$2:$H$3144,"Yes")</f>
        <v>0</v>
      </c>
      <c r="Q480" s="21" t="str">
        <f aca="false">IF(O480="Yes",INDEX(Companies!$B$2:$B$31,MATCH(INDEX(Applications!$C$2:$C$3144,MATCH(A480,Applications!$P$2:$P$3144,0)),Companies!$A$2:$A$31,0)),"-")</f>
        <v>-</v>
      </c>
    </row>
    <row r="481" customFormat="false" ht="15" hidden="false" customHeight="false" outlineLevel="0" collapsed="false">
      <c r="A481" s="21" t="s">
        <v>967</v>
      </c>
      <c r="B481" s="21" t="s">
        <v>968</v>
      </c>
      <c r="C481" s="21" t="s">
        <v>810</v>
      </c>
      <c r="D481" s="21" t="s">
        <v>67</v>
      </c>
      <c r="E481" s="21" t="s">
        <v>91</v>
      </c>
      <c r="F481" s="21" t="n">
        <v>7.63</v>
      </c>
      <c r="G481" s="21" t="n">
        <v>230</v>
      </c>
      <c r="H481" s="21" t="n">
        <v>4</v>
      </c>
      <c r="I481" s="21" t="s">
        <v>113</v>
      </c>
      <c r="J481" s="21" t="n">
        <v>64</v>
      </c>
      <c r="K481" s="32" t="n">
        <f aca="false">ROUND(Assumptions!$B$4*MIN(G481/Assumptions!$B$11,1)*100+Assumptions!$B$5*F481/10*100+Assumptions!$B$6*MIN(H481/Assumptions!$B$12,1)*100+Assumptions!$B$7*J481+Assumptions!$B$8*IF(I481="Yes",100,0),1)</f>
        <v>57.9</v>
      </c>
      <c r="L481" s="21" t="str">
        <f aca="false">LOOKUP(K481,Assumptions!$D$4:$D$7,Assumptions!$E$4:$E$7)</f>
        <v>Developing</v>
      </c>
      <c r="M481" s="21" t="n">
        <f aca="false">COUNTIFS(Applications!$B$2:$B$3144,A481)</f>
        <v>5</v>
      </c>
      <c r="N481" s="21" t="n">
        <f aca="false">COUNTIFS(Applications!$B$2:$B$3144,A481,Applications!$F$2:$F$3144,"Offered")</f>
        <v>1</v>
      </c>
      <c r="O481" s="21" t="str">
        <f aca="false">IF(COUNTIFS(Applications!$B$2:$B$3144,A481,Applications!$H$2:$H$3144,"Yes")&gt;0,"Yes","No")</f>
        <v>Yes</v>
      </c>
      <c r="P481" s="32" t="n">
        <f aca="false">SUMIFS(Applications!$G$2:$G$3144,Applications!$B$2:$B$3144,A481,Applications!$H$2:$H$3144,"Yes")</f>
        <v>6.9</v>
      </c>
      <c r="Q481" s="21" t="str">
        <f aca="false">IF(O481="Yes",INDEX(Companies!$B$2:$B$31,MATCH(INDEX(Applications!$C$2:$C$3144,MATCH(A481,Applications!$P$2:$P$3144,0)),Companies!$A$2:$A$31,0)),"-")</f>
        <v>AlphaGrid Tech</v>
      </c>
    </row>
    <row r="482" customFormat="false" ht="15" hidden="false" customHeight="false" outlineLevel="0" collapsed="false">
      <c r="A482" s="21" t="s">
        <v>969</v>
      </c>
      <c r="B482" s="21" t="s">
        <v>329</v>
      </c>
      <c r="C482" s="21" t="s">
        <v>810</v>
      </c>
      <c r="D482" s="21" t="s">
        <v>66</v>
      </c>
      <c r="E482" s="21" t="s">
        <v>91</v>
      </c>
      <c r="F482" s="21" t="n">
        <v>5.72</v>
      </c>
      <c r="G482" s="21" t="n">
        <v>373</v>
      </c>
      <c r="H482" s="21" t="n">
        <v>3</v>
      </c>
      <c r="I482" s="21" t="s">
        <v>113</v>
      </c>
      <c r="J482" s="21" t="n">
        <v>68</v>
      </c>
      <c r="K482" s="32" t="n">
        <f aca="false">ROUND(Assumptions!$B$4*MIN(G482/Assumptions!$B$11,1)*100+Assumptions!$B$5*F482/10*100+Assumptions!$B$6*MIN(H482/Assumptions!$B$12,1)*100+Assumptions!$B$7*J482+Assumptions!$B$8*IF(I482="Yes",100,0),1)</f>
        <v>59.4</v>
      </c>
      <c r="L482" s="21" t="str">
        <f aca="false">LOOKUP(K482,Assumptions!$D$4:$D$7,Assumptions!$E$4:$E$7)</f>
        <v>Developing</v>
      </c>
      <c r="M482" s="21" t="n">
        <f aca="false">COUNTIFS(Applications!$B$2:$B$3144,A482)</f>
        <v>5</v>
      </c>
      <c r="N482" s="21" t="n">
        <f aca="false">COUNTIFS(Applications!$B$2:$B$3144,A482,Applications!$F$2:$F$3144,"Offered")</f>
        <v>0</v>
      </c>
      <c r="O482" s="21" t="str">
        <f aca="false">IF(COUNTIFS(Applications!$B$2:$B$3144,A482,Applications!$H$2:$H$3144,"Yes")&gt;0,"Yes","No")</f>
        <v>No</v>
      </c>
      <c r="P482" s="32" t="n">
        <f aca="false">SUMIFS(Applications!$G$2:$G$3144,Applications!$B$2:$B$3144,A482,Applications!$H$2:$H$3144,"Yes")</f>
        <v>0</v>
      </c>
      <c r="Q482" s="21" t="str">
        <f aca="false">IF(O482="Yes",INDEX(Companies!$B$2:$B$31,MATCH(INDEX(Applications!$C$2:$C$3144,MATCH(A482,Applications!$P$2:$P$3144,0)),Companies!$A$2:$A$31,0)),"-")</f>
        <v>-</v>
      </c>
    </row>
    <row r="483" customFormat="false" ht="15" hidden="false" customHeight="false" outlineLevel="0" collapsed="false">
      <c r="A483" s="21" t="s">
        <v>970</v>
      </c>
      <c r="B483" s="21" t="s">
        <v>971</v>
      </c>
      <c r="C483" s="21" t="s">
        <v>810</v>
      </c>
      <c r="D483" s="21" t="s">
        <v>64</v>
      </c>
      <c r="E483" s="21" t="s">
        <v>91</v>
      </c>
      <c r="F483" s="21" t="n">
        <v>8.8</v>
      </c>
      <c r="G483" s="21" t="n">
        <v>633</v>
      </c>
      <c r="H483" s="21" t="n">
        <v>3</v>
      </c>
      <c r="I483" s="21" t="s">
        <v>113</v>
      </c>
      <c r="J483" s="21" t="n">
        <v>58</v>
      </c>
      <c r="K483" s="32" t="n">
        <f aca="false">ROUND(Assumptions!$B$4*MIN(G483/Assumptions!$B$11,1)*100+Assumptions!$B$5*F483/10*100+Assumptions!$B$6*MIN(H483/Assumptions!$B$12,1)*100+Assumptions!$B$7*J483+Assumptions!$B$8*IF(I483="Yes",100,0),1)</f>
        <v>71.2</v>
      </c>
      <c r="L483" s="21" t="str">
        <f aca="false">LOOKUP(K483,Assumptions!$D$4:$D$7,Assumptions!$E$4:$E$7)</f>
        <v>Job-Ready</v>
      </c>
      <c r="M483" s="21" t="n">
        <f aca="false">COUNTIFS(Applications!$B$2:$B$3144,A483)</f>
        <v>3</v>
      </c>
      <c r="N483" s="21" t="n">
        <f aca="false">COUNTIFS(Applications!$B$2:$B$3144,A483,Applications!$F$2:$F$3144,"Offered")</f>
        <v>0</v>
      </c>
      <c r="O483" s="21" t="str">
        <f aca="false">IF(COUNTIFS(Applications!$B$2:$B$3144,A483,Applications!$H$2:$H$3144,"Yes")&gt;0,"Yes","No")</f>
        <v>No</v>
      </c>
      <c r="P483" s="32" t="n">
        <f aca="false">SUMIFS(Applications!$G$2:$G$3144,Applications!$B$2:$B$3144,A483,Applications!$H$2:$H$3144,"Yes")</f>
        <v>0</v>
      </c>
      <c r="Q483" s="21" t="str">
        <f aca="false">IF(O483="Yes",INDEX(Companies!$B$2:$B$31,MATCH(INDEX(Applications!$C$2:$C$3144,MATCH(A483,Applications!$P$2:$P$3144,0)),Companies!$A$2:$A$31,0)),"-")</f>
        <v>-</v>
      </c>
    </row>
    <row r="484" customFormat="false" ht="15" hidden="false" customHeight="false" outlineLevel="0" collapsed="false">
      <c r="A484" s="21" t="s">
        <v>972</v>
      </c>
      <c r="B484" s="21" t="s">
        <v>973</v>
      </c>
      <c r="C484" s="21" t="s">
        <v>810</v>
      </c>
      <c r="D484" s="21" t="s">
        <v>65</v>
      </c>
      <c r="E484" s="21" t="s">
        <v>91</v>
      </c>
      <c r="F484" s="21" t="n">
        <v>8.68</v>
      </c>
      <c r="G484" s="21" t="n">
        <v>291</v>
      </c>
      <c r="H484" s="21" t="n">
        <v>2</v>
      </c>
      <c r="I484" s="21" t="s">
        <v>120</v>
      </c>
      <c r="J484" s="21" t="n">
        <v>53</v>
      </c>
      <c r="K484" s="32" t="n">
        <f aca="false">ROUND(Assumptions!$B$4*MIN(G484/Assumptions!$B$11,1)*100+Assumptions!$B$5*F484/10*100+Assumptions!$B$6*MIN(H484/Assumptions!$B$12,1)*100+Assumptions!$B$7*J484+Assumptions!$B$8*IF(I484="Yes",100,0),1)</f>
        <v>63.4</v>
      </c>
      <c r="L484" s="21" t="str">
        <f aca="false">LOOKUP(K484,Assumptions!$D$4:$D$7,Assumptions!$E$4:$E$7)</f>
        <v>Developing</v>
      </c>
      <c r="M484" s="21" t="n">
        <f aca="false">COUNTIFS(Applications!$B$2:$B$3144,A484)</f>
        <v>5</v>
      </c>
      <c r="N484" s="21" t="n">
        <f aca="false">COUNTIFS(Applications!$B$2:$B$3144,A484,Applications!$F$2:$F$3144,"Offered")</f>
        <v>1</v>
      </c>
      <c r="O484" s="21" t="str">
        <f aca="false">IF(COUNTIFS(Applications!$B$2:$B$3144,A484,Applications!$H$2:$H$3144,"Yes")&gt;0,"Yes","No")</f>
        <v>Yes</v>
      </c>
      <c r="P484" s="32" t="n">
        <f aca="false">SUMIFS(Applications!$G$2:$G$3144,Applications!$B$2:$B$3144,A484,Applications!$H$2:$H$3144,"Yes")</f>
        <v>13.3</v>
      </c>
      <c r="Q484" s="21" t="str">
        <f aca="false">IF(O484="Yes",INDEX(Companies!$B$2:$B$31,MATCH(INDEX(Applications!$C$2:$C$3144,MATCH(A484,Applications!$P$2:$P$3144,0)),Companies!$A$2:$A$31,0)),"-")</f>
        <v>PayRiver</v>
      </c>
    </row>
    <row r="485" customFormat="false" ht="15" hidden="false" customHeight="false" outlineLevel="0" collapsed="false">
      <c r="A485" s="21" t="s">
        <v>974</v>
      </c>
      <c r="B485" s="21" t="s">
        <v>351</v>
      </c>
      <c r="C485" s="21" t="s">
        <v>810</v>
      </c>
      <c r="D485" s="21" t="s">
        <v>65</v>
      </c>
      <c r="E485" s="21" t="s">
        <v>92</v>
      </c>
      <c r="F485" s="21" t="n">
        <v>7.91</v>
      </c>
      <c r="G485" s="21" t="n">
        <v>407</v>
      </c>
      <c r="H485" s="21" t="n">
        <v>1</v>
      </c>
      <c r="I485" s="21" t="s">
        <v>113</v>
      </c>
      <c r="J485" s="21" t="n">
        <v>44</v>
      </c>
      <c r="K485" s="32" t="n">
        <f aca="false">ROUND(Assumptions!$B$4*MIN(G485/Assumptions!$B$11,1)*100+Assumptions!$B$5*F485/10*100+Assumptions!$B$6*MIN(H485/Assumptions!$B$12,1)*100+Assumptions!$B$7*J485+Assumptions!$B$8*IF(I485="Yes",100,0),1)</f>
        <v>53</v>
      </c>
      <c r="L485" s="21" t="str">
        <f aca="false">LOOKUP(K485,Assumptions!$D$4:$D$7,Assumptions!$E$4:$E$7)</f>
        <v>Developing</v>
      </c>
      <c r="M485" s="21" t="n">
        <f aca="false">COUNTIFS(Applications!$B$2:$B$3144,A485)</f>
        <v>2</v>
      </c>
      <c r="N485" s="21" t="n">
        <f aca="false">COUNTIFS(Applications!$B$2:$B$3144,A485,Applications!$F$2:$F$3144,"Offered")</f>
        <v>0</v>
      </c>
      <c r="O485" s="21" t="str">
        <f aca="false">IF(COUNTIFS(Applications!$B$2:$B$3144,A485,Applications!$H$2:$H$3144,"Yes")&gt;0,"Yes","No")</f>
        <v>No</v>
      </c>
      <c r="P485" s="32" t="n">
        <f aca="false">SUMIFS(Applications!$G$2:$G$3144,Applications!$B$2:$B$3144,A485,Applications!$H$2:$H$3144,"Yes")</f>
        <v>0</v>
      </c>
      <c r="Q485" s="21" t="str">
        <f aca="false">IF(O485="Yes",INDEX(Companies!$B$2:$B$31,MATCH(INDEX(Applications!$C$2:$C$3144,MATCH(A485,Applications!$P$2:$P$3144,0)),Companies!$A$2:$A$31,0)),"-")</f>
        <v>-</v>
      </c>
    </row>
    <row r="486" customFormat="false" ht="15" hidden="false" customHeight="false" outlineLevel="0" collapsed="false">
      <c r="A486" s="21" t="s">
        <v>975</v>
      </c>
      <c r="B486" s="21" t="s">
        <v>976</v>
      </c>
      <c r="C486" s="21" t="s">
        <v>810</v>
      </c>
      <c r="D486" s="21" t="s">
        <v>67</v>
      </c>
      <c r="E486" s="21" t="s">
        <v>92</v>
      </c>
      <c r="F486" s="21" t="n">
        <v>8.65</v>
      </c>
      <c r="G486" s="21" t="n">
        <v>445</v>
      </c>
      <c r="H486" s="21" t="n">
        <v>5</v>
      </c>
      <c r="I486" s="21" t="s">
        <v>120</v>
      </c>
      <c r="J486" s="21" t="n">
        <v>74</v>
      </c>
      <c r="K486" s="32" t="n">
        <f aca="false">ROUND(Assumptions!$B$4*MIN(G486/Assumptions!$B$11,1)*100+Assumptions!$B$5*F486/10*100+Assumptions!$B$6*MIN(H486/Assumptions!$B$12,1)*100+Assumptions!$B$7*J486+Assumptions!$B$8*IF(I486="Yes",100,0),1)</f>
        <v>88.8</v>
      </c>
      <c r="L486" s="21" t="str">
        <f aca="false">LOOKUP(K486,Assumptions!$D$4:$D$7,Assumptions!$E$4:$E$7)</f>
        <v>Elite</v>
      </c>
      <c r="M486" s="21" t="n">
        <f aca="false">COUNTIFS(Applications!$B$2:$B$3144,A486)</f>
        <v>5</v>
      </c>
      <c r="N486" s="21" t="n">
        <f aca="false">COUNTIFS(Applications!$B$2:$B$3144,A486,Applications!$F$2:$F$3144,"Offered")</f>
        <v>4</v>
      </c>
      <c r="O486" s="21" t="str">
        <f aca="false">IF(COUNTIFS(Applications!$B$2:$B$3144,A486,Applications!$H$2:$H$3144,"Yes")&gt;0,"Yes","No")</f>
        <v>Yes</v>
      </c>
      <c r="P486" s="32" t="n">
        <f aca="false">SUMIFS(Applications!$G$2:$G$3144,Applications!$B$2:$B$3144,A486,Applications!$H$2:$H$3144,"Yes")</f>
        <v>29.9</v>
      </c>
      <c r="Q486" s="21" t="str">
        <f aca="false">IF(O486="Yes",INDEX(Companies!$B$2:$B$31,MATCH(INDEX(Applications!$C$2:$C$3144,MATCH(A486,Applications!$P$2:$P$3144,0)),Companies!$A$2:$A$31,0)),"-")</f>
        <v>Nimbus Cloud Systems</v>
      </c>
    </row>
    <row r="487" customFormat="false" ht="15" hidden="false" customHeight="false" outlineLevel="0" collapsed="false">
      <c r="A487" s="21" t="s">
        <v>977</v>
      </c>
      <c r="B487" s="21" t="s">
        <v>978</v>
      </c>
      <c r="C487" s="21" t="s">
        <v>810</v>
      </c>
      <c r="D487" s="21" t="s">
        <v>67</v>
      </c>
      <c r="E487" s="21" t="s">
        <v>91</v>
      </c>
      <c r="F487" s="21" t="n">
        <v>9.3</v>
      </c>
      <c r="G487" s="21" t="n">
        <v>450</v>
      </c>
      <c r="H487" s="21" t="n">
        <v>3</v>
      </c>
      <c r="I487" s="21" t="s">
        <v>113</v>
      </c>
      <c r="J487" s="21" t="n">
        <v>62</v>
      </c>
      <c r="K487" s="32" t="n">
        <f aca="false">ROUND(Assumptions!$B$4*MIN(G487/Assumptions!$B$11,1)*100+Assumptions!$B$5*F487/10*100+Assumptions!$B$6*MIN(H487/Assumptions!$B$12,1)*100+Assumptions!$B$7*J487+Assumptions!$B$8*IF(I487="Yes",100,0),1)</f>
        <v>70</v>
      </c>
      <c r="L487" s="21" t="str">
        <f aca="false">LOOKUP(K487,Assumptions!$D$4:$D$7,Assumptions!$E$4:$E$7)</f>
        <v>Job-Ready</v>
      </c>
      <c r="M487" s="21" t="n">
        <f aca="false">COUNTIFS(Applications!$B$2:$B$3144,A487)</f>
        <v>8</v>
      </c>
      <c r="N487" s="21" t="n">
        <f aca="false">COUNTIFS(Applications!$B$2:$B$3144,A487,Applications!$F$2:$F$3144,"Offered")</f>
        <v>5</v>
      </c>
      <c r="O487" s="21" t="str">
        <f aca="false">IF(COUNTIFS(Applications!$B$2:$B$3144,A487,Applications!$H$2:$H$3144,"Yes")&gt;0,"Yes","No")</f>
        <v>Yes</v>
      </c>
      <c r="P487" s="32" t="n">
        <f aca="false">SUMIFS(Applications!$G$2:$G$3144,Applications!$B$2:$B$3144,A487,Applications!$H$2:$H$3144,"Yes")</f>
        <v>11</v>
      </c>
      <c r="Q487" s="21" t="str">
        <f aca="false">IF(O487="Yes",INDEX(Companies!$B$2:$B$31,MATCH(INDEX(Applications!$C$2:$C$3144,MATCH(A487,Applications!$P$2:$P$3144,0)),Companies!$A$2:$A$31,0)),"-")</f>
        <v>ShopSprint</v>
      </c>
    </row>
    <row r="488" customFormat="false" ht="15" hidden="false" customHeight="false" outlineLevel="0" collapsed="false">
      <c r="A488" s="21" t="s">
        <v>979</v>
      </c>
      <c r="B488" s="21" t="s">
        <v>980</v>
      </c>
      <c r="C488" s="21" t="s">
        <v>810</v>
      </c>
      <c r="D488" s="21" t="s">
        <v>64</v>
      </c>
      <c r="E488" s="21" t="s">
        <v>91</v>
      </c>
      <c r="F488" s="21" t="n">
        <v>7.35</v>
      </c>
      <c r="G488" s="21" t="n">
        <v>511</v>
      </c>
      <c r="H488" s="21" t="n">
        <v>3</v>
      </c>
      <c r="I488" s="21" t="s">
        <v>113</v>
      </c>
      <c r="J488" s="21" t="n">
        <v>84</v>
      </c>
      <c r="K488" s="32" t="n">
        <f aca="false">ROUND(Assumptions!$B$4*MIN(G488/Assumptions!$B$11,1)*100+Assumptions!$B$5*F488/10*100+Assumptions!$B$6*MIN(H488/Assumptions!$B$12,1)*100+Assumptions!$B$7*J488+Assumptions!$B$8*IF(I488="Yes",100,0),1)</f>
        <v>73.5</v>
      </c>
      <c r="L488" s="21" t="str">
        <f aca="false">LOOKUP(K488,Assumptions!$D$4:$D$7,Assumptions!$E$4:$E$7)</f>
        <v>Job-Ready</v>
      </c>
      <c r="M488" s="21" t="n">
        <f aca="false">COUNTIFS(Applications!$B$2:$B$3144,A488)</f>
        <v>6</v>
      </c>
      <c r="N488" s="21" t="n">
        <f aca="false">COUNTIFS(Applications!$B$2:$B$3144,A488,Applications!$F$2:$F$3144,"Offered")</f>
        <v>2</v>
      </c>
      <c r="O488" s="21" t="str">
        <f aca="false">IF(COUNTIFS(Applications!$B$2:$B$3144,A488,Applications!$H$2:$H$3144,"Yes")&gt;0,"Yes","No")</f>
        <v>Yes</v>
      </c>
      <c r="P488" s="32" t="n">
        <f aca="false">SUMIFS(Applications!$G$2:$G$3144,Applications!$B$2:$B$3144,A488,Applications!$H$2:$H$3144,"Yes")</f>
        <v>21.9</v>
      </c>
      <c r="Q488" s="21" t="str">
        <f aca="false">IF(O488="Yes",INDEX(Companies!$B$2:$B$31,MATCH(INDEX(Applications!$C$2:$C$3144,MATCH(A488,Applications!$P$2:$P$3144,0)),Companies!$A$2:$A$31,0)),"-")</f>
        <v>Zenith Pay</v>
      </c>
    </row>
    <row r="489" customFormat="false" ht="15" hidden="false" customHeight="false" outlineLevel="0" collapsed="false">
      <c r="A489" s="21" t="s">
        <v>981</v>
      </c>
      <c r="B489" s="21" t="s">
        <v>302</v>
      </c>
      <c r="C489" s="21" t="s">
        <v>810</v>
      </c>
      <c r="D489" s="21" t="s">
        <v>67</v>
      </c>
      <c r="E489" s="21" t="s">
        <v>90</v>
      </c>
      <c r="F489" s="21" t="n">
        <v>7.98</v>
      </c>
      <c r="G489" s="21" t="n">
        <v>301</v>
      </c>
      <c r="H489" s="21" t="n">
        <v>3</v>
      </c>
      <c r="I489" s="21" t="s">
        <v>120</v>
      </c>
      <c r="J489" s="21" t="n">
        <v>98</v>
      </c>
      <c r="K489" s="32" t="n">
        <f aca="false">ROUND(Assumptions!$B$4*MIN(G489/Assumptions!$B$11,1)*100+Assumptions!$B$5*F489/10*100+Assumptions!$B$6*MIN(H489/Assumptions!$B$12,1)*100+Assumptions!$B$7*J489+Assumptions!$B$8*IF(I489="Yes",100,0),1)</f>
        <v>75.6</v>
      </c>
      <c r="L489" s="21" t="str">
        <f aca="false">LOOKUP(K489,Assumptions!$D$4:$D$7,Assumptions!$E$4:$E$7)</f>
        <v>Job-Ready</v>
      </c>
      <c r="M489" s="21" t="n">
        <f aca="false">COUNTIFS(Applications!$B$2:$B$3144,A489)</f>
        <v>9</v>
      </c>
      <c r="N489" s="21" t="n">
        <f aca="false">COUNTIFS(Applications!$B$2:$B$3144,A489,Applications!$F$2:$F$3144,"Offered")</f>
        <v>6</v>
      </c>
      <c r="O489" s="21" t="str">
        <f aca="false">IF(COUNTIFS(Applications!$B$2:$B$3144,A489,Applications!$H$2:$H$3144,"Yes")&gt;0,"Yes","No")</f>
        <v>Yes</v>
      </c>
      <c r="P489" s="32" t="n">
        <f aca="false">SUMIFS(Applications!$G$2:$G$3144,Applications!$B$2:$B$3144,A489,Applications!$H$2:$H$3144,"Yes")</f>
        <v>15</v>
      </c>
      <c r="Q489" s="21" t="str">
        <f aca="false">IF(O489="Yes",INDEX(Companies!$B$2:$B$31,MATCH(INDEX(Applications!$C$2:$C$3144,MATCH(A489,Applications!$P$2:$P$3144,0)),Companies!$A$2:$A$31,0)),"-")</f>
        <v>MediSphere</v>
      </c>
    </row>
    <row r="490" customFormat="false" ht="15" hidden="false" customHeight="false" outlineLevel="0" collapsed="false">
      <c r="A490" s="21" t="s">
        <v>982</v>
      </c>
      <c r="B490" s="21" t="s">
        <v>983</v>
      </c>
      <c r="C490" s="21" t="s">
        <v>810</v>
      </c>
      <c r="D490" s="21" t="s">
        <v>65</v>
      </c>
      <c r="E490" s="21" t="s">
        <v>90</v>
      </c>
      <c r="F490" s="21" t="n">
        <v>7.41</v>
      </c>
      <c r="G490" s="21" t="n">
        <v>254</v>
      </c>
      <c r="H490" s="21" t="n">
        <v>0</v>
      </c>
      <c r="I490" s="21" t="s">
        <v>120</v>
      </c>
      <c r="J490" s="21" t="n">
        <v>52</v>
      </c>
      <c r="K490" s="32" t="n">
        <f aca="false">ROUND(Assumptions!$B$4*MIN(G490/Assumptions!$B$11,1)*100+Assumptions!$B$5*F490/10*100+Assumptions!$B$6*MIN(H490/Assumptions!$B$12,1)*100+Assumptions!$B$7*J490+Assumptions!$B$8*IF(I490="Yes",100,0),1)</f>
        <v>50.5</v>
      </c>
      <c r="L490" s="21" t="str">
        <f aca="false">LOOKUP(K490,Assumptions!$D$4:$D$7,Assumptions!$E$4:$E$7)</f>
        <v>Developing</v>
      </c>
      <c r="M490" s="21" t="n">
        <f aca="false">COUNTIFS(Applications!$B$2:$B$3144,A490)</f>
        <v>0</v>
      </c>
      <c r="N490" s="21" t="n">
        <f aca="false">COUNTIFS(Applications!$B$2:$B$3144,A490,Applications!$F$2:$F$3144,"Offered")</f>
        <v>0</v>
      </c>
      <c r="O490" s="21" t="str">
        <f aca="false">IF(COUNTIFS(Applications!$B$2:$B$3144,A490,Applications!$H$2:$H$3144,"Yes")&gt;0,"Yes","No")</f>
        <v>No</v>
      </c>
      <c r="P490" s="32" t="n">
        <f aca="false">SUMIFS(Applications!$G$2:$G$3144,Applications!$B$2:$B$3144,A490,Applications!$H$2:$H$3144,"Yes")</f>
        <v>0</v>
      </c>
      <c r="Q490" s="21" t="str">
        <f aca="false">IF(O490="Yes",INDEX(Companies!$B$2:$B$31,MATCH(INDEX(Applications!$C$2:$C$3144,MATCH(A490,Applications!$P$2:$P$3144,0)),Companies!$A$2:$A$31,0)),"-")</f>
        <v>-</v>
      </c>
    </row>
    <row r="491" customFormat="false" ht="15" hidden="false" customHeight="false" outlineLevel="0" collapsed="false">
      <c r="A491" s="21" t="s">
        <v>984</v>
      </c>
      <c r="B491" s="21" t="s">
        <v>232</v>
      </c>
      <c r="C491" s="21" t="s">
        <v>810</v>
      </c>
      <c r="D491" s="21" t="s">
        <v>65</v>
      </c>
      <c r="E491" s="21" t="s">
        <v>91</v>
      </c>
      <c r="F491" s="21" t="n">
        <v>6.45</v>
      </c>
      <c r="G491" s="21" t="n">
        <v>85</v>
      </c>
      <c r="H491" s="21" t="n">
        <v>0</v>
      </c>
      <c r="I491" s="21" t="s">
        <v>113</v>
      </c>
      <c r="J491" s="21" t="n">
        <v>36</v>
      </c>
      <c r="K491" s="32" t="n">
        <f aca="false">ROUND(Assumptions!$B$4*MIN(G491/Assumptions!$B$11,1)*100+Assumptions!$B$5*F491/10*100+Assumptions!$B$6*MIN(H491/Assumptions!$B$12,1)*100+Assumptions!$B$7*J491+Assumptions!$B$8*IF(I491="Yes",100,0),1)</f>
        <v>25.2</v>
      </c>
      <c r="L491" s="21" t="str">
        <f aca="false">LOOKUP(K491,Assumptions!$D$4:$D$7,Assumptions!$E$4:$E$7)</f>
        <v>Foundation</v>
      </c>
      <c r="M491" s="21" t="n">
        <f aca="false">COUNTIFS(Applications!$B$2:$B$3144,A491)</f>
        <v>0</v>
      </c>
      <c r="N491" s="21" t="n">
        <f aca="false">COUNTIFS(Applications!$B$2:$B$3144,A491,Applications!$F$2:$F$3144,"Offered")</f>
        <v>0</v>
      </c>
      <c r="O491" s="21" t="str">
        <f aca="false">IF(COUNTIFS(Applications!$B$2:$B$3144,A491,Applications!$H$2:$H$3144,"Yes")&gt;0,"Yes","No")</f>
        <v>No</v>
      </c>
      <c r="P491" s="32" t="n">
        <f aca="false">SUMIFS(Applications!$G$2:$G$3144,Applications!$B$2:$B$3144,A491,Applications!$H$2:$H$3144,"Yes")</f>
        <v>0</v>
      </c>
      <c r="Q491" s="21" t="str">
        <f aca="false">IF(O491="Yes",INDEX(Companies!$B$2:$B$31,MATCH(INDEX(Applications!$C$2:$C$3144,MATCH(A491,Applications!$P$2:$P$3144,0)),Companies!$A$2:$A$31,0)),"-")</f>
        <v>-</v>
      </c>
    </row>
    <row r="492" customFormat="false" ht="15" hidden="false" customHeight="false" outlineLevel="0" collapsed="false">
      <c r="A492" s="21" t="s">
        <v>985</v>
      </c>
      <c r="B492" s="21" t="s">
        <v>986</v>
      </c>
      <c r="C492" s="21" t="s">
        <v>810</v>
      </c>
      <c r="D492" s="21" t="s">
        <v>67</v>
      </c>
      <c r="E492" s="21" t="s">
        <v>91</v>
      </c>
      <c r="F492" s="21" t="n">
        <v>8.6</v>
      </c>
      <c r="G492" s="21" t="n">
        <v>81</v>
      </c>
      <c r="H492" s="21" t="n">
        <v>1</v>
      </c>
      <c r="I492" s="21" t="s">
        <v>113</v>
      </c>
      <c r="J492" s="21" t="n">
        <v>30</v>
      </c>
      <c r="K492" s="32" t="n">
        <f aca="false">ROUND(Assumptions!$B$4*MIN(G492/Assumptions!$B$11,1)*100+Assumptions!$B$5*F492/10*100+Assumptions!$B$6*MIN(H492/Assumptions!$B$12,1)*100+Assumptions!$B$7*J492+Assumptions!$B$8*IF(I492="Yes",100,0),1)</f>
        <v>32.1</v>
      </c>
      <c r="L492" s="21" t="str">
        <f aca="false">LOOKUP(K492,Assumptions!$D$4:$D$7,Assumptions!$E$4:$E$7)</f>
        <v>Foundation</v>
      </c>
      <c r="M492" s="21" t="n">
        <f aca="false">COUNTIFS(Applications!$B$2:$B$3144,A492)</f>
        <v>2</v>
      </c>
      <c r="N492" s="21" t="n">
        <f aca="false">COUNTIFS(Applications!$B$2:$B$3144,A492,Applications!$F$2:$F$3144,"Offered")</f>
        <v>0</v>
      </c>
      <c r="O492" s="21" t="str">
        <f aca="false">IF(COUNTIFS(Applications!$B$2:$B$3144,A492,Applications!$H$2:$H$3144,"Yes")&gt;0,"Yes","No")</f>
        <v>No</v>
      </c>
      <c r="P492" s="32" t="n">
        <f aca="false">SUMIFS(Applications!$G$2:$G$3144,Applications!$B$2:$B$3144,A492,Applications!$H$2:$H$3144,"Yes")</f>
        <v>0</v>
      </c>
      <c r="Q492" s="21" t="str">
        <f aca="false">IF(O492="Yes",INDEX(Companies!$B$2:$B$31,MATCH(INDEX(Applications!$C$2:$C$3144,MATCH(A492,Applications!$P$2:$P$3144,0)),Companies!$A$2:$A$31,0)),"-")</f>
        <v>-</v>
      </c>
    </row>
    <row r="493" customFormat="false" ht="15" hidden="false" customHeight="false" outlineLevel="0" collapsed="false">
      <c r="A493" s="21" t="s">
        <v>987</v>
      </c>
      <c r="B493" s="21" t="s">
        <v>988</v>
      </c>
      <c r="C493" s="21" t="s">
        <v>810</v>
      </c>
      <c r="D493" s="21" t="s">
        <v>63</v>
      </c>
      <c r="E493" s="21" t="s">
        <v>90</v>
      </c>
      <c r="F493" s="21" t="n">
        <v>7.88</v>
      </c>
      <c r="G493" s="21" t="n">
        <v>197</v>
      </c>
      <c r="H493" s="21" t="n">
        <v>4</v>
      </c>
      <c r="I493" s="21" t="s">
        <v>113</v>
      </c>
      <c r="J493" s="21" t="n">
        <v>84</v>
      </c>
      <c r="K493" s="32" t="n">
        <f aca="false">ROUND(Assumptions!$B$4*MIN(G493/Assumptions!$B$11,1)*100+Assumptions!$B$5*F493/10*100+Assumptions!$B$6*MIN(H493/Assumptions!$B$12,1)*100+Assumptions!$B$7*J493+Assumptions!$B$8*IF(I493="Yes",100,0),1)</f>
        <v>60.4</v>
      </c>
      <c r="L493" s="21" t="str">
        <f aca="false">LOOKUP(K493,Assumptions!$D$4:$D$7,Assumptions!$E$4:$E$7)</f>
        <v>Developing</v>
      </c>
      <c r="M493" s="21" t="n">
        <f aca="false">COUNTIFS(Applications!$B$2:$B$3144,A493)</f>
        <v>4</v>
      </c>
      <c r="N493" s="21" t="n">
        <f aca="false">COUNTIFS(Applications!$B$2:$B$3144,A493,Applications!$F$2:$F$3144,"Offered")</f>
        <v>1</v>
      </c>
      <c r="O493" s="21" t="str">
        <f aca="false">IF(COUNTIFS(Applications!$B$2:$B$3144,A493,Applications!$H$2:$H$3144,"Yes")&gt;0,"Yes","No")</f>
        <v>Yes</v>
      </c>
      <c r="P493" s="32" t="n">
        <f aca="false">SUMIFS(Applications!$G$2:$G$3144,Applications!$B$2:$B$3144,A493,Applications!$H$2:$H$3144,"Yes")</f>
        <v>5.5</v>
      </c>
      <c r="Q493" s="21" t="str">
        <f aca="false">IF(O493="Yes",INDEX(Companies!$B$2:$B$31,MATCH(INDEX(Applications!$C$2:$C$3144,MATCH(A493,Applications!$P$2:$P$3144,0)),Companies!$A$2:$A$31,0)),"-")</f>
        <v>Bharat Digital</v>
      </c>
    </row>
    <row r="494" customFormat="false" ht="15" hidden="false" customHeight="false" outlineLevel="0" collapsed="false">
      <c r="A494" s="21" t="s">
        <v>989</v>
      </c>
      <c r="B494" s="21" t="s">
        <v>990</v>
      </c>
      <c r="C494" s="21" t="s">
        <v>810</v>
      </c>
      <c r="D494" s="21" t="s">
        <v>67</v>
      </c>
      <c r="E494" s="21" t="s">
        <v>91</v>
      </c>
      <c r="F494" s="21" t="n">
        <v>6.78</v>
      </c>
      <c r="G494" s="21" t="n">
        <v>245</v>
      </c>
      <c r="H494" s="21" t="n">
        <v>4</v>
      </c>
      <c r="I494" s="21" t="s">
        <v>113</v>
      </c>
      <c r="J494" s="21" t="n">
        <v>62</v>
      </c>
      <c r="K494" s="32" t="n">
        <f aca="false">ROUND(Assumptions!$B$4*MIN(G494/Assumptions!$B$11,1)*100+Assumptions!$B$5*F494/10*100+Assumptions!$B$6*MIN(H494/Assumptions!$B$12,1)*100+Assumptions!$B$7*J494+Assumptions!$B$8*IF(I494="Yes",100,0),1)</f>
        <v>56.7</v>
      </c>
      <c r="L494" s="21" t="str">
        <f aca="false">LOOKUP(K494,Assumptions!$D$4:$D$7,Assumptions!$E$4:$E$7)</f>
        <v>Developing</v>
      </c>
      <c r="M494" s="21" t="n">
        <f aca="false">COUNTIFS(Applications!$B$2:$B$3144,A494)</f>
        <v>6</v>
      </c>
      <c r="N494" s="21" t="n">
        <f aca="false">COUNTIFS(Applications!$B$2:$B$3144,A494,Applications!$F$2:$F$3144,"Offered")</f>
        <v>2</v>
      </c>
      <c r="O494" s="21" t="str">
        <f aca="false">IF(COUNTIFS(Applications!$B$2:$B$3144,A494,Applications!$H$2:$H$3144,"Yes")&gt;0,"Yes","No")</f>
        <v>Yes</v>
      </c>
      <c r="P494" s="32" t="n">
        <f aca="false">SUMIFS(Applications!$G$2:$G$3144,Applications!$B$2:$B$3144,A494,Applications!$H$2:$H$3144,"Yes")</f>
        <v>6.4</v>
      </c>
      <c r="Q494" s="21" t="str">
        <f aca="false">IF(O494="Yes",INDEX(Companies!$B$2:$B$31,MATCH(INDEX(Applications!$C$2:$C$3144,MATCH(A494,Applications!$P$2:$P$3144,0)),Companies!$A$2:$A$31,0)),"-")</f>
        <v>DataHarbor</v>
      </c>
    </row>
    <row r="495" customFormat="false" ht="15" hidden="false" customHeight="false" outlineLevel="0" collapsed="false">
      <c r="A495" s="21" t="s">
        <v>991</v>
      </c>
      <c r="B495" s="21" t="s">
        <v>992</v>
      </c>
      <c r="C495" s="21" t="s">
        <v>810</v>
      </c>
      <c r="D495" s="21" t="s">
        <v>67</v>
      </c>
      <c r="E495" s="21" t="s">
        <v>91</v>
      </c>
      <c r="F495" s="21" t="n">
        <v>6.24</v>
      </c>
      <c r="G495" s="21" t="n">
        <v>168</v>
      </c>
      <c r="H495" s="21" t="n">
        <v>1</v>
      </c>
      <c r="I495" s="21" t="s">
        <v>113</v>
      </c>
      <c r="J495" s="21" t="n">
        <v>27</v>
      </c>
      <c r="K495" s="32" t="n">
        <f aca="false">ROUND(Assumptions!$B$4*MIN(G495/Assumptions!$B$11,1)*100+Assumptions!$B$5*F495/10*100+Assumptions!$B$6*MIN(H495/Assumptions!$B$12,1)*100+Assumptions!$B$7*J495+Assumptions!$B$8*IF(I495="Yes",100,0),1)</f>
        <v>32</v>
      </c>
      <c r="L495" s="21" t="str">
        <f aca="false">LOOKUP(K495,Assumptions!$D$4:$D$7,Assumptions!$E$4:$E$7)</f>
        <v>Foundation</v>
      </c>
      <c r="M495" s="21" t="n">
        <f aca="false">COUNTIFS(Applications!$B$2:$B$3144,A495)</f>
        <v>7</v>
      </c>
      <c r="N495" s="21" t="n">
        <f aca="false">COUNTIFS(Applications!$B$2:$B$3144,A495,Applications!$F$2:$F$3144,"Offered")</f>
        <v>0</v>
      </c>
      <c r="O495" s="21" t="str">
        <f aca="false">IF(COUNTIFS(Applications!$B$2:$B$3144,A495,Applications!$H$2:$H$3144,"Yes")&gt;0,"Yes","No")</f>
        <v>No</v>
      </c>
      <c r="P495" s="32" t="n">
        <f aca="false">SUMIFS(Applications!$G$2:$G$3144,Applications!$B$2:$B$3144,A495,Applications!$H$2:$H$3144,"Yes")</f>
        <v>0</v>
      </c>
      <c r="Q495" s="21" t="str">
        <f aca="false">IF(O495="Yes",INDEX(Companies!$B$2:$B$31,MATCH(INDEX(Applications!$C$2:$C$3144,MATCH(A495,Applications!$P$2:$P$3144,0)),Companies!$A$2:$A$31,0)),"-")</f>
        <v>-</v>
      </c>
    </row>
    <row r="496" customFormat="false" ht="15" hidden="false" customHeight="false" outlineLevel="0" collapsed="false">
      <c r="A496" s="21" t="s">
        <v>993</v>
      </c>
      <c r="B496" s="21" t="s">
        <v>994</v>
      </c>
      <c r="C496" s="21" t="s">
        <v>810</v>
      </c>
      <c r="D496" s="21" t="s">
        <v>66</v>
      </c>
      <c r="E496" s="21" t="s">
        <v>92</v>
      </c>
      <c r="F496" s="21" t="n">
        <v>7.66</v>
      </c>
      <c r="G496" s="21" t="n">
        <v>181</v>
      </c>
      <c r="H496" s="21" t="n">
        <v>2</v>
      </c>
      <c r="I496" s="21" t="s">
        <v>113</v>
      </c>
      <c r="J496" s="21" t="n">
        <v>41</v>
      </c>
      <c r="K496" s="32" t="n">
        <f aca="false">ROUND(Assumptions!$B$4*MIN(G496/Assumptions!$B$11,1)*100+Assumptions!$B$5*F496/10*100+Assumptions!$B$6*MIN(H496/Assumptions!$B$12,1)*100+Assumptions!$B$7*J496+Assumptions!$B$8*IF(I496="Yes",100,0),1)</f>
        <v>42.4</v>
      </c>
      <c r="L496" s="21" t="str">
        <f aca="false">LOOKUP(K496,Assumptions!$D$4:$D$7,Assumptions!$E$4:$E$7)</f>
        <v>Foundation</v>
      </c>
      <c r="M496" s="21" t="n">
        <f aca="false">COUNTIFS(Applications!$B$2:$B$3144,A496)</f>
        <v>0</v>
      </c>
      <c r="N496" s="21" t="n">
        <f aca="false">COUNTIFS(Applications!$B$2:$B$3144,A496,Applications!$F$2:$F$3144,"Offered")</f>
        <v>0</v>
      </c>
      <c r="O496" s="21" t="str">
        <f aca="false">IF(COUNTIFS(Applications!$B$2:$B$3144,A496,Applications!$H$2:$H$3144,"Yes")&gt;0,"Yes","No")</f>
        <v>No</v>
      </c>
      <c r="P496" s="32" t="n">
        <f aca="false">SUMIFS(Applications!$G$2:$G$3144,Applications!$B$2:$B$3144,A496,Applications!$H$2:$H$3144,"Yes")</f>
        <v>0</v>
      </c>
      <c r="Q496" s="21" t="str">
        <f aca="false">IF(O496="Yes",INDEX(Companies!$B$2:$B$31,MATCH(INDEX(Applications!$C$2:$C$3144,MATCH(A496,Applications!$P$2:$P$3144,0)),Companies!$A$2:$A$31,0)),"-")</f>
        <v>-</v>
      </c>
    </row>
    <row r="497" customFormat="false" ht="15" hidden="false" customHeight="false" outlineLevel="0" collapsed="false">
      <c r="A497" s="21" t="s">
        <v>995</v>
      </c>
      <c r="B497" s="21" t="s">
        <v>996</v>
      </c>
      <c r="C497" s="21" t="s">
        <v>810</v>
      </c>
      <c r="D497" s="21" t="s">
        <v>67</v>
      </c>
      <c r="E497" s="21" t="s">
        <v>91</v>
      </c>
      <c r="F497" s="21" t="n">
        <v>6.26</v>
      </c>
      <c r="G497" s="21" t="n">
        <v>288</v>
      </c>
      <c r="H497" s="21" t="n">
        <v>6</v>
      </c>
      <c r="I497" s="21" t="s">
        <v>113</v>
      </c>
      <c r="J497" s="21" t="n">
        <v>39</v>
      </c>
      <c r="K497" s="32" t="n">
        <f aca="false">ROUND(Assumptions!$B$4*MIN(G497/Assumptions!$B$11,1)*100+Assumptions!$B$5*F497/10*100+Assumptions!$B$6*MIN(H497/Assumptions!$B$12,1)*100+Assumptions!$B$7*J497+Assumptions!$B$8*IF(I497="Yes",100,0),1)</f>
        <v>57.6</v>
      </c>
      <c r="L497" s="21" t="str">
        <f aca="false">LOOKUP(K497,Assumptions!$D$4:$D$7,Assumptions!$E$4:$E$7)</f>
        <v>Developing</v>
      </c>
      <c r="M497" s="21" t="n">
        <f aca="false">COUNTIFS(Applications!$B$2:$B$3144,A497)</f>
        <v>3</v>
      </c>
      <c r="N497" s="21" t="n">
        <f aca="false">COUNTIFS(Applications!$B$2:$B$3144,A497,Applications!$F$2:$F$3144,"Offered")</f>
        <v>0</v>
      </c>
      <c r="O497" s="21" t="str">
        <f aca="false">IF(COUNTIFS(Applications!$B$2:$B$3144,A497,Applications!$H$2:$H$3144,"Yes")&gt;0,"Yes","No")</f>
        <v>No</v>
      </c>
      <c r="P497" s="32" t="n">
        <f aca="false">SUMIFS(Applications!$G$2:$G$3144,Applications!$B$2:$B$3144,A497,Applications!$H$2:$H$3144,"Yes")</f>
        <v>0</v>
      </c>
      <c r="Q497" s="21" t="str">
        <f aca="false">IF(O497="Yes",INDEX(Companies!$B$2:$B$31,MATCH(INDEX(Applications!$C$2:$C$3144,MATCH(A497,Applications!$P$2:$P$3144,0)),Companies!$A$2:$A$31,0)),"-")</f>
        <v>-</v>
      </c>
    </row>
    <row r="498" customFormat="false" ht="15" hidden="false" customHeight="false" outlineLevel="0" collapsed="false">
      <c r="A498" s="21" t="s">
        <v>997</v>
      </c>
      <c r="B498" s="21" t="s">
        <v>292</v>
      </c>
      <c r="C498" s="21" t="s">
        <v>810</v>
      </c>
      <c r="D498" s="21" t="s">
        <v>66</v>
      </c>
      <c r="E498" s="21" t="s">
        <v>90</v>
      </c>
      <c r="F498" s="21" t="n">
        <v>6.72</v>
      </c>
      <c r="G498" s="21" t="n">
        <v>136</v>
      </c>
      <c r="H498" s="21" t="n">
        <v>5</v>
      </c>
      <c r="I498" s="21" t="s">
        <v>120</v>
      </c>
      <c r="J498" s="21" t="n">
        <v>70</v>
      </c>
      <c r="K498" s="32" t="n">
        <f aca="false">ROUND(Assumptions!$B$4*MIN(G498/Assumptions!$B$11,1)*100+Assumptions!$B$5*F498/10*100+Assumptions!$B$6*MIN(H498/Assumptions!$B$12,1)*100+Assumptions!$B$7*J498+Assumptions!$B$8*IF(I498="Yes",100,0),1)</f>
        <v>65.6</v>
      </c>
      <c r="L498" s="21" t="str">
        <f aca="false">LOOKUP(K498,Assumptions!$D$4:$D$7,Assumptions!$E$4:$E$7)</f>
        <v>Job-Ready</v>
      </c>
      <c r="M498" s="21" t="n">
        <f aca="false">COUNTIFS(Applications!$B$2:$B$3144,A498)</f>
        <v>9</v>
      </c>
      <c r="N498" s="21" t="n">
        <f aca="false">COUNTIFS(Applications!$B$2:$B$3144,A498,Applications!$F$2:$F$3144,"Offered")</f>
        <v>0</v>
      </c>
      <c r="O498" s="21" t="str">
        <f aca="false">IF(COUNTIFS(Applications!$B$2:$B$3144,A498,Applications!$H$2:$H$3144,"Yes")&gt;0,"Yes","No")</f>
        <v>No</v>
      </c>
      <c r="P498" s="32" t="n">
        <f aca="false">SUMIFS(Applications!$G$2:$G$3144,Applications!$B$2:$B$3144,A498,Applications!$H$2:$H$3144,"Yes")</f>
        <v>0</v>
      </c>
      <c r="Q498" s="21" t="str">
        <f aca="false">IF(O498="Yes",INDEX(Companies!$B$2:$B$31,MATCH(INDEX(Applications!$C$2:$C$3144,MATCH(A498,Applications!$P$2:$P$3144,0)),Companies!$A$2:$A$31,0)),"-")</f>
        <v>-</v>
      </c>
    </row>
    <row r="499" customFormat="false" ht="15" hidden="false" customHeight="false" outlineLevel="0" collapsed="false">
      <c r="A499" s="21" t="s">
        <v>998</v>
      </c>
      <c r="B499" s="21" t="s">
        <v>229</v>
      </c>
      <c r="C499" s="21" t="s">
        <v>810</v>
      </c>
      <c r="D499" s="21" t="s">
        <v>63</v>
      </c>
      <c r="E499" s="21" t="s">
        <v>91</v>
      </c>
      <c r="F499" s="21" t="n">
        <v>6.92</v>
      </c>
      <c r="G499" s="21" t="n">
        <v>333</v>
      </c>
      <c r="H499" s="21" t="n">
        <v>4</v>
      </c>
      <c r="I499" s="21" t="s">
        <v>113</v>
      </c>
      <c r="J499" s="21" t="n">
        <v>57</v>
      </c>
      <c r="K499" s="32" t="n">
        <f aca="false">ROUND(Assumptions!$B$4*MIN(G499/Assumptions!$B$11,1)*100+Assumptions!$B$5*F499/10*100+Assumptions!$B$6*MIN(H499/Assumptions!$B$12,1)*100+Assumptions!$B$7*J499+Assumptions!$B$8*IF(I499="Yes",100,0),1)</f>
        <v>61.2</v>
      </c>
      <c r="L499" s="21" t="str">
        <f aca="false">LOOKUP(K499,Assumptions!$D$4:$D$7,Assumptions!$E$4:$E$7)</f>
        <v>Developing</v>
      </c>
      <c r="M499" s="21" t="n">
        <f aca="false">COUNTIFS(Applications!$B$2:$B$3144,A499)</f>
        <v>3</v>
      </c>
      <c r="N499" s="21" t="n">
        <f aca="false">COUNTIFS(Applications!$B$2:$B$3144,A499,Applications!$F$2:$F$3144,"Offered")</f>
        <v>0</v>
      </c>
      <c r="O499" s="21" t="str">
        <f aca="false">IF(COUNTIFS(Applications!$B$2:$B$3144,A499,Applications!$H$2:$H$3144,"Yes")&gt;0,"Yes","No")</f>
        <v>No</v>
      </c>
      <c r="P499" s="32" t="n">
        <f aca="false">SUMIFS(Applications!$G$2:$G$3144,Applications!$B$2:$B$3144,A499,Applications!$H$2:$H$3144,"Yes")</f>
        <v>0</v>
      </c>
      <c r="Q499" s="21" t="str">
        <f aca="false">IF(O499="Yes",INDEX(Companies!$B$2:$B$31,MATCH(INDEX(Applications!$C$2:$C$3144,MATCH(A499,Applications!$P$2:$P$3144,0)),Companies!$A$2:$A$31,0)),"-")</f>
        <v>-</v>
      </c>
    </row>
    <row r="500" customFormat="false" ht="15" hidden="false" customHeight="false" outlineLevel="0" collapsed="false">
      <c r="A500" s="21" t="s">
        <v>999</v>
      </c>
      <c r="B500" s="21" t="s">
        <v>1000</v>
      </c>
      <c r="C500" s="21" t="s">
        <v>810</v>
      </c>
      <c r="D500" s="21" t="s">
        <v>64</v>
      </c>
      <c r="E500" s="21" t="s">
        <v>92</v>
      </c>
      <c r="F500" s="21" t="n">
        <v>9.42</v>
      </c>
      <c r="G500" s="21" t="n">
        <v>461</v>
      </c>
      <c r="H500" s="21" t="n">
        <v>3</v>
      </c>
      <c r="I500" s="21" t="s">
        <v>113</v>
      </c>
      <c r="J500" s="21" t="n">
        <v>73</v>
      </c>
      <c r="K500" s="32" t="n">
        <f aca="false">ROUND(Assumptions!$B$4*MIN(G500/Assumptions!$B$11,1)*100+Assumptions!$B$5*F500/10*100+Assumptions!$B$6*MIN(H500/Assumptions!$B$12,1)*100+Assumptions!$B$7*J500+Assumptions!$B$8*IF(I500="Yes",100,0),1)</f>
        <v>73.1</v>
      </c>
      <c r="L500" s="21" t="str">
        <f aca="false">LOOKUP(K500,Assumptions!$D$4:$D$7,Assumptions!$E$4:$E$7)</f>
        <v>Job-Ready</v>
      </c>
      <c r="M500" s="21" t="n">
        <f aca="false">COUNTIFS(Applications!$B$2:$B$3144,A500)</f>
        <v>10</v>
      </c>
      <c r="N500" s="21" t="n">
        <f aca="false">COUNTIFS(Applications!$B$2:$B$3144,A500,Applications!$F$2:$F$3144,"Offered")</f>
        <v>4</v>
      </c>
      <c r="O500" s="21" t="str">
        <f aca="false">IF(COUNTIFS(Applications!$B$2:$B$3144,A500,Applications!$H$2:$H$3144,"Yes")&gt;0,"Yes","No")</f>
        <v>Yes</v>
      </c>
      <c r="P500" s="32" t="n">
        <f aca="false">SUMIFS(Applications!$G$2:$G$3144,Applications!$B$2:$B$3144,A500,Applications!$H$2:$H$3144,"Yes")</f>
        <v>10.3</v>
      </c>
      <c r="Q500" s="21" t="str">
        <f aca="false">IF(O500="Yes",INDEX(Companies!$B$2:$B$31,MATCH(INDEX(Applications!$C$2:$C$3144,MATCH(A500,Applications!$P$2:$P$3144,0)),Companies!$A$2:$A$31,0)),"-")</f>
        <v>CyberNest</v>
      </c>
    </row>
    <row r="501" customFormat="false" ht="15" hidden="false" customHeight="false" outlineLevel="0" collapsed="false">
      <c r="A501" s="21" t="s">
        <v>1001</v>
      </c>
      <c r="B501" s="21" t="s">
        <v>1002</v>
      </c>
      <c r="C501" s="21" t="s">
        <v>810</v>
      </c>
      <c r="D501" s="21" t="s">
        <v>66</v>
      </c>
      <c r="E501" s="21" t="s">
        <v>90</v>
      </c>
      <c r="F501" s="21" t="n">
        <v>6.42</v>
      </c>
      <c r="G501" s="21" t="n">
        <v>581</v>
      </c>
      <c r="H501" s="21" t="n">
        <v>3</v>
      </c>
      <c r="I501" s="21" t="s">
        <v>113</v>
      </c>
      <c r="J501" s="21" t="n">
        <v>58</v>
      </c>
      <c r="K501" s="32" t="n">
        <f aca="false">ROUND(Assumptions!$B$4*MIN(G501/Assumptions!$B$11,1)*100+Assumptions!$B$5*F501/10*100+Assumptions!$B$6*MIN(H501/Assumptions!$B$12,1)*100+Assumptions!$B$7*J501+Assumptions!$B$8*IF(I501="Yes",100,0),1)</f>
        <v>66.4</v>
      </c>
      <c r="L501" s="21" t="str">
        <f aca="false">LOOKUP(K501,Assumptions!$D$4:$D$7,Assumptions!$E$4:$E$7)</f>
        <v>Job-Ready</v>
      </c>
      <c r="M501" s="21" t="n">
        <f aca="false">COUNTIFS(Applications!$B$2:$B$3144,A501)</f>
        <v>2</v>
      </c>
      <c r="N501" s="21" t="n">
        <f aca="false">COUNTIFS(Applications!$B$2:$B$3144,A501,Applications!$F$2:$F$3144,"Offered")</f>
        <v>0</v>
      </c>
      <c r="O501" s="21" t="str">
        <f aca="false">IF(COUNTIFS(Applications!$B$2:$B$3144,A501,Applications!$H$2:$H$3144,"Yes")&gt;0,"Yes","No")</f>
        <v>No</v>
      </c>
      <c r="P501" s="32" t="n">
        <f aca="false">SUMIFS(Applications!$G$2:$G$3144,Applications!$B$2:$B$3144,A501,Applications!$H$2:$H$3144,"Yes")</f>
        <v>0</v>
      </c>
      <c r="Q501" s="21" t="str">
        <f aca="false">IF(O501="Yes",INDEX(Companies!$B$2:$B$31,MATCH(INDEX(Applications!$C$2:$C$3144,MATCH(A501,Applications!$P$2:$P$3144,0)),Companies!$A$2:$A$31,0)),"-")</f>
        <v>-</v>
      </c>
    </row>
    <row r="502" customFormat="false" ht="15" hidden="false" customHeight="false" outlineLevel="0" collapsed="false">
      <c r="A502" s="21" t="s">
        <v>1003</v>
      </c>
      <c r="B502" s="21" t="s">
        <v>924</v>
      </c>
      <c r="C502" s="21" t="s">
        <v>810</v>
      </c>
      <c r="D502" s="21" t="s">
        <v>66</v>
      </c>
      <c r="E502" s="21" t="s">
        <v>92</v>
      </c>
      <c r="F502" s="21" t="n">
        <v>7.64</v>
      </c>
      <c r="G502" s="21" t="n">
        <v>305</v>
      </c>
      <c r="H502" s="21" t="n">
        <v>3</v>
      </c>
      <c r="I502" s="21" t="s">
        <v>113</v>
      </c>
      <c r="J502" s="21" t="n">
        <v>46</v>
      </c>
      <c r="K502" s="32" t="n">
        <f aca="false">ROUND(Assumptions!$B$4*MIN(G502/Assumptions!$B$11,1)*100+Assumptions!$B$5*F502/10*100+Assumptions!$B$6*MIN(H502/Assumptions!$B$12,1)*100+Assumptions!$B$7*J502+Assumptions!$B$8*IF(I502="Yes",100,0),1)</f>
        <v>54.8</v>
      </c>
      <c r="L502" s="21" t="str">
        <f aca="false">LOOKUP(K502,Assumptions!$D$4:$D$7,Assumptions!$E$4:$E$7)</f>
        <v>Developing</v>
      </c>
      <c r="M502" s="21" t="n">
        <f aca="false">COUNTIFS(Applications!$B$2:$B$3144,A502)</f>
        <v>6</v>
      </c>
      <c r="N502" s="21" t="n">
        <f aca="false">COUNTIFS(Applications!$B$2:$B$3144,A502,Applications!$F$2:$F$3144,"Offered")</f>
        <v>2</v>
      </c>
      <c r="O502" s="21" t="str">
        <f aca="false">IF(COUNTIFS(Applications!$B$2:$B$3144,A502,Applications!$H$2:$H$3144,"Yes")&gt;0,"Yes","No")</f>
        <v>Yes</v>
      </c>
      <c r="P502" s="32" t="n">
        <f aca="false">SUMIFS(Applications!$G$2:$G$3144,Applications!$B$2:$B$3144,A502,Applications!$H$2:$H$3144,"Yes")</f>
        <v>8.7</v>
      </c>
      <c r="Q502" s="21" t="str">
        <f aca="false">IF(O502="Yes",INDEX(Companies!$B$2:$B$31,MATCH(INDEX(Applications!$C$2:$C$3144,MATCH(A502,Applications!$P$2:$P$3144,0)),Companies!$A$2:$A$31,0)),"-")</f>
        <v>LearnLoop</v>
      </c>
    </row>
    <row r="503" customFormat="false" ht="15" hidden="false" customHeight="false" outlineLevel="0" collapsed="false">
      <c r="A503" s="21" t="s">
        <v>1004</v>
      </c>
      <c r="B503" s="21" t="s">
        <v>604</v>
      </c>
      <c r="C503" s="21" t="s">
        <v>810</v>
      </c>
      <c r="D503" s="21" t="s">
        <v>67</v>
      </c>
      <c r="E503" s="21" t="s">
        <v>90</v>
      </c>
      <c r="F503" s="21" t="n">
        <v>7.57</v>
      </c>
      <c r="G503" s="21" t="n">
        <v>42</v>
      </c>
      <c r="H503" s="21" t="n">
        <v>4</v>
      </c>
      <c r="I503" s="21" t="s">
        <v>113</v>
      </c>
      <c r="J503" s="21" t="n">
        <v>46</v>
      </c>
      <c r="K503" s="32" t="n">
        <f aca="false">ROUND(Assumptions!$B$4*MIN(G503/Assumptions!$B$11,1)*100+Assumptions!$B$5*F503/10*100+Assumptions!$B$6*MIN(H503/Assumptions!$B$12,1)*100+Assumptions!$B$7*J503+Assumptions!$B$8*IF(I503="Yes",100,0),1)</f>
        <v>42.9</v>
      </c>
      <c r="L503" s="21" t="str">
        <f aca="false">LOOKUP(K503,Assumptions!$D$4:$D$7,Assumptions!$E$4:$E$7)</f>
        <v>Foundation</v>
      </c>
      <c r="M503" s="21" t="n">
        <f aca="false">COUNTIFS(Applications!$B$2:$B$3144,A503)</f>
        <v>5</v>
      </c>
      <c r="N503" s="21" t="n">
        <f aca="false">COUNTIFS(Applications!$B$2:$B$3144,A503,Applications!$F$2:$F$3144,"Offered")</f>
        <v>0</v>
      </c>
      <c r="O503" s="21" t="str">
        <f aca="false">IF(COUNTIFS(Applications!$B$2:$B$3144,A503,Applications!$H$2:$H$3144,"Yes")&gt;0,"Yes","No")</f>
        <v>No</v>
      </c>
      <c r="P503" s="32" t="n">
        <f aca="false">SUMIFS(Applications!$G$2:$G$3144,Applications!$B$2:$B$3144,A503,Applications!$H$2:$H$3144,"Yes")</f>
        <v>0</v>
      </c>
      <c r="Q503" s="21" t="str">
        <f aca="false">IF(O503="Yes",INDEX(Companies!$B$2:$B$31,MATCH(INDEX(Applications!$C$2:$C$3144,MATCH(A503,Applications!$P$2:$P$3144,0)),Companies!$A$2:$A$31,0)),"-")</f>
        <v>-</v>
      </c>
    </row>
    <row r="504" customFormat="false" ht="15" hidden="false" customHeight="false" outlineLevel="0" collapsed="false">
      <c r="A504" s="21" t="s">
        <v>1005</v>
      </c>
      <c r="B504" s="21" t="s">
        <v>1006</v>
      </c>
      <c r="C504" s="21" t="s">
        <v>810</v>
      </c>
      <c r="D504" s="21" t="s">
        <v>66</v>
      </c>
      <c r="E504" s="21" t="s">
        <v>91</v>
      </c>
      <c r="F504" s="21" t="n">
        <v>8.14</v>
      </c>
      <c r="G504" s="21" t="n">
        <v>542</v>
      </c>
      <c r="H504" s="21" t="n">
        <v>2</v>
      </c>
      <c r="I504" s="21" t="s">
        <v>113</v>
      </c>
      <c r="J504" s="21" t="n">
        <v>68</v>
      </c>
      <c r="K504" s="32" t="n">
        <f aca="false">ROUND(Assumptions!$B$4*MIN(G504/Assumptions!$B$11,1)*100+Assumptions!$B$5*F504/10*100+Assumptions!$B$6*MIN(H504/Assumptions!$B$12,1)*100+Assumptions!$B$7*J504+Assumptions!$B$8*IF(I504="Yes",100,0),1)</f>
        <v>67.9</v>
      </c>
      <c r="L504" s="21" t="str">
        <f aca="false">LOOKUP(K504,Assumptions!$D$4:$D$7,Assumptions!$E$4:$E$7)</f>
        <v>Job-Ready</v>
      </c>
      <c r="M504" s="21" t="n">
        <f aca="false">COUNTIFS(Applications!$B$2:$B$3144,A504)</f>
        <v>7</v>
      </c>
      <c r="N504" s="21" t="n">
        <f aca="false">COUNTIFS(Applications!$B$2:$B$3144,A504,Applications!$F$2:$F$3144,"Offered")</f>
        <v>2</v>
      </c>
      <c r="O504" s="21" t="str">
        <f aca="false">IF(COUNTIFS(Applications!$B$2:$B$3144,A504,Applications!$H$2:$H$3144,"Yes")&gt;0,"Yes","No")</f>
        <v>Yes</v>
      </c>
      <c r="P504" s="32" t="n">
        <f aca="false">SUMIFS(Applications!$G$2:$G$3144,Applications!$B$2:$B$3144,A504,Applications!$H$2:$H$3144,"Yes")</f>
        <v>21.6</v>
      </c>
      <c r="Q504" s="21" t="str">
        <f aca="false">IF(O504="Yes",INDEX(Companies!$B$2:$B$31,MATCH(INDEX(Applications!$C$2:$C$3144,MATCH(A504,Applications!$P$2:$P$3144,0)),Companies!$A$2:$A$31,0)),"-")</f>
        <v>Quantora Labs</v>
      </c>
    </row>
    <row r="505" customFormat="false" ht="15" hidden="false" customHeight="false" outlineLevel="0" collapsed="false">
      <c r="A505" s="21" t="s">
        <v>1007</v>
      </c>
      <c r="B505" s="21" t="s">
        <v>887</v>
      </c>
      <c r="C505" s="21" t="s">
        <v>810</v>
      </c>
      <c r="D505" s="21" t="s">
        <v>67</v>
      </c>
      <c r="E505" s="21" t="s">
        <v>92</v>
      </c>
      <c r="F505" s="21" t="n">
        <v>8.4</v>
      </c>
      <c r="G505" s="21" t="n">
        <v>250</v>
      </c>
      <c r="H505" s="21" t="n">
        <v>2</v>
      </c>
      <c r="I505" s="21" t="s">
        <v>113</v>
      </c>
      <c r="J505" s="21" t="n">
        <v>64</v>
      </c>
      <c r="K505" s="32" t="n">
        <f aca="false">ROUND(Assumptions!$B$4*MIN(G505/Assumptions!$B$11,1)*100+Assumptions!$B$5*F505/10*100+Assumptions!$B$6*MIN(H505/Assumptions!$B$12,1)*100+Assumptions!$B$7*J505+Assumptions!$B$8*IF(I505="Yes",100,0),1)</f>
        <v>52.6</v>
      </c>
      <c r="L505" s="21" t="str">
        <f aca="false">LOOKUP(K505,Assumptions!$D$4:$D$7,Assumptions!$E$4:$E$7)</f>
        <v>Developing</v>
      </c>
      <c r="M505" s="21" t="n">
        <f aca="false">COUNTIFS(Applications!$B$2:$B$3144,A505)</f>
        <v>6</v>
      </c>
      <c r="N505" s="21" t="n">
        <f aca="false">COUNTIFS(Applications!$B$2:$B$3144,A505,Applications!$F$2:$F$3144,"Offered")</f>
        <v>1</v>
      </c>
      <c r="O505" s="21" t="str">
        <f aca="false">IF(COUNTIFS(Applications!$B$2:$B$3144,A505,Applications!$H$2:$H$3144,"Yes")&gt;0,"Yes","No")</f>
        <v>Yes</v>
      </c>
      <c r="P505" s="32" t="n">
        <f aca="false">SUMIFS(Applications!$G$2:$G$3144,Applications!$B$2:$B$3144,A505,Applications!$H$2:$H$3144,"Yes")</f>
        <v>4.7</v>
      </c>
      <c r="Q505" s="21" t="str">
        <f aca="false">IF(O505="Yes",INDEX(Companies!$B$2:$B$31,MATCH(INDEX(Applications!$C$2:$C$3144,MATCH(A505,Applications!$P$2:$P$3144,0)),Companies!$A$2:$A$31,0)),"-")</f>
        <v>RetailRocket</v>
      </c>
    </row>
    <row r="506" customFormat="false" ht="15" hidden="false" customHeight="false" outlineLevel="0" collapsed="false">
      <c r="A506" s="21" t="s">
        <v>1008</v>
      </c>
      <c r="B506" s="21" t="s">
        <v>640</v>
      </c>
      <c r="C506" s="21" t="s">
        <v>810</v>
      </c>
      <c r="D506" s="21" t="s">
        <v>64</v>
      </c>
      <c r="E506" s="21" t="s">
        <v>91</v>
      </c>
      <c r="F506" s="21" t="n">
        <v>6.85</v>
      </c>
      <c r="G506" s="21" t="n">
        <v>411</v>
      </c>
      <c r="H506" s="21" t="n">
        <v>2</v>
      </c>
      <c r="I506" s="21" t="s">
        <v>113</v>
      </c>
      <c r="J506" s="21" t="n">
        <v>43</v>
      </c>
      <c r="K506" s="32" t="n">
        <f aca="false">ROUND(Assumptions!$B$4*MIN(G506/Assumptions!$B$11,1)*100+Assumptions!$B$5*F506/10*100+Assumptions!$B$6*MIN(H506/Assumptions!$B$12,1)*100+Assumptions!$B$7*J506+Assumptions!$B$8*IF(I506="Yes",100,0),1)</f>
        <v>55</v>
      </c>
      <c r="L506" s="21" t="str">
        <f aca="false">LOOKUP(K506,Assumptions!$D$4:$D$7,Assumptions!$E$4:$E$7)</f>
        <v>Developing</v>
      </c>
      <c r="M506" s="21" t="n">
        <f aca="false">COUNTIFS(Applications!$B$2:$B$3144,A506)</f>
        <v>8</v>
      </c>
      <c r="N506" s="21" t="n">
        <f aca="false">COUNTIFS(Applications!$B$2:$B$3144,A506,Applications!$F$2:$F$3144,"Offered")</f>
        <v>3</v>
      </c>
      <c r="O506" s="21" t="str">
        <f aca="false">IF(COUNTIFS(Applications!$B$2:$B$3144,A506,Applications!$H$2:$H$3144,"Yes")&gt;0,"Yes","No")</f>
        <v>Yes</v>
      </c>
      <c r="P506" s="32" t="n">
        <f aca="false">SUMIFS(Applications!$G$2:$G$3144,Applications!$B$2:$B$3144,A506,Applications!$H$2:$H$3144,"Yes")</f>
        <v>5.7</v>
      </c>
      <c r="Q506" s="21" t="str">
        <f aca="false">IF(O506="Yes",INDEX(Companies!$B$2:$B$31,MATCH(INDEX(Applications!$C$2:$C$3144,MATCH(A506,Applications!$P$2:$P$3144,0)),Companies!$A$2:$A$31,0)),"-")</f>
        <v>Metro Systems</v>
      </c>
    </row>
    <row r="507" customFormat="false" ht="15" hidden="false" customHeight="false" outlineLevel="0" collapsed="false">
      <c r="A507" s="21" t="s">
        <v>1009</v>
      </c>
      <c r="B507" s="21" t="s">
        <v>1010</v>
      </c>
      <c r="C507" s="21" t="s">
        <v>810</v>
      </c>
      <c r="D507" s="21" t="s">
        <v>64</v>
      </c>
      <c r="E507" s="21" t="s">
        <v>90</v>
      </c>
      <c r="F507" s="21" t="n">
        <v>9.3</v>
      </c>
      <c r="G507" s="21" t="n">
        <v>772</v>
      </c>
      <c r="H507" s="21" t="n">
        <v>0</v>
      </c>
      <c r="I507" s="21" t="s">
        <v>120</v>
      </c>
      <c r="J507" s="21" t="n">
        <v>41</v>
      </c>
      <c r="K507" s="32" t="n">
        <f aca="false">ROUND(Assumptions!$B$4*MIN(G507/Assumptions!$B$11,1)*100+Assumptions!$B$5*F507/10*100+Assumptions!$B$6*MIN(H507/Assumptions!$B$12,1)*100+Assumptions!$B$7*J507+Assumptions!$B$8*IF(I507="Yes",100,0),1)</f>
        <v>66.8</v>
      </c>
      <c r="L507" s="21" t="str">
        <f aca="false">LOOKUP(K507,Assumptions!$D$4:$D$7,Assumptions!$E$4:$E$7)</f>
        <v>Job-Ready</v>
      </c>
      <c r="M507" s="21" t="n">
        <f aca="false">COUNTIFS(Applications!$B$2:$B$3144,A507)</f>
        <v>2</v>
      </c>
      <c r="N507" s="21" t="n">
        <f aca="false">COUNTIFS(Applications!$B$2:$B$3144,A507,Applications!$F$2:$F$3144,"Offered")</f>
        <v>0</v>
      </c>
      <c r="O507" s="21" t="str">
        <f aca="false">IF(COUNTIFS(Applications!$B$2:$B$3144,A507,Applications!$H$2:$H$3144,"Yes")&gt;0,"Yes","No")</f>
        <v>No</v>
      </c>
      <c r="P507" s="32" t="n">
        <f aca="false">SUMIFS(Applications!$G$2:$G$3144,Applications!$B$2:$B$3144,A507,Applications!$H$2:$H$3144,"Yes")</f>
        <v>0</v>
      </c>
      <c r="Q507" s="21" t="str">
        <f aca="false">IF(O507="Yes",INDEX(Companies!$B$2:$B$31,MATCH(INDEX(Applications!$C$2:$C$3144,MATCH(A507,Applications!$P$2:$P$3144,0)),Companies!$A$2:$A$31,0)),"-")</f>
        <v>-</v>
      </c>
    </row>
    <row r="508" customFormat="false" ht="15" hidden="false" customHeight="false" outlineLevel="0" collapsed="false">
      <c r="A508" s="21" t="s">
        <v>1011</v>
      </c>
      <c r="B508" s="21" t="s">
        <v>1012</v>
      </c>
      <c r="C508" s="21" t="s">
        <v>810</v>
      </c>
      <c r="D508" s="21" t="s">
        <v>67</v>
      </c>
      <c r="E508" s="21" t="s">
        <v>92</v>
      </c>
      <c r="F508" s="21" t="n">
        <v>7.87</v>
      </c>
      <c r="G508" s="21" t="n">
        <v>229</v>
      </c>
      <c r="H508" s="21" t="n">
        <v>1</v>
      </c>
      <c r="I508" s="21" t="s">
        <v>113</v>
      </c>
      <c r="J508" s="21" t="n">
        <v>72</v>
      </c>
      <c r="K508" s="32" t="n">
        <f aca="false">ROUND(Assumptions!$B$4*MIN(G508/Assumptions!$B$11,1)*100+Assumptions!$B$5*F508/10*100+Assumptions!$B$6*MIN(H508/Assumptions!$B$12,1)*100+Assumptions!$B$7*J508+Assumptions!$B$8*IF(I508="Yes",100,0),1)</f>
        <v>47.9</v>
      </c>
      <c r="L508" s="21" t="str">
        <f aca="false">LOOKUP(K508,Assumptions!$D$4:$D$7,Assumptions!$E$4:$E$7)</f>
        <v>Foundation</v>
      </c>
      <c r="M508" s="21" t="n">
        <f aca="false">COUNTIFS(Applications!$B$2:$B$3144,A508)</f>
        <v>6</v>
      </c>
      <c r="N508" s="21" t="n">
        <f aca="false">COUNTIFS(Applications!$B$2:$B$3144,A508,Applications!$F$2:$F$3144,"Offered")</f>
        <v>1</v>
      </c>
      <c r="O508" s="21" t="str">
        <f aca="false">IF(COUNTIFS(Applications!$B$2:$B$3144,A508,Applications!$H$2:$H$3144,"Yes")&gt;0,"Yes","No")</f>
        <v>Yes</v>
      </c>
      <c r="P508" s="32" t="n">
        <f aca="false">SUMIFS(Applications!$G$2:$G$3144,Applications!$B$2:$B$3144,A508,Applications!$H$2:$H$3144,"Yes")</f>
        <v>4.5</v>
      </c>
      <c r="Q508" s="21" t="str">
        <f aca="false">IF(O508="Yes",INDEX(Companies!$B$2:$B$31,MATCH(INDEX(Applications!$C$2:$C$3144,MATCH(A508,Applications!$P$2:$P$3144,0)),Companies!$A$2:$A$31,0)),"-")</f>
        <v>InfoNova Services</v>
      </c>
    </row>
    <row r="509" customFormat="false" ht="15" hidden="false" customHeight="false" outlineLevel="0" collapsed="false">
      <c r="A509" s="21" t="s">
        <v>1013</v>
      </c>
      <c r="B509" s="21" t="s">
        <v>1014</v>
      </c>
      <c r="C509" s="21" t="s">
        <v>810</v>
      </c>
      <c r="D509" s="21" t="s">
        <v>65</v>
      </c>
      <c r="E509" s="21" t="s">
        <v>91</v>
      </c>
      <c r="F509" s="21" t="n">
        <v>7.38</v>
      </c>
      <c r="G509" s="21" t="n">
        <v>323</v>
      </c>
      <c r="H509" s="21" t="n">
        <v>6</v>
      </c>
      <c r="I509" s="21" t="s">
        <v>113</v>
      </c>
      <c r="J509" s="21" t="n">
        <v>80</v>
      </c>
      <c r="K509" s="32" t="n">
        <f aca="false">ROUND(Assumptions!$B$4*MIN(G509/Assumptions!$B$11,1)*100+Assumptions!$B$5*F509/10*100+Assumptions!$B$6*MIN(H509/Assumptions!$B$12,1)*100+Assumptions!$B$7*J509+Assumptions!$B$8*IF(I509="Yes",100,0),1)</f>
        <v>70.1</v>
      </c>
      <c r="L509" s="21" t="str">
        <f aca="false">LOOKUP(K509,Assumptions!$D$4:$D$7,Assumptions!$E$4:$E$7)</f>
        <v>Job-Ready</v>
      </c>
      <c r="M509" s="21" t="n">
        <f aca="false">COUNTIFS(Applications!$B$2:$B$3144,A509)</f>
        <v>7</v>
      </c>
      <c r="N509" s="21" t="n">
        <f aca="false">COUNTIFS(Applications!$B$2:$B$3144,A509,Applications!$F$2:$F$3144,"Offered")</f>
        <v>3</v>
      </c>
      <c r="O509" s="21" t="str">
        <f aca="false">IF(COUNTIFS(Applications!$B$2:$B$3144,A509,Applications!$H$2:$H$3144,"Yes")&gt;0,"Yes","No")</f>
        <v>Yes</v>
      </c>
      <c r="P509" s="32" t="n">
        <f aca="false">SUMIFS(Applications!$G$2:$G$3144,Applications!$B$2:$B$3144,A509,Applications!$H$2:$H$3144,"Yes")</f>
        <v>11.7</v>
      </c>
      <c r="Q509" s="21" t="str">
        <f aca="false">IF(O509="Yes",INDEX(Companies!$B$2:$B$31,MATCH(INDEX(Applications!$C$2:$C$3144,MATCH(A509,Applications!$P$2:$P$3144,0)),Companies!$A$2:$A$31,0)),"-")</f>
        <v>FinStack</v>
      </c>
    </row>
    <row r="510" customFormat="false" ht="15" hidden="false" customHeight="false" outlineLevel="0" collapsed="false">
      <c r="A510" s="21" t="s">
        <v>1015</v>
      </c>
      <c r="B510" s="21" t="s">
        <v>1016</v>
      </c>
      <c r="C510" s="21" t="s">
        <v>810</v>
      </c>
      <c r="D510" s="21" t="s">
        <v>65</v>
      </c>
      <c r="E510" s="21" t="s">
        <v>90</v>
      </c>
      <c r="F510" s="21" t="n">
        <v>6.78</v>
      </c>
      <c r="G510" s="21" t="n">
        <v>82</v>
      </c>
      <c r="H510" s="21" t="n">
        <v>3</v>
      </c>
      <c r="I510" s="21" t="s">
        <v>113</v>
      </c>
      <c r="J510" s="21" t="n">
        <v>75</v>
      </c>
      <c r="K510" s="32" t="n">
        <f aca="false">ROUND(Assumptions!$B$4*MIN(G510/Assumptions!$B$11,1)*100+Assumptions!$B$5*F510/10*100+Assumptions!$B$6*MIN(H510/Assumptions!$B$12,1)*100+Assumptions!$B$7*J510+Assumptions!$B$8*IF(I510="Yes",100,0),1)</f>
        <v>45.5</v>
      </c>
      <c r="L510" s="21" t="str">
        <f aca="false">LOOKUP(K510,Assumptions!$D$4:$D$7,Assumptions!$E$4:$E$7)</f>
        <v>Foundation</v>
      </c>
      <c r="M510" s="21" t="n">
        <f aca="false">COUNTIFS(Applications!$B$2:$B$3144,A510)</f>
        <v>7</v>
      </c>
      <c r="N510" s="21" t="n">
        <f aca="false">COUNTIFS(Applications!$B$2:$B$3144,A510,Applications!$F$2:$F$3144,"Offered")</f>
        <v>1</v>
      </c>
      <c r="O510" s="21" t="str">
        <f aca="false">IF(COUNTIFS(Applications!$B$2:$B$3144,A510,Applications!$H$2:$H$3144,"Yes")&gt;0,"Yes","No")</f>
        <v>Yes</v>
      </c>
      <c r="P510" s="32" t="n">
        <f aca="false">SUMIFS(Applications!$G$2:$G$3144,Applications!$B$2:$B$3144,A510,Applications!$H$2:$H$3144,"Yes")</f>
        <v>5.2</v>
      </c>
      <c r="Q510" s="21" t="str">
        <f aca="false">IF(O510="Yes",INDEX(Companies!$B$2:$B$31,MATCH(INDEX(Applications!$C$2:$C$3144,MATCH(A510,Applications!$P$2:$P$3144,0)),Companies!$A$2:$A$31,0)),"-")</f>
        <v>DataHarbor</v>
      </c>
    </row>
    <row r="511" customFormat="false" ht="15" hidden="false" customHeight="false" outlineLevel="0" collapsed="false">
      <c r="A511" s="21" t="s">
        <v>1017</v>
      </c>
      <c r="B511" s="21" t="s">
        <v>273</v>
      </c>
      <c r="C511" s="21" t="s">
        <v>810</v>
      </c>
      <c r="D511" s="21" t="s">
        <v>67</v>
      </c>
      <c r="E511" s="21" t="s">
        <v>91</v>
      </c>
      <c r="F511" s="21" t="n">
        <v>7.07</v>
      </c>
      <c r="G511" s="21" t="n">
        <v>539</v>
      </c>
      <c r="H511" s="21" t="n">
        <v>4</v>
      </c>
      <c r="I511" s="21" t="s">
        <v>113</v>
      </c>
      <c r="J511" s="21" t="n">
        <v>57</v>
      </c>
      <c r="K511" s="32" t="n">
        <f aca="false">ROUND(Assumptions!$B$4*MIN(G511/Assumptions!$B$11,1)*100+Assumptions!$B$5*F511/10*100+Assumptions!$B$6*MIN(H511/Assumptions!$B$12,1)*100+Assumptions!$B$7*J511+Assumptions!$B$8*IF(I511="Yes",100,0),1)</f>
        <v>71.5</v>
      </c>
      <c r="L511" s="21" t="str">
        <f aca="false">LOOKUP(K511,Assumptions!$D$4:$D$7,Assumptions!$E$4:$E$7)</f>
        <v>Job-Ready</v>
      </c>
      <c r="M511" s="21" t="n">
        <f aca="false">COUNTIFS(Applications!$B$2:$B$3144,A511)</f>
        <v>0</v>
      </c>
      <c r="N511" s="21" t="n">
        <f aca="false">COUNTIFS(Applications!$B$2:$B$3144,A511,Applications!$F$2:$F$3144,"Offered")</f>
        <v>0</v>
      </c>
      <c r="O511" s="21" t="str">
        <f aca="false">IF(COUNTIFS(Applications!$B$2:$B$3144,A511,Applications!$H$2:$H$3144,"Yes")&gt;0,"Yes","No")</f>
        <v>No</v>
      </c>
      <c r="P511" s="32" t="n">
        <f aca="false">SUMIFS(Applications!$G$2:$G$3144,Applications!$B$2:$B$3144,A511,Applications!$H$2:$H$3144,"Yes")</f>
        <v>0</v>
      </c>
      <c r="Q511" s="21" t="str">
        <f aca="false">IF(O511="Yes",INDEX(Companies!$B$2:$B$31,MATCH(INDEX(Applications!$C$2:$C$3144,MATCH(A511,Applications!$P$2:$P$3144,0)),Companies!$A$2:$A$31,0)),"-")</f>
        <v>-</v>
      </c>
    </row>
    <row r="512" customFormat="false" ht="15" hidden="false" customHeight="false" outlineLevel="0" collapsed="false">
      <c r="A512" s="21" t="s">
        <v>1018</v>
      </c>
      <c r="B512" s="21" t="s">
        <v>1019</v>
      </c>
      <c r="C512" s="21" t="s">
        <v>810</v>
      </c>
      <c r="D512" s="21" t="s">
        <v>64</v>
      </c>
      <c r="E512" s="21" t="s">
        <v>91</v>
      </c>
      <c r="F512" s="21" t="n">
        <v>6.81</v>
      </c>
      <c r="G512" s="21" t="n">
        <v>485</v>
      </c>
      <c r="H512" s="21" t="n">
        <v>4</v>
      </c>
      <c r="I512" s="21" t="s">
        <v>113</v>
      </c>
      <c r="J512" s="21" t="n">
        <v>41</v>
      </c>
      <c r="K512" s="32" t="n">
        <f aca="false">ROUND(Assumptions!$B$4*MIN(G512/Assumptions!$B$11,1)*100+Assumptions!$B$5*F512/10*100+Assumptions!$B$6*MIN(H512/Assumptions!$B$12,1)*100+Assumptions!$B$7*J512+Assumptions!$B$8*IF(I512="Yes",100,0),1)</f>
        <v>66.9</v>
      </c>
      <c r="L512" s="21" t="str">
        <f aca="false">LOOKUP(K512,Assumptions!$D$4:$D$7,Assumptions!$E$4:$E$7)</f>
        <v>Job-Ready</v>
      </c>
      <c r="M512" s="21" t="n">
        <f aca="false">COUNTIFS(Applications!$B$2:$B$3144,A512)</f>
        <v>7</v>
      </c>
      <c r="N512" s="21" t="n">
        <f aca="false">COUNTIFS(Applications!$B$2:$B$3144,A512,Applications!$F$2:$F$3144,"Offered")</f>
        <v>3</v>
      </c>
      <c r="O512" s="21" t="str">
        <f aca="false">IF(COUNTIFS(Applications!$B$2:$B$3144,A512,Applications!$H$2:$H$3144,"Yes")&gt;0,"Yes","No")</f>
        <v>Yes</v>
      </c>
      <c r="P512" s="32" t="n">
        <f aca="false">SUMIFS(Applications!$G$2:$G$3144,Applications!$B$2:$B$3144,A512,Applications!$H$2:$H$3144,"Yes")</f>
        <v>7.5</v>
      </c>
      <c r="Q512" s="21" t="str">
        <f aca="false">IF(O512="Yes",INDEX(Companies!$B$2:$B$31,MATCH(INDEX(Applications!$C$2:$C$3144,MATCH(A512,Applications!$P$2:$P$3144,0)),Companies!$A$2:$A$31,0)),"-")</f>
        <v>Bharat Digital</v>
      </c>
    </row>
    <row r="513" customFormat="false" ht="15" hidden="false" customHeight="false" outlineLevel="0" collapsed="false">
      <c r="A513" s="21" t="s">
        <v>1020</v>
      </c>
      <c r="B513" s="21" t="s">
        <v>471</v>
      </c>
      <c r="C513" s="21" t="s">
        <v>810</v>
      </c>
      <c r="D513" s="21" t="s">
        <v>63</v>
      </c>
      <c r="E513" s="21" t="s">
        <v>91</v>
      </c>
      <c r="F513" s="21" t="n">
        <v>7.29</v>
      </c>
      <c r="G513" s="21" t="n">
        <v>200</v>
      </c>
      <c r="H513" s="21" t="n">
        <v>7</v>
      </c>
      <c r="I513" s="21" t="s">
        <v>113</v>
      </c>
      <c r="J513" s="21" t="n">
        <v>48</v>
      </c>
      <c r="K513" s="32" t="n">
        <f aca="false">ROUND(Assumptions!$B$4*MIN(G513/Assumptions!$B$11,1)*100+Assumptions!$B$5*F513/10*100+Assumptions!$B$6*MIN(H513/Assumptions!$B$12,1)*100+Assumptions!$B$7*J513+Assumptions!$B$8*IF(I513="Yes",100,0),1)</f>
        <v>56.2</v>
      </c>
      <c r="L513" s="21" t="str">
        <f aca="false">LOOKUP(K513,Assumptions!$D$4:$D$7,Assumptions!$E$4:$E$7)</f>
        <v>Developing</v>
      </c>
      <c r="M513" s="21" t="n">
        <f aca="false">COUNTIFS(Applications!$B$2:$B$3144,A513)</f>
        <v>3</v>
      </c>
      <c r="N513" s="21" t="n">
        <f aca="false">COUNTIFS(Applications!$B$2:$B$3144,A513,Applications!$F$2:$F$3144,"Offered")</f>
        <v>1</v>
      </c>
      <c r="O513" s="21" t="str">
        <f aca="false">IF(COUNTIFS(Applications!$B$2:$B$3144,A513,Applications!$H$2:$H$3144,"Yes")&gt;0,"Yes","No")</f>
        <v>Yes</v>
      </c>
      <c r="P513" s="32" t="n">
        <f aca="false">SUMIFS(Applications!$G$2:$G$3144,Applications!$B$2:$B$3144,A513,Applications!$H$2:$H$3144,"Yes")</f>
        <v>5.8</v>
      </c>
      <c r="Q513" s="21" t="str">
        <f aca="false">IF(O513="Yes",INDEX(Companies!$B$2:$B$31,MATCH(INDEX(Applications!$C$2:$C$3144,MATCH(A513,Applications!$P$2:$P$3144,0)),Companies!$A$2:$A$31,0)),"-")</f>
        <v>AlphaGrid Tech</v>
      </c>
    </row>
    <row r="514" customFormat="false" ht="15" hidden="false" customHeight="false" outlineLevel="0" collapsed="false">
      <c r="A514" s="21" t="s">
        <v>1021</v>
      </c>
      <c r="B514" s="21" t="s">
        <v>1022</v>
      </c>
      <c r="C514" s="21" t="s">
        <v>810</v>
      </c>
      <c r="D514" s="21" t="s">
        <v>63</v>
      </c>
      <c r="E514" s="21" t="s">
        <v>91</v>
      </c>
      <c r="F514" s="21" t="n">
        <v>6.75</v>
      </c>
      <c r="G514" s="21" t="n">
        <v>237</v>
      </c>
      <c r="H514" s="21" t="n">
        <v>3</v>
      </c>
      <c r="I514" s="21" t="s">
        <v>120</v>
      </c>
      <c r="J514" s="21" t="n">
        <v>53</v>
      </c>
      <c r="K514" s="32" t="n">
        <f aca="false">ROUND(Assumptions!$B$4*MIN(G514/Assumptions!$B$11,1)*100+Assumptions!$B$5*F514/10*100+Assumptions!$B$6*MIN(H514/Assumptions!$B$12,1)*100+Assumptions!$B$7*J514+Assumptions!$B$8*IF(I514="Yes",100,0),1)</f>
        <v>60.3</v>
      </c>
      <c r="L514" s="21" t="str">
        <f aca="false">LOOKUP(K514,Assumptions!$D$4:$D$7,Assumptions!$E$4:$E$7)</f>
        <v>Developing</v>
      </c>
      <c r="M514" s="21" t="n">
        <f aca="false">COUNTIFS(Applications!$B$2:$B$3144,A514)</f>
        <v>2</v>
      </c>
      <c r="N514" s="21" t="n">
        <f aca="false">COUNTIFS(Applications!$B$2:$B$3144,A514,Applications!$F$2:$F$3144,"Offered")</f>
        <v>0</v>
      </c>
      <c r="O514" s="21" t="str">
        <f aca="false">IF(COUNTIFS(Applications!$B$2:$B$3144,A514,Applications!$H$2:$H$3144,"Yes")&gt;0,"Yes","No")</f>
        <v>No</v>
      </c>
      <c r="P514" s="32" t="n">
        <f aca="false">SUMIFS(Applications!$G$2:$G$3144,Applications!$B$2:$B$3144,A514,Applications!$H$2:$H$3144,"Yes")</f>
        <v>0</v>
      </c>
      <c r="Q514" s="21" t="str">
        <f aca="false">IF(O514="Yes",INDEX(Companies!$B$2:$B$31,MATCH(INDEX(Applications!$C$2:$C$3144,MATCH(A514,Applications!$P$2:$P$3144,0)),Companies!$A$2:$A$31,0)),"-")</f>
        <v>-</v>
      </c>
    </row>
    <row r="515" customFormat="false" ht="15" hidden="false" customHeight="false" outlineLevel="0" collapsed="false">
      <c r="A515" s="21" t="s">
        <v>1023</v>
      </c>
      <c r="B515" s="21" t="s">
        <v>865</v>
      </c>
      <c r="C515" s="21" t="s">
        <v>810</v>
      </c>
      <c r="D515" s="21" t="s">
        <v>64</v>
      </c>
      <c r="E515" s="21" t="s">
        <v>90</v>
      </c>
      <c r="F515" s="21" t="n">
        <v>8.59</v>
      </c>
      <c r="G515" s="21" t="n">
        <v>769</v>
      </c>
      <c r="H515" s="21" t="n">
        <v>3</v>
      </c>
      <c r="I515" s="21" t="s">
        <v>113</v>
      </c>
      <c r="J515" s="21" t="n">
        <v>52</v>
      </c>
      <c r="K515" s="32" t="n">
        <f aca="false">ROUND(Assumptions!$B$4*MIN(G515/Assumptions!$B$11,1)*100+Assumptions!$B$5*F515/10*100+Assumptions!$B$6*MIN(H515/Assumptions!$B$12,1)*100+Assumptions!$B$7*J515+Assumptions!$B$8*IF(I515="Yes",100,0),1)</f>
        <v>69.6</v>
      </c>
      <c r="L515" s="21" t="str">
        <f aca="false">LOOKUP(K515,Assumptions!$D$4:$D$7,Assumptions!$E$4:$E$7)</f>
        <v>Job-Ready</v>
      </c>
      <c r="M515" s="21" t="n">
        <f aca="false">COUNTIFS(Applications!$B$2:$B$3144,A515)</f>
        <v>6</v>
      </c>
      <c r="N515" s="21" t="n">
        <f aca="false">COUNTIFS(Applications!$B$2:$B$3144,A515,Applications!$F$2:$F$3144,"Offered")</f>
        <v>3</v>
      </c>
      <c r="O515" s="21" t="str">
        <f aca="false">IF(COUNTIFS(Applications!$B$2:$B$3144,A515,Applications!$H$2:$H$3144,"Yes")&gt;0,"Yes","No")</f>
        <v>Yes</v>
      </c>
      <c r="P515" s="32" t="n">
        <f aca="false">SUMIFS(Applications!$G$2:$G$3144,Applications!$B$2:$B$3144,A515,Applications!$H$2:$H$3144,"Yes")</f>
        <v>8.3</v>
      </c>
      <c r="Q515" s="21" t="str">
        <f aca="false">IF(O515="Yes",INDEX(Companies!$B$2:$B$31,MATCH(INDEX(Applications!$C$2:$C$3144,MATCH(A515,Applications!$P$2:$P$3144,0)),Companies!$A$2:$A$31,0)),"-")</f>
        <v>DataHarbor</v>
      </c>
    </row>
    <row r="516" customFormat="false" ht="15" hidden="false" customHeight="false" outlineLevel="0" collapsed="false">
      <c r="A516" s="21" t="s">
        <v>1024</v>
      </c>
      <c r="B516" s="21" t="s">
        <v>483</v>
      </c>
      <c r="C516" s="21" t="s">
        <v>810</v>
      </c>
      <c r="D516" s="21" t="s">
        <v>64</v>
      </c>
      <c r="E516" s="21" t="s">
        <v>92</v>
      </c>
      <c r="F516" s="21" t="n">
        <v>8.18</v>
      </c>
      <c r="G516" s="21" t="n">
        <v>482</v>
      </c>
      <c r="H516" s="21" t="n">
        <v>2</v>
      </c>
      <c r="I516" s="21" t="s">
        <v>120</v>
      </c>
      <c r="J516" s="21" t="n">
        <v>62</v>
      </c>
      <c r="K516" s="32" t="n">
        <f aca="false">ROUND(Assumptions!$B$4*MIN(G516/Assumptions!$B$11,1)*100+Assumptions!$B$5*F516/10*100+Assumptions!$B$6*MIN(H516/Assumptions!$B$12,1)*100+Assumptions!$B$7*J516+Assumptions!$B$8*IF(I516="Yes",100,0),1)</f>
        <v>75.7</v>
      </c>
      <c r="L516" s="21" t="str">
        <f aca="false">LOOKUP(K516,Assumptions!$D$4:$D$7,Assumptions!$E$4:$E$7)</f>
        <v>Job-Ready</v>
      </c>
      <c r="M516" s="21" t="n">
        <f aca="false">COUNTIFS(Applications!$B$2:$B$3144,A516)</f>
        <v>9</v>
      </c>
      <c r="N516" s="21" t="n">
        <f aca="false">COUNTIFS(Applications!$B$2:$B$3144,A516,Applications!$F$2:$F$3144,"Offered")</f>
        <v>1</v>
      </c>
      <c r="O516" s="21" t="str">
        <f aca="false">IF(COUNTIFS(Applications!$B$2:$B$3144,A516,Applications!$H$2:$H$3144,"Yes")&gt;0,"Yes","No")</f>
        <v>Yes</v>
      </c>
      <c r="P516" s="32" t="n">
        <f aca="false">SUMIFS(Applications!$G$2:$G$3144,Applications!$B$2:$B$3144,A516,Applications!$H$2:$H$3144,"Yes")</f>
        <v>5.1</v>
      </c>
      <c r="Q516" s="21" t="str">
        <f aca="false">IF(O516="Yes",INDEX(Companies!$B$2:$B$31,MATCH(INDEX(Applications!$C$2:$C$3144,MATCH(A516,Applications!$P$2:$P$3144,0)),Companies!$A$2:$A$31,0)),"-")</f>
        <v>CodeCrest Solutions</v>
      </c>
    </row>
    <row r="517" customFormat="false" ht="15" hidden="false" customHeight="false" outlineLevel="0" collapsed="false">
      <c r="A517" s="21" t="s">
        <v>1025</v>
      </c>
      <c r="B517" s="21" t="s">
        <v>598</v>
      </c>
      <c r="C517" s="21" t="s">
        <v>810</v>
      </c>
      <c r="D517" s="21" t="s">
        <v>66</v>
      </c>
      <c r="E517" s="21" t="s">
        <v>91</v>
      </c>
      <c r="F517" s="21" t="n">
        <v>7.36</v>
      </c>
      <c r="G517" s="21" t="n">
        <v>209</v>
      </c>
      <c r="H517" s="21" t="n">
        <v>3</v>
      </c>
      <c r="I517" s="21" t="s">
        <v>120</v>
      </c>
      <c r="J517" s="21" t="n">
        <v>55</v>
      </c>
      <c r="K517" s="32" t="n">
        <f aca="false">ROUND(Assumptions!$B$4*MIN(G517/Assumptions!$B$11,1)*100+Assumptions!$B$5*F517/10*100+Assumptions!$B$6*MIN(H517/Assumptions!$B$12,1)*100+Assumptions!$B$7*J517+Assumptions!$B$8*IF(I517="Yes",100,0),1)</f>
        <v>60.3</v>
      </c>
      <c r="L517" s="21" t="str">
        <f aca="false">LOOKUP(K517,Assumptions!$D$4:$D$7,Assumptions!$E$4:$E$7)</f>
        <v>Developing</v>
      </c>
      <c r="M517" s="21" t="n">
        <f aca="false">COUNTIFS(Applications!$B$2:$B$3144,A517)</f>
        <v>5</v>
      </c>
      <c r="N517" s="21" t="n">
        <f aca="false">COUNTIFS(Applications!$B$2:$B$3144,A517,Applications!$F$2:$F$3144,"Offered")</f>
        <v>0</v>
      </c>
      <c r="O517" s="21" t="str">
        <f aca="false">IF(COUNTIFS(Applications!$B$2:$B$3144,A517,Applications!$H$2:$H$3144,"Yes")&gt;0,"Yes","No")</f>
        <v>No</v>
      </c>
      <c r="P517" s="32" t="n">
        <f aca="false">SUMIFS(Applications!$G$2:$G$3144,Applications!$B$2:$B$3144,A517,Applications!$H$2:$H$3144,"Yes")</f>
        <v>0</v>
      </c>
      <c r="Q517" s="21" t="str">
        <f aca="false">IF(O517="Yes",INDEX(Companies!$B$2:$B$31,MATCH(INDEX(Applications!$C$2:$C$3144,MATCH(A517,Applications!$P$2:$P$3144,0)),Companies!$A$2:$A$31,0)),"-")</f>
        <v>-</v>
      </c>
    </row>
    <row r="518" customFormat="false" ht="15" hidden="false" customHeight="false" outlineLevel="0" collapsed="false">
      <c r="A518" s="21" t="s">
        <v>1026</v>
      </c>
      <c r="B518" s="21" t="s">
        <v>1027</v>
      </c>
      <c r="C518" s="21" t="s">
        <v>810</v>
      </c>
      <c r="D518" s="21" t="s">
        <v>67</v>
      </c>
      <c r="E518" s="21" t="s">
        <v>92</v>
      </c>
      <c r="F518" s="21" t="n">
        <v>6.73</v>
      </c>
      <c r="G518" s="21" t="n">
        <v>195</v>
      </c>
      <c r="H518" s="21" t="n">
        <v>0</v>
      </c>
      <c r="I518" s="21" t="s">
        <v>113</v>
      </c>
      <c r="J518" s="21" t="n">
        <v>72</v>
      </c>
      <c r="K518" s="32" t="n">
        <f aca="false">ROUND(Assumptions!$B$4*MIN(G518/Assumptions!$B$11,1)*100+Assumptions!$B$5*F518/10*100+Assumptions!$B$6*MIN(H518/Assumptions!$B$12,1)*100+Assumptions!$B$7*J518+Assumptions!$B$8*IF(I518="Yes",100,0),1)</f>
        <v>39.6</v>
      </c>
      <c r="L518" s="21" t="str">
        <f aca="false">LOOKUP(K518,Assumptions!$D$4:$D$7,Assumptions!$E$4:$E$7)</f>
        <v>Foundation</v>
      </c>
      <c r="M518" s="21" t="n">
        <f aca="false">COUNTIFS(Applications!$B$2:$B$3144,A518)</f>
        <v>2</v>
      </c>
      <c r="N518" s="21" t="n">
        <f aca="false">COUNTIFS(Applications!$B$2:$B$3144,A518,Applications!$F$2:$F$3144,"Offered")</f>
        <v>0</v>
      </c>
      <c r="O518" s="21" t="str">
        <f aca="false">IF(COUNTIFS(Applications!$B$2:$B$3144,A518,Applications!$H$2:$H$3144,"Yes")&gt;0,"Yes","No")</f>
        <v>No</v>
      </c>
      <c r="P518" s="32" t="n">
        <f aca="false">SUMIFS(Applications!$G$2:$G$3144,Applications!$B$2:$B$3144,A518,Applications!$H$2:$H$3144,"Yes")</f>
        <v>0</v>
      </c>
      <c r="Q518" s="21" t="str">
        <f aca="false">IF(O518="Yes",INDEX(Companies!$B$2:$B$31,MATCH(INDEX(Applications!$C$2:$C$3144,MATCH(A518,Applications!$P$2:$P$3144,0)),Companies!$A$2:$A$31,0)),"-")</f>
        <v>-</v>
      </c>
    </row>
    <row r="519" customFormat="false" ht="15" hidden="false" customHeight="false" outlineLevel="0" collapsed="false">
      <c r="A519" s="21" t="s">
        <v>1028</v>
      </c>
      <c r="B519" s="21" t="s">
        <v>1029</v>
      </c>
      <c r="C519" s="21" t="s">
        <v>810</v>
      </c>
      <c r="D519" s="21" t="s">
        <v>63</v>
      </c>
      <c r="E519" s="21" t="s">
        <v>90</v>
      </c>
      <c r="F519" s="21" t="n">
        <v>8.33</v>
      </c>
      <c r="G519" s="21" t="n">
        <v>111</v>
      </c>
      <c r="H519" s="21" t="n">
        <v>5</v>
      </c>
      <c r="I519" s="21" t="s">
        <v>120</v>
      </c>
      <c r="J519" s="21" t="n">
        <v>45</v>
      </c>
      <c r="K519" s="32" t="n">
        <f aca="false">ROUND(Assumptions!$B$4*MIN(G519/Assumptions!$B$11,1)*100+Assumptions!$B$5*F519/10*100+Assumptions!$B$6*MIN(H519/Assumptions!$B$12,1)*100+Assumptions!$B$7*J519+Assumptions!$B$8*IF(I519="Yes",100,0),1)</f>
        <v>62.3</v>
      </c>
      <c r="L519" s="21" t="str">
        <f aca="false">LOOKUP(K519,Assumptions!$D$4:$D$7,Assumptions!$E$4:$E$7)</f>
        <v>Developing</v>
      </c>
      <c r="M519" s="21" t="n">
        <f aca="false">COUNTIFS(Applications!$B$2:$B$3144,A519)</f>
        <v>5</v>
      </c>
      <c r="N519" s="21" t="n">
        <f aca="false">COUNTIFS(Applications!$B$2:$B$3144,A519,Applications!$F$2:$F$3144,"Offered")</f>
        <v>0</v>
      </c>
      <c r="O519" s="21" t="str">
        <f aca="false">IF(COUNTIFS(Applications!$B$2:$B$3144,A519,Applications!$H$2:$H$3144,"Yes")&gt;0,"Yes","No")</f>
        <v>No</v>
      </c>
      <c r="P519" s="32" t="n">
        <f aca="false">SUMIFS(Applications!$G$2:$G$3144,Applications!$B$2:$B$3144,A519,Applications!$H$2:$H$3144,"Yes")</f>
        <v>0</v>
      </c>
      <c r="Q519" s="21" t="str">
        <f aca="false">IF(O519="Yes",INDEX(Companies!$B$2:$B$31,MATCH(INDEX(Applications!$C$2:$C$3144,MATCH(A519,Applications!$P$2:$P$3144,0)),Companies!$A$2:$A$31,0)),"-")</f>
        <v>-</v>
      </c>
    </row>
    <row r="520" customFormat="false" ht="15" hidden="false" customHeight="false" outlineLevel="0" collapsed="false">
      <c r="A520" s="21" t="s">
        <v>1030</v>
      </c>
      <c r="B520" s="21" t="s">
        <v>1031</v>
      </c>
      <c r="C520" s="21" t="s">
        <v>810</v>
      </c>
      <c r="D520" s="21" t="s">
        <v>66</v>
      </c>
      <c r="E520" s="21" t="s">
        <v>90</v>
      </c>
      <c r="F520" s="21" t="n">
        <v>7.32</v>
      </c>
      <c r="G520" s="21" t="n">
        <v>287</v>
      </c>
      <c r="H520" s="21" t="n">
        <v>4</v>
      </c>
      <c r="I520" s="21" t="s">
        <v>113</v>
      </c>
      <c r="J520" s="21" t="n">
        <v>75</v>
      </c>
      <c r="K520" s="32" t="n">
        <f aca="false">ROUND(Assumptions!$B$4*MIN(G520/Assumptions!$B$11,1)*100+Assumptions!$B$5*F520/10*100+Assumptions!$B$6*MIN(H520/Assumptions!$B$12,1)*100+Assumptions!$B$7*J520+Assumptions!$B$8*IF(I520="Yes",100,0),1)</f>
        <v>62.9</v>
      </c>
      <c r="L520" s="21" t="str">
        <f aca="false">LOOKUP(K520,Assumptions!$D$4:$D$7,Assumptions!$E$4:$E$7)</f>
        <v>Developing</v>
      </c>
      <c r="M520" s="21" t="n">
        <f aca="false">COUNTIFS(Applications!$B$2:$B$3144,A520)</f>
        <v>4</v>
      </c>
      <c r="N520" s="21" t="n">
        <f aca="false">COUNTIFS(Applications!$B$2:$B$3144,A520,Applications!$F$2:$F$3144,"Offered")</f>
        <v>0</v>
      </c>
      <c r="O520" s="21" t="str">
        <f aca="false">IF(COUNTIFS(Applications!$B$2:$B$3144,A520,Applications!$H$2:$H$3144,"Yes")&gt;0,"Yes","No")</f>
        <v>No</v>
      </c>
      <c r="P520" s="32" t="n">
        <f aca="false">SUMIFS(Applications!$G$2:$G$3144,Applications!$B$2:$B$3144,A520,Applications!$H$2:$H$3144,"Yes")</f>
        <v>0</v>
      </c>
      <c r="Q520" s="21" t="str">
        <f aca="false">IF(O520="Yes",INDEX(Companies!$B$2:$B$31,MATCH(INDEX(Applications!$C$2:$C$3144,MATCH(A520,Applications!$P$2:$P$3144,0)),Companies!$A$2:$A$31,0)),"-")</f>
        <v>-</v>
      </c>
    </row>
    <row r="521" customFormat="false" ht="15" hidden="false" customHeight="false" outlineLevel="0" collapsed="false">
      <c r="A521" s="21" t="s">
        <v>1032</v>
      </c>
      <c r="B521" s="21" t="s">
        <v>1033</v>
      </c>
      <c r="C521" s="21" t="s">
        <v>810</v>
      </c>
      <c r="D521" s="21" t="s">
        <v>65</v>
      </c>
      <c r="E521" s="21" t="s">
        <v>92</v>
      </c>
      <c r="F521" s="21" t="n">
        <v>8.06</v>
      </c>
      <c r="G521" s="21" t="n">
        <v>84</v>
      </c>
      <c r="H521" s="21" t="n">
        <v>5</v>
      </c>
      <c r="I521" s="21" t="s">
        <v>113</v>
      </c>
      <c r="J521" s="21" t="n">
        <v>63</v>
      </c>
      <c r="K521" s="32" t="n">
        <f aca="false">ROUND(Assumptions!$B$4*MIN(G521/Assumptions!$B$11,1)*100+Assumptions!$B$5*F521/10*100+Assumptions!$B$6*MIN(H521/Assumptions!$B$12,1)*100+Assumptions!$B$7*J521+Assumptions!$B$8*IF(I521="Yes",100,0),1)</f>
        <v>53.8</v>
      </c>
      <c r="L521" s="21" t="str">
        <f aca="false">LOOKUP(K521,Assumptions!$D$4:$D$7,Assumptions!$E$4:$E$7)</f>
        <v>Developing</v>
      </c>
      <c r="M521" s="21" t="n">
        <f aca="false">COUNTIFS(Applications!$B$2:$B$3144,A521)</f>
        <v>4</v>
      </c>
      <c r="N521" s="21" t="n">
        <f aca="false">COUNTIFS(Applications!$B$2:$B$3144,A521,Applications!$F$2:$F$3144,"Offered")</f>
        <v>0</v>
      </c>
      <c r="O521" s="21" t="str">
        <f aca="false">IF(COUNTIFS(Applications!$B$2:$B$3144,A521,Applications!$H$2:$H$3144,"Yes")&gt;0,"Yes","No")</f>
        <v>No</v>
      </c>
      <c r="P521" s="32" t="n">
        <f aca="false">SUMIFS(Applications!$G$2:$G$3144,Applications!$B$2:$B$3144,A521,Applications!$H$2:$H$3144,"Yes")</f>
        <v>0</v>
      </c>
      <c r="Q521" s="21" t="str">
        <f aca="false">IF(O521="Yes",INDEX(Companies!$B$2:$B$31,MATCH(INDEX(Applications!$C$2:$C$3144,MATCH(A521,Applications!$P$2:$P$3144,0)),Companies!$A$2:$A$31,0)),"-")</f>
        <v>-</v>
      </c>
    </row>
    <row r="522" customFormat="false" ht="15" hidden="false" customHeight="false" outlineLevel="0" collapsed="false">
      <c r="A522" s="21" t="s">
        <v>1034</v>
      </c>
      <c r="B522" s="21" t="s">
        <v>363</v>
      </c>
      <c r="C522" s="21" t="s">
        <v>810</v>
      </c>
      <c r="D522" s="21" t="s">
        <v>64</v>
      </c>
      <c r="E522" s="21" t="s">
        <v>91</v>
      </c>
      <c r="F522" s="21" t="n">
        <v>6.37</v>
      </c>
      <c r="G522" s="21" t="n">
        <v>505</v>
      </c>
      <c r="H522" s="21" t="n">
        <v>3</v>
      </c>
      <c r="I522" s="21" t="s">
        <v>113</v>
      </c>
      <c r="J522" s="21" t="n">
        <v>75</v>
      </c>
      <c r="K522" s="32" t="n">
        <f aca="false">ROUND(Assumptions!$B$4*MIN(G522/Assumptions!$B$11,1)*100+Assumptions!$B$5*F522/10*100+Assumptions!$B$6*MIN(H522/Assumptions!$B$12,1)*100+Assumptions!$B$7*J522+Assumptions!$B$8*IF(I522="Yes",100,0),1)</f>
        <v>69.7</v>
      </c>
      <c r="L522" s="21" t="str">
        <f aca="false">LOOKUP(K522,Assumptions!$D$4:$D$7,Assumptions!$E$4:$E$7)</f>
        <v>Job-Ready</v>
      </c>
      <c r="M522" s="21" t="n">
        <f aca="false">COUNTIFS(Applications!$B$2:$B$3144,A522)</f>
        <v>7</v>
      </c>
      <c r="N522" s="21" t="n">
        <f aca="false">COUNTIFS(Applications!$B$2:$B$3144,A522,Applications!$F$2:$F$3144,"Offered")</f>
        <v>4</v>
      </c>
      <c r="O522" s="21" t="str">
        <f aca="false">IF(COUNTIFS(Applications!$B$2:$B$3144,A522,Applications!$H$2:$H$3144,"Yes")&gt;0,"Yes","No")</f>
        <v>Yes</v>
      </c>
      <c r="P522" s="32" t="n">
        <f aca="false">SUMIFS(Applications!$G$2:$G$3144,Applications!$B$2:$B$3144,A522,Applications!$H$2:$H$3144,"Yes")</f>
        <v>25.3</v>
      </c>
      <c r="Q522" s="21" t="str">
        <f aca="false">IF(O522="Yes",INDEX(Companies!$B$2:$B$31,MATCH(INDEX(Applications!$C$2:$C$3144,MATCH(A522,Applications!$P$2:$P$3144,0)),Companies!$A$2:$A$31,0)),"-")</f>
        <v>Nimbus Cloud Systems</v>
      </c>
    </row>
    <row r="523" customFormat="false" ht="15" hidden="false" customHeight="false" outlineLevel="0" collapsed="false">
      <c r="A523" s="21" t="s">
        <v>1035</v>
      </c>
      <c r="B523" s="21" t="s">
        <v>1036</v>
      </c>
      <c r="C523" s="21" t="s">
        <v>810</v>
      </c>
      <c r="D523" s="21" t="s">
        <v>67</v>
      </c>
      <c r="E523" s="21" t="s">
        <v>92</v>
      </c>
      <c r="F523" s="21" t="n">
        <v>5.91</v>
      </c>
      <c r="G523" s="21" t="n">
        <v>213</v>
      </c>
      <c r="H523" s="21" t="n">
        <v>3</v>
      </c>
      <c r="I523" s="21" t="s">
        <v>113</v>
      </c>
      <c r="J523" s="21" t="n">
        <v>69</v>
      </c>
      <c r="K523" s="32" t="n">
        <f aca="false">ROUND(Assumptions!$B$4*MIN(G523/Assumptions!$B$11,1)*100+Assumptions!$B$5*F523/10*100+Assumptions!$B$6*MIN(H523/Assumptions!$B$12,1)*100+Assumptions!$B$7*J523+Assumptions!$B$8*IF(I523="Yes",100,0),1)</f>
        <v>50.4</v>
      </c>
      <c r="L523" s="21" t="str">
        <f aca="false">LOOKUP(K523,Assumptions!$D$4:$D$7,Assumptions!$E$4:$E$7)</f>
        <v>Developing</v>
      </c>
      <c r="M523" s="21" t="n">
        <f aca="false">COUNTIFS(Applications!$B$2:$B$3144,A523)</f>
        <v>4</v>
      </c>
      <c r="N523" s="21" t="n">
        <f aca="false">COUNTIFS(Applications!$B$2:$B$3144,A523,Applications!$F$2:$F$3144,"Offered")</f>
        <v>1</v>
      </c>
      <c r="O523" s="21" t="str">
        <f aca="false">IF(COUNTIFS(Applications!$B$2:$B$3144,A523,Applications!$H$2:$H$3144,"Yes")&gt;0,"Yes","No")</f>
        <v>Yes</v>
      </c>
      <c r="P523" s="32" t="n">
        <f aca="false">SUMIFS(Applications!$G$2:$G$3144,Applications!$B$2:$B$3144,A523,Applications!$H$2:$H$3144,"Yes")</f>
        <v>6.5</v>
      </c>
      <c r="Q523" s="21" t="str">
        <f aca="false">IF(O523="Yes",INDEX(Companies!$B$2:$B$31,MATCH(INDEX(Applications!$C$2:$C$3144,MATCH(A523,Applications!$P$2:$P$3144,0)),Companies!$A$2:$A$31,0)),"-")</f>
        <v>TechBridge Consulting</v>
      </c>
    </row>
    <row r="524" customFormat="false" ht="15" hidden="false" customHeight="false" outlineLevel="0" collapsed="false">
      <c r="A524" s="21" t="s">
        <v>1037</v>
      </c>
      <c r="B524" s="21" t="s">
        <v>1038</v>
      </c>
      <c r="C524" s="21" t="s">
        <v>810</v>
      </c>
      <c r="D524" s="21" t="s">
        <v>67</v>
      </c>
      <c r="E524" s="21" t="s">
        <v>92</v>
      </c>
      <c r="F524" s="21" t="n">
        <v>7.02</v>
      </c>
      <c r="G524" s="21" t="n">
        <v>152</v>
      </c>
      <c r="H524" s="21" t="n">
        <v>4</v>
      </c>
      <c r="I524" s="21" t="s">
        <v>113</v>
      </c>
      <c r="J524" s="21" t="n">
        <v>60</v>
      </c>
      <c r="K524" s="32" t="n">
        <f aca="false">ROUND(Assumptions!$B$4*MIN(G524/Assumptions!$B$11,1)*100+Assumptions!$B$5*F524/10*100+Assumptions!$B$6*MIN(H524/Assumptions!$B$12,1)*100+Assumptions!$B$7*J524+Assumptions!$B$8*IF(I524="Yes",100,0),1)</f>
        <v>51.2</v>
      </c>
      <c r="L524" s="21" t="str">
        <f aca="false">LOOKUP(K524,Assumptions!$D$4:$D$7,Assumptions!$E$4:$E$7)</f>
        <v>Developing</v>
      </c>
      <c r="M524" s="21" t="n">
        <f aca="false">COUNTIFS(Applications!$B$2:$B$3144,A524)</f>
        <v>4</v>
      </c>
      <c r="N524" s="21" t="n">
        <f aca="false">COUNTIFS(Applications!$B$2:$B$3144,A524,Applications!$F$2:$F$3144,"Offered")</f>
        <v>1</v>
      </c>
      <c r="O524" s="21" t="str">
        <f aca="false">IF(COUNTIFS(Applications!$B$2:$B$3144,A524,Applications!$H$2:$H$3144,"Yes")&gt;0,"Yes","No")</f>
        <v>Yes</v>
      </c>
      <c r="P524" s="32" t="n">
        <f aca="false">SUMIFS(Applications!$G$2:$G$3144,Applications!$B$2:$B$3144,A524,Applications!$H$2:$H$3144,"Yes")</f>
        <v>6.1</v>
      </c>
      <c r="Q524" s="21" t="str">
        <f aca="false">IF(O524="Yes",INDEX(Companies!$B$2:$B$31,MATCH(INDEX(Applications!$C$2:$C$3144,MATCH(A524,Applications!$P$2:$P$3144,0)),Companies!$A$2:$A$31,0)),"-")</f>
        <v>LearnEasy</v>
      </c>
    </row>
    <row r="525" customFormat="false" ht="15" hidden="false" customHeight="false" outlineLevel="0" collapsed="false">
      <c r="A525" s="21" t="s">
        <v>1039</v>
      </c>
      <c r="B525" s="21" t="s">
        <v>280</v>
      </c>
      <c r="C525" s="21" t="s">
        <v>810</v>
      </c>
      <c r="D525" s="21" t="s">
        <v>64</v>
      </c>
      <c r="E525" s="21" t="s">
        <v>90</v>
      </c>
      <c r="F525" s="21" t="n">
        <v>8.8</v>
      </c>
      <c r="G525" s="21" t="n">
        <v>518</v>
      </c>
      <c r="H525" s="21" t="n">
        <v>4</v>
      </c>
      <c r="I525" s="21" t="s">
        <v>113</v>
      </c>
      <c r="J525" s="21" t="n">
        <v>62</v>
      </c>
      <c r="K525" s="32" t="n">
        <f aca="false">ROUND(Assumptions!$B$4*MIN(G525/Assumptions!$B$11,1)*100+Assumptions!$B$5*F525/10*100+Assumptions!$B$6*MIN(H525/Assumptions!$B$12,1)*100+Assumptions!$B$7*J525+Assumptions!$B$8*IF(I525="Yes",100,0),1)</f>
        <v>76</v>
      </c>
      <c r="L525" s="21" t="str">
        <f aca="false">LOOKUP(K525,Assumptions!$D$4:$D$7,Assumptions!$E$4:$E$7)</f>
        <v>Job-Ready</v>
      </c>
      <c r="M525" s="21" t="n">
        <f aca="false">COUNTIFS(Applications!$B$2:$B$3144,A525)</f>
        <v>5</v>
      </c>
      <c r="N525" s="21" t="n">
        <f aca="false">COUNTIFS(Applications!$B$2:$B$3144,A525,Applications!$F$2:$F$3144,"Offered")</f>
        <v>4</v>
      </c>
      <c r="O525" s="21" t="str">
        <f aca="false">IF(COUNTIFS(Applications!$B$2:$B$3144,A525,Applications!$H$2:$H$3144,"Yes")&gt;0,"Yes","No")</f>
        <v>Yes</v>
      </c>
      <c r="P525" s="32" t="n">
        <f aca="false">SUMIFS(Applications!$G$2:$G$3144,Applications!$B$2:$B$3144,A525,Applications!$H$2:$H$3144,"Yes")</f>
        <v>16</v>
      </c>
      <c r="Q525" s="21" t="str">
        <f aca="false">IF(O525="Yes",INDEX(Companies!$B$2:$B$31,MATCH(INDEX(Applications!$C$2:$C$3144,MATCH(A525,Applications!$P$2:$P$3144,0)),Companies!$A$2:$A$31,0)),"-")</f>
        <v>LearnLoop</v>
      </c>
    </row>
    <row r="526" customFormat="false" ht="15" hidden="false" customHeight="false" outlineLevel="0" collapsed="false">
      <c r="A526" s="21" t="s">
        <v>1040</v>
      </c>
      <c r="B526" s="21" t="s">
        <v>1041</v>
      </c>
      <c r="C526" s="21" t="s">
        <v>810</v>
      </c>
      <c r="D526" s="21" t="s">
        <v>64</v>
      </c>
      <c r="E526" s="21" t="s">
        <v>92</v>
      </c>
      <c r="F526" s="21" t="n">
        <v>6.78</v>
      </c>
      <c r="G526" s="21" t="n">
        <v>271</v>
      </c>
      <c r="H526" s="21" t="n">
        <v>2</v>
      </c>
      <c r="I526" s="21" t="s">
        <v>113</v>
      </c>
      <c r="J526" s="21" t="n">
        <v>67</v>
      </c>
      <c r="K526" s="32" t="n">
        <f aca="false">ROUND(Assumptions!$B$4*MIN(G526/Assumptions!$B$11,1)*100+Assumptions!$B$5*F526/10*100+Assumptions!$B$6*MIN(H526/Assumptions!$B$12,1)*100+Assumptions!$B$7*J526+Assumptions!$B$8*IF(I526="Yes",100,0),1)</f>
        <v>51.2</v>
      </c>
      <c r="L526" s="21" t="str">
        <f aca="false">LOOKUP(K526,Assumptions!$D$4:$D$7,Assumptions!$E$4:$E$7)</f>
        <v>Developing</v>
      </c>
      <c r="M526" s="21" t="n">
        <f aca="false">COUNTIFS(Applications!$B$2:$B$3144,A526)</f>
        <v>9</v>
      </c>
      <c r="N526" s="21" t="n">
        <f aca="false">COUNTIFS(Applications!$B$2:$B$3144,A526,Applications!$F$2:$F$3144,"Offered")</f>
        <v>0</v>
      </c>
      <c r="O526" s="21" t="str">
        <f aca="false">IF(COUNTIFS(Applications!$B$2:$B$3144,A526,Applications!$H$2:$H$3144,"Yes")&gt;0,"Yes","No")</f>
        <v>No</v>
      </c>
      <c r="P526" s="32" t="n">
        <f aca="false">SUMIFS(Applications!$G$2:$G$3144,Applications!$B$2:$B$3144,A526,Applications!$H$2:$H$3144,"Yes")</f>
        <v>0</v>
      </c>
      <c r="Q526" s="21" t="str">
        <f aca="false">IF(O526="Yes",INDEX(Companies!$B$2:$B$31,MATCH(INDEX(Applications!$C$2:$C$3144,MATCH(A526,Applications!$P$2:$P$3144,0)),Companies!$A$2:$A$31,0)),"-")</f>
        <v>-</v>
      </c>
    </row>
    <row r="527" customFormat="false" ht="15" hidden="false" customHeight="false" outlineLevel="0" collapsed="false">
      <c r="A527" s="21" t="s">
        <v>1042</v>
      </c>
      <c r="B527" s="21" t="s">
        <v>1043</v>
      </c>
      <c r="C527" s="21" t="s">
        <v>810</v>
      </c>
      <c r="D527" s="21" t="s">
        <v>66</v>
      </c>
      <c r="E527" s="21" t="s">
        <v>91</v>
      </c>
      <c r="F527" s="21" t="n">
        <v>8.9</v>
      </c>
      <c r="G527" s="21" t="n">
        <v>215</v>
      </c>
      <c r="H527" s="21" t="n">
        <v>1</v>
      </c>
      <c r="I527" s="21" t="s">
        <v>120</v>
      </c>
      <c r="J527" s="21" t="n">
        <v>77</v>
      </c>
      <c r="K527" s="32" t="n">
        <f aca="false">ROUND(Assumptions!$B$4*MIN(G527/Assumptions!$B$11,1)*100+Assumptions!$B$5*F527/10*100+Assumptions!$B$6*MIN(H527/Assumptions!$B$12,1)*100+Assumptions!$B$7*J527+Assumptions!$B$8*IF(I527="Yes",100,0),1)</f>
        <v>60.1</v>
      </c>
      <c r="L527" s="21" t="str">
        <f aca="false">LOOKUP(K527,Assumptions!$D$4:$D$7,Assumptions!$E$4:$E$7)</f>
        <v>Developing</v>
      </c>
      <c r="M527" s="21" t="n">
        <f aca="false">COUNTIFS(Applications!$B$2:$B$3144,A527)</f>
        <v>6</v>
      </c>
      <c r="N527" s="21" t="n">
        <f aca="false">COUNTIFS(Applications!$B$2:$B$3144,A527,Applications!$F$2:$F$3144,"Offered")</f>
        <v>2</v>
      </c>
      <c r="O527" s="21" t="str">
        <f aca="false">IF(COUNTIFS(Applications!$B$2:$B$3144,A527,Applications!$H$2:$H$3144,"Yes")&gt;0,"Yes","No")</f>
        <v>Yes</v>
      </c>
      <c r="P527" s="32" t="n">
        <f aca="false">SUMIFS(Applications!$G$2:$G$3144,Applications!$B$2:$B$3144,A527,Applications!$H$2:$H$3144,"Yes")</f>
        <v>5.9</v>
      </c>
      <c r="Q527" s="21" t="str">
        <f aca="false">IF(O527="Yes",INDEX(Companies!$B$2:$B$31,MATCH(INDEX(Applications!$C$2:$C$3144,MATCH(A527,Applications!$P$2:$P$3144,0)),Companies!$A$2:$A$31,0)),"-")</f>
        <v>DataHarbor</v>
      </c>
    </row>
    <row r="528" customFormat="false" ht="15" hidden="false" customHeight="false" outlineLevel="0" collapsed="false">
      <c r="A528" s="21" t="s">
        <v>1044</v>
      </c>
      <c r="B528" s="21" t="s">
        <v>1045</v>
      </c>
      <c r="C528" s="21" t="s">
        <v>810</v>
      </c>
      <c r="D528" s="21" t="s">
        <v>63</v>
      </c>
      <c r="E528" s="21" t="s">
        <v>90</v>
      </c>
      <c r="F528" s="21" t="n">
        <v>7.53</v>
      </c>
      <c r="G528" s="21" t="n">
        <v>165</v>
      </c>
      <c r="H528" s="21" t="n">
        <v>2</v>
      </c>
      <c r="I528" s="21" t="s">
        <v>113</v>
      </c>
      <c r="J528" s="21" t="n">
        <v>70</v>
      </c>
      <c r="K528" s="32" t="n">
        <f aca="false">ROUND(Assumptions!$B$4*MIN(G528/Assumptions!$B$11,1)*100+Assumptions!$B$5*F528/10*100+Assumptions!$B$6*MIN(H528/Assumptions!$B$12,1)*100+Assumptions!$B$7*J528+Assumptions!$B$8*IF(I528="Yes",100,0),1)</f>
        <v>47</v>
      </c>
      <c r="L528" s="21" t="str">
        <f aca="false">LOOKUP(K528,Assumptions!$D$4:$D$7,Assumptions!$E$4:$E$7)</f>
        <v>Foundation</v>
      </c>
      <c r="M528" s="21" t="n">
        <f aca="false">COUNTIFS(Applications!$B$2:$B$3144,A528)</f>
        <v>3</v>
      </c>
      <c r="N528" s="21" t="n">
        <f aca="false">COUNTIFS(Applications!$B$2:$B$3144,A528,Applications!$F$2:$F$3144,"Offered")</f>
        <v>0</v>
      </c>
      <c r="O528" s="21" t="str">
        <f aca="false">IF(COUNTIFS(Applications!$B$2:$B$3144,A528,Applications!$H$2:$H$3144,"Yes")&gt;0,"Yes","No")</f>
        <v>No</v>
      </c>
      <c r="P528" s="32" t="n">
        <f aca="false">SUMIFS(Applications!$G$2:$G$3144,Applications!$B$2:$B$3144,A528,Applications!$H$2:$H$3144,"Yes")</f>
        <v>0</v>
      </c>
      <c r="Q528" s="21" t="str">
        <f aca="false">IF(O528="Yes",INDEX(Companies!$B$2:$B$31,MATCH(INDEX(Applications!$C$2:$C$3144,MATCH(A528,Applications!$P$2:$P$3144,0)),Companies!$A$2:$A$31,0)),"-")</f>
        <v>-</v>
      </c>
    </row>
    <row r="529" customFormat="false" ht="15" hidden="false" customHeight="false" outlineLevel="0" collapsed="false">
      <c r="A529" s="21" t="s">
        <v>1046</v>
      </c>
      <c r="B529" s="21" t="s">
        <v>1047</v>
      </c>
      <c r="C529" s="21" t="s">
        <v>810</v>
      </c>
      <c r="D529" s="21" t="s">
        <v>67</v>
      </c>
      <c r="E529" s="21" t="s">
        <v>91</v>
      </c>
      <c r="F529" s="21" t="n">
        <v>6.91</v>
      </c>
      <c r="G529" s="21" t="n">
        <v>276</v>
      </c>
      <c r="H529" s="21" t="n">
        <v>4</v>
      </c>
      <c r="I529" s="21" t="s">
        <v>113</v>
      </c>
      <c r="J529" s="21" t="n">
        <v>45</v>
      </c>
      <c r="K529" s="32" t="n">
        <f aca="false">ROUND(Assumptions!$B$4*MIN(G529/Assumptions!$B$11,1)*100+Assumptions!$B$5*F529/10*100+Assumptions!$B$6*MIN(H529/Assumptions!$B$12,1)*100+Assumptions!$B$7*J529+Assumptions!$B$8*IF(I529="Yes",100,0),1)</f>
        <v>55.4</v>
      </c>
      <c r="L529" s="21" t="str">
        <f aca="false">LOOKUP(K529,Assumptions!$D$4:$D$7,Assumptions!$E$4:$E$7)</f>
        <v>Developing</v>
      </c>
      <c r="M529" s="21" t="n">
        <f aca="false">COUNTIFS(Applications!$B$2:$B$3144,A529)</f>
        <v>7</v>
      </c>
      <c r="N529" s="21" t="n">
        <f aca="false">COUNTIFS(Applications!$B$2:$B$3144,A529,Applications!$F$2:$F$3144,"Offered")</f>
        <v>2</v>
      </c>
      <c r="O529" s="21" t="str">
        <f aca="false">IF(COUNTIFS(Applications!$B$2:$B$3144,A529,Applications!$H$2:$H$3144,"Yes")&gt;0,"Yes","No")</f>
        <v>Yes</v>
      </c>
      <c r="P529" s="32" t="n">
        <f aca="false">SUMIFS(Applications!$G$2:$G$3144,Applications!$B$2:$B$3144,A529,Applications!$H$2:$H$3144,"Yes")</f>
        <v>6.4</v>
      </c>
      <c r="Q529" s="21" t="str">
        <f aca="false">IF(O529="Yes",INDEX(Companies!$B$2:$B$31,MATCH(INDEX(Applications!$C$2:$C$3144,MATCH(A529,Applications!$P$2:$P$3144,0)),Companies!$A$2:$A$31,0)),"-")</f>
        <v>LearnEasy</v>
      </c>
    </row>
    <row r="530" customFormat="false" ht="15" hidden="false" customHeight="false" outlineLevel="0" collapsed="false">
      <c r="A530" s="21" t="s">
        <v>1048</v>
      </c>
      <c r="B530" s="21" t="s">
        <v>514</v>
      </c>
      <c r="C530" s="21" t="s">
        <v>810</v>
      </c>
      <c r="D530" s="21" t="s">
        <v>66</v>
      </c>
      <c r="E530" s="21" t="s">
        <v>90</v>
      </c>
      <c r="F530" s="21" t="n">
        <v>6.15</v>
      </c>
      <c r="G530" s="21" t="n">
        <v>177</v>
      </c>
      <c r="H530" s="21" t="n">
        <v>4</v>
      </c>
      <c r="I530" s="21" t="s">
        <v>113</v>
      </c>
      <c r="J530" s="21" t="n">
        <v>78</v>
      </c>
      <c r="K530" s="32" t="n">
        <f aca="false">ROUND(Assumptions!$B$4*MIN(G530/Assumptions!$B$11,1)*100+Assumptions!$B$5*F530/10*100+Assumptions!$B$6*MIN(H530/Assumptions!$B$12,1)*100+Assumptions!$B$7*J530+Assumptions!$B$8*IF(I530="Yes",100,0),1)</f>
        <v>54.5</v>
      </c>
      <c r="L530" s="21" t="str">
        <f aca="false">LOOKUP(K530,Assumptions!$D$4:$D$7,Assumptions!$E$4:$E$7)</f>
        <v>Developing</v>
      </c>
      <c r="M530" s="21" t="n">
        <f aca="false">COUNTIFS(Applications!$B$2:$B$3144,A530)</f>
        <v>4</v>
      </c>
      <c r="N530" s="21" t="n">
        <f aca="false">COUNTIFS(Applications!$B$2:$B$3144,A530,Applications!$F$2:$F$3144,"Offered")</f>
        <v>0</v>
      </c>
      <c r="O530" s="21" t="str">
        <f aca="false">IF(COUNTIFS(Applications!$B$2:$B$3144,A530,Applications!$H$2:$H$3144,"Yes")&gt;0,"Yes","No")</f>
        <v>No</v>
      </c>
      <c r="P530" s="32" t="n">
        <f aca="false">SUMIFS(Applications!$G$2:$G$3144,Applications!$B$2:$B$3144,A530,Applications!$H$2:$H$3144,"Yes")</f>
        <v>0</v>
      </c>
      <c r="Q530" s="21" t="str">
        <f aca="false">IF(O530="Yes",INDEX(Companies!$B$2:$B$31,MATCH(INDEX(Applications!$C$2:$C$3144,MATCH(A530,Applications!$P$2:$P$3144,0)),Companies!$A$2:$A$31,0)),"-")</f>
        <v>-</v>
      </c>
    </row>
    <row r="531" customFormat="false" ht="15" hidden="false" customHeight="false" outlineLevel="0" collapsed="false">
      <c r="A531" s="21" t="s">
        <v>1049</v>
      </c>
      <c r="B531" s="21" t="s">
        <v>1050</v>
      </c>
      <c r="C531" s="21" t="s">
        <v>810</v>
      </c>
      <c r="D531" s="21" t="s">
        <v>67</v>
      </c>
      <c r="E531" s="21" t="s">
        <v>91</v>
      </c>
      <c r="F531" s="21" t="n">
        <v>8.48</v>
      </c>
      <c r="G531" s="21" t="n">
        <v>148</v>
      </c>
      <c r="H531" s="21" t="n">
        <v>6</v>
      </c>
      <c r="I531" s="21" t="s">
        <v>113</v>
      </c>
      <c r="J531" s="21" t="n">
        <v>74</v>
      </c>
      <c r="K531" s="32" t="n">
        <f aca="false">ROUND(Assumptions!$B$4*MIN(G531/Assumptions!$B$11,1)*100+Assumptions!$B$5*F531/10*100+Assumptions!$B$6*MIN(H531/Assumptions!$B$12,1)*100+Assumptions!$B$7*J531+Assumptions!$B$8*IF(I531="Yes",100,0),1)</f>
        <v>60.6</v>
      </c>
      <c r="L531" s="21" t="str">
        <f aca="false">LOOKUP(K531,Assumptions!$D$4:$D$7,Assumptions!$E$4:$E$7)</f>
        <v>Developing</v>
      </c>
      <c r="M531" s="21" t="n">
        <f aca="false">COUNTIFS(Applications!$B$2:$B$3144,A531)</f>
        <v>6</v>
      </c>
      <c r="N531" s="21" t="n">
        <f aca="false">COUNTIFS(Applications!$B$2:$B$3144,A531,Applications!$F$2:$F$3144,"Offered")</f>
        <v>2</v>
      </c>
      <c r="O531" s="21" t="str">
        <f aca="false">IF(COUNTIFS(Applications!$B$2:$B$3144,A531,Applications!$H$2:$H$3144,"Yes")&gt;0,"Yes","No")</f>
        <v>Yes</v>
      </c>
      <c r="P531" s="32" t="n">
        <f aca="false">SUMIFS(Applications!$G$2:$G$3144,Applications!$B$2:$B$3144,A531,Applications!$H$2:$H$3144,"Yes")</f>
        <v>9.2</v>
      </c>
      <c r="Q531" s="21" t="str">
        <f aca="false">IF(O531="Yes",INDEX(Companies!$B$2:$B$31,MATCH(INDEX(Applications!$C$2:$C$3144,MATCH(A531,Applications!$P$2:$P$3144,0)),Companies!$A$2:$A$31,0)),"-")</f>
        <v>CloudKraft</v>
      </c>
    </row>
    <row r="532" customFormat="false" ht="15" hidden="false" customHeight="false" outlineLevel="0" collapsed="false">
      <c r="A532" s="21" t="s">
        <v>1051</v>
      </c>
      <c r="B532" s="21" t="s">
        <v>1052</v>
      </c>
      <c r="C532" s="21" t="s">
        <v>810</v>
      </c>
      <c r="D532" s="21" t="s">
        <v>64</v>
      </c>
      <c r="E532" s="21" t="s">
        <v>92</v>
      </c>
      <c r="F532" s="21" t="n">
        <v>6.06</v>
      </c>
      <c r="G532" s="21" t="n">
        <v>266</v>
      </c>
      <c r="H532" s="21" t="n">
        <v>2</v>
      </c>
      <c r="I532" s="21" t="s">
        <v>120</v>
      </c>
      <c r="J532" s="21" t="n">
        <v>70</v>
      </c>
      <c r="K532" s="32" t="n">
        <f aca="false">ROUND(Assumptions!$B$4*MIN(G532/Assumptions!$B$11,1)*100+Assumptions!$B$5*F532/10*100+Assumptions!$B$6*MIN(H532/Assumptions!$B$12,1)*100+Assumptions!$B$7*J532+Assumptions!$B$8*IF(I532="Yes",100,0),1)</f>
        <v>60.1</v>
      </c>
      <c r="L532" s="21" t="str">
        <f aca="false">LOOKUP(K532,Assumptions!$D$4:$D$7,Assumptions!$E$4:$E$7)</f>
        <v>Developing</v>
      </c>
      <c r="M532" s="21" t="n">
        <f aca="false">COUNTIFS(Applications!$B$2:$B$3144,A532)</f>
        <v>12</v>
      </c>
      <c r="N532" s="21" t="n">
        <f aca="false">COUNTIFS(Applications!$B$2:$B$3144,A532,Applications!$F$2:$F$3144,"Offered")</f>
        <v>1</v>
      </c>
      <c r="O532" s="21" t="str">
        <f aca="false">IF(COUNTIFS(Applications!$B$2:$B$3144,A532,Applications!$H$2:$H$3144,"Yes")&gt;0,"Yes","No")</f>
        <v>Yes</v>
      </c>
      <c r="P532" s="32" t="n">
        <f aca="false">SUMIFS(Applications!$G$2:$G$3144,Applications!$B$2:$B$3144,A532,Applications!$H$2:$H$3144,"Yes")</f>
        <v>5.7</v>
      </c>
      <c r="Q532" s="21" t="str">
        <f aca="false">IF(O532="Yes",INDEX(Companies!$B$2:$B$31,MATCH(INDEX(Applications!$C$2:$C$3144,MATCH(A532,Applications!$P$2:$P$3144,0)),Companies!$A$2:$A$31,0)),"-")</f>
        <v>Pioneer Softech</v>
      </c>
    </row>
    <row r="533" customFormat="false" ht="15" hidden="false" customHeight="false" outlineLevel="0" collapsed="false">
      <c r="A533" s="21" t="s">
        <v>1053</v>
      </c>
      <c r="B533" s="21" t="s">
        <v>204</v>
      </c>
      <c r="C533" s="21" t="s">
        <v>810</v>
      </c>
      <c r="D533" s="21" t="s">
        <v>64</v>
      </c>
      <c r="E533" s="21" t="s">
        <v>90</v>
      </c>
      <c r="F533" s="21" t="n">
        <v>8.84</v>
      </c>
      <c r="G533" s="21" t="n">
        <v>759</v>
      </c>
      <c r="H533" s="21" t="n">
        <v>3</v>
      </c>
      <c r="I533" s="21" t="s">
        <v>120</v>
      </c>
      <c r="J533" s="21" t="n">
        <v>64</v>
      </c>
      <c r="K533" s="32" t="n">
        <f aca="false">ROUND(Assumptions!$B$4*MIN(G533/Assumptions!$B$11,1)*100+Assumptions!$B$5*F533/10*100+Assumptions!$B$6*MIN(H533/Assumptions!$B$12,1)*100+Assumptions!$B$7*J533+Assumptions!$B$8*IF(I533="Yes",100,0),1)</f>
        <v>82.5</v>
      </c>
      <c r="L533" s="21" t="str">
        <f aca="false">LOOKUP(K533,Assumptions!$D$4:$D$7,Assumptions!$E$4:$E$7)</f>
        <v>Elite</v>
      </c>
      <c r="M533" s="21" t="n">
        <f aca="false">COUNTIFS(Applications!$B$2:$B$3144,A533)</f>
        <v>6</v>
      </c>
      <c r="N533" s="21" t="n">
        <f aca="false">COUNTIFS(Applications!$B$2:$B$3144,A533,Applications!$F$2:$F$3144,"Offered")</f>
        <v>3</v>
      </c>
      <c r="O533" s="21" t="str">
        <f aca="false">IF(COUNTIFS(Applications!$B$2:$B$3144,A533,Applications!$H$2:$H$3144,"Yes")&gt;0,"Yes","No")</f>
        <v>Yes</v>
      </c>
      <c r="P533" s="32" t="n">
        <f aca="false">SUMIFS(Applications!$G$2:$G$3144,Applications!$B$2:$B$3144,A533,Applications!$H$2:$H$3144,"Yes")</f>
        <v>12.3</v>
      </c>
      <c r="Q533" s="21" t="str">
        <f aca="false">IF(O533="Yes",INDEX(Companies!$B$2:$B$31,MATCH(INDEX(Applications!$C$2:$C$3144,MATCH(A533,Applications!$P$2:$P$3144,0)),Companies!$A$2:$A$31,0)),"-")</f>
        <v>InsightWorks</v>
      </c>
    </row>
    <row r="534" customFormat="false" ht="15" hidden="false" customHeight="false" outlineLevel="0" collapsed="false">
      <c r="A534" s="21" t="s">
        <v>1054</v>
      </c>
      <c r="B534" s="21" t="s">
        <v>1055</v>
      </c>
      <c r="C534" s="21" t="s">
        <v>810</v>
      </c>
      <c r="D534" s="21" t="s">
        <v>67</v>
      </c>
      <c r="E534" s="21" t="s">
        <v>90</v>
      </c>
      <c r="F534" s="21" t="n">
        <v>7.69</v>
      </c>
      <c r="G534" s="21" t="n">
        <v>397</v>
      </c>
      <c r="H534" s="21" t="n">
        <v>2</v>
      </c>
      <c r="I534" s="21" t="s">
        <v>120</v>
      </c>
      <c r="J534" s="21" t="n">
        <v>79</v>
      </c>
      <c r="K534" s="32" t="n">
        <f aca="false">ROUND(Assumptions!$B$4*MIN(G534/Assumptions!$B$11,1)*100+Assumptions!$B$5*F534/10*100+Assumptions!$B$6*MIN(H534/Assumptions!$B$12,1)*100+Assumptions!$B$7*J534+Assumptions!$B$8*IF(I534="Yes",100,0),1)</f>
        <v>73</v>
      </c>
      <c r="L534" s="21" t="str">
        <f aca="false">LOOKUP(K534,Assumptions!$D$4:$D$7,Assumptions!$E$4:$E$7)</f>
        <v>Job-Ready</v>
      </c>
      <c r="M534" s="21" t="n">
        <f aca="false">COUNTIFS(Applications!$B$2:$B$3144,A534)</f>
        <v>8</v>
      </c>
      <c r="N534" s="21" t="n">
        <f aca="false">COUNTIFS(Applications!$B$2:$B$3144,A534,Applications!$F$2:$F$3144,"Offered")</f>
        <v>3</v>
      </c>
      <c r="O534" s="21" t="str">
        <f aca="false">IF(COUNTIFS(Applications!$B$2:$B$3144,A534,Applications!$H$2:$H$3144,"Yes")&gt;0,"Yes","No")</f>
        <v>Yes</v>
      </c>
      <c r="P534" s="32" t="n">
        <f aca="false">SUMIFS(Applications!$G$2:$G$3144,Applications!$B$2:$B$3144,A534,Applications!$H$2:$H$3144,"Yes")</f>
        <v>6.5</v>
      </c>
      <c r="Q534" s="21" t="str">
        <f aca="false">IF(O534="Yes",INDEX(Companies!$B$2:$B$31,MATCH(INDEX(Applications!$C$2:$C$3144,MATCH(A534,Applications!$P$2:$P$3144,0)),Companies!$A$2:$A$31,0)),"-")</f>
        <v>DataHarbor</v>
      </c>
    </row>
    <row r="535" customFormat="false" ht="15" hidden="false" customHeight="false" outlineLevel="0" collapsed="false">
      <c r="A535" s="21" t="s">
        <v>1056</v>
      </c>
      <c r="B535" s="21" t="s">
        <v>1057</v>
      </c>
      <c r="C535" s="21" t="s">
        <v>810</v>
      </c>
      <c r="D535" s="21" t="s">
        <v>67</v>
      </c>
      <c r="E535" s="21" t="s">
        <v>90</v>
      </c>
      <c r="F535" s="21" t="n">
        <v>8.96</v>
      </c>
      <c r="G535" s="21" t="n">
        <v>255</v>
      </c>
      <c r="H535" s="21" t="n">
        <v>4</v>
      </c>
      <c r="I535" s="21" t="s">
        <v>120</v>
      </c>
      <c r="J535" s="21" t="n">
        <v>52</v>
      </c>
      <c r="K535" s="32" t="n">
        <f aca="false">ROUND(Assumptions!$B$4*MIN(G535/Assumptions!$B$11,1)*100+Assumptions!$B$5*F535/10*100+Assumptions!$B$6*MIN(H535/Assumptions!$B$12,1)*100+Assumptions!$B$7*J535+Assumptions!$B$8*IF(I535="Yes",100,0),1)</f>
        <v>69.6</v>
      </c>
      <c r="L535" s="21" t="str">
        <f aca="false">LOOKUP(K535,Assumptions!$D$4:$D$7,Assumptions!$E$4:$E$7)</f>
        <v>Job-Ready</v>
      </c>
      <c r="M535" s="21" t="n">
        <f aca="false">COUNTIFS(Applications!$B$2:$B$3144,A535)</f>
        <v>2</v>
      </c>
      <c r="N535" s="21" t="n">
        <f aca="false">COUNTIFS(Applications!$B$2:$B$3144,A535,Applications!$F$2:$F$3144,"Offered")</f>
        <v>1</v>
      </c>
      <c r="O535" s="21" t="str">
        <f aca="false">IF(COUNTIFS(Applications!$B$2:$B$3144,A535,Applications!$H$2:$H$3144,"Yes")&gt;0,"Yes","No")</f>
        <v>Yes</v>
      </c>
      <c r="P535" s="32" t="n">
        <f aca="false">SUMIFS(Applications!$G$2:$G$3144,Applications!$B$2:$B$3144,A535,Applications!$H$2:$H$3144,"Yes")</f>
        <v>6.7</v>
      </c>
      <c r="Q535" s="21" t="str">
        <f aca="false">IF(O535="Yes",INDEX(Companies!$B$2:$B$31,MATCH(INDEX(Applications!$C$2:$C$3144,MATCH(A535,Applications!$P$2:$P$3144,0)),Companies!$A$2:$A$31,0)),"-")</f>
        <v>AlphaGrid Tech</v>
      </c>
    </row>
    <row r="536" customFormat="false" ht="15" hidden="false" customHeight="false" outlineLevel="0" collapsed="false">
      <c r="A536" s="21" t="s">
        <v>1058</v>
      </c>
      <c r="B536" s="21" t="s">
        <v>346</v>
      </c>
      <c r="C536" s="21" t="s">
        <v>810</v>
      </c>
      <c r="D536" s="21" t="s">
        <v>67</v>
      </c>
      <c r="E536" s="21" t="s">
        <v>91</v>
      </c>
      <c r="F536" s="21" t="n">
        <v>8.31</v>
      </c>
      <c r="G536" s="21" t="n">
        <v>471</v>
      </c>
      <c r="H536" s="21" t="n">
        <v>2</v>
      </c>
      <c r="I536" s="21" t="s">
        <v>113</v>
      </c>
      <c r="J536" s="21" t="n">
        <v>71</v>
      </c>
      <c r="K536" s="32" t="n">
        <f aca="false">ROUND(Assumptions!$B$4*MIN(G536/Assumptions!$B$11,1)*100+Assumptions!$B$5*F536/10*100+Assumptions!$B$6*MIN(H536/Assumptions!$B$12,1)*100+Assumptions!$B$7*J536+Assumptions!$B$8*IF(I536="Yes",100,0),1)</f>
        <v>67.1</v>
      </c>
      <c r="L536" s="21" t="str">
        <f aca="false">LOOKUP(K536,Assumptions!$D$4:$D$7,Assumptions!$E$4:$E$7)</f>
        <v>Job-Ready</v>
      </c>
      <c r="M536" s="21" t="n">
        <f aca="false">COUNTIFS(Applications!$B$2:$B$3144,A536)</f>
        <v>8</v>
      </c>
      <c r="N536" s="21" t="n">
        <f aca="false">COUNTIFS(Applications!$B$2:$B$3144,A536,Applications!$F$2:$F$3144,"Offered")</f>
        <v>2</v>
      </c>
      <c r="O536" s="21" t="str">
        <f aca="false">IF(COUNTIFS(Applications!$B$2:$B$3144,A536,Applications!$H$2:$H$3144,"Yes")&gt;0,"Yes","No")</f>
        <v>Yes</v>
      </c>
      <c r="P536" s="32" t="n">
        <f aca="false">SUMIFS(Applications!$G$2:$G$3144,Applications!$B$2:$B$3144,A536,Applications!$H$2:$H$3144,"Yes")</f>
        <v>5.7</v>
      </c>
      <c r="Q536" s="21" t="str">
        <f aca="false">IF(O536="Yes",INDEX(Companies!$B$2:$B$31,MATCH(INDEX(Applications!$C$2:$C$3144,MATCH(A536,Applications!$P$2:$P$3144,0)),Companies!$A$2:$A$31,0)),"-")</f>
        <v>DataHarbor</v>
      </c>
    </row>
    <row r="537" customFormat="false" ht="15" hidden="false" customHeight="false" outlineLevel="0" collapsed="false">
      <c r="A537" s="21" t="s">
        <v>1059</v>
      </c>
      <c r="B537" s="21" t="s">
        <v>1060</v>
      </c>
      <c r="C537" s="21" t="s">
        <v>810</v>
      </c>
      <c r="D537" s="21" t="s">
        <v>67</v>
      </c>
      <c r="E537" s="21" t="s">
        <v>92</v>
      </c>
      <c r="F537" s="21" t="n">
        <v>8.14</v>
      </c>
      <c r="G537" s="21" t="n">
        <v>291</v>
      </c>
      <c r="H537" s="21" t="n">
        <v>3</v>
      </c>
      <c r="I537" s="21" t="s">
        <v>120</v>
      </c>
      <c r="J537" s="21" t="n">
        <v>54</v>
      </c>
      <c r="K537" s="32" t="n">
        <f aca="false">ROUND(Assumptions!$B$4*MIN(G537/Assumptions!$B$11,1)*100+Assumptions!$B$5*F537/10*100+Assumptions!$B$6*MIN(H537/Assumptions!$B$12,1)*100+Assumptions!$B$7*J537+Assumptions!$B$8*IF(I537="Yes",100,0),1)</f>
        <v>66.5</v>
      </c>
      <c r="L537" s="21" t="str">
        <f aca="false">LOOKUP(K537,Assumptions!$D$4:$D$7,Assumptions!$E$4:$E$7)</f>
        <v>Job-Ready</v>
      </c>
      <c r="M537" s="21" t="n">
        <f aca="false">COUNTIFS(Applications!$B$2:$B$3144,A537)</f>
        <v>6</v>
      </c>
      <c r="N537" s="21" t="n">
        <f aca="false">COUNTIFS(Applications!$B$2:$B$3144,A537,Applications!$F$2:$F$3144,"Offered")</f>
        <v>5</v>
      </c>
      <c r="O537" s="21" t="str">
        <f aca="false">IF(COUNTIFS(Applications!$B$2:$B$3144,A537,Applications!$H$2:$H$3144,"Yes")&gt;0,"Yes","No")</f>
        <v>Yes</v>
      </c>
      <c r="P537" s="32" t="n">
        <f aca="false">SUMIFS(Applications!$G$2:$G$3144,Applications!$B$2:$B$3144,A537,Applications!$H$2:$H$3144,"Yes")</f>
        <v>7.8</v>
      </c>
      <c r="Q537" s="21" t="str">
        <f aca="false">IF(O537="Yes",INDEX(Companies!$B$2:$B$31,MATCH(INDEX(Applications!$C$2:$C$3144,MATCH(A537,Applications!$P$2:$P$3144,0)),Companies!$A$2:$A$31,0)),"-")</f>
        <v>LearnEasy</v>
      </c>
    </row>
    <row r="538" customFormat="false" ht="15" hidden="false" customHeight="false" outlineLevel="0" collapsed="false">
      <c r="A538" s="21" t="s">
        <v>1061</v>
      </c>
      <c r="B538" s="21" t="s">
        <v>1062</v>
      </c>
      <c r="C538" s="21" t="s">
        <v>810</v>
      </c>
      <c r="D538" s="21" t="s">
        <v>67</v>
      </c>
      <c r="E538" s="21" t="s">
        <v>91</v>
      </c>
      <c r="F538" s="21" t="n">
        <v>7.19</v>
      </c>
      <c r="G538" s="21" t="n">
        <v>564</v>
      </c>
      <c r="H538" s="21" t="n">
        <v>6</v>
      </c>
      <c r="I538" s="21" t="s">
        <v>120</v>
      </c>
      <c r="J538" s="21" t="n">
        <v>61</v>
      </c>
      <c r="K538" s="32" t="n">
        <f aca="false">ROUND(Assumptions!$B$4*MIN(G538/Assumptions!$B$11,1)*100+Assumptions!$B$5*F538/10*100+Assumptions!$B$6*MIN(H538/Assumptions!$B$12,1)*100+Assumptions!$B$7*J538+Assumptions!$B$8*IF(I538="Yes",100,0),1)</f>
        <v>86.6</v>
      </c>
      <c r="L538" s="21" t="str">
        <f aca="false">LOOKUP(K538,Assumptions!$D$4:$D$7,Assumptions!$E$4:$E$7)</f>
        <v>Elite</v>
      </c>
      <c r="M538" s="21" t="n">
        <f aca="false">COUNTIFS(Applications!$B$2:$B$3144,A538)</f>
        <v>12</v>
      </c>
      <c r="N538" s="21" t="n">
        <f aca="false">COUNTIFS(Applications!$B$2:$B$3144,A538,Applications!$F$2:$F$3144,"Offered")</f>
        <v>8</v>
      </c>
      <c r="O538" s="21" t="str">
        <f aca="false">IF(COUNTIFS(Applications!$B$2:$B$3144,A538,Applications!$H$2:$H$3144,"Yes")&gt;0,"Yes","No")</f>
        <v>Yes</v>
      </c>
      <c r="P538" s="32" t="n">
        <f aca="false">SUMIFS(Applications!$G$2:$G$3144,Applications!$B$2:$B$3144,A538,Applications!$H$2:$H$3144,"Yes")</f>
        <v>16</v>
      </c>
      <c r="Q538" s="21" t="str">
        <f aca="false">IF(O538="Yes",INDEX(Companies!$B$2:$B$31,MATCH(INDEX(Applications!$C$2:$C$3144,MATCH(A538,Applications!$P$2:$P$3144,0)),Companies!$A$2:$A$31,0)),"-")</f>
        <v>ShopSprint</v>
      </c>
    </row>
    <row r="539" customFormat="false" ht="15" hidden="false" customHeight="false" outlineLevel="0" collapsed="false">
      <c r="A539" s="21" t="s">
        <v>1063</v>
      </c>
      <c r="B539" s="21" t="s">
        <v>709</v>
      </c>
      <c r="C539" s="21" t="s">
        <v>810</v>
      </c>
      <c r="D539" s="21" t="s">
        <v>67</v>
      </c>
      <c r="E539" s="21" t="s">
        <v>90</v>
      </c>
      <c r="F539" s="21" t="n">
        <v>8.28</v>
      </c>
      <c r="G539" s="21" t="n">
        <v>322</v>
      </c>
      <c r="H539" s="21" t="n">
        <v>3</v>
      </c>
      <c r="I539" s="21" t="s">
        <v>113</v>
      </c>
      <c r="J539" s="21" t="n">
        <v>75</v>
      </c>
      <c r="K539" s="32" t="n">
        <f aca="false">ROUND(Assumptions!$B$4*MIN(G539/Assumptions!$B$11,1)*100+Assumptions!$B$5*F539/10*100+Assumptions!$B$6*MIN(H539/Assumptions!$B$12,1)*100+Assumptions!$B$7*J539+Assumptions!$B$8*IF(I539="Yes",100,0),1)</f>
        <v>62.9</v>
      </c>
      <c r="L539" s="21" t="str">
        <f aca="false">LOOKUP(K539,Assumptions!$D$4:$D$7,Assumptions!$E$4:$E$7)</f>
        <v>Developing</v>
      </c>
      <c r="M539" s="21" t="n">
        <f aca="false">COUNTIFS(Applications!$B$2:$B$3144,A539)</f>
        <v>0</v>
      </c>
      <c r="N539" s="21" t="n">
        <f aca="false">COUNTIFS(Applications!$B$2:$B$3144,A539,Applications!$F$2:$F$3144,"Offered")</f>
        <v>0</v>
      </c>
      <c r="O539" s="21" t="str">
        <f aca="false">IF(COUNTIFS(Applications!$B$2:$B$3144,A539,Applications!$H$2:$H$3144,"Yes")&gt;0,"Yes","No")</f>
        <v>No</v>
      </c>
      <c r="P539" s="32" t="n">
        <f aca="false">SUMIFS(Applications!$G$2:$G$3144,Applications!$B$2:$B$3144,A539,Applications!$H$2:$H$3144,"Yes")</f>
        <v>0</v>
      </c>
      <c r="Q539" s="21" t="str">
        <f aca="false">IF(O539="Yes",INDEX(Companies!$B$2:$B$31,MATCH(INDEX(Applications!$C$2:$C$3144,MATCH(A539,Applications!$P$2:$P$3144,0)),Companies!$A$2:$A$31,0)),"-")</f>
        <v>-</v>
      </c>
    </row>
    <row r="540" customFormat="false" ht="15" hidden="false" customHeight="false" outlineLevel="0" collapsed="false">
      <c r="A540" s="21" t="s">
        <v>1064</v>
      </c>
      <c r="B540" s="21" t="s">
        <v>473</v>
      </c>
      <c r="C540" s="21" t="s">
        <v>810</v>
      </c>
      <c r="D540" s="21" t="s">
        <v>64</v>
      </c>
      <c r="E540" s="21" t="s">
        <v>91</v>
      </c>
      <c r="F540" s="21" t="n">
        <v>7.86</v>
      </c>
      <c r="G540" s="21" t="n">
        <v>332</v>
      </c>
      <c r="H540" s="21" t="n">
        <v>5</v>
      </c>
      <c r="I540" s="21" t="s">
        <v>113</v>
      </c>
      <c r="J540" s="21" t="n">
        <v>65</v>
      </c>
      <c r="K540" s="32" t="n">
        <f aca="false">ROUND(Assumptions!$B$4*MIN(G540/Assumptions!$B$11,1)*100+Assumptions!$B$5*F540/10*100+Assumptions!$B$6*MIN(H540/Assumptions!$B$12,1)*100+Assumptions!$B$7*J540+Assumptions!$B$8*IF(I540="Yes",100,0),1)</f>
        <v>68.6</v>
      </c>
      <c r="L540" s="21" t="str">
        <f aca="false">LOOKUP(K540,Assumptions!$D$4:$D$7,Assumptions!$E$4:$E$7)</f>
        <v>Job-Ready</v>
      </c>
      <c r="M540" s="21" t="n">
        <f aca="false">COUNTIFS(Applications!$B$2:$B$3144,A540)</f>
        <v>2</v>
      </c>
      <c r="N540" s="21" t="n">
        <f aca="false">COUNTIFS(Applications!$B$2:$B$3144,A540,Applications!$F$2:$F$3144,"Offered")</f>
        <v>2</v>
      </c>
      <c r="O540" s="21" t="str">
        <f aca="false">IF(COUNTIFS(Applications!$B$2:$B$3144,A540,Applications!$H$2:$H$3144,"Yes")&gt;0,"Yes","No")</f>
        <v>Yes</v>
      </c>
      <c r="P540" s="32" t="n">
        <f aca="false">SUMIFS(Applications!$G$2:$G$3144,Applications!$B$2:$B$3144,A540,Applications!$H$2:$H$3144,"Yes")</f>
        <v>11.1</v>
      </c>
      <c r="Q540" s="21" t="str">
        <f aca="false">IF(O540="Yes",INDEX(Companies!$B$2:$B$31,MATCH(INDEX(Applications!$C$2:$C$3144,MATCH(A540,Applications!$P$2:$P$3144,0)),Companies!$A$2:$A$31,0)),"-")</f>
        <v>CyberNest</v>
      </c>
    </row>
    <row r="541" customFormat="false" ht="15" hidden="false" customHeight="false" outlineLevel="0" collapsed="false">
      <c r="A541" s="21" t="s">
        <v>1065</v>
      </c>
      <c r="B541" s="21" t="s">
        <v>1066</v>
      </c>
      <c r="C541" s="21" t="s">
        <v>810</v>
      </c>
      <c r="D541" s="21" t="s">
        <v>65</v>
      </c>
      <c r="E541" s="21" t="s">
        <v>91</v>
      </c>
      <c r="F541" s="21" t="n">
        <v>8.05</v>
      </c>
      <c r="G541" s="21" t="n">
        <v>183</v>
      </c>
      <c r="H541" s="21" t="n">
        <v>3</v>
      </c>
      <c r="I541" s="21" t="s">
        <v>113</v>
      </c>
      <c r="J541" s="21" t="n">
        <v>57</v>
      </c>
      <c r="K541" s="32" t="n">
        <f aca="false">ROUND(Assumptions!$B$4*MIN(G541/Assumptions!$B$11,1)*100+Assumptions!$B$5*F541/10*100+Assumptions!$B$6*MIN(H541/Assumptions!$B$12,1)*100+Assumptions!$B$7*J541+Assumptions!$B$8*IF(I541="Yes",100,0),1)</f>
        <v>50.5</v>
      </c>
      <c r="L541" s="21" t="str">
        <f aca="false">LOOKUP(K541,Assumptions!$D$4:$D$7,Assumptions!$E$4:$E$7)</f>
        <v>Developing</v>
      </c>
      <c r="M541" s="21" t="n">
        <f aca="false">COUNTIFS(Applications!$B$2:$B$3144,A541)</f>
        <v>6</v>
      </c>
      <c r="N541" s="21" t="n">
        <f aca="false">COUNTIFS(Applications!$B$2:$B$3144,A541,Applications!$F$2:$F$3144,"Offered")</f>
        <v>2</v>
      </c>
      <c r="O541" s="21" t="str">
        <f aca="false">IF(COUNTIFS(Applications!$B$2:$B$3144,A541,Applications!$H$2:$H$3144,"Yes")&gt;0,"Yes","No")</f>
        <v>Yes</v>
      </c>
      <c r="P541" s="32" t="n">
        <f aca="false">SUMIFS(Applications!$G$2:$G$3144,Applications!$B$2:$B$3144,A541,Applications!$H$2:$H$3144,"Yes")</f>
        <v>7.4</v>
      </c>
      <c r="Q541" s="21" t="str">
        <f aca="false">IF(O541="Yes",INDEX(Companies!$B$2:$B$31,MATCH(INDEX(Applications!$C$2:$C$3144,MATCH(A541,Applications!$P$2:$P$3144,0)),Companies!$A$2:$A$31,0)),"-")</f>
        <v>CloudKraft</v>
      </c>
    </row>
    <row r="542" customFormat="false" ht="15" hidden="false" customHeight="false" outlineLevel="0" collapsed="false">
      <c r="A542" s="21" t="s">
        <v>1067</v>
      </c>
      <c r="B542" s="21" t="s">
        <v>1068</v>
      </c>
      <c r="C542" s="21" t="s">
        <v>810</v>
      </c>
      <c r="D542" s="21" t="s">
        <v>67</v>
      </c>
      <c r="E542" s="21" t="s">
        <v>92</v>
      </c>
      <c r="F542" s="21" t="n">
        <v>8.77</v>
      </c>
      <c r="G542" s="21" t="n">
        <v>129</v>
      </c>
      <c r="H542" s="21" t="n">
        <v>3</v>
      </c>
      <c r="I542" s="21" t="s">
        <v>120</v>
      </c>
      <c r="J542" s="21" t="n">
        <v>76</v>
      </c>
      <c r="K542" s="32" t="n">
        <f aca="false">ROUND(Assumptions!$B$4*MIN(G542/Assumptions!$B$11,1)*100+Assumptions!$B$5*F542/10*100+Assumptions!$B$6*MIN(H542/Assumptions!$B$12,1)*100+Assumptions!$B$7*J542+Assumptions!$B$8*IF(I542="Yes",100,0),1)</f>
        <v>62.5</v>
      </c>
      <c r="L542" s="21" t="str">
        <f aca="false">LOOKUP(K542,Assumptions!$D$4:$D$7,Assumptions!$E$4:$E$7)</f>
        <v>Developing</v>
      </c>
      <c r="M542" s="21" t="n">
        <f aca="false">COUNTIFS(Applications!$B$2:$B$3144,A542)</f>
        <v>7</v>
      </c>
      <c r="N542" s="21" t="n">
        <f aca="false">COUNTIFS(Applications!$B$2:$B$3144,A542,Applications!$F$2:$F$3144,"Offered")</f>
        <v>1</v>
      </c>
      <c r="O542" s="21" t="str">
        <f aca="false">IF(COUNTIFS(Applications!$B$2:$B$3144,A542,Applications!$H$2:$H$3144,"Yes")&gt;0,"Yes","No")</f>
        <v>Yes</v>
      </c>
      <c r="P542" s="32" t="n">
        <f aca="false">SUMIFS(Applications!$G$2:$G$3144,Applications!$B$2:$B$3144,A542,Applications!$H$2:$H$3144,"Yes")</f>
        <v>5.5</v>
      </c>
      <c r="Q542" s="21" t="str">
        <f aca="false">IF(O542="Yes",INDEX(Companies!$B$2:$B$31,MATCH(INDEX(Applications!$C$2:$C$3144,MATCH(A542,Applications!$P$2:$P$3144,0)),Companies!$A$2:$A$31,0)),"-")</f>
        <v>AlphaGrid Tech</v>
      </c>
    </row>
    <row r="543" customFormat="false" ht="15" hidden="false" customHeight="false" outlineLevel="0" collapsed="false">
      <c r="A543" s="21" t="s">
        <v>1069</v>
      </c>
      <c r="B543" s="21" t="s">
        <v>392</v>
      </c>
      <c r="C543" s="21" t="s">
        <v>810</v>
      </c>
      <c r="D543" s="21" t="s">
        <v>66</v>
      </c>
      <c r="E543" s="21" t="s">
        <v>91</v>
      </c>
      <c r="F543" s="21" t="n">
        <v>9.02</v>
      </c>
      <c r="G543" s="21" t="n">
        <v>239</v>
      </c>
      <c r="H543" s="21" t="n">
        <v>3</v>
      </c>
      <c r="I543" s="21" t="s">
        <v>113</v>
      </c>
      <c r="J543" s="21" t="n">
        <v>58</v>
      </c>
      <c r="K543" s="32" t="n">
        <f aca="false">ROUND(Assumptions!$B$4*MIN(G543/Assumptions!$B$11,1)*100+Assumptions!$B$5*F543/10*100+Assumptions!$B$6*MIN(H543/Assumptions!$B$12,1)*100+Assumptions!$B$7*J543+Assumptions!$B$8*IF(I543="Yes",100,0),1)</f>
        <v>56</v>
      </c>
      <c r="L543" s="21" t="str">
        <f aca="false">LOOKUP(K543,Assumptions!$D$4:$D$7,Assumptions!$E$4:$E$7)</f>
        <v>Developing</v>
      </c>
      <c r="M543" s="21" t="n">
        <f aca="false">COUNTIFS(Applications!$B$2:$B$3144,A543)</f>
        <v>5</v>
      </c>
      <c r="N543" s="21" t="n">
        <f aca="false">COUNTIFS(Applications!$B$2:$B$3144,A543,Applications!$F$2:$F$3144,"Offered")</f>
        <v>2</v>
      </c>
      <c r="O543" s="21" t="str">
        <f aca="false">IF(COUNTIFS(Applications!$B$2:$B$3144,A543,Applications!$H$2:$H$3144,"Yes")&gt;0,"Yes","No")</f>
        <v>Yes</v>
      </c>
      <c r="P543" s="32" t="n">
        <f aca="false">SUMIFS(Applications!$G$2:$G$3144,Applications!$B$2:$B$3144,A543,Applications!$H$2:$H$3144,"Yes")</f>
        <v>13.2</v>
      </c>
      <c r="Q543" s="21" t="str">
        <f aca="false">IF(O543="Yes",INDEX(Companies!$B$2:$B$31,MATCH(INDEX(Applications!$C$2:$C$3144,MATCH(A543,Applications!$P$2:$P$3144,0)),Companies!$A$2:$A$31,0)),"-")</f>
        <v>CloudKraft</v>
      </c>
    </row>
    <row r="544" customFormat="false" ht="15" hidden="false" customHeight="false" outlineLevel="0" collapsed="false">
      <c r="A544" s="21" t="s">
        <v>1070</v>
      </c>
      <c r="B544" s="21" t="s">
        <v>1071</v>
      </c>
      <c r="C544" s="21" t="s">
        <v>810</v>
      </c>
      <c r="D544" s="21" t="s">
        <v>67</v>
      </c>
      <c r="E544" s="21" t="s">
        <v>92</v>
      </c>
      <c r="F544" s="21" t="n">
        <v>5.93</v>
      </c>
      <c r="G544" s="21" t="n">
        <v>323</v>
      </c>
      <c r="H544" s="21" t="n">
        <v>4</v>
      </c>
      <c r="I544" s="21" t="s">
        <v>113</v>
      </c>
      <c r="J544" s="21" t="n">
        <v>52</v>
      </c>
      <c r="K544" s="32" t="n">
        <f aca="false">ROUND(Assumptions!$B$4*MIN(G544/Assumptions!$B$11,1)*100+Assumptions!$B$5*F544/10*100+Assumptions!$B$6*MIN(H544/Assumptions!$B$12,1)*100+Assumptions!$B$7*J544+Assumptions!$B$8*IF(I544="Yes",100,0),1)</f>
        <v>57.6</v>
      </c>
      <c r="L544" s="21" t="str">
        <f aca="false">LOOKUP(K544,Assumptions!$D$4:$D$7,Assumptions!$E$4:$E$7)</f>
        <v>Developing</v>
      </c>
      <c r="M544" s="21" t="n">
        <f aca="false">COUNTIFS(Applications!$B$2:$B$3144,A544)</f>
        <v>5</v>
      </c>
      <c r="N544" s="21" t="n">
        <f aca="false">COUNTIFS(Applications!$B$2:$B$3144,A544,Applications!$F$2:$F$3144,"Offered")</f>
        <v>1</v>
      </c>
      <c r="O544" s="21" t="str">
        <f aca="false">IF(COUNTIFS(Applications!$B$2:$B$3144,A544,Applications!$H$2:$H$3144,"Yes")&gt;0,"Yes","No")</f>
        <v>Yes</v>
      </c>
      <c r="P544" s="32" t="n">
        <f aca="false">SUMIFS(Applications!$G$2:$G$3144,Applications!$B$2:$B$3144,A544,Applications!$H$2:$H$3144,"Yes")</f>
        <v>6.1</v>
      </c>
      <c r="Q544" s="21" t="str">
        <f aca="false">IF(O544="Yes",INDEX(Companies!$B$2:$B$31,MATCH(INDEX(Applications!$C$2:$C$3144,MATCH(A544,Applications!$P$2:$P$3144,0)),Companies!$A$2:$A$31,0)),"-")</f>
        <v>CodeCrest Solutions</v>
      </c>
    </row>
    <row r="545" customFormat="false" ht="15" hidden="false" customHeight="false" outlineLevel="0" collapsed="false">
      <c r="A545" s="21" t="s">
        <v>1072</v>
      </c>
      <c r="B545" s="21" t="s">
        <v>634</v>
      </c>
      <c r="C545" s="21" t="s">
        <v>810</v>
      </c>
      <c r="D545" s="21" t="s">
        <v>66</v>
      </c>
      <c r="E545" s="21" t="s">
        <v>91</v>
      </c>
      <c r="F545" s="21" t="n">
        <v>7.09</v>
      </c>
      <c r="G545" s="21" t="n">
        <v>228</v>
      </c>
      <c r="H545" s="21" t="n">
        <v>2</v>
      </c>
      <c r="I545" s="21" t="s">
        <v>113</v>
      </c>
      <c r="J545" s="21" t="n">
        <v>55</v>
      </c>
      <c r="K545" s="32" t="n">
        <f aca="false">ROUND(Assumptions!$B$4*MIN(G545/Assumptions!$B$11,1)*100+Assumptions!$B$5*F545/10*100+Assumptions!$B$6*MIN(H545/Assumptions!$B$12,1)*100+Assumptions!$B$7*J545+Assumptions!$B$8*IF(I545="Yes",100,0),1)</f>
        <v>46.9</v>
      </c>
      <c r="L545" s="21" t="str">
        <f aca="false">LOOKUP(K545,Assumptions!$D$4:$D$7,Assumptions!$E$4:$E$7)</f>
        <v>Foundation</v>
      </c>
      <c r="M545" s="21" t="n">
        <f aca="false">COUNTIFS(Applications!$B$2:$B$3144,A545)</f>
        <v>2</v>
      </c>
      <c r="N545" s="21" t="n">
        <f aca="false">COUNTIFS(Applications!$B$2:$B$3144,A545,Applications!$F$2:$F$3144,"Offered")</f>
        <v>0</v>
      </c>
      <c r="O545" s="21" t="str">
        <f aca="false">IF(COUNTIFS(Applications!$B$2:$B$3144,A545,Applications!$H$2:$H$3144,"Yes")&gt;0,"Yes","No")</f>
        <v>No</v>
      </c>
      <c r="P545" s="32" t="n">
        <f aca="false">SUMIFS(Applications!$G$2:$G$3144,Applications!$B$2:$B$3144,A545,Applications!$H$2:$H$3144,"Yes")</f>
        <v>0</v>
      </c>
      <c r="Q545" s="21" t="str">
        <f aca="false">IF(O545="Yes",INDEX(Companies!$B$2:$B$31,MATCH(INDEX(Applications!$C$2:$C$3144,MATCH(A545,Applications!$P$2:$P$3144,0)),Companies!$A$2:$A$31,0)),"-")</f>
        <v>-</v>
      </c>
    </row>
    <row r="546" customFormat="false" ht="15" hidden="false" customHeight="false" outlineLevel="0" collapsed="false">
      <c r="A546" s="21" t="s">
        <v>1073</v>
      </c>
      <c r="B546" s="21" t="s">
        <v>689</v>
      </c>
      <c r="C546" s="21" t="s">
        <v>810</v>
      </c>
      <c r="D546" s="21" t="s">
        <v>67</v>
      </c>
      <c r="E546" s="21" t="s">
        <v>92</v>
      </c>
      <c r="F546" s="21" t="n">
        <v>7.17</v>
      </c>
      <c r="G546" s="21" t="n">
        <v>387</v>
      </c>
      <c r="H546" s="21" t="n">
        <v>4</v>
      </c>
      <c r="I546" s="21" t="s">
        <v>113</v>
      </c>
      <c r="J546" s="21" t="n">
        <v>53</v>
      </c>
      <c r="K546" s="32" t="n">
        <f aca="false">ROUND(Assumptions!$B$4*MIN(G546/Assumptions!$B$11,1)*100+Assumptions!$B$5*F546/10*100+Assumptions!$B$6*MIN(H546/Assumptions!$B$12,1)*100+Assumptions!$B$7*J546+Assumptions!$B$8*IF(I546="Yes",100,0),1)</f>
        <v>64.2</v>
      </c>
      <c r="L546" s="21" t="str">
        <f aca="false">LOOKUP(K546,Assumptions!$D$4:$D$7,Assumptions!$E$4:$E$7)</f>
        <v>Developing</v>
      </c>
      <c r="M546" s="21" t="n">
        <f aca="false">COUNTIFS(Applications!$B$2:$B$3144,A546)</f>
        <v>8</v>
      </c>
      <c r="N546" s="21" t="n">
        <f aca="false">COUNTIFS(Applications!$B$2:$B$3144,A546,Applications!$F$2:$F$3144,"Offered")</f>
        <v>1</v>
      </c>
      <c r="O546" s="21" t="str">
        <f aca="false">IF(COUNTIFS(Applications!$B$2:$B$3144,A546,Applications!$H$2:$H$3144,"Yes")&gt;0,"Yes","No")</f>
        <v>Yes</v>
      </c>
      <c r="P546" s="32" t="n">
        <f aca="false">SUMIFS(Applications!$G$2:$G$3144,Applications!$B$2:$B$3144,A546,Applications!$H$2:$H$3144,"Yes")</f>
        <v>6.5</v>
      </c>
      <c r="Q546" s="21" t="str">
        <f aca="false">IF(O546="Yes",INDEX(Companies!$B$2:$B$31,MATCH(INDEX(Applications!$C$2:$C$3144,MATCH(A546,Applications!$P$2:$P$3144,0)),Companies!$A$2:$A$31,0)),"-")</f>
        <v>RetailRocket</v>
      </c>
    </row>
    <row r="547" customFormat="false" ht="15" hidden="false" customHeight="false" outlineLevel="0" collapsed="false">
      <c r="A547" s="21" t="s">
        <v>1074</v>
      </c>
      <c r="B547" s="21" t="s">
        <v>1075</v>
      </c>
      <c r="C547" s="21" t="s">
        <v>810</v>
      </c>
      <c r="D547" s="21" t="s">
        <v>64</v>
      </c>
      <c r="E547" s="21" t="s">
        <v>91</v>
      </c>
      <c r="F547" s="21" t="n">
        <v>6.59</v>
      </c>
      <c r="G547" s="21" t="n">
        <v>866</v>
      </c>
      <c r="H547" s="21" t="n">
        <v>4</v>
      </c>
      <c r="I547" s="21" t="s">
        <v>113</v>
      </c>
      <c r="J547" s="21" t="n">
        <v>61</v>
      </c>
      <c r="K547" s="32" t="n">
        <f aca="false">ROUND(Assumptions!$B$4*MIN(G547/Assumptions!$B$11,1)*100+Assumptions!$B$5*F547/10*100+Assumptions!$B$6*MIN(H547/Assumptions!$B$12,1)*100+Assumptions!$B$7*J547+Assumptions!$B$8*IF(I547="Yes",100,0),1)</f>
        <v>71.4</v>
      </c>
      <c r="L547" s="21" t="str">
        <f aca="false">LOOKUP(K547,Assumptions!$D$4:$D$7,Assumptions!$E$4:$E$7)</f>
        <v>Job-Ready</v>
      </c>
      <c r="M547" s="21" t="n">
        <f aca="false">COUNTIFS(Applications!$B$2:$B$3144,A547)</f>
        <v>9</v>
      </c>
      <c r="N547" s="21" t="n">
        <f aca="false">COUNTIFS(Applications!$B$2:$B$3144,A547,Applications!$F$2:$F$3144,"Offered")</f>
        <v>2</v>
      </c>
      <c r="O547" s="21" t="str">
        <f aca="false">IF(COUNTIFS(Applications!$B$2:$B$3144,A547,Applications!$H$2:$H$3144,"Yes")&gt;0,"Yes","No")</f>
        <v>Yes</v>
      </c>
      <c r="P547" s="32" t="n">
        <f aca="false">SUMIFS(Applications!$G$2:$G$3144,Applications!$B$2:$B$3144,A547,Applications!$H$2:$H$3144,"Yes")</f>
        <v>10.7</v>
      </c>
      <c r="Q547" s="21" t="str">
        <f aca="false">IF(O547="Yes",INDEX(Companies!$B$2:$B$31,MATCH(INDEX(Applications!$C$2:$C$3144,MATCH(A547,Applications!$P$2:$P$3144,0)),Companies!$A$2:$A$31,0)),"-")</f>
        <v>ShopSprint</v>
      </c>
    </row>
    <row r="548" customFormat="false" ht="15" hidden="false" customHeight="false" outlineLevel="0" collapsed="false">
      <c r="A548" s="21" t="s">
        <v>1076</v>
      </c>
      <c r="B548" s="21" t="s">
        <v>1077</v>
      </c>
      <c r="C548" s="21" t="s">
        <v>810</v>
      </c>
      <c r="D548" s="21" t="s">
        <v>66</v>
      </c>
      <c r="E548" s="21" t="s">
        <v>91</v>
      </c>
      <c r="F548" s="21" t="n">
        <v>6.53</v>
      </c>
      <c r="G548" s="21" t="n">
        <v>230</v>
      </c>
      <c r="H548" s="21" t="n">
        <v>2</v>
      </c>
      <c r="I548" s="21" t="s">
        <v>113</v>
      </c>
      <c r="J548" s="21" t="n">
        <v>77</v>
      </c>
      <c r="K548" s="32" t="n">
        <f aca="false">ROUND(Assumptions!$B$4*MIN(G548/Assumptions!$B$11,1)*100+Assumptions!$B$5*F548/10*100+Assumptions!$B$6*MIN(H548/Assumptions!$B$12,1)*100+Assumptions!$B$7*J548+Assumptions!$B$8*IF(I548="Yes",100,0),1)</f>
        <v>50.3</v>
      </c>
      <c r="L548" s="21" t="str">
        <f aca="false">LOOKUP(K548,Assumptions!$D$4:$D$7,Assumptions!$E$4:$E$7)</f>
        <v>Developing</v>
      </c>
      <c r="M548" s="21" t="n">
        <f aca="false">COUNTIFS(Applications!$B$2:$B$3144,A548)</f>
        <v>3</v>
      </c>
      <c r="N548" s="21" t="n">
        <f aca="false">COUNTIFS(Applications!$B$2:$B$3144,A548,Applications!$F$2:$F$3144,"Offered")</f>
        <v>0</v>
      </c>
      <c r="O548" s="21" t="str">
        <f aca="false">IF(COUNTIFS(Applications!$B$2:$B$3144,A548,Applications!$H$2:$H$3144,"Yes")&gt;0,"Yes","No")</f>
        <v>No</v>
      </c>
      <c r="P548" s="32" t="n">
        <f aca="false">SUMIFS(Applications!$G$2:$G$3144,Applications!$B$2:$B$3144,A548,Applications!$H$2:$H$3144,"Yes")</f>
        <v>0</v>
      </c>
      <c r="Q548" s="21" t="str">
        <f aca="false">IF(O548="Yes",INDEX(Companies!$B$2:$B$31,MATCH(INDEX(Applications!$C$2:$C$3144,MATCH(A548,Applications!$P$2:$P$3144,0)),Companies!$A$2:$A$31,0)),"-")</f>
        <v>-</v>
      </c>
    </row>
    <row r="549" customFormat="false" ht="15" hidden="false" customHeight="false" outlineLevel="0" collapsed="false">
      <c r="A549" s="21" t="s">
        <v>1078</v>
      </c>
      <c r="B549" s="21" t="s">
        <v>1079</v>
      </c>
      <c r="C549" s="21" t="s">
        <v>810</v>
      </c>
      <c r="D549" s="21" t="s">
        <v>64</v>
      </c>
      <c r="E549" s="21" t="s">
        <v>92</v>
      </c>
      <c r="F549" s="21" t="n">
        <v>8.78</v>
      </c>
      <c r="G549" s="21" t="n">
        <v>581</v>
      </c>
      <c r="H549" s="21" t="n">
        <v>4</v>
      </c>
      <c r="I549" s="21" t="s">
        <v>120</v>
      </c>
      <c r="J549" s="21" t="n">
        <v>56</v>
      </c>
      <c r="K549" s="32" t="n">
        <f aca="false">ROUND(Assumptions!$B$4*MIN(G549/Assumptions!$B$11,1)*100+Assumptions!$B$5*F549/10*100+Assumptions!$B$6*MIN(H549/Assumptions!$B$12,1)*100+Assumptions!$B$7*J549+Assumptions!$B$8*IF(I549="Yes",100,0),1)</f>
        <v>84.8</v>
      </c>
      <c r="L549" s="21" t="str">
        <f aca="false">LOOKUP(K549,Assumptions!$D$4:$D$7,Assumptions!$E$4:$E$7)</f>
        <v>Elite</v>
      </c>
      <c r="M549" s="21" t="n">
        <f aca="false">COUNTIFS(Applications!$B$2:$B$3144,A549)</f>
        <v>10</v>
      </c>
      <c r="N549" s="21" t="n">
        <f aca="false">COUNTIFS(Applications!$B$2:$B$3144,A549,Applications!$F$2:$F$3144,"Offered")</f>
        <v>7</v>
      </c>
      <c r="O549" s="21" t="str">
        <f aca="false">IF(COUNTIFS(Applications!$B$2:$B$3144,A549,Applications!$H$2:$H$3144,"Yes")&gt;0,"Yes","No")</f>
        <v>Yes</v>
      </c>
      <c r="P549" s="32" t="n">
        <f aca="false">SUMIFS(Applications!$G$2:$G$3144,Applications!$B$2:$B$3144,A549,Applications!$H$2:$H$3144,"Yes")</f>
        <v>28.6</v>
      </c>
      <c r="Q549" s="21" t="str">
        <f aca="false">IF(O549="Yes",INDEX(Companies!$B$2:$B$31,MATCH(INDEX(Applications!$C$2:$C$3144,MATCH(A549,Applications!$P$2:$P$3144,0)),Companies!$A$2:$A$31,0)),"-")</f>
        <v>Orbitly</v>
      </c>
    </row>
    <row r="550" customFormat="false" ht="15" hidden="false" customHeight="false" outlineLevel="0" collapsed="false">
      <c r="A550" s="21" t="s">
        <v>1080</v>
      </c>
      <c r="B550" s="21" t="s">
        <v>1081</v>
      </c>
      <c r="C550" s="21" t="s">
        <v>810</v>
      </c>
      <c r="D550" s="21" t="s">
        <v>64</v>
      </c>
      <c r="E550" s="21" t="s">
        <v>91</v>
      </c>
      <c r="F550" s="21" t="n">
        <v>7.34</v>
      </c>
      <c r="G550" s="21" t="n">
        <v>400</v>
      </c>
      <c r="H550" s="21" t="n">
        <v>4</v>
      </c>
      <c r="I550" s="21" t="s">
        <v>120</v>
      </c>
      <c r="J550" s="21" t="n">
        <v>53</v>
      </c>
      <c r="K550" s="32" t="n">
        <f aca="false">ROUND(Assumptions!$B$4*MIN(G550/Assumptions!$B$11,1)*100+Assumptions!$B$5*F550/10*100+Assumptions!$B$6*MIN(H550/Assumptions!$B$12,1)*100+Assumptions!$B$7*J550+Assumptions!$B$8*IF(I550="Yes",100,0),1)</f>
        <v>75.3</v>
      </c>
      <c r="L550" s="21" t="str">
        <f aca="false">LOOKUP(K550,Assumptions!$D$4:$D$7,Assumptions!$E$4:$E$7)</f>
        <v>Job-Ready</v>
      </c>
      <c r="M550" s="21" t="n">
        <f aca="false">COUNTIFS(Applications!$B$2:$B$3144,A550)</f>
        <v>7</v>
      </c>
      <c r="N550" s="21" t="n">
        <f aca="false">COUNTIFS(Applications!$B$2:$B$3144,A550,Applications!$F$2:$F$3144,"Offered")</f>
        <v>5</v>
      </c>
      <c r="O550" s="21" t="str">
        <f aca="false">IF(COUNTIFS(Applications!$B$2:$B$3144,A550,Applications!$H$2:$H$3144,"Yes")&gt;0,"Yes","No")</f>
        <v>Yes</v>
      </c>
      <c r="P550" s="32" t="n">
        <f aca="false">SUMIFS(Applications!$G$2:$G$3144,Applications!$B$2:$B$3144,A550,Applications!$H$2:$H$3144,"Yes")</f>
        <v>14.5</v>
      </c>
      <c r="Q550" s="21" t="str">
        <f aca="false">IF(O550="Yes",INDEX(Companies!$B$2:$B$31,MATCH(INDEX(Applications!$C$2:$C$3144,MATCH(A550,Applications!$P$2:$P$3144,0)),Companies!$A$2:$A$31,0)),"-")</f>
        <v>CyberNest</v>
      </c>
    </row>
    <row r="551" customFormat="false" ht="15" hidden="false" customHeight="false" outlineLevel="0" collapsed="false">
      <c r="A551" s="21" t="s">
        <v>1082</v>
      </c>
      <c r="B551" s="21" t="s">
        <v>477</v>
      </c>
      <c r="C551" s="21" t="s">
        <v>810</v>
      </c>
      <c r="D551" s="21" t="s">
        <v>65</v>
      </c>
      <c r="E551" s="21" t="s">
        <v>91</v>
      </c>
      <c r="F551" s="21" t="n">
        <v>6.63</v>
      </c>
      <c r="G551" s="21" t="n">
        <v>59</v>
      </c>
      <c r="H551" s="21" t="n">
        <v>3</v>
      </c>
      <c r="I551" s="21" t="s">
        <v>113</v>
      </c>
      <c r="J551" s="21" t="n">
        <v>56</v>
      </c>
      <c r="K551" s="32" t="n">
        <f aca="false">ROUND(Assumptions!$B$4*MIN(G551/Assumptions!$B$11,1)*100+Assumptions!$B$5*F551/10*100+Assumptions!$B$6*MIN(H551/Assumptions!$B$12,1)*100+Assumptions!$B$7*J551+Assumptions!$B$8*IF(I551="Yes",100,0),1)</f>
        <v>40</v>
      </c>
      <c r="L551" s="21" t="str">
        <f aca="false">LOOKUP(K551,Assumptions!$D$4:$D$7,Assumptions!$E$4:$E$7)</f>
        <v>Foundation</v>
      </c>
      <c r="M551" s="21" t="n">
        <f aca="false">COUNTIFS(Applications!$B$2:$B$3144,A551)</f>
        <v>7</v>
      </c>
      <c r="N551" s="21" t="n">
        <f aca="false">COUNTIFS(Applications!$B$2:$B$3144,A551,Applications!$F$2:$F$3144,"Offered")</f>
        <v>0</v>
      </c>
      <c r="O551" s="21" t="str">
        <f aca="false">IF(COUNTIFS(Applications!$B$2:$B$3144,A551,Applications!$H$2:$H$3144,"Yes")&gt;0,"Yes","No")</f>
        <v>No</v>
      </c>
      <c r="P551" s="32" t="n">
        <f aca="false">SUMIFS(Applications!$G$2:$G$3144,Applications!$B$2:$B$3144,A551,Applications!$H$2:$H$3144,"Yes")</f>
        <v>0</v>
      </c>
      <c r="Q551" s="21" t="str">
        <f aca="false">IF(O551="Yes",INDEX(Companies!$B$2:$B$31,MATCH(INDEX(Applications!$C$2:$C$3144,MATCH(A551,Applications!$P$2:$P$3144,0)),Companies!$A$2:$A$31,0)),"-")</f>
        <v>-</v>
      </c>
    </row>
    <row r="552" customFormat="false" ht="15" hidden="false" customHeight="false" outlineLevel="0" collapsed="false">
      <c r="A552" s="21" t="s">
        <v>1083</v>
      </c>
      <c r="B552" s="21" t="s">
        <v>1084</v>
      </c>
      <c r="C552" s="21" t="s">
        <v>810</v>
      </c>
      <c r="D552" s="21" t="s">
        <v>67</v>
      </c>
      <c r="E552" s="21" t="s">
        <v>91</v>
      </c>
      <c r="F552" s="21" t="n">
        <v>9.27</v>
      </c>
      <c r="G552" s="21" t="n">
        <v>743</v>
      </c>
      <c r="H552" s="21" t="n">
        <v>3</v>
      </c>
      <c r="I552" s="21" t="s">
        <v>120</v>
      </c>
      <c r="J552" s="21" t="n">
        <v>60</v>
      </c>
      <c r="K552" s="32" t="n">
        <f aca="false">ROUND(Assumptions!$B$4*MIN(G552/Assumptions!$B$11,1)*100+Assumptions!$B$5*F552/10*100+Assumptions!$B$6*MIN(H552/Assumptions!$B$12,1)*100+Assumptions!$B$7*J552+Assumptions!$B$8*IF(I552="Yes",100,0),1)</f>
        <v>82.5</v>
      </c>
      <c r="L552" s="21" t="str">
        <f aca="false">LOOKUP(K552,Assumptions!$D$4:$D$7,Assumptions!$E$4:$E$7)</f>
        <v>Elite</v>
      </c>
      <c r="M552" s="21" t="n">
        <f aca="false">COUNTIFS(Applications!$B$2:$B$3144,A552)</f>
        <v>7</v>
      </c>
      <c r="N552" s="21" t="n">
        <f aca="false">COUNTIFS(Applications!$B$2:$B$3144,A552,Applications!$F$2:$F$3144,"Offered")</f>
        <v>3</v>
      </c>
      <c r="O552" s="21" t="str">
        <f aca="false">IF(COUNTIFS(Applications!$B$2:$B$3144,A552,Applications!$H$2:$H$3144,"Yes")&gt;0,"Yes","No")</f>
        <v>Yes</v>
      </c>
      <c r="P552" s="32" t="n">
        <f aca="false">SUMIFS(Applications!$G$2:$G$3144,Applications!$B$2:$B$3144,A552,Applications!$H$2:$H$3144,"Yes")</f>
        <v>11.6</v>
      </c>
      <c r="Q552" s="21" t="str">
        <f aca="false">IF(O552="Yes",INDEX(Companies!$B$2:$B$31,MATCH(INDEX(Applications!$C$2:$C$3144,MATCH(A552,Applications!$P$2:$P$3144,0)),Companies!$A$2:$A$31,0)),"-")</f>
        <v>MediSphere</v>
      </c>
    </row>
    <row r="553" customFormat="false" ht="15" hidden="false" customHeight="false" outlineLevel="0" collapsed="false">
      <c r="A553" s="21" t="s">
        <v>1085</v>
      </c>
      <c r="B553" s="21" t="s">
        <v>803</v>
      </c>
      <c r="C553" s="21" t="s">
        <v>810</v>
      </c>
      <c r="D553" s="21" t="s">
        <v>63</v>
      </c>
      <c r="E553" s="21" t="s">
        <v>92</v>
      </c>
      <c r="F553" s="21" t="n">
        <v>6.43</v>
      </c>
      <c r="G553" s="21" t="n">
        <v>79</v>
      </c>
      <c r="H553" s="21" t="n">
        <v>2</v>
      </c>
      <c r="I553" s="21" t="s">
        <v>113</v>
      </c>
      <c r="J553" s="21" t="n">
        <v>69</v>
      </c>
      <c r="K553" s="32" t="n">
        <f aca="false">ROUND(Assumptions!$B$4*MIN(G553/Assumptions!$B$11,1)*100+Assumptions!$B$5*F553/10*100+Assumptions!$B$6*MIN(H553/Assumptions!$B$12,1)*100+Assumptions!$B$7*J553+Assumptions!$B$8*IF(I553="Yes",100,0),1)</f>
        <v>39.4</v>
      </c>
      <c r="L553" s="21" t="str">
        <f aca="false">LOOKUP(K553,Assumptions!$D$4:$D$7,Assumptions!$E$4:$E$7)</f>
        <v>Foundation</v>
      </c>
      <c r="M553" s="21" t="n">
        <f aca="false">COUNTIFS(Applications!$B$2:$B$3144,A553)</f>
        <v>4</v>
      </c>
      <c r="N553" s="21" t="n">
        <f aca="false">COUNTIFS(Applications!$B$2:$B$3144,A553,Applications!$F$2:$F$3144,"Offered")</f>
        <v>0</v>
      </c>
      <c r="O553" s="21" t="str">
        <f aca="false">IF(COUNTIFS(Applications!$B$2:$B$3144,A553,Applications!$H$2:$H$3144,"Yes")&gt;0,"Yes","No")</f>
        <v>No</v>
      </c>
      <c r="P553" s="32" t="n">
        <f aca="false">SUMIFS(Applications!$G$2:$G$3144,Applications!$B$2:$B$3144,A553,Applications!$H$2:$H$3144,"Yes")</f>
        <v>0</v>
      </c>
      <c r="Q553" s="21" t="str">
        <f aca="false">IF(O553="Yes",INDEX(Companies!$B$2:$B$31,MATCH(INDEX(Applications!$C$2:$C$3144,MATCH(A553,Applications!$P$2:$P$3144,0)),Companies!$A$2:$A$31,0)),"-")</f>
        <v>-</v>
      </c>
    </row>
    <row r="554" customFormat="false" ht="15" hidden="false" customHeight="false" outlineLevel="0" collapsed="false">
      <c r="A554" s="21" t="s">
        <v>1086</v>
      </c>
      <c r="B554" s="21" t="s">
        <v>1087</v>
      </c>
      <c r="C554" s="21" t="s">
        <v>810</v>
      </c>
      <c r="D554" s="21" t="s">
        <v>63</v>
      </c>
      <c r="E554" s="21" t="s">
        <v>91</v>
      </c>
      <c r="F554" s="21" t="n">
        <v>6.25</v>
      </c>
      <c r="G554" s="21" t="n">
        <v>177</v>
      </c>
      <c r="H554" s="21" t="n">
        <v>2</v>
      </c>
      <c r="I554" s="21" t="s">
        <v>120</v>
      </c>
      <c r="J554" s="21" t="n">
        <v>87</v>
      </c>
      <c r="K554" s="32" t="n">
        <f aca="false">ROUND(Assumptions!$B$4*MIN(G554/Assumptions!$B$11,1)*100+Assumptions!$B$5*F554/10*100+Assumptions!$B$6*MIN(H554/Assumptions!$B$12,1)*100+Assumptions!$B$7*J554+Assumptions!$B$8*IF(I554="Yes",100,0),1)</f>
        <v>58.5</v>
      </c>
      <c r="L554" s="21" t="str">
        <f aca="false">LOOKUP(K554,Assumptions!$D$4:$D$7,Assumptions!$E$4:$E$7)</f>
        <v>Developing</v>
      </c>
      <c r="M554" s="21" t="n">
        <f aca="false">COUNTIFS(Applications!$B$2:$B$3144,A554)</f>
        <v>6</v>
      </c>
      <c r="N554" s="21" t="n">
        <f aca="false">COUNTIFS(Applications!$B$2:$B$3144,A554,Applications!$F$2:$F$3144,"Offered")</f>
        <v>0</v>
      </c>
      <c r="O554" s="21" t="str">
        <f aca="false">IF(COUNTIFS(Applications!$B$2:$B$3144,A554,Applications!$H$2:$H$3144,"Yes")&gt;0,"Yes","No")</f>
        <v>No</v>
      </c>
      <c r="P554" s="32" t="n">
        <f aca="false">SUMIFS(Applications!$G$2:$G$3144,Applications!$B$2:$B$3144,A554,Applications!$H$2:$H$3144,"Yes")</f>
        <v>0</v>
      </c>
      <c r="Q554" s="21" t="str">
        <f aca="false">IF(O554="Yes",INDEX(Companies!$B$2:$B$31,MATCH(INDEX(Applications!$C$2:$C$3144,MATCH(A554,Applications!$P$2:$P$3144,0)),Companies!$A$2:$A$31,0)),"-")</f>
        <v>-</v>
      </c>
    </row>
    <row r="555" customFormat="false" ht="15" hidden="false" customHeight="false" outlineLevel="0" collapsed="false">
      <c r="A555" s="21" t="s">
        <v>1088</v>
      </c>
      <c r="B555" s="21" t="s">
        <v>510</v>
      </c>
      <c r="C555" s="21" t="s">
        <v>810</v>
      </c>
      <c r="D555" s="21" t="s">
        <v>67</v>
      </c>
      <c r="E555" s="21" t="s">
        <v>90</v>
      </c>
      <c r="F555" s="21" t="n">
        <v>8.06</v>
      </c>
      <c r="G555" s="21" t="n">
        <v>195</v>
      </c>
      <c r="H555" s="21" t="n">
        <v>1</v>
      </c>
      <c r="I555" s="21" t="s">
        <v>113</v>
      </c>
      <c r="J555" s="21" t="n">
        <v>75</v>
      </c>
      <c r="K555" s="32" t="n">
        <f aca="false">ROUND(Assumptions!$B$4*MIN(G555/Assumptions!$B$11,1)*100+Assumptions!$B$5*F555/10*100+Assumptions!$B$6*MIN(H555/Assumptions!$B$12,1)*100+Assumptions!$B$7*J555+Assumptions!$B$8*IF(I555="Yes",100,0),1)</f>
        <v>46.8</v>
      </c>
      <c r="L555" s="21" t="str">
        <f aca="false">LOOKUP(K555,Assumptions!$D$4:$D$7,Assumptions!$E$4:$E$7)</f>
        <v>Foundation</v>
      </c>
      <c r="M555" s="21" t="n">
        <f aca="false">COUNTIFS(Applications!$B$2:$B$3144,A555)</f>
        <v>4</v>
      </c>
      <c r="N555" s="21" t="n">
        <f aca="false">COUNTIFS(Applications!$B$2:$B$3144,A555,Applications!$F$2:$F$3144,"Offered")</f>
        <v>1</v>
      </c>
      <c r="O555" s="21" t="str">
        <f aca="false">IF(COUNTIFS(Applications!$B$2:$B$3144,A555,Applications!$H$2:$H$3144,"Yes")&gt;0,"Yes","No")</f>
        <v>Yes</v>
      </c>
      <c r="P555" s="32" t="n">
        <f aca="false">SUMIFS(Applications!$G$2:$G$3144,Applications!$B$2:$B$3144,A555,Applications!$H$2:$H$3144,"Yes")</f>
        <v>6.5</v>
      </c>
      <c r="Q555" s="21" t="str">
        <f aca="false">IF(O555="Yes",INDEX(Companies!$B$2:$B$31,MATCH(INDEX(Applications!$C$2:$C$3144,MATCH(A555,Applications!$P$2:$P$3144,0)),Companies!$A$2:$A$31,0)),"-")</f>
        <v>CloudKraft</v>
      </c>
    </row>
    <row r="556" customFormat="false" ht="15" hidden="false" customHeight="false" outlineLevel="0" collapsed="false">
      <c r="A556" s="21" t="s">
        <v>1089</v>
      </c>
      <c r="B556" s="21" t="s">
        <v>1090</v>
      </c>
      <c r="C556" s="21" t="s">
        <v>810</v>
      </c>
      <c r="D556" s="21" t="s">
        <v>64</v>
      </c>
      <c r="E556" s="21" t="s">
        <v>91</v>
      </c>
      <c r="F556" s="21" t="n">
        <v>8.95</v>
      </c>
      <c r="G556" s="21" t="n">
        <v>265</v>
      </c>
      <c r="H556" s="21" t="n">
        <v>0</v>
      </c>
      <c r="I556" s="21" t="s">
        <v>120</v>
      </c>
      <c r="J556" s="21" t="n">
        <v>73</v>
      </c>
      <c r="K556" s="32" t="n">
        <f aca="false">ROUND(Assumptions!$B$4*MIN(G556/Assumptions!$B$11,1)*100+Assumptions!$B$5*F556/10*100+Assumptions!$B$6*MIN(H556/Assumptions!$B$12,1)*100+Assumptions!$B$7*J556+Assumptions!$B$8*IF(I556="Yes",100,0),1)</f>
        <v>58.4</v>
      </c>
      <c r="L556" s="21" t="str">
        <f aca="false">LOOKUP(K556,Assumptions!$D$4:$D$7,Assumptions!$E$4:$E$7)</f>
        <v>Developing</v>
      </c>
      <c r="M556" s="21" t="n">
        <f aca="false">COUNTIFS(Applications!$B$2:$B$3144,A556)</f>
        <v>5</v>
      </c>
      <c r="N556" s="21" t="n">
        <f aca="false">COUNTIFS(Applications!$B$2:$B$3144,A556,Applications!$F$2:$F$3144,"Offered")</f>
        <v>1</v>
      </c>
      <c r="O556" s="21" t="str">
        <f aca="false">IF(COUNTIFS(Applications!$B$2:$B$3144,A556,Applications!$H$2:$H$3144,"Yes")&gt;0,"Yes","No")</f>
        <v>Yes</v>
      </c>
      <c r="P556" s="32" t="n">
        <f aca="false">SUMIFS(Applications!$G$2:$G$3144,Applications!$B$2:$B$3144,A556,Applications!$H$2:$H$3144,"Yes")</f>
        <v>10.2</v>
      </c>
      <c r="Q556" s="21" t="str">
        <f aca="false">IF(O556="Yes",INDEX(Companies!$B$2:$B$31,MATCH(INDEX(Applications!$C$2:$C$3144,MATCH(A556,Applications!$P$2:$P$3144,0)),Companies!$A$2:$A$31,0)),"-")</f>
        <v>VitalByte</v>
      </c>
    </row>
    <row r="557" customFormat="false" ht="15" hidden="false" customHeight="false" outlineLevel="0" collapsed="false">
      <c r="A557" s="21" t="s">
        <v>1091</v>
      </c>
      <c r="B557" s="21" t="s">
        <v>789</v>
      </c>
      <c r="C557" s="21" t="s">
        <v>810</v>
      </c>
      <c r="D557" s="21" t="s">
        <v>67</v>
      </c>
      <c r="E557" s="21" t="s">
        <v>91</v>
      </c>
      <c r="F557" s="21" t="n">
        <v>7.67</v>
      </c>
      <c r="G557" s="21" t="n">
        <v>165</v>
      </c>
      <c r="H557" s="21" t="n">
        <v>5</v>
      </c>
      <c r="I557" s="21" t="s">
        <v>120</v>
      </c>
      <c r="J557" s="21" t="n">
        <v>53</v>
      </c>
      <c r="K557" s="32" t="n">
        <f aca="false">ROUND(Assumptions!$B$4*MIN(G557/Assumptions!$B$11,1)*100+Assumptions!$B$5*F557/10*100+Assumptions!$B$6*MIN(H557/Assumptions!$B$12,1)*100+Assumptions!$B$7*J557+Assumptions!$B$8*IF(I557="Yes",100,0),1)</f>
        <v>65.8</v>
      </c>
      <c r="L557" s="21" t="str">
        <f aca="false">LOOKUP(K557,Assumptions!$D$4:$D$7,Assumptions!$E$4:$E$7)</f>
        <v>Job-Ready</v>
      </c>
      <c r="M557" s="21" t="n">
        <f aca="false">COUNTIFS(Applications!$B$2:$B$3144,A557)</f>
        <v>5</v>
      </c>
      <c r="N557" s="21" t="n">
        <f aca="false">COUNTIFS(Applications!$B$2:$B$3144,A557,Applications!$F$2:$F$3144,"Offered")</f>
        <v>0</v>
      </c>
      <c r="O557" s="21" t="str">
        <f aca="false">IF(COUNTIFS(Applications!$B$2:$B$3144,A557,Applications!$H$2:$H$3144,"Yes")&gt;0,"Yes","No")</f>
        <v>No</v>
      </c>
      <c r="P557" s="32" t="n">
        <f aca="false">SUMIFS(Applications!$G$2:$G$3144,Applications!$B$2:$B$3144,A557,Applications!$H$2:$H$3144,"Yes")</f>
        <v>0</v>
      </c>
      <c r="Q557" s="21" t="str">
        <f aca="false">IF(O557="Yes",INDEX(Companies!$B$2:$B$31,MATCH(INDEX(Applications!$C$2:$C$3144,MATCH(A557,Applications!$P$2:$P$3144,0)),Companies!$A$2:$A$31,0)),"-")</f>
        <v>-</v>
      </c>
    </row>
    <row r="558" customFormat="false" ht="15" hidden="false" customHeight="false" outlineLevel="0" collapsed="false">
      <c r="A558" s="21" t="s">
        <v>1092</v>
      </c>
      <c r="B558" s="21" t="s">
        <v>284</v>
      </c>
      <c r="C558" s="21" t="s">
        <v>810</v>
      </c>
      <c r="D558" s="21" t="s">
        <v>67</v>
      </c>
      <c r="E558" s="21" t="s">
        <v>90</v>
      </c>
      <c r="F558" s="21" t="n">
        <v>8.5</v>
      </c>
      <c r="G558" s="21" t="n">
        <v>229</v>
      </c>
      <c r="H558" s="21" t="n">
        <v>5</v>
      </c>
      <c r="I558" s="21" t="s">
        <v>113</v>
      </c>
      <c r="J558" s="21" t="n">
        <v>86</v>
      </c>
      <c r="K558" s="32" t="n">
        <f aca="false">ROUND(Assumptions!$B$4*MIN(G558/Assumptions!$B$11,1)*100+Assumptions!$B$5*F558/10*100+Assumptions!$B$6*MIN(H558/Assumptions!$B$12,1)*100+Assumptions!$B$7*J558+Assumptions!$B$8*IF(I558="Yes",100,0),1)</f>
        <v>67.9</v>
      </c>
      <c r="L558" s="21" t="str">
        <f aca="false">LOOKUP(K558,Assumptions!$D$4:$D$7,Assumptions!$E$4:$E$7)</f>
        <v>Job-Ready</v>
      </c>
      <c r="M558" s="21" t="n">
        <f aca="false">COUNTIFS(Applications!$B$2:$B$3144,A558)</f>
        <v>7</v>
      </c>
      <c r="N558" s="21" t="n">
        <f aca="false">COUNTIFS(Applications!$B$2:$B$3144,A558,Applications!$F$2:$F$3144,"Offered")</f>
        <v>3</v>
      </c>
      <c r="O558" s="21" t="str">
        <f aca="false">IF(COUNTIFS(Applications!$B$2:$B$3144,A558,Applications!$H$2:$H$3144,"Yes")&gt;0,"Yes","No")</f>
        <v>Yes</v>
      </c>
      <c r="P558" s="32" t="n">
        <f aca="false">SUMIFS(Applications!$G$2:$G$3144,Applications!$B$2:$B$3144,A558,Applications!$H$2:$H$3144,"Yes")</f>
        <v>7.8</v>
      </c>
      <c r="Q558" s="21" t="str">
        <f aca="false">IF(O558="Yes",INDEX(Companies!$B$2:$B$31,MATCH(INDEX(Applications!$C$2:$C$3144,MATCH(A558,Applications!$P$2:$P$3144,0)),Companies!$A$2:$A$31,0)),"-")</f>
        <v>Bharat Digital</v>
      </c>
    </row>
    <row r="559" customFormat="false" ht="15" hidden="false" customHeight="false" outlineLevel="0" collapsed="false">
      <c r="A559" s="21" t="s">
        <v>1093</v>
      </c>
      <c r="B559" s="21" t="s">
        <v>1094</v>
      </c>
      <c r="C559" s="21" t="s">
        <v>810</v>
      </c>
      <c r="D559" s="21" t="s">
        <v>64</v>
      </c>
      <c r="E559" s="21" t="s">
        <v>91</v>
      </c>
      <c r="F559" s="21" t="n">
        <v>6.27</v>
      </c>
      <c r="G559" s="21" t="n">
        <v>945</v>
      </c>
      <c r="H559" s="21" t="n">
        <v>5</v>
      </c>
      <c r="I559" s="21" t="s">
        <v>113</v>
      </c>
      <c r="J559" s="21" t="n">
        <v>61</v>
      </c>
      <c r="K559" s="32" t="n">
        <f aca="false">ROUND(Assumptions!$B$4*MIN(G559/Assumptions!$B$11,1)*100+Assumptions!$B$5*F559/10*100+Assumptions!$B$6*MIN(H559/Assumptions!$B$12,1)*100+Assumptions!$B$7*J559+Assumptions!$B$8*IF(I559="Yes",100,0),1)</f>
        <v>74.7</v>
      </c>
      <c r="L559" s="21" t="str">
        <f aca="false">LOOKUP(K559,Assumptions!$D$4:$D$7,Assumptions!$E$4:$E$7)</f>
        <v>Job-Ready</v>
      </c>
      <c r="M559" s="21" t="n">
        <f aca="false">COUNTIFS(Applications!$B$2:$B$3144,A559)</f>
        <v>5</v>
      </c>
      <c r="N559" s="21" t="n">
        <f aca="false">COUNTIFS(Applications!$B$2:$B$3144,A559,Applications!$F$2:$F$3144,"Offered")</f>
        <v>3</v>
      </c>
      <c r="O559" s="21" t="str">
        <f aca="false">IF(COUNTIFS(Applications!$B$2:$B$3144,A559,Applications!$H$2:$H$3144,"Yes")&gt;0,"Yes","No")</f>
        <v>Yes</v>
      </c>
      <c r="P559" s="32" t="n">
        <f aca="false">SUMIFS(Applications!$G$2:$G$3144,Applications!$B$2:$B$3144,A559,Applications!$H$2:$H$3144,"Yes")</f>
        <v>13.6</v>
      </c>
      <c r="Q559" s="21" t="str">
        <f aca="false">IF(O559="Yes",INDEX(Companies!$B$2:$B$31,MATCH(INDEX(Applications!$C$2:$C$3144,MATCH(A559,Applications!$P$2:$P$3144,0)),Companies!$A$2:$A$31,0)),"-")</f>
        <v>CloudKraft</v>
      </c>
    </row>
    <row r="560" customFormat="false" ht="15" hidden="false" customHeight="false" outlineLevel="0" collapsed="false">
      <c r="A560" s="21" t="s">
        <v>1095</v>
      </c>
      <c r="B560" s="21" t="s">
        <v>1096</v>
      </c>
      <c r="C560" s="21" t="s">
        <v>810</v>
      </c>
      <c r="D560" s="21" t="s">
        <v>64</v>
      </c>
      <c r="E560" s="21" t="s">
        <v>91</v>
      </c>
      <c r="F560" s="21" t="n">
        <v>6.78</v>
      </c>
      <c r="G560" s="21" t="n">
        <v>642</v>
      </c>
      <c r="H560" s="21" t="n">
        <v>5</v>
      </c>
      <c r="I560" s="21" t="s">
        <v>113</v>
      </c>
      <c r="J560" s="21" t="n">
        <v>57</v>
      </c>
      <c r="K560" s="32" t="n">
        <f aca="false">ROUND(Assumptions!$B$4*MIN(G560/Assumptions!$B$11,1)*100+Assumptions!$B$5*F560/10*100+Assumptions!$B$6*MIN(H560/Assumptions!$B$12,1)*100+Assumptions!$B$7*J560+Assumptions!$B$8*IF(I560="Yes",100,0),1)</f>
        <v>75</v>
      </c>
      <c r="L560" s="21" t="str">
        <f aca="false">LOOKUP(K560,Assumptions!$D$4:$D$7,Assumptions!$E$4:$E$7)</f>
        <v>Job-Ready</v>
      </c>
      <c r="M560" s="21" t="n">
        <f aca="false">COUNTIFS(Applications!$B$2:$B$3144,A560)</f>
        <v>8</v>
      </c>
      <c r="N560" s="21" t="n">
        <f aca="false">COUNTIFS(Applications!$B$2:$B$3144,A560,Applications!$F$2:$F$3144,"Offered")</f>
        <v>3</v>
      </c>
      <c r="O560" s="21" t="str">
        <f aca="false">IF(COUNTIFS(Applications!$B$2:$B$3144,A560,Applications!$H$2:$H$3144,"Yes")&gt;0,"Yes","No")</f>
        <v>Yes</v>
      </c>
      <c r="P560" s="32" t="n">
        <f aca="false">SUMIFS(Applications!$G$2:$G$3144,Applications!$B$2:$B$3144,A560,Applications!$H$2:$H$3144,"Yes")</f>
        <v>7.1</v>
      </c>
      <c r="Q560" s="21" t="str">
        <f aca="false">IF(O560="Yes",INDEX(Companies!$B$2:$B$31,MATCH(INDEX(Applications!$C$2:$C$3144,MATCH(A560,Applications!$P$2:$P$3144,0)),Companies!$A$2:$A$31,0)),"-")</f>
        <v>Metro Systems</v>
      </c>
    </row>
    <row r="561" customFormat="false" ht="15" hidden="false" customHeight="false" outlineLevel="0" collapsed="false">
      <c r="A561" s="21" t="s">
        <v>1097</v>
      </c>
      <c r="B561" s="21" t="s">
        <v>138</v>
      </c>
      <c r="C561" s="21" t="s">
        <v>810</v>
      </c>
      <c r="D561" s="21" t="s">
        <v>64</v>
      </c>
      <c r="E561" s="21" t="s">
        <v>91</v>
      </c>
      <c r="F561" s="21" t="n">
        <v>9.19</v>
      </c>
      <c r="G561" s="21" t="n">
        <v>464</v>
      </c>
      <c r="H561" s="21" t="n">
        <v>5</v>
      </c>
      <c r="I561" s="21" t="s">
        <v>113</v>
      </c>
      <c r="J561" s="21" t="n">
        <v>51</v>
      </c>
      <c r="K561" s="32" t="n">
        <f aca="false">ROUND(Assumptions!$B$4*MIN(G561/Assumptions!$B$11,1)*100+Assumptions!$B$5*F561/10*100+Assumptions!$B$6*MIN(H561/Assumptions!$B$12,1)*100+Assumptions!$B$7*J561+Assumptions!$B$8*IF(I561="Yes",100,0),1)</f>
        <v>76.4</v>
      </c>
      <c r="L561" s="21" t="str">
        <f aca="false">LOOKUP(K561,Assumptions!$D$4:$D$7,Assumptions!$E$4:$E$7)</f>
        <v>Job-Ready</v>
      </c>
      <c r="M561" s="21" t="n">
        <f aca="false">COUNTIFS(Applications!$B$2:$B$3144,A561)</f>
        <v>10</v>
      </c>
      <c r="N561" s="21" t="n">
        <f aca="false">COUNTIFS(Applications!$B$2:$B$3144,A561,Applications!$F$2:$F$3144,"Offered")</f>
        <v>2</v>
      </c>
      <c r="O561" s="21" t="str">
        <f aca="false">IF(COUNTIFS(Applications!$B$2:$B$3144,A561,Applications!$H$2:$H$3144,"Yes")&gt;0,"Yes","No")</f>
        <v>Yes</v>
      </c>
      <c r="P561" s="32" t="n">
        <f aca="false">SUMIFS(Applications!$G$2:$G$3144,Applications!$B$2:$B$3144,A561,Applications!$H$2:$H$3144,"Yes")</f>
        <v>6.8</v>
      </c>
      <c r="Q561" s="21" t="str">
        <f aca="false">IF(O561="Yes",INDEX(Companies!$B$2:$B$31,MATCH(INDEX(Applications!$C$2:$C$3144,MATCH(A561,Applications!$P$2:$P$3144,0)),Companies!$A$2:$A$31,0)),"-")</f>
        <v>CodeCrest Solutions</v>
      </c>
    </row>
    <row r="562" customFormat="false" ht="15" hidden="false" customHeight="false" outlineLevel="0" collapsed="false">
      <c r="A562" s="21" t="s">
        <v>1098</v>
      </c>
      <c r="B562" s="21" t="s">
        <v>1099</v>
      </c>
      <c r="C562" s="21" t="s">
        <v>810</v>
      </c>
      <c r="D562" s="21" t="s">
        <v>64</v>
      </c>
      <c r="E562" s="21" t="s">
        <v>92</v>
      </c>
      <c r="F562" s="21" t="n">
        <v>8.54</v>
      </c>
      <c r="G562" s="21" t="n">
        <v>468</v>
      </c>
      <c r="H562" s="21" t="n">
        <v>3</v>
      </c>
      <c r="I562" s="21" t="s">
        <v>113</v>
      </c>
      <c r="J562" s="21" t="n">
        <v>41</v>
      </c>
      <c r="K562" s="32" t="n">
        <f aca="false">ROUND(Assumptions!$B$4*MIN(G562/Assumptions!$B$11,1)*100+Assumptions!$B$5*F562/10*100+Assumptions!$B$6*MIN(H562/Assumptions!$B$12,1)*100+Assumptions!$B$7*J562+Assumptions!$B$8*IF(I562="Yes",100,0),1)</f>
        <v>65.4</v>
      </c>
      <c r="L562" s="21" t="str">
        <f aca="false">LOOKUP(K562,Assumptions!$D$4:$D$7,Assumptions!$E$4:$E$7)</f>
        <v>Job-Ready</v>
      </c>
      <c r="M562" s="21" t="n">
        <f aca="false">COUNTIFS(Applications!$B$2:$B$3144,A562)</f>
        <v>6</v>
      </c>
      <c r="N562" s="21" t="n">
        <f aca="false">COUNTIFS(Applications!$B$2:$B$3144,A562,Applications!$F$2:$F$3144,"Offered")</f>
        <v>0</v>
      </c>
      <c r="O562" s="21" t="str">
        <f aca="false">IF(COUNTIFS(Applications!$B$2:$B$3144,A562,Applications!$H$2:$H$3144,"Yes")&gt;0,"Yes","No")</f>
        <v>No</v>
      </c>
      <c r="P562" s="32" t="n">
        <f aca="false">SUMIFS(Applications!$G$2:$G$3144,Applications!$B$2:$B$3144,A562,Applications!$H$2:$H$3144,"Yes")</f>
        <v>0</v>
      </c>
      <c r="Q562" s="21" t="str">
        <f aca="false">IF(O562="Yes",INDEX(Companies!$B$2:$B$31,MATCH(INDEX(Applications!$C$2:$C$3144,MATCH(A562,Applications!$P$2:$P$3144,0)),Companies!$A$2:$A$31,0)),"-")</f>
        <v>-</v>
      </c>
    </row>
    <row r="563" customFormat="false" ht="15" hidden="false" customHeight="false" outlineLevel="0" collapsed="false">
      <c r="A563" s="21" t="s">
        <v>1100</v>
      </c>
      <c r="B563" s="21" t="s">
        <v>537</v>
      </c>
      <c r="C563" s="21" t="s">
        <v>810</v>
      </c>
      <c r="D563" s="21" t="s">
        <v>67</v>
      </c>
      <c r="E563" s="21" t="s">
        <v>91</v>
      </c>
      <c r="F563" s="21" t="n">
        <v>7.82</v>
      </c>
      <c r="G563" s="21" t="n">
        <v>171</v>
      </c>
      <c r="H563" s="21" t="n">
        <v>4</v>
      </c>
      <c r="I563" s="21" t="s">
        <v>120</v>
      </c>
      <c r="J563" s="21" t="n">
        <v>55</v>
      </c>
      <c r="K563" s="32" t="n">
        <f aca="false">ROUND(Assumptions!$B$4*MIN(G563/Assumptions!$B$11,1)*100+Assumptions!$B$5*F563/10*100+Assumptions!$B$6*MIN(H563/Assumptions!$B$12,1)*100+Assumptions!$B$7*J563+Assumptions!$B$8*IF(I563="Yes",100,0),1)</f>
        <v>62.9</v>
      </c>
      <c r="L563" s="21" t="str">
        <f aca="false">LOOKUP(K563,Assumptions!$D$4:$D$7,Assumptions!$E$4:$E$7)</f>
        <v>Developing</v>
      </c>
      <c r="M563" s="21" t="n">
        <f aca="false">COUNTIFS(Applications!$B$2:$B$3144,A563)</f>
        <v>9</v>
      </c>
      <c r="N563" s="21" t="n">
        <f aca="false">COUNTIFS(Applications!$B$2:$B$3144,A563,Applications!$F$2:$F$3144,"Offered")</f>
        <v>3</v>
      </c>
      <c r="O563" s="21" t="str">
        <f aca="false">IF(COUNTIFS(Applications!$B$2:$B$3144,A563,Applications!$H$2:$H$3144,"Yes")&gt;0,"Yes","No")</f>
        <v>Yes</v>
      </c>
      <c r="P563" s="32" t="n">
        <f aca="false">SUMIFS(Applications!$G$2:$G$3144,Applications!$B$2:$B$3144,A563,Applications!$H$2:$H$3144,"Yes")</f>
        <v>13.3</v>
      </c>
      <c r="Q563" s="21" t="str">
        <f aca="false">IF(O563="Yes",INDEX(Companies!$B$2:$B$31,MATCH(INDEX(Applications!$C$2:$C$3144,MATCH(A563,Applications!$P$2:$P$3144,0)),Companies!$A$2:$A$31,0)),"-")</f>
        <v>PayRiver</v>
      </c>
    </row>
    <row r="564" customFormat="false" ht="15" hidden="false" customHeight="false" outlineLevel="0" collapsed="false">
      <c r="A564" s="21" t="s">
        <v>1101</v>
      </c>
      <c r="B564" s="21" t="s">
        <v>1102</v>
      </c>
      <c r="C564" s="21" t="s">
        <v>810</v>
      </c>
      <c r="D564" s="21" t="s">
        <v>65</v>
      </c>
      <c r="E564" s="21" t="s">
        <v>92</v>
      </c>
      <c r="F564" s="21" t="n">
        <v>8.1</v>
      </c>
      <c r="G564" s="21" t="n">
        <v>129</v>
      </c>
      <c r="H564" s="21" t="n">
        <v>6</v>
      </c>
      <c r="I564" s="21" t="s">
        <v>120</v>
      </c>
      <c r="J564" s="21" t="n">
        <v>62</v>
      </c>
      <c r="K564" s="32" t="n">
        <f aca="false">ROUND(Assumptions!$B$4*MIN(G564/Assumptions!$B$11,1)*100+Assumptions!$B$5*F564/10*100+Assumptions!$B$6*MIN(H564/Assumptions!$B$12,1)*100+Assumptions!$B$7*J564+Assumptions!$B$8*IF(I564="Yes",100,0),1)</f>
        <v>66.3</v>
      </c>
      <c r="L564" s="21" t="str">
        <f aca="false">LOOKUP(K564,Assumptions!$D$4:$D$7,Assumptions!$E$4:$E$7)</f>
        <v>Job-Ready</v>
      </c>
      <c r="M564" s="21" t="n">
        <f aca="false">COUNTIFS(Applications!$B$2:$B$3144,A564)</f>
        <v>2</v>
      </c>
      <c r="N564" s="21" t="n">
        <f aca="false">COUNTIFS(Applications!$B$2:$B$3144,A564,Applications!$F$2:$F$3144,"Offered")</f>
        <v>0</v>
      </c>
      <c r="O564" s="21" t="str">
        <f aca="false">IF(COUNTIFS(Applications!$B$2:$B$3144,A564,Applications!$H$2:$H$3144,"Yes")&gt;0,"Yes","No")</f>
        <v>No</v>
      </c>
      <c r="P564" s="32" t="n">
        <f aca="false">SUMIFS(Applications!$G$2:$G$3144,Applications!$B$2:$B$3144,A564,Applications!$H$2:$H$3144,"Yes")</f>
        <v>0</v>
      </c>
      <c r="Q564" s="21" t="str">
        <f aca="false">IF(O564="Yes",INDEX(Companies!$B$2:$B$31,MATCH(INDEX(Applications!$C$2:$C$3144,MATCH(A564,Applications!$P$2:$P$3144,0)),Companies!$A$2:$A$31,0)),"-")</f>
        <v>-</v>
      </c>
    </row>
    <row r="565" customFormat="false" ht="15" hidden="false" customHeight="false" outlineLevel="0" collapsed="false">
      <c r="A565" s="21" t="s">
        <v>1103</v>
      </c>
      <c r="B565" s="21" t="s">
        <v>1104</v>
      </c>
      <c r="C565" s="21" t="s">
        <v>810</v>
      </c>
      <c r="D565" s="21" t="s">
        <v>67</v>
      </c>
      <c r="E565" s="21" t="s">
        <v>90</v>
      </c>
      <c r="F565" s="21" t="n">
        <v>6.95</v>
      </c>
      <c r="G565" s="21" t="n">
        <v>239</v>
      </c>
      <c r="H565" s="21" t="n">
        <v>8</v>
      </c>
      <c r="I565" s="21" t="s">
        <v>113</v>
      </c>
      <c r="J565" s="21" t="n">
        <v>74</v>
      </c>
      <c r="K565" s="32" t="n">
        <f aca="false">ROUND(Assumptions!$B$4*MIN(G565/Assumptions!$B$11,1)*100+Assumptions!$B$5*F565/10*100+Assumptions!$B$6*MIN(H565/Assumptions!$B$12,1)*100+Assumptions!$B$7*J565+Assumptions!$B$8*IF(I565="Yes",100,0),1)</f>
        <v>63</v>
      </c>
      <c r="L565" s="21" t="str">
        <f aca="false">LOOKUP(K565,Assumptions!$D$4:$D$7,Assumptions!$E$4:$E$7)</f>
        <v>Developing</v>
      </c>
      <c r="M565" s="21" t="n">
        <f aca="false">COUNTIFS(Applications!$B$2:$B$3144,A565)</f>
        <v>7</v>
      </c>
      <c r="N565" s="21" t="n">
        <f aca="false">COUNTIFS(Applications!$B$2:$B$3144,A565,Applications!$F$2:$F$3144,"Offered")</f>
        <v>1</v>
      </c>
      <c r="O565" s="21" t="str">
        <f aca="false">IF(COUNTIFS(Applications!$B$2:$B$3144,A565,Applications!$H$2:$H$3144,"Yes")&gt;0,"Yes","No")</f>
        <v>Yes</v>
      </c>
      <c r="P565" s="32" t="n">
        <f aca="false">SUMIFS(Applications!$G$2:$G$3144,Applications!$B$2:$B$3144,A565,Applications!$H$2:$H$3144,"Yes")</f>
        <v>5.3</v>
      </c>
      <c r="Q565" s="21" t="str">
        <f aca="false">IF(O565="Yes",INDEX(Companies!$B$2:$B$31,MATCH(INDEX(Applications!$C$2:$C$3144,MATCH(A565,Applications!$P$2:$P$3144,0)),Companies!$A$2:$A$31,0)),"-")</f>
        <v>AlphaGrid Tech</v>
      </c>
    </row>
    <row r="566" customFormat="false" ht="15" hidden="false" customHeight="false" outlineLevel="0" collapsed="false">
      <c r="A566" s="21" t="s">
        <v>1105</v>
      </c>
      <c r="B566" s="21" t="s">
        <v>1106</v>
      </c>
      <c r="C566" s="21" t="s">
        <v>810</v>
      </c>
      <c r="D566" s="21" t="s">
        <v>64</v>
      </c>
      <c r="E566" s="21" t="s">
        <v>90</v>
      </c>
      <c r="F566" s="21" t="n">
        <v>7.81</v>
      </c>
      <c r="G566" s="21" t="n">
        <v>358</v>
      </c>
      <c r="H566" s="21" t="n">
        <v>0</v>
      </c>
      <c r="I566" s="21" t="s">
        <v>113</v>
      </c>
      <c r="J566" s="21" t="n">
        <v>50</v>
      </c>
      <c r="K566" s="32" t="n">
        <f aca="false">ROUND(Assumptions!$B$4*MIN(G566/Assumptions!$B$11,1)*100+Assumptions!$B$5*F566/10*100+Assumptions!$B$6*MIN(H566/Assumptions!$B$12,1)*100+Assumptions!$B$7*J566+Assumptions!$B$8*IF(I566="Yes",100,0),1)</f>
        <v>47.1</v>
      </c>
      <c r="L566" s="21" t="str">
        <f aca="false">LOOKUP(K566,Assumptions!$D$4:$D$7,Assumptions!$E$4:$E$7)</f>
        <v>Foundation</v>
      </c>
      <c r="M566" s="21" t="n">
        <f aca="false">COUNTIFS(Applications!$B$2:$B$3144,A566)</f>
        <v>3</v>
      </c>
      <c r="N566" s="21" t="n">
        <f aca="false">COUNTIFS(Applications!$B$2:$B$3144,A566,Applications!$F$2:$F$3144,"Offered")</f>
        <v>0</v>
      </c>
      <c r="O566" s="21" t="str">
        <f aca="false">IF(COUNTIFS(Applications!$B$2:$B$3144,A566,Applications!$H$2:$H$3144,"Yes")&gt;0,"Yes","No")</f>
        <v>No</v>
      </c>
      <c r="P566" s="32" t="n">
        <f aca="false">SUMIFS(Applications!$G$2:$G$3144,Applications!$B$2:$B$3144,A566,Applications!$H$2:$H$3144,"Yes")</f>
        <v>0</v>
      </c>
      <c r="Q566" s="21" t="str">
        <f aca="false">IF(O566="Yes",INDEX(Companies!$B$2:$B$31,MATCH(INDEX(Applications!$C$2:$C$3144,MATCH(A566,Applications!$P$2:$P$3144,0)),Companies!$A$2:$A$31,0)),"-")</f>
        <v>-</v>
      </c>
    </row>
    <row r="567" customFormat="false" ht="15" hidden="false" customHeight="false" outlineLevel="0" collapsed="false">
      <c r="A567" s="21" t="s">
        <v>1107</v>
      </c>
      <c r="B567" s="21" t="s">
        <v>992</v>
      </c>
      <c r="C567" s="21" t="s">
        <v>810</v>
      </c>
      <c r="D567" s="21" t="s">
        <v>63</v>
      </c>
      <c r="E567" s="21" t="s">
        <v>90</v>
      </c>
      <c r="F567" s="21" t="n">
        <v>8.07</v>
      </c>
      <c r="G567" s="21" t="n">
        <v>187</v>
      </c>
      <c r="H567" s="21" t="n">
        <v>3</v>
      </c>
      <c r="I567" s="21" t="s">
        <v>113</v>
      </c>
      <c r="J567" s="21" t="n">
        <v>88</v>
      </c>
      <c r="K567" s="32" t="n">
        <f aca="false">ROUND(Assumptions!$B$4*MIN(G567/Assumptions!$B$11,1)*100+Assumptions!$B$5*F567/10*100+Assumptions!$B$6*MIN(H567/Assumptions!$B$12,1)*100+Assumptions!$B$7*J567+Assumptions!$B$8*IF(I567="Yes",100,0),1)</f>
        <v>57</v>
      </c>
      <c r="L567" s="21" t="str">
        <f aca="false">LOOKUP(K567,Assumptions!$D$4:$D$7,Assumptions!$E$4:$E$7)</f>
        <v>Developing</v>
      </c>
      <c r="M567" s="21" t="n">
        <f aca="false">COUNTIFS(Applications!$B$2:$B$3144,A567)</f>
        <v>4</v>
      </c>
      <c r="N567" s="21" t="n">
        <f aca="false">COUNTIFS(Applications!$B$2:$B$3144,A567,Applications!$F$2:$F$3144,"Offered")</f>
        <v>2</v>
      </c>
      <c r="O567" s="21" t="str">
        <f aca="false">IF(COUNTIFS(Applications!$B$2:$B$3144,A567,Applications!$H$2:$H$3144,"Yes")&gt;0,"Yes","No")</f>
        <v>Yes</v>
      </c>
      <c r="P567" s="32" t="n">
        <f aca="false">SUMIFS(Applications!$G$2:$G$3144,Applications!$B$2:$B$3144,A567,Applications!$H$2:$H$3144,"Yes")</f>
        <v>6.5</v>
      </c>
      <c r="Q567" s="21" t="str">
        <f aca="false">IF(O567="Yes",INDEX(Companies!$B$2:$B$31,MATCH(INDEX(Applications!$C$2:$C$3144,MATCH(A567,Applications!$P$2:$P$3144,0)),Companies!$A$2:$A$31,0)),"-")</f>
        <v>Bharat Digital</v>
      </c>
    </row>
    <row r="568" customFormat="false" ht="15" hidden="false" customHeight="false" outlineLevel="0" collapsed="false">
      <c r="A568" s="21" t="s">
        <v>1108</v>
      </c>
      <c r="B568" s="21" t="s">
        <v>1109</v>
      </c>
      <c r="C568" s="21" t="s">
        <v>810</v>
      </c>
      <c r="D568" s="21" t="s">
        <v>67</v>
      </c>
      <c r="E568" s="21" t="s">
        <v>92</v>
      </c>
      <c r="F568" s="21" t="n">
        <v>7.51</v>
      </c>
      <c r="G568" s="21" t="n">
        <v>143</v>
      </c>
      <c r="H568" s="21" t="n">
        <v>1</v>
      </c>
      <c r="I568" s="21" t="s">
        <v>113</v>
      </c>
      <c r="J568" s="21" t="n">
        <v>43</v>
      </c>
      <c r="K568" s="32" t="n">
        <f aca="false">ROUND(Assumptions!$B$4*MIN(G568/Assumptions!$B$11,1)*100+Assumptions!$B$5*F568/10*100+Assumptions!$B$6*MIN(H568/Assumptions!$B$12,1)*100+Assumptions!$B$7*J568+Assumptions!$B$8*IF(I568="Yes",100,0),1)</f>
        <v>36.2</v>
      </c>
      <c r="L568" s="21" t="str">
        <f aca="false">LOOKUP(K568,Assumptions!$D$4:$D$7,Assumptions!$E$4:$E$7)</f>
        <v>Foundation</v>
      </c>
      <c r="M568" s="21" t="n">
        <f aca="false">COUNTIFS(Applications!$B$2:$B$3144,A568)</f>
        <v>1</v>
      </c>
      <c r="N568" s="21" t="n">
        <f aca="false">COUNTIFS(Applications!$B$2:$B$3144,A568,Applications!$F$2:$F$3144,"Offered")</f>
        <v>0</v>
      </c>
      <c r="O568" s="21" t="str">
        <f aca="false">IF(COUNTIFS(Applications!$B$2:$B$3144,A568,Applications!$H$2:$H$3144,"Yes")&gt;0,"Yes","No")</f>
        <v>No</v>
      </c>
      <c r="P568" s="32" t="n">
        <f aca="false">SUMIFS(Applications!$G$2:$G$3144,Applications!$B$2:$B$3144,A568,Applications!$H$2:$H$3144,"Yes")</f>
        <v>0</v>
      </c>
      <c r="Q568" s="21" t="str">
        <f aca="false">IF(O568="Yes",INDEX(Companies!$B$2:$B$31,MATCH(INDEX(Applications!$C$2:$C$3144,MATCH(A568,Applications!$P$2:$P$3144,0)),Companies!$A$2:$A$31,0)),"-")</f>
        <v>-</v>
      </c>
    </row>
    <row r="569" customFormat="false" ht="15" hidden="false" customHeight="false" outlineLevel="0" collapsed="false">
      <c r="A569" s="21" t="s">
        <v>1110</v>
      </c>
      <c r="B569" s="21" t="s">
        <v>1111</v>
      </c>
      <c r="C569" s="21" t="s">
        <v>810</v>
      </c>
      <c r="D569" s="21" t="s">
        <v>64</v>
      </c>
      <c r="E569" s="21" t="s">
        <v>92</v>
      </c>
      <c r="F569" s="21" t="n">
        <v>7.93</v>
      </c>
      <c r="G569" s="21" t="n">
        <v>345</v>
      </c>
      <c r="H569" s="21" t="n">
        <v>4</v>
      </c>
      <c r="I569" s="21" t="s">
        <v>113</v>
      </c>
      <c r="J569" s="21" t="n">
        <v>60</v>
      </c>
      <c r="K569" s="32" t="n">
        <f aca="false">ROUND(Assumptions!$B$4*MIN(G569/Assumptions!$B$11,1)*100+Assumptions!$B$5*F569/10*100+Assumptions!$B$6*MIN(H569/Assumptions!$B$12,1)*100+Assumptions!$B$7*J569+Assumptions!$B$8*IF(I569="Yes",100,0),1)</f>
        <v>64.6</v>
      </c>
      <c r="L569" s="21" t="str">
        <f aca="false">LOOKUP(K569,Assumptions!$D$4:$D$7,Assumptions!$E$4:$E$7)</f>
        <v>Developing</v>
      </c>
      <c r="M569" s="21" t="n">
        <f aca="false">COUNTIFS(Applications!$B$2:$B$3144,A569)</f>
        <v>2</v>
      </c>
      <c r="N569" s="21" t="n">
        <f aca="false">COUNTIFS(Applications!$B$2:$B$3144,A569,Applications!$F$2:$F$3144,"Offered")</f>
        <v>1</v>
      </c>
      <c r="O569" s="21" t="str">
        <f aca="false">IF(COUNTIFS(Applications!$B$2:$B$3144,A569,Applications!$H$2:$H$3144,"Yes")&gt;0,"Yes","No")</f>
        <v>Yes</v>
      </c>
      <c r="P569" s="32" t="n">
        <f aca="false">SUMIFS(Applications!$G$2:$G$3144,Applications!$B$2:$B$3144,A569,Applications!$H$2:$H$3144,"Yes")</f>
        <v>12</v>
      </c>
      <c r="Q569" s="21" t="str">
        <f aca="false">IF(O569="Yes",INDEX(Companies!$B$2:$B$31,MATCH(INDEX(Applications!$C$2:$C$3144,MATCH(A569,Applications!$P$2:$P$3144,0)),Companies!$A$2:$A$31,0)),"-")</f>
        <v>ShopSprint</v>
      </c>
    </row>
    <row r="570" customFormat="false" ht="15" hidden="false" customHeight="false" outlineLevel="0" collapsed="false">
      <c r="A570" s="21" t="s">
        <v>1112</v>
      </c>
      <c r="B570" s="21" t="s">
        <v>1113</v>
      </c>
      <c r="C570" s="21" t="s">
        <v>810</v>
      </c>
      <c r="D570" s="21" t="s">
        <v>63</v>
      </c>
      <c r="E570" s="21" t="s">
        <v>91</v>
      </c>
      <c r="F570" s="21" t="n">
        <v>7.06</v>
      </c>
      <c r="G570" s="21" t="n">
        <v>220</v>
      </c>
      <c r="H570" s="21" t="n">
        <v>3</v>
      </c>
      <c r="I570" s="21" t="s">
        <v>120</v>
      </c>
      <c r="J570" s="21" t="n">
        <v>64</v>
      </c>
      <c r="K570" s="32" t="n">
        <f aca="false">ROUND(Assumptions!$B$4*MIN(G570/Assumptions!$B$11,1)*100+Assumptions!$B$5*F570/10*100+Assumptions!$B$6*MIN(H570/Assumptions!$B$12,1)*100+Assumptions!$B$7*J570+Assumptions!$B$8*IF(I570="Yes",100,0),1)</f>
        <v>62.1</v>
      </c>
      <c r="L570" s="21" t="str">
        <f aca="false">LOOKUP(K570,Assumptions!$D$4:$D$7,Assumptions!$E$4:$E$7)</f>
        <v>Developing</v>
      </c>
      <c r="M570" s="21" t="n">
        <f aca="false">COUNTIFS(Applications!$B$2:$B$3144,A570)</f>
        <v>5</v>
      </c>
      <c r="N570" s="21" t="n">
        <f aca="false">COUNTIFS(Applications!$B$2:$B$3144,A570,Applications!$F$2:$F$3144,"Offered")</f>
        <v>2</v>
      </c>
      <c r="O570" s="21" t="str">
        <f aca="false">IF(COUNTIFS(Applications!$B$2:$B$3144,A570,Applications!$H$2:$H$3144,"Yes")&gt;0,"Yes","No")</f>
        <v>Yes</v>
      </c>
      <c r="P570" s="32" t="n">
        <f aca="false">SUMIFS(Applications!$G$2:$G$3144,Applications!$B$2:$B$3144,A570,Applications!$H$2:$H$3144,"Yes")</f>
        <v>9.1</v>
      </c>
      <c r="Q570" s="21" t="str">
        <f aca="false">IF(O570="Yes",INDEX(Companies!$B$2:$B$31,MATCH(INDEX(Applications!$C$2:$C$3144,MATCH(A570,Applications!$P$2:$P$3144,0)),Companies!$A$2:$A$31,0)),"-")</f>
        <v>CloudKraft</v>
      </c>
    </row>
    <row r="571" customFormat="false" ht="15" hidden="false" customHeight="false" outlineLevel="0" collapsed="false">
      <c r="A571" s="21" t="s">
        <v>1114</v>
      </c>
      <c r="B571" s="21" t="s">
        <v>1115</v>
      </c>
      <c r="C571" s="21" t="s">
        <v>810</v>
      </c>
      <c r="D571" s="21" t="s">
        <v>66</v>
      </c>
      <c r="E571" s="21" t="s">
        <v>91</v>
      </c>
      <c r="F571" s="21" t="n">
        <v>8.39</v>
      </c>
      <c r="G571" s="21" t="n">
        <v>129</v>
      </c>
      <c r="H571" s="21" t="n">
        <v>4</v>
      </c>
      <c r="I571" s="21" t="s">
        <v>113</v>
      </c>
      <c r="J571" s="21" t="n">
        <v>45</v>
      </c>
      <c r="K571" s="32" t="n">
        <f aca="false">ROUND(Assumptions!$B$4*MIN(G571/Assumptions!$B$11,1)*100+Assumptions!$B$5*F571/10*100+Assumptions!$B$6*MIN(H571/Assumptions!$B$12,1)*100+Assumptions!$B$7*J571+Assumptions!$B$8*IF(I571="Yes",100,0),1)</f>
        <v>49.5</v>
      </c>
      <c r="L571" s="21" t="str">
        <f aca="false">LOOKUP(K571,Assumptions!$D$4:$D$7,Assumptions!$E$4:$E$7)</f>
        <v>Foundation</v>
      </c>
      <c r="M571" s="21" t="n">
        <f aca="false">COUNTIFS(Applications!$B$2:$B$3144,A571)</f>
        <v>8</v>
      </c>
      <c r="N571" s="21" t="n">
        <f aca="false">COUNTIFS(Applications!$B$2:$B$3144,A571,Applications!$F$2:$F$3144,"Offered")</f>
        <v>2</v>
      </c>
      <c r="O571" s="21" t="str">
        <f aca="false">IF(COUNTIFS(Applications!$B$2:$B$3144,A571,Applications!$H$2:$H$3144,"Yes")&gt;0,"Yes","No")</f>
        <v>Yes</v>
      </c>
      <c r="P571" s="32" t="n">
        <f aca="false">SUMIFS(Applications!$G$2:$G$3144,Applications!$B$2:$B$3144,A571,Applications!$H$2:$H$3144,"Yes")</f>
        <v>6.5</v>
      </c>
      <c r="Q571" s="21" t="str">
        <f aca="false">IF(O571="Yes",INDEX(Companies!$B$2:$B$31,MATCH(INDEX(Applications!$C$2:$C$3144,MATCH(A571,Applications!$P$2:$P$3144,0)),Companies!$A$2:$A$31,0)),"-")</f>
        <v>RetailRocket</v>
      </c>
    </row>
    <row r="572" customFormat="false" ht="15" hidden="false" customHeight="false" outlineLevel="0" collapsed="false">
      <c r="A572" s="21" t="s">
        <v>1116</v>
      </c>
      <c r="B572" s="21" t="s">
        <v>983</v>
      </c>
      <c r="C572" s="21" t="s">
        <v>810</v>
      </c>
      <c r="D572" s="21" t="s">
        <v>66</v>
      </c>
      <c r="E572" s="21" t="s">
        <v>92</v>
      </c>
      <c r="F572" s="21" t="n">
        <v>8.72</v>
      </c>
      <c r="G572" s="21" t="n">
        <v>158</v>
      </c>
      <c r="H572" s="21" t="n">
        <v>6</v>
      </c>
      <c r="I572" s="21" t="s">
        <v>120</v>
      </c>
      <c r="J572" s="21" t="n">
        <v>71</v>
      </c>
      <c r="K572" s="32" t="n">
        <f aca="false">ROUND(Assumptions!$B$4*MIN(G572/Assumptions!$B$11,1)*100+Assumptions!$B$5*F572/10*100+Assumptions!$B$6*MIN(H572/Assumptions!$B$12,1)*100+Assumptions!$B$7*J572+Assumptions!$B$8*IF(I572="Yes",100,0),1)</f>
        <v>71.1</v>
      </c>
      <c r="L572" s="21" t="str">
        <f aca="false">LOOKUP(K572,Assumptions!$D$4:$D$7,Assumptions!$E$4:$E$7)</f>
        <v>Job-Ready</v>
      </c>
      <c r="M572" s="21" t="n">
        <f aca="false">COUNTIFS(Applications!$B$2:$B$3144,A572)</f>
        <v>5</v>
      </c>
      <c r="N572" s="21" t="n">
        <f aca="false">COUNTIFS(Applications!$B$2:$B$3144,A572,Applications!$F$2:$F$3144,"Offered")</f>
        <v>2</v>
      </c>
      <c r="O572" s="21" t="str">
        <f aca="false">IF(COUNTIFS(Applications!$B$2:$B$3144,A572,Applications!$H$2:$H$3144,"Yes")&gt;0,"Yes","No")</f>
        <v>Yes</v>
      </c>
      <c r="P572" s="32" t="n">
        <f aca="false">SUMIFS(Applications!$G$2:$G$3144,Applications!$B$2:$B$3144,A572,Applications!$H$2:$H$3144,"Yes")</f>
        <v>10.2</v>
      </c>
      <c r="Q572" s="21" t="str">
        <f aca="false">IF(O572="Yes",INDEX(Companies!$B$2:$B$31,MATCH(INDEX(Applications!$C$2:$C$3144,MATCH(A572,Applications!$P$2:$P$3144,0)),Companies!$A$2:$A$31,0)),"-")</f>
        <v>CartNest</v>
      </c>
    </row>
    <row r="573" customFormat="false" ht="15" hidden="false" customHeight="false" outlineLevel="0" collapsed="false">
      <c r="A573" s="21" t="s">
        <v>1117</v>
      </c>
      <c r="B573" s="21" t="s">
        <v>1118</v>
      </c>
      <c r="C573" s="21" t="s">
        <v>810</v>
      </c>
      <c r="D573" s="21" t="s">
        <v>65</v>
      </c>
      <c r="E573" s="21" t="s">
        <v>92</v>
      </c>
      <c r="F573" s="21" t="n">
        <v>7.29</v>
      </c>
      <c r="G573" s="21" t="n">
        <v>131</v>
      </c>
      <c r="H573" s="21" t="n">
        <v>3</v>
      </c>
      <c r="I573" s="21" t="s">
        <v>120</v>
      </c>
      <c r="J573" s="21" t="n">
        <v>61</v>
      </c>
      <c r="K573" s="32" t="n">
        <f aca="false">ROUND(Assumptions!$B$4*MIN(G573/Assumptions!$B$11,1)*100+Assumptions!$B$5*F573/10*100+Assumptions!$B$6*MIN(H573/Assumptions!$B$12,1)*100+Assumptions!$B$7*J573+Assumptions!$B$8*IF(I573="Yes",100,0),1)</f>
        <v>56.6</v>
      </c>
      <c r="L573" s="21" t="str">
        <f aca="false">LOOKUP(K573,Assumptions!$D$4:$D$7,Assumptions!$E$4:$E$7)</f>
        <v>Developing</v>
      </c>
      <c r="M573" s="21" t="n">
        <f aca="false">COUNTIFS(Applications!$B$2:$B$3144,A573)</f>
        <v>7</v>
      </c>
      <c r="N573" s="21" t="n">
        <f aca="false">COUNTIFS(Applications!$B$2:$B$3144,A573,Applications!$F$2:$F$3144,"Offered")</f>
        <v>3</v>
      </c>
      <c r="O573" s="21" t="str">
        <f aca="false">IF(COUNTIFS(Applications!$B$2:$B$3144,A573,Applications!$H$2:$H$3144,"Yes")&gt;0,"Yes","No")</f>
        <v>Yes</v>
      </c>
      <c r="P573" s="32" t="n">
        <f aca="false">SUMIFS(Applications!$G$2:$G$3144,Applications!$B$2:$B$3144,A573,Applications!$H$2:$H$3144,"Yes")</f>
        <v>6.8</v>
      </c>
      <c r="Q573" s="21" t="str">
        <f aca="false">IF(O573="Yes",INDEX(Companies!$B$2:$B$31,MATCH(INDEX(Applications!$C$2:$C$3144,MATCH(A573,Applications!$P$2:$P$3144,0)),Companies!$A$2:$A$31,0)),"-")</f>
        <v>TechBridge Consulting</v>
      </c>
    </row>
    <row r="574" customFormat="false" ht="15" hidden="false" customHeight="false" outlineLevel="0" collapsed="false">
      <c r="A574" s="21" t="s">
        <v>1119</v>
      </c>
      <c r="B574" s="21" t="s">
        <v>1120</v>
      </c>
      <c r="C574" s="21" t="s">
        <v>810</v>
      </c>
      <c r="D574" s="21" t="s">
        <v>65</v>
      </c>
      <c r="E574" s="21" t="s">
        <v>90</v>
      </c>
      <c r="F574" s="21" t="n">
        <v>6.82</v>
      </c>
      <c r="G574" s="21" t="n">
        <v>183</v>
      </c>
      <c r="H574" s="21" t="n">
        <v>3</v>
      </c>
      <c r="I574" s="21" t="s">
        <v>113</v>
      </c>
      <c r="J574" s="21" t="n">
        <v>51</v>
      </c>
      <c r="K574" s="32" t="n">
        <f aca="false">ROUND(Assumptions!$B$4*MIN(G574/Assumptions!$B$11,1)*100+Assumptions!$B$5*F574/10*100+Assumptions!$B$6*MIN(H574/Assumptions!$B$12,1)*100+Assumptions!$B$7*J574+Assumptions!$B$8*IF(I574="Yes",100,0),1)</f>
        <v>46.8</v>
      </c>
      <c r="L574" s="21" t="str">
        <f aca="false">LOOKUP(K574,Assumptions!$D$4:$D$7,Assumptions!$E$4:$E$7)</f>
        <v>Foundation</v>
      </c>
      <c r="M574" s="21" t="n">
        <f aca="false">COUNTIFS(Applications!$B$2:$B$3144,A574)</f>
        <v>4</v>
      </c>
      <c r="N574" s="21" t="n">
        <f aca="false">COUNTIFS(Applications!$B$2:$B$3144,A574,Applications!$F$2:$F$3144,"Offered")</f>
        <v>0</v>
      </c>
      <c r="O574" s="21" t="str">
        <f aca="false">IF(COUNTIFS(Applications!$B$2:$B$3144,A574,Applications!$H$2:$H$3144,"Yes")&gt;0,"Yes","No")</f>
        <v>No</v>
      </c>
      <c r="P574" s="32" t="n">
        <f aca="false">SUMIFS(Applications!$G$2:$G$3144,Applications!$B$2:$B$3144,A574,Applications!$H$2:$H$3144,"Yes")</f>
        <v>0</v>
      </c>
      <c r="Q574" s="21" t="str">
        <f aca="false">IF(O574="Yes",INDEX(Companies!$B$2:$B$31,MATCH(INDEX(Applications!$C$2:$C$3144,MATCH(A574,Applications!$P$2:$P$3144,0)),Companies!$A$2:$A$31,0)),"-")</f>
        <v>-</v>
      </c>
    </row>
    <row r="575" customFormat="false" ht="15" hidden="false" customHeight="false" outlineLevel="0" collapsed="false">
      <c r="A575" s="21" t="s">
        <v>1121</v>
      </c>
      <c r="B575" s="21" t="s">
        <v>721</v>
      </c>
      <c r="C575" s="21" t="s">
        <v>810</v>
      </c>
      <c r="D575" s="21" t="s">
        <v>64</v>
      </c>
      <c r="E575" s="21" t="s">
        <v>91</v>
      </c>
      <c r="F575" s="21" t="n">
        <v>6.75</v>
      </c>
      <c r="G575" s="21" t="n">
        <v>129</v>
      </c>
      <c r="H575" s="21" t="n">
        <v>1</v>
      </c>
      <c r="I575" s="21" t="s">
        <v>113</v>
      </c>
      <c r="J575" s="21" t="n">
        <v>89</v>
      </c>
      <c r="K575" s="32" t="n">
        <f aca="false">ROUND(Assumptions!$B$4*MIN(G575/Assumptions!$B$11,1)*100+Assumptions!$B$5*F575/10*100+Assumptions!$B$6*MIN(H575/Assumptions!$B$12,1)*100+Assumptions!$B$7*J575+Assumptions!$B$8*IF(I575="Yes",100,0),1)</f>
        <v>43</v>
      </c>
      <c r="L575" s="21" t="str">
        <f aca="false">LOOKUP(K575,Assumptions!$D$4:$D$7,Assumptions!$E$4:$E$7)</f>
        <v>Foundation</v>
      </c>
      <c r="M575" s="21" t="n">
        <f aca="false">COUNTIFS(Applications!$B$2:$B$3144,A575)</f>
        <v>4</v>
      </c>
      <c r="N575" s="21" t="n">
        <f aca="false">COUNTIFS(Applications!$B$2:$B$3144,A575,Applications!$F$2:$F$3144,"Offered")</f>
        <v>2</v>
      </c>
      <c r="O575" s="21" t="str">
        <f aca="false">IF(COUNTIFS(Applications!$B$2:$B$3144,A575,Applications!$H$2:$H$3144,"Yes")&gt;0,"Yes","No")</f>
        <v>Yes</v>
      </c>
      <c r="P575" s="32" t="n">
        <f aca="false">SUMIFS(Applications!$G$2:$G$3144,Applications!$B$2:$B$3144,A575,Applications!$H$2:$H$3144,"Yes")</f>
        <v>8</v>
      </c>
      <c r="Q575" s="21" t="str">
        <f aca="false">IF(O575="Yes",INDEX(Companies!$B$2:$B$31,MATCH(INDEX(Applications!$C$2:$C$3144,MATCH(A575,Applications!$P$2:$P$3144,0)),Companies!$A$2:$A$31,0)),"-")</f>
        <v>SkillForge</v>
      </c>
    </row>
    <row r="576" customFormat="false" ht="15" hidden="false" customHeight="false" outlineLevel="0" collapsed="false">
      <c r="A576" s="21" t="s">
        <v>1122</v>
      </c>
      <c r="B576" s="21" t="s">
        <v>644</v>
      </c>
      <c r="C576" s="21" t="s">
        <v>810</v>
      </c>
      <c r="D576" s="21" t="s">
        <v>66</v>
      </c>
      <c r="E576" s="21" t="s">
        <v>91</v>
      </c>
      <c r="F576" s="21" t="n">
        <v>9.04</v>
      </c>
      <c r="G576" s="21" t="n">
        <v>550</v>
      </c>
      <c r="H576" s="21" t="n">
        <v>3</v>
      </c>
      <c r="I576" s="21" t="s">
        <v>120</v>
      </c>
      <c r="J576" s="21" t="n">
        <v>51</v>
      </c>
      <c r="K576" s="32" t="n">
        <f aca="false">ROUND(Assumptions!$B$4*MIN(G576/Assumptions!$B$11,1)*100+Assumptions!$B$5*F576/10*100+Assumptions!$B$6*MIN(H576/Assumptions!$B$12,1)*100+Assumptions!$B$7*J576+Assumptions!$B$8*IF(I576="Yes",100,0),1)</f>
        <v>80.3</v>
      </c>
      <c r="L576" s="21" t="str">
        <f aca="false">LOOKUP(K576,Assumptions!$D$4:$D$7,Assumptions!$E$4:$E$7)</f>
        <v>Elite</v>
      </c>
      <c r="M576" s="21" t="n">
        <f aca="false">COUNTIFS(Applications!$B$2:$B$3144,A576)</f>
        <v>6</v>
      </c>
      <c r="N576" s="21" t="n">
        <f aca="false">COUNTIFS(Applications!$B$2:$B$3144,A576,Applications!$F$2:$F$3144,"Offered")</f>
        <v>2</v>
      </c>
      <c r="O576" s="21" t="str">
        <f aca="false">IF(COUNTIFS(Applications!$B$2:$B$3144,A576,Applications!$H$2:$H$3144,"Yes")&gt;0,"Yes","No")</f>
        <v>Yes</v>
      </c>
      <c r="P576" s="32" t="n">
        <f aca="false">SUMIFS(Applications!$G$2:$G$3144,Applications!$B$2:$B$3144,A576,Applications!$H$2:$H$3144,"Yes")</f>
        <v>6.6</v>
      </c>
      <c r="Q576" s="21" t="str">
        <f aca="false">IF(O576="Yes",INDEX(Companies!$B$2:$B$31,MATCH(INDEX(Applications!$C$2:$C$3144,MATCH(A576,Applications!$P$2:$P$3144,0)),Companies!$A$2:$A$31,0)),"-")</f>
        <v>Sapphire Infotech</v>
      </c>
    </row>
    <row r="577" customFormat="false" ht="15" hidden="false" customHeight="false" outlineLevel="0" collapsed="false">
      <c r="A577" s="21" t="s">
        <v>1123</v>
      </c>
      <c r="B577" s="21" t="s">
        <v>901</v>
      </c>
      <c r="C577" s="21" t="s">
        <v>810</v>
      </c>
      <c r="D577" s="21" t="s">
        <v>67</v>
      </c>
      <c r="E577" s="21" t="s">
        <v>92</v>
      </c>
      <c r="F577" s="21" t="n">
        <v>7.3</v>
      </c>
      <c r="G577" s="21" t="n">
        <v>322</v>
      </c>
      <c r="H577" s="21" t="n">
        <v>4</v>
      </c>
      <c r="I577" s="21" t="s">
        <v>113</v>
      </c>
      <c r="J577" s="21" t="n">
        <v>81</v>
      </c>
      <c r="K577" s="32" t="n">
        <f aca="false">ROUND(Assumptions!$B$4*MIN(G577/Assumptions!$B$11,1)*100+Assumptions!$B$5*F577/10*100+Assumptions!$B$6*MIN(H577/Assumptions!$B$12,1)*100+Assumptions!$B$7*J577+Assumptions!$B$8*IF(I577="Yes",100,0),1)</f>
        <v>66.1</v>
      </c>
      <c r="L577" s="21" t="str">
        <f aca="false">LOOKUP(K577,Assumptions!$D$4:$D$7,Assumptions!$E$4:$E$7)</f>
        <v>Job-Ready</v>
      </c>
      <c r="M577" s="21" t="n">
        <f aca="false">COUNTIFS(Applications!$B$2:$B$3144,A577)</f>
        <v>5</v>
      </c>
      <c r="N577" s="21" t="n">
        <f aca="false">COUNTIFS(Applications!$B$2:$B$3144,A577,Applications!$F$2:$F$3144,"Offered")</f>
        <v>1</v>
      </c>
      <c r="O577" s="21" t="str">
        <f aca="false">IF(COUNTIFS(Applications!$B$2:$B$3144,A577,Applications!$H$2:$H$3144,"Yes")&gt;0,"Yes","No")</f>
        <v>Yes</v>
      </c>
      <c r="P577" s="32" t="n">
        <f aca="false">SUMIFS(Applications!$G$2:$G$3144,Applications!$B$2:$B$3144,A577,Applications!$H$2:$H$3144,"Yes")</f>
        <v>4.3</v>
      </c>
      <c r="Q577" s="21" t="str">
        <f aca="false">IF(O577="Yes",INDEX(Companies!$B$2:$B$31,MATCH(INDEX(Applications!$C$2:$C$3144,MATCH(A577,Applications!$P$2:$P$3144,0)),Companies!$A$2:$A$31,0)),"-")</f>
        <v>InfoNova Services</v>
      </c>
    </row>
    <row r="578" customFormat="false" ht="15" hidden="false" customHeight="false" outlineLevel="0" collapsed="false">
      <c r="A578" s="21" t="s">
        <v>1124</v>
      </c>
      <c r="B578" s="21" t="s">
        <v>801</v>
      </c>
      <c r="C578" s="21" t="s">
        <v>810</v>
      </c>
      <c r="D578" s="21" t="s">
        <v>65</v>
      </c>
      <c r="E578" s="21" t="s">
        <v>92</v>
      </c>
      <c r="F578" s="21" t="n">
        <v>5.82</v>
      </c>
      <c r="G578" s="21" t="n">
        <v>218</v>
      </c>
      <c r="H578" s="21" t="n">
        <v>4</v>
      </c>
      <c r="I578" s="21" t="s">
        <v>113</v>
      </c>
      <c r="J578" s="21" t="n">
        <v>46</v>
      </c>
      <c r="K578" s="32" t="n">
        <f aca="false">ROUND(Assumptions!$B$4*MIN(G578/Assumptions!$B$11,1)*100+Assumptions!$B$5*F578/10*100+Assumptions!$B$6*MIN(H578/Assumptions!$B$12,1)*100+Assumptions!$B$7*J578+Assumptions!$B$8*IF(I578="Yes",100,0),1)</f>
        <v>49.9</v>
      </c>
      <c r="L578" s="21" t="str">
        <f aca="false">LOOKUP(K578,Assumptions!$D$4:$D$7,Assumptions!$E$4:$E$7)</f>
        <v>Foundation</v>
      </c>
      <c r="M578" s="21" t="n">
        <f aca="false">COUNTIFS(Applications!$B$2:$B$3144,A578)</f>
        <v>3</v>
      </c>
      <c r="N578" s="21" t="n">
        <f aca="false">COUNTIFS(Applications!$B$2:$B$3144,A578,Applications!$F$2:$F$3144,"Offered")</f>
        <v>1</v>
      </c>
      <c r="O578" s="21" t="str">
        <f aca="false">IF(COUNTIFS(Applications!$B$2:$B$3144,A578,Applications!$H$2:$H$3144,"Yes")&gt;0,"Yes","No")</f>
        <v>Yes</v>
      </c>
      <c r="P578" s="32" t="n">
        <f aca="false">SUMIFS(Applications!$G$2:$G$3144,Applications!$B$2:$B$3144,A578,Applications!$H$2:$H$3144,"Yes")</f>
        <v>5.8</v>
      </c>
      <c r="Q578" s="21" t="str">
        <f aca="false">IF(O578="Yes",INDEX(Companies!$B$2:$B$31,MATCH(INDEX(Applications!$C$2:$C$3144,MATCH(A578,Applications!$P$2:$P$3144,0)),Companies!$A$2:$A$31,0)),"-")</f>
        <v>HealthLink Digital</v>
      </c>
    </row>
    <row r="579" customFormat="false" ht="15" hidden="false" customHeight="false" outlineLevel="0" collapsed="false">
      <c r="A579" s="21" t="s">
        <v>1125</v>
      </c>
      <c r="B579" s="21" t="s">
        <v>367</v>
      </c>
      <c r="C579" s="21" t="s">
        <v>810</v>
      </c>
      <c r="D579" s="21" t="s">
        <v>65</v>
      </c>
      <c r="E579" s="21" t="s">
        <v>92</v>
      </c>
      <c r="F579" s="21" t="n">
        <v>6.9</v>
      </c>
      <c r="G579" s="21" t="n">
        <v>80</v>
      </c>
      <c r="H579" s="21" t="n">
        <v>1</v>
      </c>
      <c r="I579" s="21" t="s">
        <v>113</v>
      </c>
      <c r="J579" s="21" t="n">
        <v>71</v>
      </c>
      <c r="K579" s="32" t="n">
        <f aca="false">ROUND(Assumptions!$B$4*MIN(G579/Assumptions!$B$11,1)*100+Assumptions!$B$5*F579/10*100+Assumptions!$B$6*MIN(H579/Assumptions!$B$12,1)*100+Assumptions!$B$7*J579+Assumptions!$B$8*IF(I579="Yes",100,0),1)</f>
        <v>36.8</v>
      </c>
      <c r="L579" s="21" t="str">
        <f aca="false">LOOKUP(K579,Assumptions!$D$4:$D$7,Assumptions!$E$4:$E$7)</f>
        <v>Foundation</v>
      </c>
      <c r="M579" s="21" t="n">
        <f aca="false">COUNTIFS(Applications!$B$2:$B$3144,A579)</f>
        <v>9</v>
      </c>
      <c r="N579" s="21" t="n">
        <f aca="false">COUNTIFS(Applications!$B$2:$B$3144,A579,Applications!$F$2:$F$3144,"Offered")</f>
        <v>0</v>
      </c>
      <c r="O579" s="21" t="str">
        <f aca="false">IF(COUNTIFS(Applications!$B$2:$B$3144,A579,Applications!$H$2:$H$3144,"Yes")&gt;0,"Yes","No")</f>
        <v>No</v>
      </c>
      <c r="P579" s="32" t="n">
        <f aca="false">SUMIFS(Applications!$G$2:$G$3144,Applications!$B$2:$B$3144,A579,Applications!$H$2:$H$3144,"Yes")</f>
        <v>0</v>
      </c>
      <c r="Q579" s="21" t="str">
        <f aca="false">IF(O579="Yes",INDEX(Companies!$B$2:$B$31,MATCH(INDEX(Applications!$C$2:$C$3144,MATCH(A579,Applications!$P$2:$P$3144,0)),Companies!$A$2:$A$31,0)),"-")</f>
        <v>-</v>
      </c>
    </row>
    <row r="580" customFormat="false" ht="15" hidden="false" customHeight="false" outlineLevel="0" collapsed="false">
      <c r="A580" s="21" t="s">
        <v>1126</v>
      </c>
      <c r="B580" s="21" t="s">
        <v>560</v>
      </c>
      <c r="C580" s="21" t="s">
        <v>810</v>
      </c>
      <c r="D580" s="21" t="s">
        <v>64</v>
      </c>
      <c r="E580" s="21" t="s">
        <v>91</v>
      </c>
      <c r="F580" s="21" t="n">
        <v>7.57</v>
      </c>
      <c r="G580" s="21" t="n">
        <v>603</v>
      </c>
      <c r="H580" s="21" t="n">
        <v>3</v>
      </c>
      <c r="I580" s="21" t="s">
        <v>113</v>
      </c>
      <c r="J580" s="21" t="n">
        <v>39</v>
      </c>
      <c r="K580" s="32" t="n">
        <f aca="false">ROUND(Assumptions!$B$4*MIN(G580/Assumptions!$B$11,1)*100+Assumptions!$B$5*F580/10*100+Assumptions!$B$6*MIN(H580/Assumptions!$B$12,1)*100+Assumptions!$B$7*J580+Assumptions!$B$8*IF(I580="Yes",100,0),1)</f>
        <v>64.9</v>
      </c>
      <c r="L580" s="21" t="str">
        <f aca="false">LOOKUP(K580,Assumptions!$D$4:$D$7,Assumptions!$E$4:$E$7)</f>
        <v>Developing</v>
      </c>
      <c r="M580" s="21" t="n">
        <f aca="false">COUNTIFS(Applications!$B$2:$B$3144,A580)</f>
        <v>5</v>
      </c>
      <c r="N580" s="21" t="n">
        <f aca="false">COUNTIFS(Applications!$B$2:$B$3144,A580,Applications!$F$2:$F$3144,"Offered")</f>
        <v>2</v>
      </c>
      <c r="O580" s="21" t="str">
        <f aca="false">IF(COUNTIFS(Applications!$B$2:$B$3144,A580,Applications!$H$2:$H$3144,"Yes")&gt;0,"Yes","No")</f>
        <v>Yes</v>
      </c>
      <c r="P580" s="32" t="n">
        <f aca="false">SUMIFS(Applications!$G$2:$G$3144,Applications!$B$2:$B$3144,A580,Applications!$H$2:$H$3144,"Yes")</f>
        <v>5.9</v>
      </c>
      <c r="Q580" s="21" t="str">
        <f aca="false">IF(O580="Yes",INDEX(Companies!$B$2:$B$31,MATCH(INDEX(Applications!$C$2:$C$3144,MATCH(A580,Applications!$P$2:$P$3144,0)),Companies!$A$2:$A$31,0)),"-")</f>
        <v>DataHarbor</v>
      </c>
    </row>
    <row r="581" customFormat="false" ht="15" hidden="false" customHeight="false" outlineLevel="0" collapsed="false">
      <c r="A581" s="21" t="s">
        <v>1127</v>
      </c>
      <c r="B581" s="21" t="s">
        <v>1128</v>
      </c>
      <c r="C581" s="21" t="s">
        <v>810</v>
      </c>
      <c r="D581" s="21" t="s">
        <v>67</v>
      </c>
      <c r="E581" s="21" t="s">
        <v>90</v>
      </c>
      <c r="F581" s="21" t="n">
        <v>6.19</v>
      </c>
      <c r="G581" s="21" t="n">
        <v>183</v>
      </c>
      <c r="H581" s="21" t="n">
        <v>4</v>
      </c>
      <c r="I581" s="21" t="s">
        <v>113</v>
      </c>
      <c r="J581" s="21" t="n">
        <v>63</v>
      </c>
      <c r="K581" s="32" t="n">
        <f aca="false">ROUND(Assumptions!$B$4*MIN(G581/Assumptions!$B$11,1)*100+Assumptions!$B$5*F581/10*100+Assumptions!$B$6*MIN(H581/Assumptions!$B$12,1)*100+Assumptions!$B$7*J581+Assumptions!$B$8*IF(I581="Yes",100,0),1)</f>
        <v>52</v>
      </c>
      <c r="L581" s="21" t="str">
        <f aca="false">LOOKUP(K581,Assumptions!$D$4:$D$7,Assumptions!$E$4:$E$7)</f>
        <v>Developing</v>
      </c>
      <c r="M581" s="21" t="n">
        <f aca="false">COUNTIFS(Applications!$B$2:$B$3144,A581)</f>
        <v>4</v>
      </c>
      <c r="N581" s="21" t="n">
        <f aca="false">COUNTIFS(Applications!$B$2:$B$3144,A581,Applications!$F$2:$F$3144,"Offered")</f>
        <v>0</v>
      </c>
      <c r="O581" s="21" t="str">
        <f aca="false">IF(COUNTIFS(Applications!$B$2:$B$3144,A581,Applications!$H$2:$H$3144,"Yes")&gt;0,"Yes","No")</f>
        <v>No</v>
      </c>
      <c r="P581" s="32" t="n">
        <f aca="false">SUMIFS(Applications!$G$2:$G$3144,Applications!$B$2:$B$3144,A581,Applications!$H$2:$H$3144,"Yes")</f>
        <v>0</v>
      </c>
      <c r="Q581" s="21" t="str">
        <f aca="false">IF(O581="Yes",INDEX(Companies!$B$2:$B$31,MATCH(INDEX(Applications!$C$2:$C$3144,MATCH(A581,Applications!$P$2:$P$3144,0)),Companies!$A$2:$A$31,0)),"-")</f>
        <v>-</v>
      </c>
    </row>
    <row r="582" customFormat="false" ht="15" hidden="false" customHeight="false" outlineLevel="0" collapsed="false">
      <c r="A582" s="21" t="s">
        <v>1129</v>
      </c>
      <c r="B582" s="21" t="s">
        <v>753</v>
      </c>
      <c r="C582" s="21" t="s">
        <v>810</v>
      </c>
      <c r="D582" s="21" t="s">
        <v>64</v>
      </c>
      <c r="E582" s="21" t="s">
        <v>91</v>
      </c>
      <c r="F582" s="21" t="n">
        <v>8.19</v>
      </c>
      <c r="G582" s="21" t="n">
        <v>487</v>
      </c>
      <c r="H582" s="21" t="n">
        <v>3</v>
      </c>
      <c r="I582" s="21" t="s">
        <v>120</v>
      </c>
      <c r="J582" s="21" t="n">
        <v>85</v>
      </c>
      <c r="K582" s="32" t="n">
        <f aca="false">ROUND(Assumptions!$B$4*MIN(G582/Assumptions!$B$11,1)*100+Assumptions!$B$5*F582/10*100+Assumptions!$B$6*MIN(H582/Assumptions!$B$12,1)*100+Assumptions!$B$7*J582+Assumptions!$B$8*IF(I582="Yes",100,0),1)</f>
        <v>84.6</v>
      </c>
      <c r="L582" s="21" t="str">
        <f aca="false">LOOKUP(K582,Assumptions!$D$4:$D$7,Assumptions!$E$4:$E$7)</f>
        <v>Elite</v>
      </c>
      <c r="M582" s="21" t="n">
        <f aca="false">COUNTIFS(Applications!$B$2:$B$3144,A582)</f>
        <v>8</v>
      </c>
      <c r="N582" s="21" t="n">
        <f aca="false">COUNTIFS(Applications!$B$2:$B$3144,A582,Applications!$F$2:$F$3144,"Offered")</f>
        <v>4</v>
      </c>
      <c r="O582" s="21" t="str">
        <f aca="false">IF(COUNTIFS(Applications!$B$2:$B$3144,A582,Applications!$H$2:$H$3144,"Yes")&gt;0,"Yes","No")</f>
        <v>Yes</v>
      </c>
      <c r="P582" s="32" t="n">
        <f aca="false">SUMIFS(Applications!$G$2:$G$3144,Applications!$B$2:$B$3144,A582,Applications!$H$2:$H$3144,"Yes")</f>
        <v>13.8</v>
      </c>
      <c r="Q582" s="21" t="str">
        <f aca="false">IF(O582="Yes",INDEX(Companies!$B$2:$B$31,MATCH(INDEX(Applications!$C$2:$C$3144,MATCH(A582,Applications!$P$2:$P$3144,0)),Companies!$A$2:$A$31,0)),"-")</f>
        <v>LearnLoop</v>
      </c>
    </row>
    <row r="583" customFormat="false" ht="15" hidden="false" customHeight="false" outlineLevel="0" collapsed="false">
      <c r="A583" s="21" t="s">
        <v>1130</v>
      </c>
      <c r="B583" s="21" t="s">
        <v>455</v>
      </c>
      <c r="C583" s="21" t="s">
        <v>810</v>
      </c>
      <c r="D583" s="21" t="s">
        <v>65</v>
      </c>
      <c r="E583" s="21" t="s">
        <v>91</v>
      </c>
      <c r="F583" s="21" t="n">
        <v>6.41</v>
      </c>
      <c r="G583" s="21" t="n">
        <v>217</v>
      </c>
      <c r="H583" s="21" t="n">
        <v>3</v>
      </c>
      <c r="I583" s="21" t="s">
        <v>120</v>
      </c>
      <c r="J583" s="21" t="n">
        <v>90</v>
      </c>
      <c r="K583" s="32" t="n">
        <f aca="false">ROUND(Assumptions!$B$4*MIN(G583/Assumptions!$B$11,1)*100+Assumptions!$B$5*F583/10*100+Assumptions!$B$6*MIN(H583/Assumptions!$B$12,1)*100+Assumptions!$B$7*J583+Assumptions!$B$8*IF(I583="Yes",100,0),1)</f>
        <v>65.8</v>
      </c>
      <c r="L583" s="21" t="str">
        <f aca="false">LOOKUP(K583,Assumptions!$D$4:$D$7,Assumptions!$E$4:$E$7)</f>
        <v>Job-Ready</v>
      </c>
      <c r="M583" s="21" t="n">
        <f aca="false">COUNTIFS(Applications!$B$2:$B$3144,A583)</f>
        <v>6</v>
      </c>
      <c r="N583" s="21" t="n">
        <f aca="false">COUNTIFS(Applications!$B$2:$B$3144,A583,Applications!$F$2:$F$3144,"Offered")</f>
        <v>2</v>
      </c>
      <c r="O583" s="21" t="str">
        <f aca="false">IF(COUNTIFS(Applications!$B$2:$B$3144,A583,Applications!$H$2:$H$3144,"Yes")&gt;0,"Yes","No")</f>
        <v>Yes</v>
      </c>
      <c r="P583" s="32" t="n">
        <f aca="false">SUMIFS(Applications!$G$2:$G$3144,Applications!$B$2:$B$3144,A583,Applications!$H$2:$H$3144,"Yes")</f>
        <v>8.5</v>
      </c>
      <c r="Q583" s="21" t="str">
        <f aca="false">IF(O583="Yes",INDEX(Companies!$B$2:$B$31,MATCH(INDEX(Applications!$C$2:$C$3144,MATCH(A583,Applications!$P$2:$P$3144,0)),Companies!$A$2:$A$31,0)),"-")</f>
        <v>ShopSprint</v>
      </c>
    </row>
    <row r="584" customFormat="false" ht="15" hidden="false" customHeight="false" outlineLevel="0" collapsed="false">
      <c r="A584" s="21" t="s">
        <v>1131</v>
      </c>
      <c r="B584" s="21" t="s">
        <v>1132</v>
      </c>
      <c r="C584" s="21" t="s">
        <v>810</v>
      </c>
      <c r="D584" s="21" t="s">
        <v>65</v>
      </c>
      <c r="E584" s="21" t="s">
        <v>91</v>
      </c>
      <c r="F584" s="21" t="n">
        <v>8.15</v>
      </c>
      <c r="G584" s="21" t="n">
        <v>189</v>
      </c>
      <c r="H584" s="21" t="n">
        <v>3</v>
      </c>
      <c r="I584" s="21" t="s">
        <v>120</v>
      </c>
      <c r="J584" s="21" t="n">
        <v>36</v>
      </c>
      <c r="K584" s="32" t="n">
        <f aca="false">ROUND(Assumptions!$B$4*MIN(G584/Assumptions!$B$11,1)*100+Assumptions!$B$5*F584/10*100+Assumptions!$B$6*MIN(H584/Assumptions!$B$12,1)*100+Assumptions!$B$7*J584+Assumptions!$B$8*IF(I584="Yes",100,0),1)</f>
        <v>56.8</v>
      </c>
      <c r="L584" s="21" t="str">
        <f aca="false">LOOKUP(K584,Assumptions!$D$4:$D$7,Assumptions!$E$4:$E$7)</f>
        <v>Developing</v>
      </c>
      <c r="M584" s="21" t="n">
        <f aca="false">COUNTIFS(Applications!$B$2:$B$3144,A584)</f>
        <v>4</v>
      </c>
      <c r="N584" s="21" t="n">
        <f aca="false">COUNTIFS(Applications!$B$2:$B$3144,A584,Applications!$F$2:$F$3144,"Offered")</f>
        <v>0</v>
      </c>
      <c r="O584" s="21" t="str">
        <f aca="false">IF(COUNTIFS(Applications!$B$2:$B$3144,A584,Applications!$H$2:$H$3144,"Yes")&gt;0,"Yes","No")</f>
        <v>No</v>
      </c>
      <c r="P584" s="32" t="n">
        <f aca="false">SUMIFS(Applications!$G$2:$G$3144,Applications!$B$2:$B$3144,A584,Applications!$H$2:$H$3144,"Yes")</f>
        <v>0</v>
      </c>
      <c r="Q584" s="21" t="str">
        <f aca="false">IF(O584="Yes",INDEX(Companies!$B$2:$B$31,MATCH(INDEX(Applications!$C$2:$C$3144,MATCH(A584,Applications!$P$2:$P$3144,0)),Companies!$A$2:$A$31,0)),"-")</f>
        <v>-</v>
      </c>
    </row>
    <row r="585" customFormat="false" ht="15" hidden="false" customHeight="false" outlineLevel="0" collapsed="false">
      <c r="A585" s="21" t="s">
        <v>1133</v>
      </c>
      <c r="B585" s="21" t="s">
        <v>1134</v>
      </c>
      <c r="C585" s="21" t="s">
        <v>810</v>
      </c>
      <c r="D585" s="21" t="s">
        <v>65</v>
      </c>
      <c r="E585" s="21" t="s">
        <v>91</v>
      </c>
      <c r="F585" s="21" t="n">
        <v>7.52</v>
      </c>
      <c r="G585" s="21" t="n">
        <v>274</v>
      </c>
      <c r="H585" s="21" t="n">
        <v>7</v>
      </c>
      <c r="I585" s="21" t="s">
        <v>113</v>
      </c>
      <c r="J585" s="21" t="n">
        <v>75</v>
      </c>
      <c r="K585" s="32" t="n">
        <f aca="false">ROUND(Assumptions!$B$4*MIN(G585/Assumptions!$B$11,1)*100+Assumptions!$B$5*F585/10*100+Assumptions!$B$6*MIN(H585/Assumptions!$B$12,1)*100+Assumptions!$B$7*J585+Assumptions!$B$8*IF(I585="Yes",100,0),1)</f>
        <v>66.5</v>
      </c>
      <c r="L585" s="21" t="str">
        <f aca="false">LOOKUP(K585,Assumptions!$D$4:$D$7,Assumptions!$E$4:$E$7)</f>
        <v>Job-Ready</v>
      </c>
      <c r="M585" s="21" t="n">
        <f aca="false">COUNTIFS(Applications!$B$2:$B$3144,A585)</f>
        <v>5</v>
      </c>
      <c r="N585" s="21" t="n">
        <f aca="false">COUNTIFS(Applications!$B$2:$B$3144,A585,Applications!$F$2:$F$3144,"Offered")</f>
        <v>1</v>
      </c>
      <c r="O585" s="21" t="str">
        <f aca="false">IF(COUNTIFS(Applications!$B$2:$B$3144,A585,Applications!$H$2:$H$3144,"Yes")&gt;0,"Yes","No")</f>
        <v>Yes</v>
      </c>
      <c r="P585" s="32" t="n">
        <f aca="false">SUMIFS(Applications!$G$2:$G$3144,Applications!$B$2:$B$3144,A585,Applications!$H$2:$H$3144,"Yes")</f>
        <v>5.9</v>
      </c>
      <c r="Q585" s="21" t="str">
        <f aca="false">IF(O585="Yes",INDEX(Companies!$B$2:$B$31,MATCH(INDEX(Applications!$C$2:$C$3144,MATCH(A585,Applications!$P$2:$P$3144,0)),Companies!$A$2:$A$31,0)),"-")</f>
        <v>CodeCrest Solutions</v>
      </c>
    </row>
    <row r="586" customFormat="false" ht="15" hidden="false" customHeight="false" outlineLevel="0" collapsed="false">
      <c r="A586" s="21" t="s">
        <v>1135</v>
      </c>
      <c r="B586" s="21" t="s">
        <v>322</v>
      </c>
      <c r="C586" s="21" t="s">
        <v>810</v>
      </c>
      <c r="D586" s="21" t="s">
        <v>65</v>
      </c>
      <c r="E586" s="21" t="s">
        <v>92</v>
      </c>
      <c r="F586" s="21" t="n">
        <v>5.45</v>
      </c>
      <c r="G586" s="21" t="n">
        <v>221</v>
      </c>
      <c r="H586" s="21" t="n">
        <v>3</v>
      </c>
      <c r="I586" s="21" t="s">
        <v>113</v>
      </c>
      <c r="J586" s="21" t="n">
        <v>74</v>
      </c>
      <c r="K586" s="32" t="n">
        <f aca="false">ROUND(Assumptions!$B$4*MIN(G586/Assumptions!$B$11,1)*100+Assumptions!$B$5*F586/10*100+Assumptions!$B$6*MIN(H586/Assumptions!$B$12,1)*100+Assumptions!$B$7*J586+Assumptions!$B$8*IF(I586="Yes",100,0),1)</f>
        <v>51</v>
      </c>
      <c r="L586" s="21" t="str">
        <f aca="false">LOOKUP(K586,Assumptions!$D$4:$D$7,Assumptions!$E$4:$E$7)</f>
        <v>Developing</v>
      </c>
      <c r="M586" s="21" t="n">
        <f aca="false">COUNTIFS(Applications!$B$2:$B$3144,A586)</f>
        <v>2</v>
      </c>
      <c r="N586" s="21" t="n">
        <f aca="false">COUNTIFS(Applications!$B$2:$B$3144,A586,Applications!$F$2:$F$3144,"Offered")</f>
        <v>0</v>
      </c>
      <c r="O586" s="21" t="str">
        <f aca="false">IF(COUNTIFS(Applications!$B$2:$B$3144,A586,Applications!$H$2:$H$3144,"Yes")&gt;0,"Yes","No")</f>
        <v>No</v>
      </c>
      <c r="P586" s="32" t="n">
        <f aca="false">SUMIFS(Applications!$G$2:$G$3144,Applications!$B$2:$B$3144,A586,Applications!$H$2:$H$3144,"Yes")</f>
        <v>0</v>
      </c>
      <c r="Q586" s="21" t="str">
        <f aca="false">IF(O586="Yes",INDEX(Companies!$B$2:$B$31,MATCH(INDEX(Applications!$C$2:$C$3144,MATCH(A586,Applications!$P$2:$P$3144,0)),Companies!$A$2:$A$31,0)),"-")</f>
        <v>-</v>
      </c>
    </row>
    <row r="587" customFormat="false" ht="15" hidden="false" customHeight="false" outlineLevel="0" collapsed="false">
      <c r="A587" s="21" t="s">
        <v>1136</v>
      </c>
      <c r="B587" s="21" t="s">
        <v>1137</v>
      </c>
      <c r="C587" s="21" t="s">
        <v>810</v>
      </c>
      <c r="D587" s="21" t="s">
        <v>65</v>
      </c>
      <c r="E587" s="21" t="s">
        <v>91</v>
      </c>
      <c r="F587" s="21" t="n">
        <v>6.93</v>
      </c>
      <c r="G587" s="21" t="n">
        <v>248</v>
      </c>
      <c r="H587" s="21" t="n">
        <v>4</v>
      </c>
      <c r="I587" s="21" t="s">
        <v>120</v>
      </c>
      <c r="J587" s="21" t="n">
        <v>43</v>
      </c>
      <c r="K587" s="32" t="n">
        <f aca="false">ROUND(Assumptions!$B$4*MIN(G587/Assumptions!$B$11,1)*100+Assumptions!$B$5*F587/10*100+Assumptions!$B$6*MIN(H587/Assumptions!$B$12,1)*100+Assumptions!$B$7*J587+Assumptions!$B$8*IF(I587="Yes",100,0),1)</f>
        <v>63.3</v>
      </c>
      <c r="L587" s="21" t="str">
        <f aca="false">LOOKUP(K587,Assumptions!$D$4:$D$7,Assumptions!$E$4:$E$7)</f>
        <v>Developing</v>
      </c>
      <c r="M587" s="21" t="n">
        <f aca="false">COUNTIFS(Applications!$B$2:$B$3144,A587)</f>
        <v>5</v>
      </c>
      <c r="N587" s="21" t="n">
        <f aca="false">COUNTIFS(Applications!$B$2:$B$3144,A587,Applications!$F$2:$F$3144,"Offered")</f>
        <v>1</v>
      </c>
      <c r="O587" s="21" t="str">
        <f aca="false">IF(COUNTIFS(Applications!$B$2:$B$3144,A587,Applications!$H$2:$H$3144,"Yes")&gt;0,"Yes","No")</f>
        <v>Yes</v>
      </c>
      <c r="P587" s="32" t="n">
        <f aca="false">SUMIFS(Applications!$G$2:$G$3144,Applications!$B$2:$B$3144,A587,Applications!$H$2:$H$3144,"Yes")</f>
        <v>5.6</v>
      </c>
      <c r="Q587" s="21" t="str">
        <f aca="false">IF(O587="Yes",INDEX(Companies!$B$2:$B$31,MATCH(INDEX(Applications!$C$2:$C$3144,MATCH(A587,Applications!$P$2:$P$3144,0)),Companies!$A$2:$A$31,0)),"-")</f>
        <v>LearnEasy</v>
      </c>
    </row>
    <row r="588" customFormat="false" ht="15" hidden="false" customHeight="false" outlineLevel="0" collapsed="false">
      <c r="A588" s="21" t="s">
        <v>1138</v>
      </c>
      <c r="B588" s="21" t="s">
        <v>973</v>
      </c>
      <c r="C588" s="21" t="s">
        <v>810</v>
      </c>
      <c r="D588" s="21" t="s">
        <v>64</v>
      </c>
      <c r="E588" s="21" t="s">
        <v>91</v>
      </c>
      <c r="F588" s="21" t="n">
        <v>8.62</v>
      </c>
      <c r="G588" s="21" t="n">
        <v>216</v>
      </c>
      <c r="H588" s="21" t="n">
        <v>1</v>
      </c>
      <c r="I588" s="21" t="s">
        <v>120</v>
      </c>
      <c r="J588" s="21" t="n">
        <v>67</v>
      </c>
      <c r="K588" s="32" t="n">
        <f aca="false">ROUND(Assumptions!$B$4*MIN(G588/Assumptions!$B$11,1)*100+Assumptions!$B$5*F588/10*100+Assumptions!$B$6*MIN(H588/Assumptions!$B$12,1)*100+Assumptions!$B$7*J588+Assumptions!$B$8*IF(I588="Yes",100,0),1)</f>
        <v>57.6</v>
      </c>
      <c r="L588" s="21" t="str">
        <f aca="false">LOOKUP(K588,Assumptions!$D$4:$D$7,Assumptions!$E$4:$E$7)</f>
        <v>Developing</v>
      </c>
      <c r="M588" s="21" t="n">
        <f aca="false">COUNTIFS(Applications!$B$2:$B$3144,A588)</f>
        <v>9</v>
      </c>
      <c r="N588" s="21" t="n">
        <f aca="false">COUNTIFS(Applications!$B$2:$B$3144,A588,Applications!$F$2:$F$3144,"Offered")</f>
        <v>2</v>
      </c>
      <c r="O588" s="21" t="str">
        <f aca="false">IF(COUNTIFS(Applications!$B$2:$B$3144,A588,Applications!$H$2:$H$3144,"Yes")&gt;0,"Yes","No")</f>
        <v>Yes</v>
      </c>
      <c r="P588" s="32" t="n">
        <f aca="false">SUMIFS(Applications!$G$2:$G$3144,Applications!$B$2:$B$3144,A588,Applications!$H$2:$H$3144,"Yes")</f>
        <v>8.5</v>
      </c>
      <c r="Q588" s="21" t="str">
        <f aca="false">IF(O588="Yes",INDEX(Companies!$B$2:$B$31,MATCH(INDEX(Applications!$C$2:$C$3144,MATCH(A588,Applications!$P$2:$P$3144,0)),Companies!$A$2:$A$31,0)),"-")</f>
        <v>VitalByte</v>
      </c>
    </row>
    <row r="589" customFormat="false" ht="15" hidden="false" customHeight="false" outlineLevel="0" collapsed="false">
      <c r="A589" s="21" t="s">
        <v>1139</v>
      </c>
      <c r="B589" s="21" t="s">
        <v>1140</v>
      </c>
      <c r="C589" s="21" t="s">
        <v>810</v>
      </c>
      <c r="D589" s="21" t="s">
        <v>63</v>
      </c>
      <c r="E589" s="21" t="s">
        <v>90</v>
      </c>
      <c r="F589" s="21" t="n">
        <v>6.62</v>
      </c>
      <c r="G589" s="21" t="n">
        <v>354</v>
      </c>
      <c r="H589" s="21" t="n">
        <v>2</v>
      </c>
      <c r="I589" s="21" t="s">
        <v>113</v>
      </c>
      <c r="J589" s="21" t="n">
        <v>45</v>
      </c>
      <c r="K589" s="32" t="n">
        <f aca="false">ROUND(Assumptions!$B$4*MIN(G589/Assumptions!$B$11,1)*100+Assumptions!$B$5*F589/10*100+Assumptions!$B$6*MIN(H589/Assumptions!$B$12,1)*100+Assumptions!$B$7*J589+Assumptions!$B$8*IF(I589="Yes",100,0),1)</f>
        <v>51.5</v>
      </c>
      <c r="L589" s="21" t="str">
        <f aca="false">LOOKUP(K589,Assumptions!$D$4:$D$7,Assumptions!$E$4:$E$7)</f>
        <v>Developing</v>
      </c>
      <c r="M589" s="21" t="n">
        <f aca="false">COUNTIFS(Applications!$B$2:$B$3144,A589)</f>
        <v>4</v>
      </c>
      <c r="N589" s="21" t="n">
        <f aca="false">COUNTIFS(Applications!$B$2:$B$3144,A589,Applications!$F$2:$F$3144,"Offered")</f>
        <v>1</v>
      </c>
      <c r="O589" s="21" t="str">
        <f aca="false">IF(COUNTIFS(Applications!$B$2:$B$3144,A589,Applications!$H$2:$H$3144,"Yes")&gt;0,"Yes","No")</f>
        <v>Yes</v>
      </c>
      <c r="P589" s="32" t="n">
        <f aca="false">SUMIFS(Applications!$G$2:$G$3144,Applications!$B$2:$B$3144,A589,Applications!$H$2:$H$3144,"Yes")</f>
        <v>5.8</v>
      </c>
      <c r="Q589" s="21" t="str">
        <f aca="false">IF(O589="Yes",INDEX(Companies!$B$2:$B$31,MATCH(INDEX(Applications!$C$2:$C$3144,MATCH(A589,Applications!$P$2:$P$3144,0)),Companies!$A$2:$A$31,0)),"-")</f>
        <v>InfoNova Services</v>
      </c>
    </row>
    <row r="590" customFormat="false" ht="15" hidden="false" customHeight="false" outlineLevel="0" collapsed="false">
      <c r="A590" s="21" t="s">
        <v>1141</v>
      </c>
      <c r="B590" s="21" t="s">
        <v>1142</v>
      </c>
      <c r="C590" s="21" t="s">
        <v>810</v>
      </c>
      <c r="D590" s="21" t="s">
        <v>64</v>
      </c>
      <c r="E590" s="21" t="s">
        <v>92</v>
      </c>
      <c r="F590" s="21" t="n">
        <v>7.65</v>
      </c>
      <c r="G590" s="21" t="n">
        <v>173</v>
      </c>
      <c r="H590" s="21" t="n">
        <v>4</v>
      </c>
      <c r="I590" s="21" t="s">
        <v>113</v>
      </c>
      <c r="J590" s="21" t="n">
        <v>62</v>
      </c>
      <c r="K590" s="32" t="n">
        <f aca="false">ROUND(Assumptions!$B$4*MIN(G590/Assumptions!$B$11,1)*100+Assumptions!$B$5*F590/10*100+Assumptions!$B$6*MIN(H590/Assumptions!$B$12,1)*100+Assumptions!$B$7*J590+Assumptions!$B$8*IF(I590="Yes",100,0),1)</f>
        <v>54.1</v>
      </c>
      <c r="L590" s="21" t="str">
        <f aca="false">LOOKUP(K590,Assumptions!$D$4:$D$7,Assumptions!$E$4:$E$7)</f>
        <v>Developing</v>
      </c>
      <c r="M590" s="21" t="n">
        <f aca="false">COUNTIFS(Applications!$B$2:$B$3144,A590)</f>
        <v>5</v>
      </c>
      <c r="N590" s="21" t="n">
        <f aca="false">COUNTIFS(Applications!$B$2:$B$3144,A590,Applications!$F$2:$F$3144,"Offered")</f>
        <v>0</v>
      </c>
      <c r="O590" s="21" t="str">
        <f aca="false">IF(COUNTIFS(Applications!$B$2:$B$3144,A590,Applications!$H$2:$H$3144,"Yes")&gt;0,"Yes","No")</f>
        <v>No</v>
      </c>
      <c r="P590" s="32" t="n">
        <f aca="false">SUMIFS(Applications!$G$2:$G$3144,Applications!$B$2:$B$3144,A590,Applications!$H$2:$H$3144,"Yes")</f>
        <v>0</v>
      </c>
      <c r="Q590" s="21" t="str">
        <f aca="false">IF(O590="Yes",INDEX(Companies!$B$2:$B$31,MATCH(INDEX(Applications!$C$2:$C$3144,MATCH(A590,Applications!$P$2:$P$3144,0)),Companies!$A$2:$A$31,0)),"-")</f>
        <v>-</v>
      </c>
    </row>
    <row r="591" customFormat="false" ht="15" hidden="false" customHeight="false" outlineLevel="0" collapsed="false">
      <c r="A591" s="21" t="s">
        <v>1143</v>
      </c>
      <c r="B591" s="21" t="s">
        <v>1144</v>
      </c>
      <c r="C591" s="21" t="s">
        <v>810</v>
      </c>
      <c r="D591" s="21" t="s">
        <v>66</v>
      </c>
      <c r="E591" s="21" t="s">
        <v>90</v>
      </c>
      <c r="F591" s="21" t="n">
        <v>7.18</v>
      </c>
      <c r="G591" s="21" t="n">
        <v>706</v>
      </c>
      <c r="H591" s="21" t="n">
        <v>4</v>
      </c>
      <c r="I591" s="21" t="s">
        <v>120</v>
      </c>
      <c r="J591" s="21" t="n">
        <v>74</v>
      </c>
      <c r="K591" s="32" t="n">
        <f aca="false">ROUND(Assumptions!$B$4*MIN(G591/Assumptions!$B$11,1)*100+Assumptions!$B$5*F591/10*100+Assumptions!$B$6*MIN(H591/Assumptions!$B$12,1)*100+Assumptions!$B$7*J591+Assumptions!$B$8*IF(I591="Yes",100,0),1)</f>
        <v>85.2</v>
      </c>
      <c r="L591" s="21" t="str">
        <f aca="false">LOOKUP(K591,Assumptions!$D$4:$D$7,Assumptions!$E$4:$E$7)</f>
        <v>Elite</v>
      </c>
      <c r="M591" s="21" t="n">
        <f aca="false">COUNTIFS(Applications!$B$2:$B$3144,A591)</f>
        <v>7</v>
      </c>
      <c r="N591" s="21" t="n">
        <f aca="false">COUNTIFS(Applications!$B$2:$B$3144,A591,Applications!$F$2:$F$3144,"Offered")</f>
        <v>7</v>
      </c>
      <c r="O591" s="21" t="str">
        <f aca="false">IF(COUNTIFS(Applications!$B$2:$B$3144,A591,Applications!$H$2:$H$3144,"Yes")&gt;0,"Yes","No")</f>
        <v>Yes</v>
      </c>
      <c r="P591" s="32" t="n">
        <f aca="false">SUMIFS(Applications!$G$2:$G$3144,Applications!$B$2:$B$3144,A591,Applications!$H$2:$H$3144,"Yes")</f>
        <v>12.9</v>
      </c>
      <c r="Q591" s="21" t="str">
        <f aca="false">IF(O591="Yes",INDEX(Companies!$B$2:$B$31,MATCH(INDEX(Applications!$C$2:$C$3144,MATCH(A591,Applications!$P$2:$P$3144,0)),Companies!$A$2:$A$31,0)),"-")</f>
        <v>MediSphere</v>
      </c>
    </row>
    <row r="592" customFormat="false" ht="15" hidden="false" customHeight="false" outlineLevel="0" collapsed="false">
      <c r="A592" s="21" t="s">
        <v>1145</v>
      </c>
      <c r="B592" s="21" t="s">
        <v>1146</v>
      </c>
      <c r="C592" s="21" t="s">
        <v>810</v>
      </c>
      <c r="D592" s="21" t="s">
        <v>66</v>
      </c>
      <c r="E592" s="21" t="s">
        <v>92</v>
      </c>
      <c r="F592" s="21" t="n">
        <v>8.01</v>
      </c>
      <c r="G592" s="21" t="n">
        <v>381</v>
      </c>
      <c r="H592" s="21" t="n">
        <v>2</v>
      </c>
      <c r="I592" s="21" t="s">
        <v>113</v>
      </c>
      <c r="J592" s="21" t="n">
        <v>87</v>
      </c>
      <c r="K592" s="32" t="n">
        <f aca="false">ROUND(Assumptions!$B$4*MIN(G592/Assumptions!$B$11,1)*100+Assumptions!$B$5*F592/10*100+Assumptions!$B$6*MIN(H592/Assumptions!$B$12,1)*100+Assumptions!$B$7*J592+Assumptions!$B$8*IF(I592="Yes",100,0),1)</f>
        <v>64.3</v>
      </c>
      <c r="L592" s="21" t="str">
        <f aca="false">LOOKUP(K592,Assumptions!$D$4:$D$7,Assumptions!$E$4:$E$7)</f>
        <v>Developing</v>
      </c>
      <c r="M592" s="21" t="n">
        <f aca="false">COUNTIFS(Applications!$B$2:$B$3144,A592)</f>
        <v>7</v>
      </c>
      <c r="N592" s="21" t="n">
        <f aca="false">COUNTIFS(Applications!$B$2:$B$3144,A592,Applications!$F$2:$F$3144,"Offered")</f>
        <v>3</v>
      </c>
      <c r="O592" s="21" t="str">
        <f aca="false">IF(COUNTIFS(Applications!$B$2:$B$3144,A592,Applications!$H$2:$H$3144,"Yes")&gt;0,"Yes","No")</f>
        <v>Yes</v>
      </c>
      <c r="P592" s="32" t="n">
        <f aca="false">SUMIFS(Applications!$G$2:$G$3144,Applications!$B$2:$B$3144,A592,Applications!$H$2:$H$3144,"Yes")</f>
        <v>9.8</v>
      </c>
      <c r="Q592" s="21" t="str">
        <f aca="false">IF(O592="Yes",INDEX(Companies!$B$2:$B$31,MATCH(INDEX(Applications!$C$2:$C$3144,MATCH(A592,Applications!$P$2:$P$3144,0)),Companies!$A$2:$A$31,0)),"-")</f>
        <v>SkillForge</v>
      </c>
    </row>
    <row r="593" customFormat="false" ht="15" hidden="false" customHeight="false" outlineLevel="0" collapsed="false">
      <c r="A593" s="21" t="s">
        <v>1147</v>
      </c>
      <c r="B593" s="21" t="s">
        <v>964</v>
      </c>
      <c r="C593" s="21" t="s">
        <v>810</v>
      </c>
      <c r="D593" s="21" t="s">
        <v>64</v>
      </c>
      <c r="E593" s="21" t="s">
        <v>92</v>
      </c>
      <c r="F593" s="21" t="n">
        <v>7.62</v>
      </c>
      <c r="G593" s="21" t="n">
        <v>228</v>
      </c>
      <c r="H593" s="21" t="n">
        <v>4</v>
      </c>
      <c r="I593" s="21" t="s">
        <v>120</v>
      </c>
      <c r="J593" s="21" t="n">
        <v>64</v>
      </c>
      <c r="K593" s="32" t="n">
        <f aca="false">ROUND(Assumptions!$B$4*MIN(G593/Assumptions!$B$11,1)*100+Assumptions!$B$5*F593/10*100+Assumptions!$B$6*MIN(H593/Assumptions!$B$12,1)*100+Assumptions!$B$7*J593+Assumptions!$B$8*IF(I593="Yes",100,0),1)</f>
        <v>67.7</v>
      </c>
      <c r="L593" s="21" t="str">
        <f aca="false">LOOKUP(K593,Assumptions!$D$4:$D$7,Assumptions!$E$4:$E$7)</f>
        <v>Job-Ready</v>
      </c>
      <c r="M593" s="21" t="n">
        <f aca="false">COUNTIFS(Applications!$B$2:$B$3144,A593)</f>
        <v>12</v>
      </c>
      <c r="N593" s="21" t="n">
        <f aca="false">COUNTIFS(Applications!$B$2:$B$3144,A593,Applications!$F$2:$F$3144,"Offered")</f>
        <v>4</v>
      </c>
      <c r="O593" s="21" t="str">
        <f aca="false">IF(COUNTIFS(Applications!$B$2:$B$3144,A593,Applications!$H$2:$H$3144,"Yes")&gt;0,"Yes","No")</f>
        <v>Yes</v>
      </c>
      <c r="P593" s="32" t="n">
        <f aca="false">SUMIFS(Applications!$G$2:$G$3144,Applications!$B$2:$B$3144,A593,Applications!$H$2:$H$3144,"Yes")</f>
        <v>12.6</v>
      </c>
      <c r="Q593" s="21" t="str">
        <f aca="false">IF(O593="Yes",INDEX(Companies!$B$2:$B$31,MATCH(INDEX(Applications!$C$2:$C$3144,MATCH(A593,Applications!$P$2:$P$3144,0)),Companies!$A$2:$A$31,0)),"-")</f>
        <v>MediSphere</v>
      </c>
    </row>
    <row r="594" customFormat="false" ht="15" hidden="false" customHeight="false" outlineLevel="0" collapsed="false">
      <c r="A594" s="21" t="s">
        <v>1148</v>
      </c>
      <c r="B594" s="21" t="s">
        <v>1149</v>
      </c>
      <c r="C594" s="21" t="s">
        <v>810</v>
      </c>
      <c r="D594" s="21" t="s">
        <v>66</v>
      </c>
      <c r="E594" s="21" t="s">
        <v>90</v>
      </c>
      <c r="F594" s="21" t="n">
        <v>7.43</v>
      </c>
      <c r="G594" s="21" t="n">
        <v>198</v>
      </c>
      <c r="H594" s="21" t="n">
        <v>5</v>
      </c>
      <c r="I594" s="21" t="s">
        <v>120</v>
      </c>
      <c r="J594" s="21" t="n">
        <v>66</v>
      </c>
      <c r="K594" s="32" t="n">
        <f aca="false">ROUND(Assumptions!$B$4*MIN(G594/Assumptions!$B$11,1)*100+Assumptions!$B$5*F594/10*100+Assumptions!$B$6*MIN(H594/Assumptions!$B$12,1)*100+Assumptions!$B$7*J594+Assumptions!$B$8*IF(I594="Yes",100,0),1)</f>
        <v>69.9</v>
      </c>
      <c r="L594" s="21" t="str">
        <f aca="false">LOOKUP(K594,Assumptions!$D$4:$D$7,Assumptions!$E$4:$E$7)</f>
        <v>Job-Ready</v>
      </c>
      <c r="M594" s="21" t="n">
        <f aca="false">COUNTIFS(Applications!$B$2:$B$3144,A594)</f>
        <v>6</v>
      </c>
      <c r="N594" s="21" t="n">
        <f aca="false">COUNTIFS(Applications!$B$2:$B$3144,A594,Applications!$F$2:$F$3144,"Offered")</f>
        <v>3</v>
      </c>
      <c r="O594" s="21" t="str">
        <f aca="false">IF(COUNTIFS(Applications!$B$2:$B$3144,A594,Applications!$H$2:$H$3144,"Yes")&gt;0,"Yes","No")</f>
        <v>Yes</v>
      </c>
      <c r="P594" s="32" t="n">
        <f aca="false">SUMIFS(Applications!$G$2:$G$3144,Applications!$B$2:$B$3144,A594,Applications!$H$2:$H$3144,"Yes")</f>
        <v>25.9</v>
      </c>
      <c r="Q594" s="21" t="str">
        <f aca="false">IF(O594="Yes",INDEX(Companies!$B$2:$B$31,MATCH(INDEX(Applications!$C$2:$C$3144,MATCH(A594,Applications!$P$2:$P$3144,0)),Companies!$A$2:$A$31,0)),"-")</f>
        <v>Zenith Pay</v>
      </c>
    </row>
    <row r="595" customFormat="false" ht="15" hidden="false" customHeight="false" outlineLevel="0" collapsed="false">
      <c r="A595" s="21" t="s">
        <v>1150</v>
      </c>
      <c r="B595" s="21" t="s">
        <v>1151</v>
      </c>
      <c r="C595" s="21" t="s">
        <v>810</v>
      </c>
      <c r="D595" s="21" t="s">
        <v>65</v>
      </c>
      <c r="E595" s="21" t="s">
        <v>92</v>
      </c>
      <c r="F595" s="21" t="n">
        <v>8.04</v>
      </c>
      <c r="G595" s="21" t="n">
        <v>117</v>
      </c>
      <c r="H595" s="21" t="n">
        <v>4</v>
      </c>
      <c r="I595" s="21" t="s">
        <v>113</v>
      </c>
      <c r="J595" s="21" t="n">
        <v>52</v>
      </c>
      <c r="K595" s="32" t="n">
        <f aca="false">ROUND(Assumptions!$B$4*MIN(G595/Assumptions!$B$11,1)*100+Assumptions!$B$5*F595/10*100+Assumptions!$B$6*MIN(H595/Assumptions!$B$12,1)*100+Assumptions!$B$7*J595+Assumptions!$B$8*IF(I595="Yes",100,0),1)</f>
        <v>49.5</v>
      </c>
      <c r="L595" s="21" t="str">
        <f aca="false">LOOKUP(K595,Assumptions!$D$4:$D$7,Assumptions!$E$4:$E$7)</f>
        <v>Foundation</v>
      </c>
      <c r="M595" s="21" t="n">
        <f aca="false">COUNTIFS(Applications!$B$2:$B$3144,A595)</f>
        <v>3</v>
      </c>
      <c r="N595" s="21" t="n">
        <f aca="false">COUNTIFS(Applications!$B$2:$B$3144,A595,Applications!$F$2:$F$3144,"Offered")</f>
        <v>0</v>
      </c>
      <c r="O595" s="21" t="str">
        <f aca="false">IF(COUNTIFS(Applications!$B$2:$B$3144,A595,Applications!$H$2:$H$3144,"Yes")&gt;0,"Yes","No")</f>
        <v>No</v>
      </c>
      <c r="P595" s="32" t="n">
        <f aca="false">SUMIFS(Applications!$G$2:$G$3144,Applications!$B$2:$B$3144,A595,Applications!$H$2:$H$3144,"Yes")</f>
        <v>0</v>
      </c>
      <c r="Q595" s="21" t="str">
        <f aca="false">IF(O595="Yes",INDEX(Companies!$B$2:$B$31,MATCH(INDEX(Applications!$C$2:$C$3144,MATCH(A595,Applications!$P$2:$P$3144,0)),Companies!$A$2:$A$31,0)),"-")</f>
        <v>-</v>
      </c>
    </row>
    <row r="596" customFormat="false" ht="15" hidden="false" customHeight="false" outlineLevel="0" collapsed="false">
      <c r="A596" s="21" t="s">
        <v>1152</v>
      </c>
      <c r="B596" s="21" t="s">
        <v>929</v>
      </c>
      <c r="C596" s="21" t="s">
        <v>810</v>
      </c>
      <c r="D596" s="21" t="s">
        <v>64</v>
      </c>
      <c r="E596" s="21" t="s">
        <v>90</v>
      </c>
      <c r="F596" s="21" t="n">
        <v>6.59</v>
      </c>
      <c r="G596" s="21" t="n">
        <v>715</v>
      </c>
      <c r="H596" s="21" t="n">
        <v>4</v>
      </c>
      <c r="I596" s="21" t="s">
        <v>120</v>
      </c>
      <c r="J596" s="21" t="n">
        <v>72</v>
      </c>
      <c r="K596" s="32" t="n">
        <f aca="false">ROUND(Assumptions!$B$4*MIN(G596/Assumptions!$B$11,1)*100+Assumptions!$B$5*F596/10*100+Assumptions!$B$6*MIN(H596/Assumptions!$B$12,1)*100+Assumptions!$B$7*J596+Assumptions!$B$8*IF(I596="Yes",100,0),1)</f>
        <v>83.6</v>
      </c>
      <c r="L596" s="21" t="str">
        <f aca="false">LOOKUP(K596,Assumptions!$D$4:$D$7,Assumptions!$E$4:$E$7)</f>
        <v>Elite</v>
      </c>
      <c r="M596" s="21" t="n">
        <f aca="false">COUNTIFS(Applications!$B$2:$B$3144,A596)</f>
        <v>9</v>
      </c>
      <c r="N596" s="21" t="n">
        <f aca="false">COUNTIFS(Applications!$B$2:$B$3144,A596,Applications!$F$2:$F$3144,"Offered")</f>
        <v>6</v>
      </c>
      <c r="O596" s="21" t="str">
        <f aca="false">IF(COUNTIFS(Applications!$B$2:$B$3144,A596,Applications!$H$2:$H$3144,"Yes")&gt;0,"Yes","No")</f>
        <v>Yes</v>
      </c>
      <c r="P596" s="32" t="n">
        <f aca="false">SUMIFS(Applications!$G$2:$G$3144,Applications!$B$2:$B$3144,A596,Applications!$H$2:$H$3144,"Yes")</f>
        <v>15.6</v>
      </c>
      <c r="Q596" s="21" t="str">
        <f aca="false">IF(O596="Yes",INDEX(Companies!$B$2:$B$31,MATCH(INDEX(Applications!$C$2:$C$3144,MATCH(A596,Applications!$P$2:$P$3144,0)),Companies!$A$2:$A$31,0)),"-")</f>
        <v>FinStack</v>
      </c>
    </row>
    <row r="597" customFormat="false" ht="15" hidden="false" customHeight="false" outlineLevel="0" collapsed="false">
      <c r="A597" s="21" t="s">
        <v>1153</v>
      </c>
      <c r="B597" s="21" t="s">
        <v>357</v>
      </c>
      <c r="C597" s="21" t="s">
        <v>810</v>
      </c>
      <c r="D597" s="21" t="s">
        <v>65</v>
      </c>
      <c r="E597" s="21" t="s">
        <v>90</v>
      </c>
      <c r="F597" s="21" t="n">
        <v>6.48</v>
      </c>
      <c r="G597" s="21" t="n">
        <v>180</v>
      </c>
      <c r="H597" s="21" t="n">
        <v>5</v>
      </c>
      <c r="I597" s="21" t="s">
        <v>113</v>
      </c>
      <c r="J597" s="21" t="n">
        <v>63</v>
      </c>
      <c r="K597" s="32" t="n">
        <f aca="false">ROUND(Assumptions!$B$4*MIN(G597/Assumptions!$B$11,1)*100+Assumptions!$B$5*F597/10*100+Assumptions!$B$6*MIN(H597/Assumptions!$B$12,1)*100+Assumptions!$B$7*J597+Assumptions!$B$8*IF(I597="Yes",100,0),1)</f>
        <v>56.4</v>
      </c>
      <c r="L597" s="21" t="str">
        <f aca="false">LOOKUP(K597,Assumptions!$D$4:$D$7,Assumptions!$E$4:$E$7)</f>
        <v>Developing</v>
      </c>
      <c r="M597" s="21" t="n">
        <f aca="false">COUNTIFS(Applications!$B$2:$B$3144,A597)</f>
        <v>7</v>
      </c>
      <c r="N597" s="21" t="n">
        <f aca="false">COUNTIFS(Applications!$B$2:$B$3144,A597,Applications!$F$2:$F$3144,"Offered")</f>
        <v>1</v>
      </c>
      <c r="O597" s="21" t="str">
        <f aca="false">IF(COUNTIFS(Applications!$B$2:$B$3144,A597,Applications!$H$2:$H$3144,"Yes")&gt;0,"Yes","No")</f>
        <v>Yes</v>
      </c>
      <c r="P597" s="32" t="n">
        <f aca="false">SUMIFS(Applications!$G$2:$G$3144,Applications!$B$2:$B$3144,A597,Applications!$H$2:$H$3144,"Yes")</f>
        <v>6.5</v>
      </c>
      <c r="Q597" s="21" t="str">
        <f aca="false">IF(O597="Yes",INDEX(Companies!$B$2:$B$31,MATCH(INDEX(Applications!$C$2:$C$3144,MATCH(A597,Applications!$P$2:$P$3144,0)),Companies!$A$2:$A$31,0)),"-")</f>
        <v>DataHarbor</v>
      </c>
    </row>
    <row r="598" customFormat="false" ht="15" hidden="false" customHeight="false" outlineLevel="0" collapsed="false">
      <c r="A598" s="21" t="s">
        <v>1154</v>
      </c>
      <c r="B598" s="21" t="s">
        <v>779</v>
      </c>
      <c r="C598" s="21" t="s">
        <v>810</v>
      </c>
      <c r="D598" s="21" t="s">
        <v>65</v>
      </c>
      <c r="E598" s="21" t="s">
        <v>91</v>
      </c>
      <c r="F598" s="21" t="n">
        <v>7.34</v>
      </c>
      <c r="G598" s="21" t="n">
        <v>106</v>
      </c>
      <c r="H598" s="21" t="n">
        <v>6</v>
      </c>
      <c r="I598" s="21" t="s">
        <v>113</v>
      </c>
      <c r="J598" s="21" t="n">
        <v>67</v>
      </c>
      <c r="K598" s="32" t="n">
        <f aca="false">ROUND(Assumptions!$B$4*MIN(G598/Assumptions!$B$11,1)*100+Assumptions!$B$5*F598/10*100+Assumptions!$B$6*MIN(H598/Assumptions!$B$12,1)*100+Assumptions!$B$7*J598+Assumptions!$B$8*IF(I598="Yes",100,0),1)</f>
        <v>54.4</v>
      </c>
      <c r="L598" s="21" t="str">
        <f aca="false">LOOKUP(K598,Assumptions!$D$4:$D$7,Assumptions!$E$4:$E$7)</f>
        <v>Developing</v>
      </c>
      <c r="M598" s="21" t="n">
        <f aca="false">COUNTIFS(Applications!$B$2:$B$3144,A598)</f>
        <v>4</v>
      </c>
      <c r="N598" s="21" t="n">
        <f aca="false">COUNTIFS(Applications!$B$2:$B$3144,A598,Applications!$F$2:$F$3144,"Offered")</f>
        <v>1</v>
      </c>
      <c r="O598" s="21" t="str">
        <f aca="false">IF(COUNTIFS(Applications!$B$2:$B$3144,A598,Applications!$H$2:$H$3144,"Yes")&gt;0,"Yes","No")</f>
        <v>Yes</v>
      </c>
      <c r="P598" s="32" t="n">
        <f aca="false">SUMIFS(Applications!$G$2:$G$3144,Applications!$B$2:$B$3144,A598,Applications!$H$2:$H$3144,"Yes")</f>
        <v>24.5</v>
      </c>
      <c r="Q598" s="21" t="str">
        <f aca="false">IF(O598="Yes",INDEX(Companies!$B$2:$B$31,MATCH(INDEX(Applications!$C$2:$C$3144,MATCH(A598,Applications!$P$2:$P$3144,0)),Companies!$A$2:$A$31,0)),"-")</f>
        <v>Zenith Pay</v>
      </c>
    </row>
    <row r="599" customFormat="false" ht="15" hidden="false" customHeight="false" outlineLevel="0" collapsed="false">
      <c r="A599" s="21" t="s">
        <v>1155</v>
      </c>
      <c r="B599" s="21" t="s">
        <v>1156</v>
      </c>
      <c r="C599" s="21" t="s">
        <v>810</v>
      </c>
      <c r="D599" s="21" t="s">
        <v>64</v>
      </c>
      <c r="E599" s="21" t="s">
        <v>92</v>
      </c>
      <c r="F599" s="21" t="n">
        <v>9.15</v>
      </c>
      <c r="G599" s="21" t="n">
        <v>408</v>
      </c>
      <c r="H599" s="21" t="n">
        <v>2</v>
      </c>
      <c r="I599" s="21" t="s">
        <v>113</v>
      </c>
      <c r="J599" s="21" t="n">
        <v>68</v>
      </c>
      <c r="K599" s="32" t="n">
        <f aca="false">ROUND(Assumptions!$B$4*MIN(G599/Assumptions!$B$11,1)*100+Assumptions!$B$5*F599/10*100+Assumptions!$B$6*MIN(H599/Assumptions!$B$12,1)*100+Assumptions!$B$7*J599+Assumptions!$B$8*IF(I599="Yes",100,0),1)</f>
        <v>64.4</v>
      </c>
      <c r="L599" s="21" t="str">
        <f aca="false">LOOKUP(K599,Assumptions!$D$4:$D$7,Assumptions!$E$4:$E$7)</f>
        <v>Developing</v>
      </c>
      <c r="M599" s="21" t="n">
        <f aca="false">COUNTIFS(Applications!$B$2:$B$3144,A599)</f>
        <v>0</v>
      </c>
      <c r="N599" s="21" t="n">
        <f aca="false">COUNTIFS(Applications!$B$2:$B$3144,A599,Applications!$F$2:$F$3144,"Offered")</f>
        <v>0</v>
      </c>
      <c r="O599" s="21" t="str">
        <f aca="false">IF(COUNTIFS(Applications!$B$2:$B$3144,A599,Applications!$H$2:$H$3144,"Yes")&gt;0,"Yes","No")</f>
        <v>No</v>
      </c>
      <c r="P599" s="32" t="n">
        <f aca="false">SUMIFS(Applications!$G$2:$G$3144,Applications!$B$2:$B$3144,A599,Applications!$H$2:$H$3144,"Yes")</f>
        <v>0</v>
      </c>
      <c r="Q599" s="21" t="str">
        <f aca="false">IF(O599="Yes",INDEX(Companies!$B$2:$B$31,MATCH(INDEX(Applications!$C$2:$C$3144,MATCH(A599,Applications!$P$2:$P$3144,0)),Companies!$A$2:$A$31,0)),"-")</f>
        <v>-</v>
      </c>
    </row>
    <row r="600" customFormat="false" ht="15" hidden="false" customHeight="false" outlineLevel="0" collapsed="false">
      <c r="A600" s="21" t="s">
        <v>1157</v>
      </c>
      <c r="B600" s="21" t="s">
        <v>1158</v>
      </c>
      <c r="C600" s="21" t="s">
        <v>810</v>
      </c>
      <c r="D600" s="21" t="s">
        <v>63</v>
      </c>
      <c r="E600" s="21" t="s">
        <v>91</v>
      </c>
      <c r="F600" s="21" t="n">
        <v>7.05</v>
      </c>
      <c r="G600" s="21" t="n">
        <v>126</v>
      </c>
      <c r="H600" s="21" t="n">
        <v>2</v>
      </c>
      <c r="I600" s="21" t="s">
        <v>113</v>
      </c>
      <c r="J600" s="21" t="n">
        <v>85</v>
      </c>
      <c r="K600" s="32" t="n">
        <f aca="false">ROUND(Assumptions!$B$4*MIN(G600/Assumptions!$B$11,1)*100+Assumptions!$B$5*F600/10*100+Assumptions!$B$6*MIN(H600/Assumptions!$B$12,1)*100+Assumptions!$B$7*J600+Assumptions!$B$8*IF(I600="Yes",100,0),1)</f>
        <v>46.7</v>
      </c>
      <c r="L600" s="21" t="str">
        <f aca="false">LOOKUP(K600,Assumptions!$D$4:$D$7,Assumptions!$E$4:$E$7)</f>
        <v>Foundation</v>
      </c>
      <c r="M600" s="21" t="n">
        <f aca="false">COUNTIFS(Applications!$B$2:$B$3144,A600)</f>
        <v>7</v>
      </c>
      <c r="N600" s="21" t="n">
        <f aca="false">COUNTIFS(Applications!$B$2:$B$3144,A600,Applications!$F$2:$F$3144,"Offered")</f>
        <v>0</v>
      </c>
      <c r="O600" s="21" t="str">
        <f aca="false">IF(COUNTIFS(Applications!$B$2:$B$3144,A600,Applications!$H$2:$H$3144,"Yes")&gt;0,"Yes","No")</f>
        <v>No</v>
      </c>
      <c r="P600" s="32" t="n">
        <f aca="false">SUMIFS(Applications!$G$2:$G$3144,Applications!$B$2:$B$3144,A600,Applications!$H$2:$H$3144,"Yes")</f>
        <v>0</v>
      </c>
      <c r="Q600" s="21" t="str">
        <f aca="false">IF(O600="Yes",INDEX(Companies!$B$2:$B$31,MATCH(INDEX(Applications!$C$2:$C$3144,MATCH(A600,Applications!$P$2:$P$3144,0)),Companies!$A$2:$A$31,0)),"-")</f>
        <v>-</v>
      </c>
    </row>
    <row r="601" customFormat="false" ht="15" hidden="false" customHeight="false" outlineLevel="0" collapsed="false">
      <c r="A601" s="21" t="s">
        <v>1159</v>
      </c>
      <c r="B601" s="21" t="s">
        <v>1160</v>
      </c>
      <c r="C601" s="21" t="s">
        <v>810</v>
      </c>
      <c r="D601" s="21" t="s">
        <v>66</v>
      </c>
      <c r="E601" s="21" t="s">
        <v>92</v>
      </c>
      <c r="F601" s="21" t="n">
        <v>7.57</v>
      </c>
      <c r="G601" s="21" t="n">
        <v>417</v>
      </c>
      <c r="H601" s="21" t="n">
        <v>1</v>
      </c>
      <c r="I601" s="21" t="s">
        <v>113</v>
      </c>
      <c r="J601" s="21" t="n">
        <v>54</v>
      </c>
      <c r="K601" s="32" t="n">
        <f aca="false">ROUND(Assumptions!$B$4*MIN(G601/Assumptions!$B$11,1)*100+Assumptions!$B$5*F601/10*100+Assumptions!$B$6*MIN(H601/Assumptions!$B$12,1)*100+Assumptions!$B$7*J601+Assumptions!$B$8*IF(I601="Yes",100,0),1)</f>
        <v>55</v>
      </c>
      <c r="L601" s="21" t="str">
        <f aca="false">LOOKUP(K601,Assumptions!$D$4:$D$7,Assumptions!$E$4:$E$7)</f>
        <v>Developing</v>
      </c>
      <c r="M601" s="21" t="n">
        <f aca="false">COUNTIFS(Applications!$B$2:$B$3144,A601)</f>
        <v>3</v>
      </c>
      <c r="N601" s="21" t="n">
        <f aca="false">COUNTIFS(Applications!$B$2:$B$3144,A601,Applications!$F$2:$F$3144,"Offered")</f>
        <v>1</v>
      </c>
      <c r="O601" s="21" t="str">
        <f aca="false">IF(COUNTIFS(Applications!$B$2:$B$3144,A601,Applications!$H$2:$H$3144,"Yes")&gt;0,"Yes","No")</f>
        <v>Yes</v>
      </c>
      <c r="P601" s="32" t="n">
        <f aca="false">SUMIFS(Applications!$G$2:$G$3144,Applications!$B$2:$B$3144,A601,Applications!$H$2:$H$3144,"Yes")</f>
        <v>5.1</v>
      </c>
      <c r="Q601" s="21" t="str">
        <f aca="false">IF(O601="Yes",INDEX(Companies!$B$2:$B$31,MATCH(INDEX(Applications!$C$2:$C$3144,MATCH(A601,Applications!$P$2:$P$3144,0)),Companies!$A$2:$A$31,0)),"-")</f>
        <v>HealthLink Digital</v>
      </c>
    </row>
  </sheetData>
  <conditionalFormatting sqref="K2:K601">
    <cfRule type="dataBar" priority="2">
      <dataBar showValue="1" minLength="10" maxLength="90">
        <cfvo type="num" val="0"/>
        <cfvo type="num" val="100"/>
        <color rgb="FF38BDF8"/>
      </dataBar>
      <extLst>
        <ext xmlns:x14="http://schemas.microsoft.com/office/spreadsheetml/2009/9/main" uri="{B025F937-C7B1-47D3-B67F-A62EFF666E3E}">
          <x14:id>{29C4D09D-DF7E-44B9-81BE-E35B51B72041}</x14:id>
        </ext>
      </extLst>
    </cfRule>
  </conditionalFormatting>
  <conditionalFormatting sqref="O2:O601">
    <cfRule type="cellIs" priority="3" operator="equal" aboveAverage="0" equalAverage="0" bottom="0" percent="0" rank="0" text="" dxfId="149">
      <formula>"Yes"</formula>
    </cfRule>
    <cfRule type="cellIs" priority="4" operator="equal" aboveAverage="0" equalAverage="0" bottom="0" percent="0" rank="0" text="" dxfId="150">
      <formula>"No"</formula>
    </cfRule>
  </conditionalFormatting>
  <conditionalFormatting sqref="L2:L601">
    <cfRule type="expression" priority="5" aboveAverage="0" equalAverage="0" bottom="0" percent="0" rank="0" text="" dxfId="151">
      <formula>$L2="Elite"</formula>
    </cfRule>
  </conditionalFormatting>
  <conditionalFormatting sqref="F2:F601">
    <cfRule type="colorScale" priority="6">
      <colorScale>
        <cfvo type="min" val="0"/>
        <cfvo type="max" val="0"/>
        <color rgb="FFFFFFFF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C4D09D-DF7E-44B9-81BE-E35B51B72041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38BDF8"/>
              <x14:axisColor rgb="FF000000"/>
            </x14:dataBar>
          </x14:cfRule>
          <xm:sqref>K2:K601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A1:P3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8" min="7" style="0" width="13"/>
    <col collapsed="false" customWidth="true" hidden="false" outlineLevel="0" max="10" min="9" style="0" width="12"/>
    <col collapsed="false" customWidth="true" hidden="false" outlineLevel="0" max="12" min="11" style="0" width="23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10"/>
  </cols>
  <sheetData>
    <row r="1" customFormat="false" ht="31.5" hidden="false" customHeight="true" outlineLevel="0" collapsed="false">
      <c r="A1" s="28" t="s">
        <v>1161</v>
      </c>
      <c r="B1" s="28" t="s">
        <v>97</v>
      </c>
      <c r="C1" s="28" t="s">
        <v>1162</v>
      </c>
      <c r="D1" s="28" t="s">
        <v>1163</v>
      </c>
      <c r="E1" s="28" t="s">
        <v>1164</v>
      </c>
      <c r="F1" s="28" t="s">
        <v>1165</v>
      </c>
      <c r="G1" s="28" t="s">
        <v>1166</v>
      </c>
      <c r="H1" s="28" t="s">
        <v>1167</v>
      </c>
      <c r="I1" s="28" t="s">
        <v>1168</v>
      </c>
      <c r="J1" s="28" t="s">
        <v>99</v>
      </c>
      <c r="K1" s="28" t="s">
        <v>60</v>
      </c>
      <c r="L1" s="28" t="s">
        <v>80</v>
      </c>
      <c r="M1" s="28" t="s">
        <v>89</v>
      </c>
      <c r="N1" s="28" t="s">
        <v>1169</v>
      </c>
      <c r="O1" s="28" t="s">
        <v>1170</v>
      </c>
      <c r="P1" s="28" t="s">
        <v>1171</v>
      </c>
    </row>
    <row r="2" customFormat="false" ht="15" hidden="false" customHeight="false" outlineLevel="0" collapsed="false">
      <c r="A2" s="21" t="s">
        <v>1172</v>
      </c>
      <c r="B2" s="21" t="s">
        <v>129</v>
      </c>
      <c r="C2" s="21" t="s">
        <v>1173</v>
      </c>
      <c r="D2" s="21" t="s">
        <v>1174</v>
      </c>
      <c r="E2" s="33" t="n">
        <v>45139</v>
      </c>
      <c r="F2" s="21" t="s">
        <v>1175</v>
      </c>
      <c r="G2" s="32"/>
      <c r="H2" s="21"/>
      <c r="I2" s="33"/>
      <c r="J2" s="21" t="str">
        <f aca="false">INDEX(Students!$C$2:$C$601,MATCH(B2,Students!$A$2:$A$601,0))</f>
        <v>Batch 2024</v>
      </c>
      <c r="K2" s="21" t="str">
        <f aca="false">INDEX(Students!$D$2:$D$601,MATCH(B2,Students!$A$2:$A$601,0))</f>
        <v>Full Stack Development</v>
      </c>
      <c r="L2" s="21" t="str">
        <f aca="false">INDEX(Companies!$C$2:$C$31,MATCH(C2,Companies!$A$2:$A$31,0))</f>
        <v>Cybersecurity</v>
      </c>
      <c r="M2" s="21" t="str">
        <f aca="false">INDEX(Companies!$D$2:$D$31,MATCH(C2,Companies!$A$2:$A$31,0))</f>
        <v>Tier 1</v>
      </c>
      <c r="N2" s="34" t="n">
        <f aca="false">MATCH(F2,Assumptions!$K$4:$K$8,0)</f>
        <v>1</v>
      </c>
      <c r="O2" s="21" t="str">
        <f aca="false">IF(H2="Yes",MONTH(I2),"")</f>
        <v/>
      </c>
      <c r="P2" s="21" t="str">
        <f aca="false">IF(H2="Yes",B2,"")</f>
        <v/>
      </c>
    </row>
    <row r="3" customFormat="false" ht="15" hidden="false" customHeight="false" outlineLevel="0" collapsed="false">
      <c r="A3" s="21" t="s">
        <v>1176</v>
      </c>
      <c r="B3" s="21" t="s">
        <v>131</v>
      </c>
      <c r="C3" s="21" t="s">
        <v>1177</v>
      </c>
      <c r="D3" s="21" t="s">
        <v>1174</v>
      </c>
      <c r="E3" s="33" t="n">
        <v>45139</v>
      </c>
      <c r="F3" s="21" t="s">
        <v>1178</v>
      </c>
      <c r="G3" s="32"/>
      <c r="H3" s="21"/>
      <c r="I3" s="33"/>
      <c r="J3" s="21" t="str">
        <f aca="false">INDEX(Students!$C$2:$C$601,MATCH(B3,Students!$A$2:$A$601,0))</f>
        <v>Batch 2024</v>
      </c>
      <c r="K3" s="21" t="str">
        <f aca="false">INDEX(Students!$D$2:$D$601,MATCH(B3,Students!$A$2:$A$601,0))</f>
        <v>Full Stack Development</v>
      </c>
      <c r="L3" s="21" t="str">
        <f aca="false">INDEX(Companies!$C$2:$C$31,MATCH(C3,Companies!$A$2:$A$31,0))</f>
        <v>IT Services</v>
      </c>
      <c r="M3" s="21" t="str">
        <f aca="false">INDEX(Companies!$D$2:$D$31,MATCH(C3,Companies!$A$2:$A$31,0))</f>
        <v>Tier 3</v>
      </c>
      <c r="N3" s="34" t="n">
        <f aca="false">MATCH(F3,Assumptions!$K$4:$K$8,0)</f>
        <v>2</v>
      </c>
      <c r="O3" s="21" t="str">
        <f aca="false">IF(H3="Yes",MONTH(I3),"")</f>
        <v/>
      </c>
      <c r="P3" s="21" t="str">
        <f aca="false">IF(H3="Yes",B3,"")</f>
        <v/>
      </c>
    </row>
    <row r="4" customFormat="false" ht="15" hidden="false" customHeight="false" outlineLevel="0" collapsed="false">
      <c r="A4" s="21" t="s">
        <v>1179</v>
      </c>
      <c r="B4" s="21" t="s">
        <v>175</v>
      </c>
      <c r="C4" s="21" t="s">
        <v>1180</v>
      </c>
      <c r="D4" s="21" t="s">
        <v>1181</v>
      </c>
      <c r="E4" s="33" t="n">
        <v>45139</v>
      </c>
      <c r="F4" s="21" t="s">
        <v>1175</v>
      </c>
      <c r="G4" s="32"/>
      <c r="H4" s="21"/>
      <c r="I4" s="33"/>
      <c r="J4" s="21" t="str">
        <f aca="false">INDEX(Students!$C$2:$C$601,MATCH(B4,Students!$A$2:$A$601,0))</f>
        <v>Batch 2024</v>
      </c>
      <c r="K4" s="21" t="str">
        <f aca="false">INDEX(Students!$D$2:$D$601,MATCH(B4,Students!$A$2:$A$601,0))</f>
        <v>Full Stack Development</v>
      </c>
      <c r="L4" s="21" t="str">
        <f aca="false">INDEX(Companies!$C$2:$C$31,MATCH(C4,Companies!$A$2:$A$31,0))</f>
        <v>IT Services</v>
      </c>
      <c r="M4" s="21" t="str">
        <f aca="false">INDEX(Companies!$D$2:$D$31,MATCH(C4,Companies!$A$2:$A$31,0))</f>
        <v>Tier 3</v>
      </c>
      <c r="N4" s="34" t="n">
        <f aca="false">MATCH(F4,Assumptions!$K$4:$K$8,0)</f>
        <v>1</v>
      </c>
      <c r="O4" s="21" t="str">
        <f aca="false">IF(H4="Yes",MONTH(I4),"")</f>
        <v/>
      </c>
      <c r="P4" s="21" t="str">
        <f aca="false">IF(H4="Yes",B4,"")</f>
        <v/>
      </c>
    </row>
    <row r="5" customFormat="false" ht="15" hidden="false" customHeight="false" outlineLevel="0" collapsed="false">
      <c r="A5" s="21" t="s">
        <v>1182</v>
      </c>
      <c r="B5" s="21" t="s">
        <v>221</v>
      </c>
      <c r="C5" s="21" t="s">
        <v>1183</v>
      </c>
      <c r="D5" s="21" t="s">
        <v>1184</v>
      </c>
      <c r="E5" s="33" t="n">
        <v>45141</v>
      </c>
      <c r="F5" s="21" t="s">
        <v>1185</v>
      </c>
      <c r="G5" s="32" t="n">
        <v>10.5</v>
      </c>
      <c r="H5" s="21" t="s">
        <v>113</v>
      </c>
      <c r="I5" s="33" t="n">
        <v>45183</v>
      </c>
      <c r="J5" s="21" t="str">
        <f aca="false">INDEX(Students!$C$2:$C$601,MATCH(B5,Students!$A$2:$A$601,0))</f>
        <v>Batch 2024</v>
      </c>
      <c r="K5" s="21" t="str">
        <f aca="false">INDEX(Students!$D$2:$D$601,MATCH(B5,Students!$A$2:$A$601,0))</f>
        <v>DSA with Java</v>
      </c>
      <c r="L5" s="21" t="str">
        <f aca="false">INDEX(Companies!$C$2:$C$31,MATCH(C5,Companies!$A$2:$A$31,0))</f>
        <v>E-commerce</v>
      </c>
      <c r="M5" s="21" t="str">
        <f aca="false">INDEX(Companies!$D$2:$D$31,MATCH(C5,Companies!$A$2:$A$31,0))</f>
        <v>Tier 2</v>
      </c>
      <c r="N5" s="34" t="n">
        <f aca="false">MATCH(F5,Assumptions!$K$4:$K$8,0)</f>
        <v>5</v>
      </c>
      <c r="O5" s="21" t="str">
        <f aca="false">IF(H5="Yes",MONTH(I5),"")</f>
        <v/>
      </c>
      <c r="P5" s="21" t="str">
        <f aca="false">IF(H5="Yes",B5,"")</f>
        <v/>
      </c>
    </row>
    <row r="6" customFormat="false" ht="15" hidden="false" customHeight="false" outlineLevel="0" collapsed="false">
      <c r="A6" s="21" t="s">
        <v>1186</v>
      </c>
      <c r="B6" s="21" t="s">
        <v>368</v>
      </c>
      <c r="C6" s="21" t="s">
        <v>1187</v>
      </c>
      <c r="D6" s="21" t="s">
        <v>1188</v>
      </c>
      <c r="E6" s="33" t="n">
        <v>45141</v>
      </c>
      <c r="F6" s="21" t="s">
        <v>1175</v>
      </c>
      <c r="G6" s="32"/>
      <c r="H6" s="21"/>
      <c r="I6" s="33"/>
      <c r="J6" s="21" t="str">
        <f aca="false">INDEX(Students!$C$2:$C$601,MATCH(B6,Students!$A$2:$A$601,0))</f>
        <v>Batch 2024</v>
      </c>
      <c r="K6" s="21" t="str">
        <f aca="false">INDEX(Students!$D$2:$D$601,MATCH(B6,Students!$A$2:$A$601,0))</f>
        <v>Data Analytics</v>
      </c>
      <c r="L6" s="21" t="str">
        <f aca="false">INDEX(Companies!$C$2:$C$31,MATCH(C6,Companies!$A$2:$A$31,0))</f>
        <v>Product</v>
      </c>
      <c r="M6" s="21" t="str">
        <f aca="false">INDEX(Companies!$D$2:$D$31,MATCH(C6,Companies!$A$2:$A$31,0))</f>
        <v>Tier 1</v>
      </c>
      <c r="N6" s="34" t="n">
        <f aca="false">MATCH(F6,Assumptions!$K$4:$K$8,0)</f>
        <v>1</v>
      </c>
      <c r="O6" s="21" t="str">
        <f aca="false">IF(H6="Yes",MONTH(I6),"")</f>
        <v/>
      </c>
      <c r="P6" s="21" t="str">
        <f aca="false">IF(H6="Yes",B6,"")</f>
        <v/>
      </c>
    </row>
    <row r="7" customFormat="false" ht="15" hidden="false" customHeight="false" outlineLevel="0" collapsed="false">
      <c r="A7" s="21" t="s">
        <v>1189</v>
      </c>
      <c r="B7" s="21" t="s">
        <v>223</v>
      </c>
      <c r="C7" s="21" t="s">
        <v>1190</v>
      </c>
      <c r="D7" s="21" t="s">
        <v>1191</v>
      </c>
      <c r="E7" s="33" t="n">
        <v>45141</v>
      </c>
      <c r="F7" s="21" t="s">
        <v>1178</v>
      </c>
      <c r="G7" s="32"/>
      <c r="H7" s="21"/>
      <c r="I7" s="33"/>
      <c r="J7" s="21" t="str">
        <f aca="false">INDEX(Students!$C$2:$C$601,MATCH(B7,Students!$A$2:$A$601,0))</f>
        <v>Batch 2024</v>
      </c>
      <c r="K7" s="21" t="str">
        <f aca="false">INDEX(Students!$D$2:$D$601,MATCH(B7,Students!$A$2:$A$601,0))</f>
        <v>DSA with Java</v>
      </c>
      <c r="L7" s="21" t="str">
        <f aca="false">INDEX(Companies!$C$2:$C$31,MATCH(C7,Companies!$A$2:$A$31,0))</f>
        <v>Analytics &amp; Consulting</v>
      </c>
      <c r="M7" s="21" t="str">
        <f aca="false">INDEX(Companies!$D$2:$D$31,MATCH(C7,Companies!$A$2:$A$31,0))</f>
        <v>Tier 1</v>
      </c>
      <c r="N7" s="34" t="n">
        <f aca="false">MATCH(F7,Assumptions!$K$4:$K$8,0)</f>
        <v>2</v>
      </c>
      <c r="O7" s="21" t="str">
        <f aca="false">IF(H7="Yes",MONTH(I7),"")</f>
        <v/>
      </c>
      <c r="P7" s="21" t="str">
        <f aca="false">IF(H7="Yes",B7,"")</f>
        <v/>
      </c>
    </row>
    <row r="8" customFormat="false" ht="15" hidden="false" customHeight="false" outlineLevel="0" collapsed="false">
      <c r="A8" s="21" t="s">
        <v>1192</v>
      </c>
      <c r="B8" s="21" t="s">
        <v>441</v>
      </c>
      <c r="C8" s="21" t="s">
        <v>1193</v>
      </c>
      <c r="D8" s="21" t="s">
        <v>1194</v>
      </c>
      <c r="E8" s="33" t="n">
        <v>45141</v>
      </c>
      <c r="F8" s="21" t="s">
        <v>1185</v>
      </c>
      <c r="G8" s="32" t="n">
        <v>8.1</v>
      </c>
      <c r="H8" s="21" t="s">
        <v>113</v>
      </c>
      <c r="I8" s="33" t="n">
        <v>45181</v>
      </c>
      <c r="J8" s="21" t="str">
        <f aca="false">INDEX(Students!$C$2:$C$601,MATCH(B8,Students!$A$2:$A$601,0))</f>
        <v>Batch 2024</v>
      </c>
      <c r="K8" s="21" t="str">
        <f aca="false">INDEX(Students!$D$2:$D$601,MATCH(B8,Students!$A$2:$A$601,0))</f>
        <v>Data Science &amp; ML</v>
      </c>
      <c r="L8" s="21" t="str">
        <f aca="false">INDEX(Companies!$C$2:$C$31,MATCH(C8,Companies!$A$2:$A$31,0))</f>
        <v>Analytics &amp; Consulting</v>
      </c>
      <c r="M8" s="21" t="str">
        <f aca="false">INDEX(Companies!$D$2:$D$31,MATCH(C8,Companies!$A$2:$A$31,0))</f>
        <v>Tier 2</v>
      </c>
      <c r="N8" s="34" t="n">
        <f aca="false">MATCH(F8,Assumptions!$K$4:$K$8,0)</f>
        <v>5</v>
      </c>
      <c r="O8" s="21" t="str">
        <f aca="false">IF(H8="Yes",MONTH(I8),"")</f>
        <v/>
      </c>
      <c r="P8" s="21" t="str">
        <f aca="false">IF(H8="Yes",B8,"")</f>
        <v/>
      </c>
    </row>
    <row r="9" customFormat="false" ht="15" hidden="false" customHeight="false" outlineLevel="0" collapsed="false">
      <c r="A9" s="21" t="s">
        <v>1195</v>
      </c>
      <c r="B9" s="21" t="s">
        <v>139</v>
      </c>
      <c r="C9" s="21" t="s">
        <v>1196</v>
      </c>
      <c r="D9" s="21" t="s">
        <v>1181</v>
      </c>
      <c r="E9" s="33" t="n">
        <v>45141</v>
      </c>
      <c r="F9" s="21" t="s">
        <v>1197</v>
      </c>
      <c r="G9" s="32"/>
      <c r="H9" s="21"/>
      <c r="I9" s="33"/>
      <c r="J9" s="21" t="str">
        <f aca="false">INDEX(Students!$C$2:$C$601,MATCH(B9,Students!$A$2:$A$601,0))</f>
        <v>Batch 2024</v>
      </c>
      <c r="K9" s="21" t="str">
        <f aca="false">INDEX(Students!$D$2:$D$601,MATCH(B9,Students!$A$2:$A$601,0))</f>
        <v>Full Stack Development</v>
      </c>
      <c r="L9" s="21" t="str">
        <f aca="false">INDEX(Companies!$C$2:$C$31,MATCH(C9,Companies!$A$2:$A$31,0))</f>
        <v>IT Services</v>
      </c>
      <c r="M9" s="21" t="str">
        <f aca="false">INDEX(Companies!$D$2:$D$31,MATCH(C9,Companies!$A$2:$A$31,0))</f>
        <v>Tier 3</v>
      </c>
      <c r="N9" s="34" t="n">
        <f aca="false">MATCH(F9,Assumptions!$K$4:$K$8,0)</f>
        <v>3</v>
      </c>
      <c r="O9" s="21" t="str">
        <f aca="false">IF(H9="Yes",MONTH(I9),"")</f>
        <v/>
      </c>
      <c r="P9" s="21" t="str">
        <f aca="false">IF(H9="Yes",B9,"")</f>
        <v/>
      </c>
    </row>
    <row r="10" customFormat="false" ht="15" hidden="false" customHeight="false" outlineLevel="0" collapsed="false">
      <c r="A10" s="21" t="s">
        <v>1198</v>
      </c>
      <c r="B10" s="21" t="s">
        <v>360</v>
      </c>
      <c r="C10" s="21" t="s">
        <v>1199</v>
      </c>
      <c r="D10" s="21" t="s">
        <v>1181</v>
      </c>
      <c r="E10" s="33" t="n">
        <v>45141</v>
      </c>
      <c r="F10" s="21" t="s">
        <v>1185</v>
      </c>
      <c r="G10" s="32" t="n">
        <v>12.5</v>
      </c>
      <c r="H10" s="21" t="s">
        <v>120</v>
      </c>
      <c r="I10" s="33" t="n">
        <v>45191</v>
      </c>
      <c r="J10" s="21" t="str">
        <f aca="false">INDEX(Students!$C$2:$C$601,MATCH(B10,Students!$A$2:$A$601,0))</f>
        <v>Batch 2024</v>
      </c>
      <c r="K10" s="21" t="str">
        <f aca="false">INDEX(Students!$D$2:$D$601,MATCH(B10,Students!$A$2:$A$601,0))</f>
        <v>Full Stack Development</v>
      </c>
      <c r="L10" s="21" t="str">
        <f aca="false">INDEX(Companies!$C$2:$C$31,MATCH(C10,Companies!$A$2:$A$31,0))</f>
        <v>E-commerce</v>
      </c>
      <c r="M10" s="21" t="str">
        <f aca="false">INDEX(Companies!$D$2:$D$31,MATCH(C10,Companies!$A$2:$A$31,0))</f>
        <v>Tier 2</v>
      </c>
      <c r="N10" s="34" t="n">
        <f aca="false">MATCH(F10,Assumptions!$K$4:$K$8,0)</f>
        <v>5</v>
      </c>
      <c r="O10" s="21" t="n">
        <f aca="false">IF(H10="Yes",MONTH(I10),"")</f>
        <v>9</v>
      </c>
      <c r="P10" s="21" t="str">
        <f aca="false">IF(H10="Yes",B10,"")</f>
        <v>S0129</v>
      </c>
    </row>
    <row r="11" customFormat="false" ht="15" hidden="false" customHeight="false" outlineLevel="0" collapsed="false">
      <c r="A11" s="21" t="s">
        <v>1200</v>
      </c>
      <c r="B11" s="21" t="s">
        <v>412</v>
      </c>
      <c r="C11" s="21" t="s">
        <v>1201</v>
      </c>
      <c r="D11" s="21" t="s">
        <v>1181</v>
      </c>
      <c r="E11" s="33" t="n">
        <v>45141</v>
      </c>
      <c r="F11" s="21" t="s">
        <v>1175</v>
      </c>
      <c r="G11" s="32"/>
      <c r="H11" s="21"/>
      <c r="I11" s="33"/>
      <c r="J11" s="21" t="str">
        <f aca="false">INDEX(Students!$C$2:$C$601,MATCH(B11,Students!$A$2:$A$601,0))</f>
        <v>Batch 2024</v>
      </c>
      <c r="K11" s="21" t="str">
        <f aca="false">INDEX(Students!$D$2:$D$601,MATCH(B11,Students!$A$2:$A$601,0))</f>
        <v>Full Stack Development</v>
      </c>
      <c r="L11" s="21" t="str">
        <f aca="false">INDEX(Companies!$C$2:$C$31,MATCH(C11,Companies!$A$2:$A$31,0))</f>
        <v>IT Services</v>
      </c>
      <c r="M11" s="21" t="str">
        <f aca="false">INDEX(Companies!$D$2:$D$31,MATCH(C11,Companies!$A$2:$A$31,0))</f>
        <v>Tier 3</v>
      </c>
      <c r="N11" s="34" t="n">
        <f aca="false">MATCH(F11,Assumptions!$K$4:$K$8,0)</f>
        <v>1</v>
      </c>
      <c r="O11" s="21" t="str">
        <f aca="false">IF(H11="Yes",MONTH(I11),"")</f>
        <v/>
      </c>
      <c r="P11" s="21" t="str">
        <f aca="false">IF(H11="Yes",B11,"")</f>
        <v/>
      </c>
    </row>
    <row r="12" customFormat="false" ht="15" hidden="false" customHeight="false" outlineLevel="0" collapsed="false">
      <c r="A12" s="21" t="s">
        <v>1202</v>
      </c>
      <c r="B12" s="21" t="s">
        <v>183</v>
      </c>
      <c r="C12" s="21" t="s">
        <v>1203</v>
      </c>
      <c r="D12" s="21" t="s">
        <v>1184</v>
      </c>
      <c r="E12" s="33" t="n">
        <v>45142</v>
      </c>
      <c r="F12" s="21" t="s">
        <v>1197</v>
      </c>
      <c r="G12" s="32"/>
      <c r="H12" s="21"/>
      <c r="I12" s="33"/>
      <c r="J12" s="21" t="str">
        <f aca="false">INDEX(Students!$C$2:$C$601,MATCH(B12,Students!$A$2:$A$601,0))</f>
        <v>Batch 2024</v>
      </c>
      <c r="K12" s="21" t="str">
        <f aca="false">INDEX(Students!$D$2:$D$601,MATCH(B12,Students!$A$2:$A$601,0))</f>
        <v>DSA with Java</v>
      </c>
      <c r="L12" s="21" t="str">
        <f aca="false">INDEX(Companies!$C$2:$C$31,MATCH(C12,Companies!$A$2:$A$31,0))</f>
        <v>Healthtech</v>
      </c>
      <c r="M12" s="21" t="str">
        <f aca="false">INDEX(Companies!$D$2:$D$31,MATCH(C12,Companies!$A$2:$A$31,0))</f>
        <v>Tier 2</v>
      </c>
      <c r="N12" s="34" t="n">
        <f aca="false">MATCH(F12,Assumptions!$K$4:$K$8,0)</f>
        <v>3</v>
      </c>
      <c r="O12" s="21" t="str">
        <f aca="false">IF(H12="Yes",MONTH(I12),"")</f>
        <v/>
      </c>
      <c r="P12" s="21" t="str">
        <f aca="false">IF(H12="Yes",B12,"")</f>
        <v/>
      </c>
    </row>
    <row r="13" customFormat="false" ht="15" hidden="false" customHeight="false" outlineLevel="0" collapsed="false">
      <c r="A13" s="21" t="s">
        <v>1204</v>
      </c>
      <c r="B13" s="21" t="s">
        <v>179</v>
      </c>
      <c r="C13" s="21" t="s">
        <v>1205</v>
      </c>
      <c r="D13" s="21" t="s">
        <v>1191</v>
      </c>
      <c r="E13" s="33" t="n">
        <v>45142</v>
      </c>
      <c r="F13" s="21" t="s">
        <v>1175</v>
      </c>
      <c r="G13" s="32"/>
      <c r="H13" s="21"/>
      <c r="I13" s="33"/>
      <c r="J13" s="21" t="str">
        <f aca="false">INDEX(Students!$C$2:$C$601,MATCH(B13,Students!$A$2:$A$601,0))</f>
        <v>Batch 2024</v>
      </c>
      <c r="K13" s="21" t="str">
        <f aca="false">INDEX(Students!$D$2:$D$601,MATCH(B13,Students!$A$2:$A$601,0))</f>
        <v>DSA with Java</v>
      </c>
      <c r="L13" s="21" t="str">
        <f aca="false">INDEX(Companies!$C$2:$C$31,MATCH(C13,Companies!$A$2:$A$31,0))</f>
        <v>Healthtech</v>
      </c>
      <c r="M13" s="21" t="str">
        <f aca="false">INDEX(Companies!$D$2:$D$31,MATCH(C13,Companies!$A$2:$A$31,0))</f>
        <v>Tier 3</v>
      </c>
      <c r="N13" s="34" t="n">
        <f aca="false">MATCH(F13,Assumptions!$K$4:$K$8,0)</f>
        <v>1</v>
      </c>
      <c r="O13" s="21" t="str">
        <f aca="false">IF(H13="Yes",MONTH(I13),"")</f>
        <v/>
      </c>
      <c r="P13" s="21" t="str">
        <f aca="false">IF(H13="Yes",B13,"")</f>
        <v/>
      </c>
    </row>
    <row r="14" customFormat="false" ht="15" hidden="false" customHeight="false" outlineLevel="0" collapsed="false">
      <c r="A14" s="21" t="s">
        <v>1206</v>
      </c>
      <c r="B14" s="21" t="s">
        <v>434</v>
      </c>
      <c r="C14" s="21" t="s">
        <v>1201</v>
      </c>
      <c r="D14" s="21" t="s">
        <v>1181</v>
      </c>
      <c r="E14" s="33" t="n">
        <v>45142</v>
      </c>
      <c r="F14" s="21" t="s">
        <v>1185</v>
      </c>
      <c r="G14" s="32" t="n">
        <v>5.1</v>
      </c>
      <c r="H14" s="21" t="s">
        <v>113</v>
      </c>
      <c r="I14" s="33" t="n">
        <v>45189</v>
      </c>
      <c r="J14" s="21" t="str">
        <f aca="false">INDEX(Students!$C$2:$C$601,MATCH(B14,Students!$A$2:$A$601,0))</f>
        <v>Batch 2024</v>
      </c>
      <c r="K14" s="21" t="str">
        <f aca="false">INDEX(Students!$D$2:$D$601,MATCH(B14,Students!$A$2:$A$601,0))</f>
        <v>Full Stack Development</v>
      </c>
      <c r="L14" s="21" t="str">
        <f aca="false">INDEX(Companies!$C$2:$C$31,MATCH(C14,Companies!$A$2:$A$31,0))</f>
        <v>IT Services</v>
      </c>
      <c r="M14" s="21" t="str">
        <f aca="false">INDEX(Companies!$D$2:$D$31,MATCH(C14,Companies!$A$2:$A$31,0))</f>
        <v>Tier 3</v>
      </c>
      <c r="N14" s="34" t="n">
        <f aca="false">MATCH(F14,Assumptions!$K$4:$K$8,0)</f>
        <v>5</v>
      </c>
      <c r="O14" s="21" t="str">
        <f aca="false">IF(H14="Yes",MONTH(I14),"")</f>
        <v/>
      </c>
      <c r="P14" s="21" t="str">
        <f aca="false">IF(H14="Yes",B14,"")</f>
        <v/>
      </c>
    </row>
    <row r="15" customFormat="false" ht="15" hidden="false" customHeight="false" outlineLevel="0" collapsed="false">
      <c r="A15" s="21" t="s">
        <v>1207</v>
      </c>
      <c r="B15" s="21" t="s">
        <v>454</v>
      </c>
      <c r="C15" s="21" t="s">
        <v>1208</v>
      </c>
      <c r="D15" s="21" t="s">
        <v>1209</v>
      </c>
      <c r="E15" s="33" t="n">
        <v>45142</v>
      </c>
      <c r="F15" s="21" t="s">
        <v>1175</v>
      </c>
      <c r="G15" s="32"/>
      <c r="H15" s="21"/>
      <c r="I15" s="33"/>
      <c r="J15" s="21" t="str">
        <f aca="false">INDEX(Students!$C$2:$C$601,MATCH(B15,Students!$A$2:$A$601,0))</f>
        <v>Batch 2024</v>
      </c>
      <c r="K15" s="21" t="str">
        <f aca="false">INDEX(Students!$D$2:$D$601,MATCH(B15,Students!$A$2:$A$601,0))</f>
        <v>Data Analytics</v>
      </c>
      <c r="L15" s="21" t="str">
        <f aca="false">INDEX(Companies!$C$2:$C$31,MATCH(C15,Companies!$A$2:$A$31,0))</f>
        <v>E-commerce</v>
      </c>
      <c r="M15" s="21" t="str">
        <f aca="false">INDEX(Companies!$D$2:$D$31,MATCH(C15,Companies!$A$2:$A$31,0))</f>
        <v>Tier 1</v>
      </c>
      <c r="N15" s="34" t="n">
        <f aca="false">MATCH(F15,Assumptions!$K$4:$K$8,0)</f>
        <v>1</v>
      </c>
      <c r="O15" s="21" t="str">
        <f aca="false">IF(H15="Yes",MONTH(I15),"")</f>
        <v/>
      </c>
      <c r="P15" s="21" t="str">
        <f aca="false">IF(H15="Yes",B15,"")</f>
        <v/>
      </c>
    </row>
    <row r="16" customFormat="false" ht="15" hidden="false" customHeight="false" outlineLevel="0" collapsed="false">
      <c r="A16" s="21" t="s">
        <v>1210</v>
      </c>
      <c r="B16" s="21" t="s">
        <v>440</v>
      </c>
      <c r="C16" s="21" t="s">
        <v>1211</v>
      </c>
      <c r="D16" s="21" t="s">
        <v>1181</v>
      </c>
      <c r="E16" s="33" t="n">
        <v>45143</v>
      </c>
      <c r="F16" s="21" t="s">
        <v>1178</v>
      </c>
      <c r="G16" s="32"/>
      <c r="H16" s="21"/>
      <c r="I16" s="33"/>
      <c r="J16" s="21" t="str">
        <f aca="false">INDEX(Students!$C$2:$C$601,MATCH(B16,Students!$A$2:$A$601,0))</f>
        <v>Batch 2024</v>
      </c>
      <c r="K16" s="21" t="str">
        <f aca="false">INDEX(Students!$D$2:$D$601,MATCH(B16,Students!$A$2:$A$601,0))</f>
        <v>Full Stack Development</v>
      </c>
      <c r="L16" s="21" t="str">
        <f aca="false">INDEX(Companies!$C$2:$C$31,MATCH(C16,Companies!$A$2:$A$31,0))</f>
        <v>Analytics &amp; Consulting</v>
      </c>
      <c r="M16" s="21" t="str">
        <f aca="false">INDEX(Companies!$D$2:$D$31,MATCH(C16,Companies!$A$2:$A$31,0))</f>
        <v>Tier 3</v>
      </c>
      <c r="N16" s="34" t="n">
        <f aca="false">MATCH(F16,Assumptions!$K$4:$K$8,0)</f>
        <v>2</v>
      </c>
      <c r="O16" s="21" t="str">
        <f aca="false">IF(H16="Yes",MONTH(I16),"")</f>
        <v/>
      </c>
      <c r="P16" s="21" t="str">
        <f aca="false">IF(H16="Yes",B16,"")</f>
        <v/>
      </c>
    </row>
    <row r="17" customFormat="false" ht="15" hidden="false" customHeight="false" outlineLevel="0" collapsed="false">
      <c r="A17" s="21" t="s">
        <v>1212</v>
      </c>
      <c r="B17" s="21" t="s">
        <v>451</v>
      </c>
      <c r="C17" s="21" t="s">
        <v>1193</v>
      </c>
      <c r="D17" s="21" t="s">
        <v>1174</v>
      </c>
      <c r="E17" s="33" t="n">
        <v>45143</v>
      </c>
      <c r="F17" s="21" t="s">
        <v>1185</v>
      </c>
      <c r="G17" s="32" t="n">
        <v>11</v>
      </c>
      <c r="H17" s="21" t="s">
        <v>113</v>
      </c>
      <c r="I17" s="33" t="n">
        <v>45174</v>
      </c>
      <c r="J17" s="21" t="str">
        <f aca="false">INDEX(Students!$C$2:$C$601,MATCH(B17,Students!$A$2:$A$601,0))</f>
        <v>Batch 2024</v>
      </c>
      <c r="K17" s="21" t="str">
        <f aca="false">INDEX(Students!$D$2:$D$601,MATCH(B17,Students!$A$2:$A$601,0))</f>
        <v>Full Stack Development</v>
      </c>
      <c r="L17" s="21" t="str">
        <f aca="false">INDEX(Companies!$C$2:$C$31,MATCH(C17,Companies!$A$2:$A$31,0))</f>
        <v>Analytics &amp; Consulting</v>
      </c>
      <c r="M17" s="21" t="str">
        <f aca="false">INDEX(Companies!$D$2:$D$31,MATCH(C17,Companies!$A$2:$A$31,0))</f>
        <v>Tier 2</v>
      </c>
      <c r="N17" s="34" t="n">
        <f aca="false">MATCH(F17,Assumptions!$K$4:$K$8,0)</f>
        <v>5</v>
      </c>
      <c r="O17" s="21" t="str">
        <f aca="false">IF(H17="Yes",MONTH(I17),"")</f>
        <v/>
      </c>
      <c r="P17" s="21" t="str">
        <f aca="false">IF(H17="Yes",B17,"")</f>
        <v/>
      </c>
    </row>
    <row r="18" customFormat="false" ht="15" hidden="false" customHeight="false" outlineLevel="0" collapsed="false">
      <c r="A18" s="21" t="s">
        <v>1213</v>
      </c>
      <c r="B18" s="21" t="s">
        <v>321</v>
      </c>
      <c r="C18" s="21" t="s">
        <v>1214</v>
      </c>
      <c r="D18" s="21" t="s">
        <v>1191</v>
      </c>
      <c r="E18" s="33" t="n">
        <v>45143</v>
      </c>
      <c r="F18" s="21" t="s">
        <v>1178</v>
      </c>
      <c r="G18" s="32"/>
      <c r="H18" s="21"/>
      <c r="I18" s="33"/>
      <c r="J18" s="21" t="str">
        <f aca="false">INDEX(Students!$C$2:$C$601,MATCH(B18,Students!$A$2:$A$601,0))</f>
        <v>Batch 2024</v>
      </c>
      <c r="K18" s="21" t="str">
        <f aca="false">INDEX(Students!$D$2:$D$601,MATCH(B18,Students!$A$2:$A$601,0))</f>
        <v>DSA with Java</v>
      </c>
      <c r="L18" s="21" t="str">
        <f aca="false">INDEX(Companies!$C$2:$C$31,MATCH(C18,Companies!$A$2:$A$31,0))</f>
        <v>Product</v>
      </c>
      <c r="M18" s="21" t="str">
        <f aca="false">INDEX(Companies!$D$2:$D$31,MATCH(C18,Companies!$A$2:$A$31,0))</f>
        <v>Tier 1</v>
      </c>
      <c r="N18" s="34" t="n">
        <f aca="false">MATCH(F18,Assumptions!$K$4:$K$8,0)</f>
        <v>2</v>
      </c>
      <c r="O18" s="21" t="str">
        <f aca="false">IF(H18="Yes",MONTH(I18),"")</f>
        <v/>
      </c>
      <c r="P18" s="21" t="str">
        <f aca="false">IF(H18="Yes",B18,"")</f>
        <v/>
      </c>
    </row>
    <row r="19" customFormat="false" ht="15" hidden="false" customHeight="false" outlineLevel="0" collapsed="false">
      <c r="A19" s="21" t="s">
        <v>1215</v>
      </c>
      <c r="B19" s="21" t="s">
        <v>213</v>
      </c>
      <c r="C19" s="21" t="s">
        <v>1216</v>
      </c>
      <c r="D19" s="21" t="s">
        <v>1191</v>
      </c>
      <c r="E19" s="33" t="n">
        <v>45143</v>
      </c>
      <c r="F19" s="21" t="s">
        <v>1178</v>
      </c>
      <c r="G19" s="32"/>
      <c r="H19" s="21"/>
      <c r="I19" s="33"/>
      <c r="J19" s="21" t="str">
        <f aca="false">INDEX(Students!$C$2:$C$601,MATCH(B19,Students!$A$2:$A$601,0))</f>
        <v>Batch 2024</v>
      </c>
      <c r="K19" s="21" t="str">
        <f aca="false">INDEX(Students!$D$2:$D$601,MATCH(B19,Students!$A$2:$A$601,0))</f>
        <v>DSA with Java</v>
      </c>
      <c r="L19" s="21" t="str">
        <f aca="false">INDEX(Companies!$C$2:$C$31,MATCH(C19,Companies!$A$2:$A$31,0))</f>
        <v>IT Services</v>
      </c>
      <c r="M19" s="21" t="str">
        <f aca="false">INDEX(Companies!$D$2:$D$31,MATCH(C19,Companies!$A$2:$A$31,0))</f>
        <v>Tier 3</v>
      </c>
      <c r="N19" s="34" t="n">
        <f aca="false">MATCH(F19,Assumptions!$K$4:$K$8,0)</f>
        <v>2</v>
      </c>
      <c r="O19" s="21" t="str">
        <f aca="false">IF(H19="Yes",MONTH(I19),"")</f>
        <v/>
      </c>
      <c r="P19" s="21" t="str">
        <f aca="false">IF(H19="Yes",B19,"")</f>
        <v/>
      </c>
    </row>
    <row r="20" customFormat="false" ht="15" hidden="false" customHeight="false" outlineLevel="0" collapsed="false">
      <c r="A20" s="21" t="s">
        <v>1217</v>
      </c>
      <c r="B20" s="21" t="s">
        <v>141</v>
      </c>
      <c r="C20" s="21" t="s">
        <v>1214</v>
      </c>
      <c r="D20" s="21" t="s">
        <v>1181</v>
      </c>
      <c r="E20" s="33" t="n">
        <v>45144</v>
      </c>
      <c r="F20" s="21" t="s">
        <v>1218</v>
      </c>
      <c r="G20" s="32"/>
      <c r="H20" s="21"/>
      <c r="I20" s="33"/>
      <c r="J20" s="21" t="str">
        <f aca="false">INDEX(Students!$C$2:$C$601,MATCH(B20,Students!$A$2:$A$601,0))</f>
        <v>Batch 2024</v>
      </c>
      <c r="K20" s="21" t="str">
        <f aca="false">INDEX(Students!$D$2:$D$601,MATCH(B20,Students!$A$2:$A$601,0))</f>
        <v>Full Stack Development</v>
      </c>
      <c r="L20" s="21" t="str">
        <f aca="false">INDEX(Companies!$C$2:$C$31,MATCH(C20,Companies!$A$2:$A$31,0))</f>
        <v>Product</v>
      </c>
      <c r="M20" s="21" t="str">
        <f aca="false">INDEX(Companies!$D$2:$D$31,MATCH(C20,Companies!$A$2:$A$31,0))</f>
        <v>Tier 1</v>
      </c>
      <c r="N20" s="34" t="n">
        <f aca="false">MATCH(F20,Assumptions!$K$4:$K$8,0)</f>
        <v>4</v>
      </c>
      <c r="O20" s="21" t="str">
        <f aca="false">IF(H20="Yes",MONTH(I20),"")</f>
        <v/>
      </c>
      <c r="P20" s="21" t="str">
        <f aca="false">IF(H20="Yes",B20,"")</f>
        <v/>
      </c>
    </row>
    <row r="21" customFormat="false" ht="15" hidden="false" customHeight="false" outlineLevel="0" collapsed="false">
      <c r="A21" s="21" t="s">
        <v>1219</v>
      </c>
      <c r="B21" s="21" t="s">
        <v>133</v>
      </c>
      <c r="C21" s="21" t="s">
        <v>1196</v>
      </c>
      <c r="D21" s="21" t="s">
        <v>1209</v>
      </c>
      <c r="E21" s="33" t="n">
        <v>45145</v>
      </c>
      <c r="F21" s="21" t="s">
        <v>1178</v>
      </c>
      <c r="G21" s="32"/>
      <c r="H21" s="21"/>
      <c r="I21" s="33"/>
      <c r="J21" s="21" t="str">
        <f aca="false">INDEX(Students!$C$2:$C$601,MATCH(B21,Students!$A$2:$A$601,0))</f>
        <v>Batch 2024</v>
      </c>
      <c r="K21" s="21" t="str">
        <f aca="false">INDEX(Students!$D$2:$D$601,MATCH(B21,Students!$A$2:$A$601,0))</f>
        <v>Data Analytics</v>
      </c>
      <c r="L21" s="21" t="str">
        <f aca="false">INDEX(Companies!$C$2:$C$31,MATCH(C21,Companies!$A$2:$A$31,0))</f>
        <v>IT Services</v>
      </c>
      <c r="M21" s="21" t="str">
        <f aca="false">INDEX(Companies!$D$2:$D$31,MATCH(C21,Companies!$A$2:$A$31,0))</f>
        <v>Tier 3</v>
      </c>
      <c r="N21" s="34" t="n">
        <f aca="false">MATCH(F21,Assumptions!$K$4:$K$8,0)</f>
        <v>2</v>
      </c>
      <c r="O21" s="21" t="str">
        <f aca="false">IF(H21="Yes",MONTH(I21),"")</f>
        <v/>
      </c>
      <c r="P21" s="21" t="str">
        <f aca="false">IF(H21="Yes",B21,"")</f>
        <v/>
      </c>
    </row>
    <row r="22" customFormat="false" ht="15" hidden="false" customHeight="false" outlineLevel="0" collapsed="false">
      <c r="A22" s="21" t="s">
        <v>1220</v>
      </c>
      <c r="B22" s="21" t="s">
        <v>165</v>
      </c>
      <c r="C22" s="21" t="s">
        <v>1183</v>
      </c>
      <c r="D22" s="21" t="s">
        <v>1184</v>
      </c>
      <c r="E22" s="33" t="n">
        <v>45146</v>
      </c>
      <c r="F22" s="21" t="s">
        <v>1175</v>
      </c>
      <c r="G22" s="32"/>
      <c r="H22" s="21"/>
      <c r="I22" s="33"/>
      <c r="J22" s="21" t="str">
        <f aca="false">INDEX(Students!$C$2:$C$601,MATCH(B22,Students!$A$2:$A$601,0))</f>
        <v>Batch 2024</v>
      </c>
      <c r="K22" s="21" t="str">
        <f aca="false">INDEX(Students!$D$2:$D$601,MATCH(B22,Students!$A$2:$A$601,0))</f>
        <v>DSA with Java</v>
      </c>
      <c r="L22" s="21" t="str">
        <f aca="false">INDEX(Companies!$C$2:$C$31,MATCH(C22,Companies!$A$2:$A$31,0))</f>
        <v>E-commerce</v>
      </c>
      <c r="M22" s="21" t="str">
        <f aca="false">INDEX(Companies!$D$2:$D$31,MATCH(C22,Companies!$A$2:$A$31,0))</f>
        <v>Tier 2</v>
      </c>
      <c r="N22" s="34" t="n">
        <f aca="false">MATCH(F22,Assumptions!$K$4:$K$8,0)</f>
        <v>1</v>
      </c>
      <c r="O22" s="21" t="str">
        <f aca="false">IF(H22="Yes",MONTH(I22),"")</f>
        <v/>
      </c>
      <c r="P22" s="21" t="str">
        <f aca="false">IF(H22="Yes",B22,"")</f>
        <v/>
      </c>
    </row>
    <row r="23" customFormat="false" ht="15" hidden="false" customHeight="false" outlineLevel="0" collapsed="false">
      <c r="A23" s="21" t="s">
        <v>1221</v>
      </c>
      <c r="B23" s="21" t="s">
        <v>205</v>
      </c>
      <c r="C23" s="21" t="s">
        <v>1222</v>
      </c>
      <c r="D23" s="21" t="s">
        <v>1188</v>
      </c>
      <c r="E23" s="33" t="n">
        <v>45146</v>
      </c>
      <c r="F23" s="21" t="s">
        <v>1197</v>
      </c>
      <c r="G23" s="32"/>
      <c r="H23" s="21"/>
      <c r="I23" s="33"/>
      <c r="J23" s="21" t="str">
        <f aca="false">INDEX(Students!$C$2:$C$601,MATCH(B23,Students!$A$2:$A$601,0))</f>
        <v>Batch 2024</v>
      </c>
      <c r="K23" s="21" t="str">
        <f aca="false">INDEX(Students!$D$2:$D$601,MATCH(B23,Students!$A$2:$A$601,0))</f>
        <v>Data Analytics</v>
      </c>
      <c r="L23" s="21" t="str">
        <f aca="false">INDEX(Companies!$C$2:$C$31,MATCH(C23,Companies!$A$2:$A$31,0))</f>
        <v>Product</v>
      </c>
      <c r="M23" s="21" t="str">
        <f aca="false">INDEX(Companies!$D$2:$D$31,MATCH(C23,Companies!$A$2:$A$31,0))</f>
        <v>Tier 2</v>
      </c>
      <c r="N23" s="34" t="n">
        <f aca="false">MATCH(F23,Assumptions!$K$4:$K$8,0)</f>
        <v>3</v>
      </c>
      <c r="O23" s="21" t="str">
        <f aca="false">IF(H23="Yes",MONTH(I23),"")</f>
        <v/>
      </c>
      <c r="P23" s="21" t="str">
        <f aca="false">IF(H23="Yes",B23,"")</f>
        <v/>
      </c>
    </row>
    <row r="24" customFormat="false" ht="15" hidden="false" customHeight="false" outlineLevel="0" collapsed="false">
      <c r="A24" s="21" t="s">
        <v>1223</v>
      </c>
      <c r="B24" s="21" t="s">
        <v>230</v>
      </c>
      <c r="C24" s="21" t="s">
        <v>1177</v>
      </c>
      <c r="D24" s="21" t="s">
        <v>1181</v>
      </c>
      <c r="E24" s="33" t="n">
        <v>45146</v>
      </c>
      <c r="F24" s="21" t="s">
        <v>1185</v>
      </c>
      <c r="G24" s="32" t="n">
        <v>5.4</v>
      </c>
      <c r="H24" s="21" t="s">
        <v>113</v>
      </c>
      <c r="I24" s="33" t="n">
        <v>45180</v>
      </c>
      <c r="J24" s="21" t="str">
        <f aca="false">INDEX(Students!$C$2:$C$601,MATCH(B24,Students!$A$2:$A$601,0))</f>
        <v>Batch 2024</v>
      </c>
      <c r="K24" s="21" t="str">
        <f aca="false">INDEX(Students!$D$2:$D$601,MATCH(B24,Students!$A$2:$A$601,0))</f>
        <v>Full Stack Development</v>
      </c>
      <c r="L24" s="21" t="str">
        <f aca="false">INDEX(Companies!$C$2:$C$31,MATCH(C24,Companies!$A$2:$A$31,0))</f>
        <v>IT Services</v>
      </c>
      <c r="M24" s="21" t="str">
        <f aca="false">INDEX(Companies!$D$2:$D$31,MATCH(C24,Companies!$A$2:$A$31,0))</f>
        <v>Tier 3</v>
      </c>
      <c r="N24" s="34" t="n">
        <f aca="false">MATCH(F24,Assumptions!$K$4:$K$8,0)</f>
        <v>5</v>
      </c>
      <c r="O24" s="21" t="str">
        <f aca="false">IF(H24="Yes",MONTH(I24),"")</f>
        <v/>
      </c>
      <c r="P24" s="21" t="str">
        <f aca="false">IF(H24="Yes",B24,"")</f>
        <v/>
      </c>
    </row>
    <row r="25" customFormat="false" ht="15" hidden="false" customHeight="false" outlineLevel="0" collapsed="false">
      <c r="A25" s="21" t="s">
        <v>1224</v>
      </c>
      <c r="B25" s="21" t="s">
        <v>145</v>
      </c>
      <c r="C25" s="21" t="s">
        <v>1225</v>
      </c>
      <c r="D25" s="21" t="s">
        <v>1226</v>
      </c>
      <c r="E25" s="33" t="n">
        <v>45146</v>
      </c>
      <c r="F25" s="21" t="s">
        <v>1178</v>
      </c>
      <c r="G25" s="32"/>
      <c r="H25" s="21"/>
      <c r="I25" s="33"/>
      <c r="J25" s="21" t="str">
        <f aca="false">INDEX(Students!$C$2:$C$601,MATCH(B25,Students!$A$2:$A$601,0))</f>
        <v>Batch 2024</v>
      </c>
      <c r="K25" s="21" t="str">
        <f aca="false">INDEX(Students!$D$2:$D$601,MATCH(B25,Students!$A$2:$A$601,0))</f>
        <v>Cybersecurity</v>
      </c>
      <c r="L25" s="21" t="str">
        <f aca="false">INDEX(Companies!$C$2:$C$31,MATCH(C25,Companies!$A$2:$A$31,0))</f>
        <v>EdTech</v>
      </c>
      <c r="M25" s="21" t="str">
        <f aca="false">INDEX(Companies!$D$2:$D$31,MATCH(C25,Companies!$A$2:$A$31,0))</f>
        <v>Tier 2</v>
      </c>
      <c r="N25" s="34" t="n">
        <f aca="false">MATCH(F25,Assumptions!$K$4:$K$8,0)</f>
        <v>2</v>
      </c>
      <c r="O25" s="21" t="str">
        <f aca="false">IF(H25="Yes",MONTH(I25),"")</f>
        <v/>
      </c>
      <c r="P25" s="21" t="str">
        <f aca="false">IF(H25="Yes",B25,"")</f>
        <v/>
      </c>
    </row>
    <row r="26" customFormat="false" ht="15" hidden="false" customHeight="false" outlineLevel="0" collapsed="false">
      <c r="A26" s="21" t="s">
        <v>1227</v>
      </c>
      <c r="B26" s="21" t="s">
        <v>395</v>
      </c>
      <c r="C26" s="21" t="s">
        <v>1228</v>
      </c>
      <c r="D26" s="21" t="s">
        <v>1191</v>
      </c>
      <c r="E26" s="33" t="n">
        <v>45146</v>
      </c>
      <c r="F26" s="21" t="s">
        <v>1175</v>
      </c>
      <c r="G26" s="32"/>
      <c r="H26" s="21"/>
      <c r="I26" s="33"/>
      <c r="J26" s="21" t="str">
        <f aca="false">INDEX(Students!$C$2:$C$601,MATCH(B26,Students!$A$2:$A$601,0))</f>
        <v>Batch 2024</v>
      </c>
      <c r="K26" s="21" t="str">
        <f aca="false">INDEX(Students!$D$2:$D$601,MATCH(B26,Students!$A$2:$A$601,0))</f>
        <v>DSA with Java</v>
      </c>
      <c r="L26" s="21" t="str">
        <f aca="false">INDEX(Companies!$C$2:$C$31,MATCH(C26,Companies!$A$2:$A$31,0))</f>
        <v>Fintech</v>
      </c>
      <c r="M26" s="21" t="str">
        <f aca="false">INDEX(Companies!$D$2:$D$31,MATCH(C26,Companies!$A$2:$A$31,0))</f>
        <v>Tier 1</v>
      </c>
      <c r="N26" s="34" t="n">
        <f aca="false">MATCH(F26,Assumptions!$K$4:$K$8,0)</f>
        <v>1</v>
      </c>
      <c r="O26" s="21" t="str">
        <f aca="false">IF(H26="Yes",MONTH(I26),"")</f>
        <v/>
      </c>
      <c r="P26" s="21" t="str">
        <f aca="false">IF(H26="Yes",B26,"")</f>
        <v/>
      </c>
    </row>
    <row r="27" customFormat="false" ht="15" hidden="false" customHeight="false" outlineLevel="0" collapsed="false">
      <c r="A27" s="21" t="s">
        <v>1229</v>
      </c>
      <c r="B27" s="21" t="s">
        <v>139</v>
      </c>
      <c r="C27" s="21" t="s">
        <v>1230</v>
      </c>
      <c r="D27" s="21" t="s">
        <v>1174</v>
      </c>
      <c r="E27" s="33" t="n">
        <v>45146</v>
      </c>
      <c r="F27" s="21" t="s">
        <v>1178</v>
      </c>
      <c r="G27" s="32"/>
      <c r="H27" s="21"/>
      <c r="I27" s="33"/>
      <c r="J27" s="21" t="str">
        <f aca="false">INDEX(Students!$C$2:$C$601,MATCH(B27,Students!$A$2:$A$601,0))</f>
        <v>Batch 2024</v>
      </c>
      <c r="K27" s="21" t="str">
        <f aca="false">INDEX(Students!$D$2:$D$601,MATCH(B27,Students!$A$2:$A$601,0))</f>
        <v>Full Stack Development</v>
      </c>
      <c r="L27" s="21" t="str">
        <f aca="false">INDEX(Companies!$C$2:$C$31,MATCH(C27,Companies!$A$2:$A$31,0))</f>
        <v>IT Services</v>
      </c>
      <c r="M27" s="21" t="str">
        <f aca="false">INDEX(Companies!$D$2:$D$31,MATCH(C27,Companies!$A$2:$A$31,0))</f>
        <v>Tier 3</v>
      </c>
      <c r="N27" s="34" t="n">
        <f aca="false">MATCH(F27,Assumptions!$K$4:$K$8,0)</f>
        <v>2</v>
      </c>
      <c r="O27" s="21" t="str">
        <f aca="false">IF(H27="Yes",MONTH(I27),"")</f>
        <v/>
      </c>
      <c r="P27" s="21" t="str">
        <f aca="false">IF(H27="Yes",B27,"")</f>
        <v/>
      </c>
    </row>
    <row r="28" customFormat="false" ht="15" hidden="false" customHeight="false" outlineLevel="0" collapsed="false">
      <c r="A28" s="21" t="s">
        <v>1231</v>
      </c>
      <c r="B28" s="21" t="s">
        <v>185</v>
      </c>
      <c r="C28" s="21" t="s">
        <v>1199</v>
      </c>
      <c r="D28" s="21" t="s">
        <v>1188</v>
      </c>
      <c r="E28" s="33" t="n">
        <v>45146</v>
      </c>
      <c r="F28" s="21" t="s">
        <v>1175</v>
      </c>
      <c r="G28" s="32"/>
      <c r="H28" s="21"/>
      <c r="I28" s="33"/>
      <c r="J28" s="21" t="str">
        <f aca="false">INDEX(Students!$C$2:$C$601,MATCH(B28,Students!$A$2:$A$601,0))</f>
        <v>Batch 2024</v>
      </c>
      <c r="K28" s="21" t="str">
        <f aca="false">INDEX(Students!$D$2:$D$601,MATCH(B28,Students!$A$2:$A$601,0))</f>
        <v>Data Analytics</v>
      </c>
      <c r="L28" s="21" t="str">
        <f aca="false">INDEX(Companies!$C$2:$C$31,MATCH(C28,Companies!$A$2:$A$31,0))</f>
        <v>E-commerce</v>
      </c>
      <c r="M28" s="21" t="str">
        <f aca="false">INDEX(Companies!$D$2:$D$31,MATCH(C28,Companies!$A$2:$A$31,0))</f>
        <v>Tier 2</v>
      </c>
      <c r="N28" s="34" t="n">
        <f aca="false">MATCH(F28,Assumptions!$K$4:$K$8,0)</f>
        <v>1</v>
      </c>
      <c r="O28" s="21" t="str">
        <f aca="false">IF(H28="Yes",MONTH(I28),"")</f>
        <v/>
      </c>
      <c r="P28" s="21" t="str">
        <f aca="false">IF(H28="Yes",B28,"")</f>
        <v/>
      </c>
    </row>
    <row r="29" customFormat="false" ht="15" hidden="false" customHeight="false" outlineLevel="0" collapsed="false">
      <c r="A29" s="21" t="s">
        <v>1232</v>
      </c>
      <c r="B29" s="21" t="s">
        <v>171</v>
      </c>
      <c r="C29" s="21" t="s">
        <v>1208</v>
      </c>
      <c r="D29" s="21" t="s">
        <v>1226</v>
      </c>
      <c r="E29" s="33" t="n">
        <v>45146</v>
      </c>
      <c r="F29" s="21" t="s">
        <v>1178</v>
      </c>
      <c r="G29" s="32"/>
      <c r="H29" s="21"/>
      <c r="I29" s="33"/>
      <c r="J29" s="21" t="str">
        <f aca="false">INDEX(Students!$C$2:$C$601,MATCH(B29,Students!$A$2:$A$601,0))</f>
        <v>Batch 2024</v>
      </c>
      <c r="K29" s="21" t="str">
        <f aca="false">INDEX(Students!$D$2:$D$601,MATCH(B29,Students!$A$2:$A$601,0))</f>
        <v>Cybersecurity</v>
      </c>
      <c r="L29" s="21" t="str">
        <f aca="false">INDEX(Companies!$C$2:$C$31,MATCH(C29,Companies!$A$2:$A$31,0))</f>
        <v>E-commerce</v>
      </c>
      <c r="M29" s="21" t="str">
        <f aca="false">INDEX(Companies!$D$2:$D$31,MATCH(C29,Companies!$A$2:$A$31,0))</f>
        <v>Tier 1</v>
      </c>
      <c r="N29" s="34" t="n">
        <f aca="false">MATCH(F29,Assumptions!$K$4:$K$8,0)</f>
        <v>2</v>
      </c>
      <c r="O29" s="21" t="str">
        <f aca="false">IF(H29="Yes",MONTH(I29),"")</f>
        <v/>
      </c>
      <c r="P29" s="21" t="str">
        <f aca="false">IF(H29="Yes",B29,"")</f>
        <v/>
      </c>
    </row>
    <row r="30" customFormat="false" ht="15" hidden="false" customHeight="false" outlineLevel="0" collapsed="false">
      <c r="A30" s="21" t="s">
        <v>1233</v>
      </c>
      <c r="B30" s="21" t="s">
        <v>397</v>
      </c>
      <c r="C30" s="21" t="s">
        <v>1234</v>
      </c>
      <c r="D30" s="21" t="s">
        <v>1184</v>
      </c>
      <c r="E30" s="33" t="n">
        <v>45146</v>
      </c>
      <c r="F30" s="21" t="s">
        <v>1185</v>
      </c>
      <c r="G30" s="32" t="n">
        <v>6.3</v>
      </c>
      <c r="H30" s="21" t="s">
        <v>113</v>
      </c>
      <c r="I30" s="33" t="n">
        <v>45195</v>
      </c>
      <c r="J30" s="21" t="str">
        <f aca="false">INDEX(Students!$C$2:$C$601,MATCH(B30,Students!$A$2:$A$601,0))</f>
        <v>Batch 2024</v>
      </c>
      <c r="K30" s="21" t="str">
        <f aca="false">INDEX(Students!$D$2:$D$601,MATCH(B30,Students!$A$2:$A$601,0))</f>
        <v>DSA with Java</v>
      </c>
      <c r="L30" s="21" t="str">
        <f aca="false">INDEX(Companies!$C$2:$C$31,MATCH(C30,Companies!$A$2:$A$31,0))</f>
        <v>EdTech</v>
      </c>
      <c r="M30" s="21" t="str">
        <f aca="false">INDEX(Companies!$D$2:$D$31,MATCH(C30,Companies!$A$2:$A$31,0))</f>
        <v>Tier 3</v>
      </c>
      <c r="N30" s="34" t="n">
        <f aca="false">MATCH(F30,Assumptions!$K$4:$K$8,0)</f>
        <v>5</v>
      </c>
      <c r="O30" s="21" t="str">
        <f aca="false">IF(H30="Yes",MONTH(I30),"")</f>
        <v/>
      </c>
      <c r="P30" s="21" t="str">
        <f aca="false">IF(H30="Yes",B30,"")</f>
        <v/>
      </c>
    </row>
    <row r="31" customFormat="false" ht="15" hidden="false" customHeight="false" outlineLevel="0" collapsed="false">
      <c r="A31" s="21" t="s">
        <v>1235</v>
      </c>
      <c r="B31" s="21" t="s">
        <v>230</v>
      </c>
      <c r="C31" s="21" t="s">
        <v>1222</v>
      </c>
      <c r="D31" s="21" t="s">
        <v>1174</v>
      </c>
      <c r="E31" s="33" t="n">
        <v>45147</v>
      </c>
      <c r="F31" s="21" t="s">
        <v>1178</v>
      </c>
      <c r="G31" s="32"/>
      <c r="H31" s="21"/>
      <c r="I31" s="33"/>
      <c r="J31" s="21" t="str">
        <f aca="false">INDEX(Students!$C$2:$C$601,MATCH(B31,Students!$A$2:$A$601,0))</f>
        <v>Batch 2024</v>
      </c>
      <c r="K31" s="21" t="str">
        <f aca="false">INDEX(Students!$D$2:$D$601,MATCH(B31,Students!$A$2:$A$601,0))</f>
        <v>Full Stack Development</v>
      </c>
      <c r="L31" s="21" t="str">
        <f aca="false">INDEX(Companies!$C$2:$C$31,MATCH(C31,Companies!$A$2:$A$31,0))</f>
        <v>Product</v>
      </c>
      <c r="M31" s="21" t="str">
        <f aca="false">INDEX(Companies!$D$2:$D$31,MATCH(C31,Companies!$A$2:$A$31,0))</f>
        <v>Tier 2</v>
      </c>
      <c r="N31" s="34" t="n">
        <f aca="false">MATCH(F31,Assumptions!$K$4:$K$8,0)</f>
        <v>2</v>
      </c>
      <c r="O31" s="21" t="str">
        <f aca="false">IF(H31="Yes",MONTH(I31),"")</f>
        <v/>
      </c>
      <c r="P31" s="21" t="str">
        <f aca="false">IF(H31="Yes",B31,"")</f>
        <v/>
      </c>
    </row>
    <row r="32" customFormat="false" ht="15" hidden="false" customHeight="false" outlineLevel="0" collapsed="false">
      <c r="A32" s="21" t="s">
        <v>1236</v>
      </c>
      <c r="B32" s="21" t="s">
        <v>135</v>
      </c>
      <c r="C32" s="21" t="s">
        <v>1190</v>
      </c>
      <c r="D32" s="21" t="s">
        <v>1191</v>
      </c>
      <c r="E32" s="33" t="n">
        <v>45147</v>
      </c>
      <c r="F32" s="21" t="s">
        <v>1178</v>
      </c>
      <c r="G32" s="32"/>
      <c r="H32" s="21"/>
      <c r="I32" s="33"/>
      <c r="J32" s="21" t="str">
        <f aca="false">INDEX(Students!$C$2:$C$601,MATCH(B32,Students!$A$2:$A$601,0))</f>
        <v>Batch 2024</v>
      </c>
      <c r="K32" s="21" t="str">
        <f aca="false">INDEX(Students!$D$2:$D$601,MATCH(B32,Students!$A$2:$A$601,0))</f>
        <v>DSA with Java</v>
      </c>
      <c r="L32" s="21" t="str">
        <f aca="false">INDEX(Companies!$C$2:$C$31,MATCH(C32,Companies!$A$2:$A$31,0))</f>
        <v>Analytics &amp; Consulting</v>
      </c>
      <c r="M32" s="21" t="str">
        <f aca="false">INDEX(Companies!$D$2:$D$31,MATCH(C32,Companies!$A$2:$A$31,0))</f>
        <v>Tier 1</v>
      </c>
      <c r="N32" s="34" t="n">
        <f aca="false">MATCH(F32,Assumptions!$K$4:$K$8,0)</f>
        <v>2</v>
      </c>
      <c r="O32" s="21" t="str">
        <f aca="false">IF(H32="Yes",MONTH(I32),"")</f>
        <v/>
      </c>
      <c r="P32" s="21" t="str">
        <f aca="false">IF(H32="Yes",B32,"")</f>
        <v/>
      </c>
    </row>
    <row r="33" customFormat="false" ht="15" hidden="false" customHeight="false" outlineLevel="0" collapsed="false">
      <c r="A33" s="21" t="s">
        <v>1237</v>
      </c>
      <c r="B33" s="21" t="s">
        <v>287</v>
      </c>
      <c r="C33" s="21" t="s">
        <v>1234</v>
      </c>
      <c r="D33" s="21" t="s">
        <v>1209</v>
      </c>
      <c r="E33" s="33" t="n">
        <v>45148</v>
      </c>
      <c r="F33" s="21" t="s">
        <v>1197</v>
      </c>
      <c r="G33" s="32"/>
      <c r="H33" s="21"/>
      <c r="I33" s="33"/>
      <c r="J33" s="21" t="str">
        <f aca="false">INDEX(Students!$C$2:$C$601,MATCH(B33,Students!$A$2:$A$601,0))</f>
        <v>Batch 2024</v>
      </c>
      <c r="K33" s="21" t="str">
        <f aca="false">INDEX(Students!$D$2:$D$601,MATCH(B33,Students!$A$2:$A$601,0))</f>
        <v>Data Analytics</v>
      </c>
      <c r="L33" s="21" t="str">
        <f aca="false">INDEX(Companies!$C$2:$C$31,MATCH(C33,Companies!$A$2:$A$31,0))</f>
        <v>EdTech</v>
      </c>
      <c r="M33" s="21" t="str">
        <f aca="false">INDEX(Companies!$D$2:$D$31,MATCH(C33,Companies!$A$2:$A$31,0))</f>
        <v>Tier 3</v>
      </c>
      <c r="N33" s="34" t="n">
        <f aca="false">MATCH(F33,Assumptions!$K$4:$K$8,0)</f>
        <v>3</v>
      </c>
      <c r="O33" s="21" t="str">
        <f aca="false">IF(H33="Yes",MONTH(I33),"")</f>
        <v/>
      </c>
      <c r="P33" s="21" t="str">
        <f aca="false">IF(H33="Yes",B33,"")</f>
        <v/>
      </c>
    </row>
    <row r="34" customFormat="false" ht="15" hidden="false" customHeight="false" outlineLevel="0" collapsed="false">
      <c r="A34" s="21" t="s">
        <v>1238</v>
      </c>
      <c r="B34" s="21" t="s">
        <v>145</v>
      </c>
      <c r="C34" s="21" t="s">
        <v>1239</v>
      </c>
      <c r="D34" s="21" t="s">
        <v>1240</v>
      </c>
      <c r="E34" s="33" t="n">
        <v>45148</v>
      </c>
      <c r="F34" s="21" t="s">
        <v>1218</v>
      </c>
      <c r="G34" s="32"/>
      <c r="H34" s="21"/>
      <c r="I34" s="33"/>
      <c r="J34" s="21" t="str">
        <f aca="false">INDEX(Students!$C$2:$C$601,MATCH(B34,Students!$A$2:$A$601,0))</f>
        <v>Batch 2024</v>
      </c>
      <c r="K34" s="21" t="str">
        <f aca="false">INDEX(Students!$D$2:$D$601,MATCH(B34,Students!$A$2:$A$601,0))</f>
        <v>Cybersecurity</v>
      </c>
      <c r="L34" s="21" t="str">
        <f aca="false">INDEX(Companies!$C$2:$C$31,MATCH(C34,Companies!$A$2:$A$31,0))</f>
        <v>E-commerce</v>
      </c>
      <c r="M34" s="21" t="str">
        <f aca="false">INDEX(Companies!$D$2:$D$31,MATCH(C34,Companies!$A$2:$A$31,0))</f>
        <v>Tier 3</v>
      </c>
      <c r="N34" s="34" t="n">
        <f aca="false">MATCH(F34,Assumptions!$K$4:$K$8,0)</f>
        <v>4</v>
      </c>
      <c r="O34" s="21" t="str">
        <f aca="false">IF(H34="Yes",MONTH(I34),"")</f>
        <v/>
      </c>
      <c r="P34" s="21" t="str">
        <f aca="false">IF(H34="Yes",B34,"")</f>
        <v/>
      </c>
    </row>
    <row r="35" customFormat="false" ht="15" hidden="false" customHeight="false" outlineLevel="0" collapsed="false">
      <c r="A35" s="21" t="s">
        <v>1241</v>
      </c>
      <c r="B35" s="21" t="s">
        <v>336</v>
      </c>
      <c r="C35" s="21" t="s">
        <v>1208</v>
      </c>
      <c r="D35" s="21" t="s">
        <v>1174</v>
      </c>
      <c r="E35" s="33" t="n">
        <v>45148</v>
      </c>
      <c r="F35" s="21" t="s">
        <v>1185</v>
      </c>
      <c r="G35" s="32" t="n">
        <v>26</v>
      </c>
      <c r="H35" s="21" t="s">
        <v>113</v>
      </c>
      <c r="I35" s="33" t="n">
        <v>45190</v>
      </c>
      <c r="J35" s="21" t="str">
        <f aca="false">INDEX(Students!$C$2:$C$601,MATCH(B35,Students!$A$2:$A$601,0))</f>
        <v>Batch 2024</v>
      </c>
      <c r="K35" s="21" t="str">
        <f aca="false">INDEX(Students!$D$2:$D$601,MATCH(B35,Students!$A$2:$A$601,0))</f>
        <v>Full Stack Development</v>
      </c>
      <c r="L35" s="21" t="str">
        <f aca="false">INDEX(Companies!$C$2:$C$31,MATCH(C35,Companies!$A$2:$A$31,0))</f>
        <v>E-commerce</v>
      </c>
      <c r="M35" s="21" t="str">
        <f aca="false">INDEX(Companies!$D$2:$D$31,MATCH(C35,Companies!$A$2:$A$31,0))</f>
        <v>Tier 1</v>
      </c>
      <c r="N35" s="34" t="n">
        <f aca="false">MATCH(F35,Assumptions!$K$4:$K$8,0)</f>
        <v>5</v>
      </c>
      <c r="O35" s="21" t="str">
        <f aca="false">IF(H35="Yes",MONTH(I35),"")</f>
        <v/>
      </c>
      <c r="P35" s="21" t="str">
        <f aca="false">IF(H35="Yes",B35,"")</f>
        <v/>
      </c>
    </row>
    <row r="36" customFormat="false" ht="15" hidden="false" customHeight="false" outlineLevel="0" collapsed="false">
      <c r="A36" s="21" t="s">
        <v>1242</v>
      </c>
      <c r="B36" s="21" t="s">
        <v>431</v>
      </c>
      <c r="C36" s="21" t="s">
        <v>1211</v>
      </c>
      <c r="D36" s="21" t="s">
        <v>1243</v>
      </c>
      <c r="E36" s="33" t="n">
        <v>45148</v>
      </c>
      <c r="F36" s="21" t="s">
        <v>1175</v>
      </c>
      <c r="G36" s="32"/>
      <c r="H36" s="21"/>
      <c r="I36" s="33"/>
      <c r="J36" s="21" t="str">
        <f aca="false">INDEX(Students!$C$2:$C$601,MATCH(B36,Students!$A$2:$A$601,0))</f>
        <v>Batch 2024</v>
      </c>
      <c r="K36" s="21" t="str">
        <f aca="false">INDEX(Students!$D$2:$D$601,MATCH(B36,Students!$A$2:$A$601,0))</f>
        <v>Data Science &amp; ML</v>
      </c>
      <c r="L36" s="21" t="str">
        <f aca="false">INDEX(Companies!$C$2:$C$31,MATCH(C36,Companies!$A$2:$A$31,0))</f>
        <v>Analytics &amp; Consulting</v>
      </c>
      <c r="M36" s="21" t="str">
        <f aca="false">INDEX(Companies!$D$2:$D$31,MATCH(C36,Companies!$A$2:$A$31,0))</f>
        <v>Tier 3</v>
      </c>
      <c r="N36" s="34" t="n">
        <f aca="false">MATCH(F36,Assumptions!$K$4:$K$8,0)</f>
        <v>1</v>
      </c>
      <c r="O36" s="21" t="str">
        <f aca="false">IF(H36="Yes",MONTH(I36),"")</f>
        <v/>
      </c>
      <c r="P36" s="21" t="str">
        <f aca="false">IF(H36="Yes",B36,"")</f>
        <v/>
      </c>
    </row>
    <row r="37" customFormat="false" ht="15" hidden="false" customHeight="false" outlineLevel="0" collapsed="false">
      <c r="A37" s="21" t="s">
        <v>1244</v>
      </c>
      <c r="B37" s="21" t="s">
        <v>293</v>
      </c>
      <c r="C37" s="21" t="s">
        <v>1193</v>
      </c>
      <c r="D37" s="21" t="s">
        <v>1209</v>
      </c>
      <c r="E37" s="33" t="n">
        <v>45149</v>
      </c>
      <c r="F37" s="21" t="s">
        <v>1175</v>
      </c>
      <c r="G37" s="32"/>
      <c r="H37" s="21"/>
      <c r="I37" s="33"/>
      <c r="J37" s="21" t="str">
        <f aca="false">INDEX(Students!$C$2:$C$601,MATCH(B37,Students!$A$2:$A$601,0))</f>
        <v>Batch 2024</v>
      </c>
      <c r="K37" s="21" t="str">
        <f aca="false">INDEX(Students!$D$2:$D$601,MATCH(B37,Students!$A$2:$A$601,0))</f>
        <v>Data Analytics</v>
      </c>
      <c r="L37" s="21" t="str">
        <f aca="false">INDEX(Companies!$C$2:$C$31,MATCH(C37,Companies!$A$2:$A$31,0))</f>
        <v>Analytics &amp; Consulting</v>
      </c>
      <c r="M37" s="21" t="str">
        <f aca="false">INDEX(Companies!$D$2:$D$31,MATCH(C37,Companies!$A$2:$A$31,0))</f>
        <v>Tier 2</v>
      </c>
      <c r="N37" s="34" t="n">
        <f aca="false">MATCH(F37,Assumptions!$K$4:$K$8,0)</f>
        <v>1</v>
      </c>
      <c r="O37" s="21" t="str">
        <f aca="false">IF(H37="Yes",MONTH(I37),"")</f>
        <v/>
      </c>
      <c r="P37" s="21" t="str">
        <f aca="false">IF(H37="Yes",B37,"")</f>
        <v/>
      </c>
    </row>
    <row r="38" customFormat="false" ht="15" hidden="false" customHeight="false" outlineLevel="0" collapsed="false">
      <c r="A38" s="21" t="s">
        <v>1245</v>
      </c>
      <c r="B38" s="21" t="s">
        <v>327</v>
      </c>
      <c r="C38" s="21" t="s">
        <v>1234</v>
      </c>
      <c r="D38" s="21" t="s">
        <v>1184</v>
      </c>
      <c r="E38" s="33" t="n">
        <v>45149</v>
      </c>
      <c r="F38" s="21" t="s">
        <v>1175</v>
      </c>
      <c r="G38" s="32"/>
      <c r="H38" s="21"/>
      <c r="I38" s="33"/>
      <c r="J38" s="21" t="str">
        <f aca="false">INDEX(Students!$C$2:$C$601,MATCH(B38,Students!$A$2:$A$601,0))</f>
        <v>Batch 2024</v>
      </c>
      <c r="K38" s="21" t="str">
        <f aca="false">INDEX(Students!$D$2:$D$601,MATCH(B38,Students!$A$2:$A$601,0))</f>
        <v>DSA with Java</v>
      </c>
      <c r="L38" s="21" t="str">
        <f aca="false">INDEX(Companies!$C$2:$C$31,MATCH(C38,Companies!$A$2:$A$31,0))</f>
        <v>EdTech</v>
      </c>
      <c r="M38" s="21" t="str">
        <f aca="false">INDEX(Companies!$D$2:$D$31,MATCH(C38,Companies!$A$2:$A$31,0))</f>
        <v>Tier 3</v>
      </c>
      <c r="N38" s="34" t="n">
        <f aca="false">MATCH(F38,Assumptions!$K$4:$K$8,0)</f>
        <v>1</v>
      </c>
      <c r="O38" s="21" t="str">
        <f aca="false">IF(H38="Yes",MONTH(I38),"")</f>
        <v/>
      </c>
      <c r="P38" s="21" t="str">
        <f aca="false">IF(H38="Yes",B38,"")</f>
        <v/>
      </c>
    </row>
    <row r="39" customFormat="false" ht="15" hidden="false" customHeight="false" outlineLevel="0" collapsed="false">
      <c r="A39" s="21" t="s">
        <v>1246</v>
      </c>
      <c r="B39" s="21" t="s">
        <v>311</v>
      </c>
      <c r="C39" s="21" t="s">
        <v>1196</v>
      </c>
      <c r="D39" s="21" t="s">
        <v>1181</v>
      </c>
      <c r="E39" s="33" t="n">
        <v>45149</v>
      </c>
      <c r="F39" s="21" t="s">
        <v>1197</v>
      </c>
      <c r="G39" s="32"/>
      <c r="H39" s="21"/>
      <c r="I39" s="33"/>
      <c r="J39" s="21" t="str">
        <f aca="false">INDEX(Students!$C$2:$C$601,MATCH(B39,Students!$A$2:$A$601,0))</f>
        <v>Batch 2024</v>
      </c>
      <c r="K39" s="21" t="str">
        <f aca="false">INDEX(Students!$D$2:$D$601,MATCH(B39,Students!$A$2:$A$601,0))</f>
        <v>Full Stack Development</v>
      </c>
      <c r="L39" s="21" t="str">
        <f aca="false">INDEX(Companies!$C$2:$C$31,MATCH(C39,Companies!$A$2:$A$31,0))</f>
        <v>IT Services</v>
      </c>
      <c r="M39" s="21" t="str">
        <f aca="false">INDEX(Companies!$D$2:$D$31,MATCH(C39,Companies!$A$2:$A$31,0))</f>
        <v>Tier 3</v>
      </c>
      <c r="N39" s="34" t="n">
        <f aca="false">MATCH(F39,Assumptions!$K$4:$K$8,0)</f>
        <v>3</v>
      </c>
      <c r="O39" s="21" t="str">
        <f aca="false">IF(H39="Yes",MONTH(I39),"")</f>
        <v/>
      </c>
      <c r="P39" s="21" t="str">
        <f aca="false">IF(H39="Yes",B39,"")</f>
        <v/>
      </c>
    </row>
    <row r="40" customFormat="false" ht="15" hidden="false" customHeight="false" outlineLevel="0" collapsed="false">
      <c r="A40" s="21" t="s">
        <v>1247</v>
      </c>
      <c r="B40" s="21" t="s">
        <v>431</v>
      </c>
      <c r="C40" s="21" t="s">
        <v>1180</v>
      </c>
      <c r="D40" s="21" t="s">
        <v>1243</v>
      </c>
      <c r="E40" s="33" t="n">
        <v>45149</v>
      </c>
      <c r="F40" s="21" t="s">
        <v>1178</v>
      </c>
      <c r="G40" s="32"/>
      <c r="H40" s="21"/>
      <c r="I40" s="33"/>
      <c r="J40" s="21" t="str">
        <f aca="false">INDEX(Students!$C$2:$C$601,MATCH(B40,Students!$A$2:$A$601,0))</f>
        <v>Batch 2024</v>
      </c>
      <c r="K40" s="21" t="str">
        <f aca="false">INDEX(Students!$D$2:$D$601,MATCH(B40,Students!$A$2:$A$601,0))</f>
        <v>Data Science &amp; ML</v>
      </c>
      <c r="L40" s="21" t="str">
        <f aca="false">INDEX(Companies!$C$2:$C$31,MATCH(C40,Companies!$A$2:$A$31,0))</f>
        <v>IT Services</v>
      </c>
      <c r="M40" s="21" t="str">
        <f aca="false">INDEX(Companies!$D$2:$D$31,MATCH(C40,Companies!$A$2:$A$31,0))</f>
        <v>Tier 3</v>
      </c>
      <c r="N40" s="34" t="n">
        <f aca="false">MATCH(F40,Assumptions!$K$4:$K$8,0)</f>
        <v>2</v>
      </c>
      <c r="O40" s="21" t="str">
        <f aca="false">IF(H40="Yes",MONTH(I40),"")</f>
        <v/>
      </c>
      <c r="P40" s="21" t="str">
        <f aca="false">IF(H40="Yes",B40,"")</f>
        <v/>
      </c>
    </row>
    <row r="41" customFormat="false" ht="15" hidden="false" customHeight="false" outlineLevel="0" collapsed="false">
      <c r="A41" s="21" t="s">
        <v>1248</v>
      </c>
      <c r="B41" s="21" t="s">
        <v>452</v>
      </c>
      <c r="C41" s="21" t="s">
        <v>1183</v>
      </c>
      <c r="D41" s="21" t="s">
        <v>1209</v>
      </c>
      <c r="E41" s="33" t="n">
        <v>45149</v>
      </c>
      <c r="F41" s="21" t="s">
        <v>1178</v>
      </c>
      <c r="G41" s="32"/>
      <c r="H41" s="21"/>
      <c r="I41" s="33"/>
      <c r="J41" s="21" t="str">
        <f aca="false">INDEX(Students!$C$2:$C$601,MATCH(B41,Students!$A$2:$A$601,0))</f>
        <v>Batch 2024</v>
      </c>
      <c r="K41" s="21" t="str">
        <f aca="false">INDEX(Students!$D$2:$D$601,MATCH(B41,Students!$A$2:$A$601,0))</f>
        <v>Data Analytics</v>
      </c>
      <c r="L41" s="21" t="str">
        <f aca="false">INDEX(Companies!$C$2:$C$31,MATCH(C41,Companies!$A$2:$A$31,0))</f>
        <v>E-commerce</v>
      </c>
      <c r="M41" s="21" t="str">
        <f aca="false">INDEX(Companies!$D$2:$D$31,MATCH(C41,Companies!$A$2:$A$31,0))</f>
        <v>Tier 2</v>
      </c>
      <c r="N41" s="34" t="n">
        <f aca="false">MATCH(F41,Assumptions!$K$4:$K$8,0)</f>
        <v>2</v>
      </c>
      <c r="O41" s="21" t="str">
        <f aca="false">IF(H41="Yes",MONTH(I41),"")</f>
        <v/>
      </c>
      <c r="P41" s="21" t="str">
        <f aca="false">IF(H41="Yes",B41,"")</f>
        <v/>
      </c>
    </row>
    <row r="42" customFormat="false" ht="15" hidden="false" customHeight="false" outlineLevel="0" collapsed="false">
      <c r="A42" s="21" t="s">
        <v>1249</v>
      </c>
      <c r="B42" s="21" t="s">
        <v>215</v>
      </c>
      <c r="C42" s="21" t="s">
        <v>1196</v>
      </c>
      <c r="D42" s="21" t="s">
        <v>1243</v>
      </c>
      <c r="E42" s="33" t="n">
        <v>45150</v>
      </c>
      <c r="F42" s="21" t="s">
        <v>1218</v>
      </c>
      <c r="G42" s="32"/>
      <c r="H42" s="21"/>
      <c r="I42" s="33"/>
      <c r="J42" s="21" t="str">
        <f aca="false">INDEX(Students!$C$2:$C$601,MATCH(B42,Students!$A$2:$A$601,0))</f>
        <v>Batch 2024</v>
      </c>
      <c r="K42" s="21" t="str">
        <f aca="false">INDEX(Students!$D$2:$D$601,MATCH(B42,Students!$A$2:$A$601,0))</f>
        <v>Data Science &amp; ML</v>
      </c>
      <c r="L42" s="21" t="str">
        <f aca="false">INDEX(Companies!$C$2:$C$31,MATCH(C42,Companies!$A$2:$A$31,0))</f>
        <v>IT Services</v>
      </c>
      <c r="M42" s="21" t="str">
        <f aca="false">INDEX(Companies!$D$2:$D$31,MATCH(C42,Companies!$A$2:$A$31,0))</f>
        <v>Tier 3</v>
      </c>
      <c r="N42" s="34" t="n">
        <f aca="false">MATCH(F42,Assumptions!$K$4:$K$8,0)</f>
        <v>4</v>
      </c>
      <c r="O42" s="21" t="str">
        <f aca="false">IF(H42="Yes",MONTH(I42),"")</f>
        <v/>
      </c>
      <c r="P42" s="21" t="str">
        <f aca="false">IF(H42="Yes",B42,"")</f>
        <v/>
      </c>
    </row>
    <row r="43" customFormat="false" ht="15" hidden="false" customHeight="false" outlineLevel="0" collapsed="false">
      <c r="A43" s="21" t="s">
        <v>1250</v>
      </c>
      <c r="B43" s="21" t="s">
        <v>315</v>
      </c>
      <c r="C43" s="21" t="s">
        <v>1193</v>
      </c>
      <c r="D43" s="21" t="s">
        <v>1181</v>
      </c>
      <c r="E43" s="33" t="n">
        <v>45150</v>
      </c>
      <c r="F43" s="21" t="s">
        <v>1185</v>
      </c>
      <c r="G43" s="32" t="n">
        <v>13</v>
      </c>
      <c r="H43" s="21" t="s">
        <v>120</v>
      </c>
      <c r="I43" s="33" t="n">
        <v>45187</v>
      </c>
      <c r="J43" s="21" t="str">
        <f aca="false">INDEX(Students!$C$2:$C$601,MATCH(B43,Students!$A$2:$A$601,0))</f>
        <v>Batch 2024</v>
      </c>
      <c r="K43" s="21" t="str">
        <f aca="false">INDEX(Students!$D$2:$D$601,MATCH(B43,Students!$A$2:$A$601,0))</f>
        <v>Full Stack Development</v>
      </c>
      <c r="L43" s="21" t="str">
        <f aca="false">INDEX(Companies!$C$2:$C$31,MATCH(C43,Companies!$A$2:$A$31,0))</f>
        <v>Analytics &amp; Consulting</v>
      </c>
      <c r="M43" s="21" t="str">
        <f aca="false">INDEX(Companies!$D$2:$D$31,MATCH(C43,Companies!$A$2:$A$31,0))</f>
        <v>Tier 2</v>
      </c>
      <c r="N43" s="34" t="n">
        <f aca="false">MATCH(F43,Assumptions!$K$4:$K$8,0)</f>
        <v>5</v>
      </c>
      <c r="O43" s="21" t="n">
        <f aca="false">IF(H43="Yes",MONTH(I43),"")</f>
        <v>9</v>
      </c>
      <c r="P43" s="21" t="str">
        <f aca="false">IF(H43="Yes",B43,"")</f>
        <v>S0104</v>
      </c>
    </row>
    <row r="44" customFormat="false" ht="15" hidden="false" customHeight="false" outlineLevel="0" collapsed="false">
      <c r="A44" s="21" t="s">
        <v>1251</v>
      </c>
      <c r="B44" s="21" t="s">
        <v>123</v>
      </c>
      <c r="C44" s="21" t="s">
        <v>1196</v>
      </c>
      <c r="D44" s="21" t="s">
        <v>1188</v>
      </c>
      <c r="E44" s="33" t="n">
        <v>45150</v>
      </c>
      <c r="F44" s="21" t="s">
        <v>1197</v>
      </c>
      <c r="G44" s="32"/>
      <c r="H44" s="21"/>
      <c r="I44" s="33"/>
      <c r="J44" s="21" t="str">
        <f aca="false">INDEX(Students!$C$2:$C$601,MATCH(B44,Students!$A$2:$A$601,0))</f>
        <v>Batch 2024</v>
      </c>
      <c r="K44" s="21" t="str">
        <f aca="false">INDEX(Students!$D$2:$D$601,MATCH(B44,Students!$A$2:$A$601,0))</f>
        <v>Data Analytics</v>
      </c>
      <c r="L44" s="21" t="str">
        <f aca="false">INDEX(Companies!$C$2:$C$31,MATCH(C44,Companies!$A$2:$A$31,0))</f>
        <v>IT Services</v>
      </c>
      <c r="M44" s="21" t="str">
        <f aca="false">INDEX(Companies!$D$2:$D$31,MATCH(C44,Companies!$A$2:$A$31,0))</f>
        <v>Tier 3</v>
      </c>
      <c r="N44" s="34" t="n">
        <f aca="false">MATCH(F44,Assumptions!$K$4:$K$8,0)</f>
        <v>3</v>
      </c>
      <c r="O44" s="21" t="str">
        <f aca="false">IF(H44="Yes",MONTH(I44),"")</f>
        <v/>
      </c>
      <c r="P44" s="21" t="str">
        <f aca="false">IF(H44="Yes",B44,"")</f>
        <v/>
      </c>
    </row>
    <row r="45" customFormat="false" ht="15" hidden="false" customHeight="false" outlineLevel="0" collapsed="false">
      <c r="A45" s="21" t="s">
        <v>1252</v>
      </c>
      <c r="B45" s="21" t="s">
        <v>161</v>
      </c>
      <c r="C45" s="21" t="s">
        <v>1205</v>
      </c>
      <c r="D45" s="21" t="s">
        <v>1209</v>
      </c>
      <c r="E45" s="33" t="n">
        <v>45151</v>
      </c>
      <c r="F45" s="21" t="s">
        <v>1185</v>
      </c>
      <c r="G45" s="32" t="n">
        <v>5.4</v>
      </c>
      <c r="H45" s="21" t="s">
        <v>113</v>
      </c>
      <c r="I45" s="33" t="n">
        <v>45176</v>
      </c>
      <c r="J45" s="21" t="str">
        <f aca="false">INDEX(Students!$C$2:$C$601,MATCH(B45,Students!$A$2:$A$601,0))</f>
        <v>Batch 2024</v>
      </c>
      <c r="K45" s="21" t="str">
        <f aca="false">INDEX(Students!$D$2:$D$601,MATCH(B45,Students!$A$2:$A$601,0))</f>
        <v>Data Analytics</v>
      </c>
      <c r="L45" s="21" t="str">
        <f aca="false">INDEX(Companies!$C$2:$C$31,MATCH(C45,Companies!$A$2:$A$31,0))</f>
        <v>Healthtech</v>
      </c>
      <c r="M45" s="21" t="str">
        <f aca="false">INDEX(Companies!$D$2:$D$31,MATCH(C45,Companies!$A$2:$A$31,0))</f>
        <v>Tier 3</v>
      </c>
      <c r="N45" s="34" t="n">
        <f aca="false">MATCH(F45,Assumptions!$K$4:$K$8,0)</f>
        <v>5</v>
      </c>
      <c r="O45" s="21" t="str">
        <f aca="false">IF(H45="Yes",MONTH(I45),"")</f>
        <v/>
      </c>
      <c r="P45" s="21" t="str">
        <f aca="false">IF(H45="Yes",B45,"")</f>
        <v/>
      </c>
    </row>
    <row r="46" customFormat="false" ht="15" hidden="false" customHeight="false" outlineLevel="0" collapsed="false">
      <c r="A46" s="21" t="s">
        <v>1253</v>
      </c>
      <c r="B46" s="21" t="s">
        <v>344</v>
      </c>
      <c r="C46" s="21" t="s">
        <v>1205</v>
      </c>
      <c r="D46" s="21" t="s">
        <v>1174</v>
      </c>
      <c r="E46" s="33" t="n">
        <v>45151</v>
      </c>
      <c r="F46" s="21" t="s">
        <v>1178</v>
      </c>
      <c r="G46" s="32"/>
      <c r="H46" s="21"/>
      <c r="I46" s="33"/>
      <c r="J46" s="21" t="str">
        <f aca="false">INDEX(Students!$C$2:$C$601,MATCH(B46,Students!$A$2:$A$601,0))</f>
        <v>Batch 2024</v>
      </c>
      <c r="K46" s="21" t="str">
        <f aca="false">INDEX(Students!$D$2:$D$601,MATCH(B46,Students!$A$2:$A$601,0))</f>
        <v>Full Stack Development</v>
      </c>
      <c r="L46" s="21" t="str">
        <f aca="false">INDEX(Companies!$C$2:$C$31,MATCH(C46,Companies!$A$2:$A$31,0))</f>
        <v>Healthtech</v>
      </c>
      <c r="M46" s="21" t="str">
        <f aca="false">INDEX(Companies!$D$2:$D$31,MATCH(C46,Companies!$A$2:$A$31,0))</f>
        <v>Tier 3</v>
      </c>
      <c r="N46" s="34" t="n">
        <f aca="false">MATCH(F46,Assumptions!$K$4:$K$8,0)</f>
        <v>2</v>
      </c>
      <c r="O46" s="21" t="str">
        <f aca="false">IF(H46="Yes",MONTH(I46),"")</f>
        <v/>
      </c>
      <c r="P46" s="21" t="str">
        <f aca="false">IF(H46="Yes",B46,"")</f>
        <v/>
      </c>
    </row>
    <row r="47" customFormat="false" ht="15" hidden="false" customHeight="false" outlineLevel="0" collapsed="false">
      <c r="A47" s="21" t="s">
        <v>1254</v>
      </c>
      <c r="B47" s="21" t="s">
        <v>352</v>
      </c>
      <c r="C47" s="21" t="s">
        <v>1255</v>
      </c>
      <c r="D47" s="21" t="s">
        <v>1194</v>
      </c>
      <c r="E47" s="33" t="n">
        <v>45151</v>
      </c>
      <c r="F47" s="21" t="s">
        <v>1185</v>
      </c>
      <c r="G47" s="32" t="n">
        <v>5.9</v>
      </c>
      <c r="H47" s="21" t="s">
        <v>113</v>
      </c>
      <c r="I47" s="33" t="n">
        <v>45181</v>
      </c>
      <c r="J47" s="21" t="str">
        <f aca="false">INDEX(Students!$C$2:$C$601,MATCH(B47,Students!$A$2:$A$601,0))</f>
        <v>Batch 2024</v>
      </c>
      <c r="K47" s="21" t="str">
        <f aca="false">INDEX(Students!$D$2:$D$601,MATCH(B47,Students!$A$2:$A$601,0))</f>
        <v>Data Science &amp; ML</v>
      </c>
      <c r="L47" s="21" t="str">
        <f aca="false">INDEX(Companies!$C$2:$C$31,MATCH(C47,Companies!$A$2:$A$31,0))</f>
        <v>IT Services</v>
      </c>
      <c r="M47" s="21" t="str">
        <f aca="false">INDEX(Companies!$D$2:$D$31,MATCH(C47,Companies!$A$2:$A$31,0))</f>
        <v>Tier 3</v>
      </c>
      <c r="N47" s="34" t="n">
        <f aca="false">MATCH(F47,Assumptions!$K$4:$K$8,0)</f>
        <v>5</v>
      </c>
      <c r="O47" s="21" t="str">
        <f aca="false">IF(H47="Yes",MONTH(I47),"")</f>
        <v/>
      </c>
      <c r="P47" s="21" t="str">
        <f aca="false">IF(H47="Yes",B47,"")</f>
        <v/>
      </c>
    </row>
    <row r="48" customFormat="false" ht="15" hidden="false" customHeight="false" outlineLevel="0" collapsed="false">
      <c r="A48" s="21" t="s">
        <v>1256</v>
      </c>
      <c r="B48" s="21" t="s">
        <v>139</v>
      </c>
      <c r="C48" s="21" t="s">
        <v>1177</v>
      </c>
      <c r="D48" s="21" t="s">
        <v>1181</v>
      </c>
      <c r="E48" s="33" t="n">
        <v>45151</v>
      </c>
      <c r="F48" s="21" t="s">
        <v>1185</v>
      </c>
      <c r="G48" s="32" t="n">
        <v>4.7</v>
      </c>
      <c r="H48" s="21" t="s">
        <v>113</v>
      </c>
      <c r="I48" s="33" t="n">
        <v>45196</v>
      </c>
      <c r="J48" s="21" t="str">
        <f aca="false">INDEX(Students!$C$2:$C$601,MATCH(B48,Students!$A$2:$A$601,0))</f>
        <v>Batch 2024</v>
      </c>
      <c r="K48" s="21" t="str">
        <f aca="false">INDEX(Students!$D$2:$D$601,MATCH(B48,Students!$A$2:$A$601,0))</f>
        <v>Full Stack Development</v>
      </c>
      <c r="L48" s="21" t="str">
        <f aca="false">INDEX(Companies!$C$2:$C$31,MATCH(C48,Companies!$A$2:$A$31,0))</f>
        <v>IT Services</v>
      </c>
      <c r="M48" s="21" t="str">
        <f aca="false">INDEX(Companies!$D$2:$D$31,MATCH(C48,Companies!$A$2:$A$31,0))</f>
        <v>Tier 3</v>
      </c>
      <c r="N48" s="34" t="n">
        <f aca="false">MATCH(F48,Assumptions!$K$4:$K$8,0)</f>
        <v>5</v>
      </c>
      <c r="O48" s="21" t="str">
        <f aca="false">IF(H48="Yes",MONTH(I48),"")</f>
        <v/>
      </c>
      <c r="P48" s="21" t="str">
        <f aca="false">IF(H48="Yes",B48,"")</f>
        <v/>
      </c>
    </row>
    <row r="49" customFormat="false" ht="15" hidden="false" customHeight="false" outlineLevel="0" collapsed="false">
      <c r="A49" s="21" t="s">
        <v>1257</v>
      </c>
      <c r="B49" s="21" t="s">
        <v>179</v>
      </c>
      <c r="C49" s="21" t="s">
        <v>1180</v>
      </c>
      <c r="D49" s="21" t="s">
        <v>1191</v>
      </c>
      <c r="E49" s="33" t="n">
        <v>45152</v>
      </c>
      <c r="F49" s="21" t="s">
        <v>1185</v>
      </c>
      <c r="G49" s="32" t="n">
        <v>6.6</v>
      </c>
      <c r="H49" s="21" t="s">
        <v>113</v>
      </c>
      <c r="I49" s="33" t="n">
        <v>45182</v>
      </c>
      <c r="J49" s="21" t="str">
        <f aca="false">INDEX(Students!$C$2:$C$601,MATCH(B49,Students!$A$2:$A$601,0))</f>
        <v>Batch 2024</v>
      </c>
      <c r="K49" s="21" t="str">
        <f aca="false">INDEX(Students!$D$2:$D$601,MATCH(B49,Students!$A$2:$A$601,0))</f>
        <v>DSA with Java</v>
      </c>
      <c r="L49" s="21" t="str">
        <f aca="false">INDEX(Companies!$C$2:$C$31,MATCH(C49,Companies!$A$2:$A$31,0))</f>
        <v>IT Services</v>
      </c>
      <c r="M49" s="21" t="str">
        <f aca="false">INDEX(Companies!$D$2:$D$31,MATCH(C49,Companies!$A$2:$A$31,0))</f>
        <v>Tier 3</v>
      </c>
      <c r="N49" s="34" t="n">
        <f aca="false">MATCH(F49,Assumptions!$K$4:$K$8,0)</f>
        <v>5</v>
      </c>
      <c r="O49" s="21" t="str">
        <f aca="false">IF(H49="Yes",MONTH(I49),"")</f>
        <v/>
      </c>
      <c r="P49" s="21" t="str">
        <f aca="false">IF(H49="Yes",B49,"")</f>
        <v/>
      </c>
    </row>
    <row r="50" customFormat="false" ht="15" hidden="false" customHeight="false" outlineLevel="0" collapsed="false">
      <c r="A50" s="21" t="s">
        <v>1258</v>
      </c>
      <c r="B50" s="21" t="s">
        <v>305</v>
      </c>
      <c r="C50" s="21" t="s">
        <v>1187</v>
      </c>
      <c r="D50" s="21" t="s">
        <v>1243</v>
      </c>
      <c r="E50" s="33" t="n">
        <v>45152</v>
      </c>
      <c r="F50" s="21" t="s">
        <v>1175</v>
      </c>
      <c r="G50" s="32"/>
      <c r="H50" s="21"/>
      <c r="I50" s="33"/>
      <c r="J50" s="21" t="str">
        <f aca="false">INDEX(Students!$C$2:$C$601,MATCH(B50,Students!$A$2:$A$601,0))</f>
        <v>Batch 2024</v>
      </c>
      <c r="K50" s="21" t="str">
        <f aca="false">INDEX(Students!$D$2:$D$601,MATCH(B50,Students!$A$2:$A$601,0))</f>
        <v>Data Science &amp; ML</v>
      </c>
      <c r="L50" s="21" t="str">
        <f aca="false">INDEX(Companies!$C$2:$C$31,MATCH(C50,Companies!$A$2:$A$31,0))</f>
        <v>Product</v>
      </c>
      <c r="M50" s="21" t="str">
        <f aca="false">INDEX(Companies!$D$2:$D$31,MATCH(C50,Companies!$A$2:$A$31,0))</f>
        <v>Tier 1</v>
      </c>
      <c r="N50" s="34" t="n">
        <f aca="false">MATCH(F50,Assumptions!$K$4:$K$8,0)</f>
        <v>1</v>
      </c>
      <c r="O50" s="21" t="str">
        <f aca="false">IF(H50="Yes",MONTH(I50),"")</f>
        <v/>
      </c>
      <c r="P50" s="21" t="str">
        <f aca="false">IF(H50="Yes",B50,"")</f>
        <v/>
      </c>
    </row>
    <row r="51" customFormat="false" ht="15" hidden="false" customHeight="false" outlineLevel="0" collapsed="false">
      <c r="A51" s="21" t="s">
        <v>1259</v>
      </c>
      <c r="B51" s="21" t="s">
        <v>262</v>
      </c>
      <c r="C51" s="21" t="s">
        <v>1205</v>
      </c>
      <c r="D51" s="21" t="s">
        <v>1226</v>
      </c>
      <c r="E51" s="33" t="n">
        <v>45152</v>
      </c>
      <c r="F51" s="21" t="s">
        <v>1185</v>
      </c>
      <c r="G51" s="32" t="n">
        <v>5.9</v>
      </c>
      <c r="H51" s="21" t="s">
        <v>120</v>
      </c>
      <c r="I51" s="33" t="n">
        <v>45193</v>
      </c>
      <c r="J51" s="21" t="str">
        <f aca="false">INDEX(Students!$C$2:$C$601,MATCH(B51,Students!$A$2:$A$601,0))</f>
        <v>Batch 2024</v>
      </c>
      <c r="K51" s="21" t="str">
        <f aca="false">INDEX(Students!$D$2:$D$601,MATCH(B51,Students!$A$2:$A$601,0))</f>
        <v>Cybersecurity</v>
      </c>
      <c r="L51" s="21" t="str">
        <f aca="false">INDEX(Companies!$C$2:$C$31,MATCH(C51,Companies!$A$2:$A$31,0))</f>
        <v>Healthtech</v>
      </c>
      <c r="M51" s="21" t="str">
        <f aca="false">INDEX(Companies!$D$2:$D$31,MATCH(C51,Companies!$A$2:$A$31,0))</f>
        <v>Tier 3</v>
      </c>
      <c r="N51" s="34" t="n">
        <f aca="false">MATCH(F51,Assumptions!$K$4:$K$8,0)</f>
        <v>5</v>
      </c>
      <c r="O51" s="21" t="n">
        <f aca="false">IF(H51="Yes",MONTH(I51),"")</f>
        <v>9</v>
      </c>
      <c r="P51" s="21" t="str">
        <f aca="false">IF(H51="Yes",B51,"")</f>
        <v>S0077</v>
      </c>
    </row>
    <row r="52" customFormat="false" ht="15" hidden="false" customHeight="false" outlineLevel="0" collapsed="false">
      <c r="A52" s="21" t="s">
        <v>1260</v>
      </c>
      <c r="B52" s="21" t="s">
        <v>215</v>
      </c>
      <c r="C52" s="21" t="s">
        <v>1255</v>
      </c>
      <c r="D52" s="21" t="s">
        <v>1243</v>
      </c>
      <c r="E52" s="33" t="n">
        <v>45152</v>
      </c>
      <c r="F52" s="21" t="s">
        <v>1175</v>
      </c>
      <c r="G52" s="32"/>
      <c r="H52" s="21"/>
      <c r="I52" s="33"/>
      <c r="J52" s="21" t="str">
        <f aca="false">INDEX(Students!$C$2:$C$601,MATCH(B52,Students!$A$2:$A$601,0))</f>
        <v>Batch 2024</v>
      </c>
      <c r="K52" s="21" t="str">
        <f aca="false">INDEX(Students!$D$2:$D$601,MATCH(B52,Students!$A$2:$A$601,0))</f>
        <v>Data Science &amp; ML</v>
      </c>
      <c r="L52" s="21" t="str">
        <f aca="false">INDEX(Companies!$C$2:$C$31,MATCH(C52,Companies!$A$2:$A$31,0))</f>
        <v>IT Services</v>
      </c>
      <c r="M52" s="21" t="str">
        <f aca="false">INDEX(Companies!$D$2:$D$31,MATCH(C52,Companies!$A$2:$A$31,0))</f>
        <v>Tier 3</v>
      </c>
      <c r="N52" s="34" t="n">
        <f aca="false">MATCH(F52,Assumptions!$K$4:$K$8,0)</f>
        <v>1</v>
      </c>
      <c r="O52" s="21" t="str">
        <f aca="false">IF(H52="Yes",MONTH(I52),"")</f>
        <v/>
      </c>
      <c r="P52" s="21" t="str">
        <f aca="false">IF(H52="Yes",B52,"")</f>
        <v/>
      </c>
    </row>
    <row r="53" customFormat="false" ht="15" hidden="false" customHeight="false" outlineLevel="0" collapsed="false">
      <c r="A53" s="21" t="s">
        <v>1261</v>
      </c>
      <c r="B53" s="21" t="s">
        <v>171</v>
      </c>
      <c r="C53" s="21" t="s">
        <v>1239</v>
      </c>
      <c r="D53" s="21" t="s">
        <v>1240</v>
      </c>
      <c r="E53" s="33" t="n">
        <v>45153</v>
      </c>
      <c r="F53" s="21" t="s">
        <v>1175</v>
      </c>
      <c r="G53" s="32"/>
      <c r="H53" s="21"/>
      <c r="I53" s="33"/>
      <c r="J53" s="21" t="str">
        <f aca="false">INDEX(Students!$C$2:$C$601,MATCH(B53,Students!$A$2:$A$601,0))</f>
        <v>Batch 2024</v>
      </c>
      <c r="K53" s="21" t="str">
        <f aca="false">INDEX(Students!$D$2:$D$601,MATCH(B53,Students!$A$2:$A$601,0))</f>
        <v>Cybersecurity</v>
      </c>
      <c r="L53" s="21" t="str">
        <f aca="false">INDEX(Companies!$C$2:$C$31,MATCH(C53,Companies!$A$2:$A$31,0))</f>
        <v>E-commerce</v>
      </c>
      <c r="M53" s="21" t="str">
        <f aca="false">INDEX(Companies!$D$2:$D$31,MATCH(C53,Companies!$A$2:$A$31,0))</f>
        <v>Tier 3</v>
      </c>
      <c r="N53" s="34" t="n">
        <f aca="false">MATCH(F53,Assumptions!$K$4:$K$8,0)</f>
        <v>1</v>
      </c>
      <c r="O53" s="21" t="str">
        <f aca="false">IF(H53="Yes",MONTH(I53),"")</f>
        <v/>
      </c>
      <c r="P53" s="21" t="str">
        <f aca="false">IF(H53="Yes",B53,"")</f>
        <v/>
      </c>
    </row>
    <row r="54" customFormat="false" ht="15" hidden="false" customHeight="false" outlineLevel="0" collapsed="false">
      <c r="A54" s="21" t="s">
        <v>1262</v>
      </c>
      <c r="B54" s="21" t="s">
        <v>427</v>
      </c>
      <c r="C54" s="21" t="s">
        <v>1263</v>
      </c>
      <c r="D54" s="21" t="s">
        <v>1174</v>
      </c>
      <c r="E54" s="33" t="n">
        <v>45154</v>
      </c>
      <c r="F54" s="21" t="s">
        <v>1178</v>
      </c>
      <c r="G54" s="32"/>
      <c r="H54" s="21"/>
      <c r="I54" s="33"/>
      <c r="J54" s="21" t="str">
        <f aca="false">INDEX(Students!$C$2:$C$601,MATCH(B54,Students!$A$2:$A$601,0))</f>
        <v>Batch 2024</v>
      </c>
      <c r="K54" s="21" t="str">
        <f aca="false">INDEX(Students!$D$2:$D$601,MATCH(B54,Students!$A$2:$A$601,0))</f>
        <v>Full Stack Development</v>
      </c>
      <c r="L54" s="21" t="str">
        <f aca="false">INDEX(Companies!$C$2:$C$31,MATCH(C54,Companies!$A$2:$A$31,0))</f>
        <v>Analytics &amp; Consulting</v>
      </c>
      <c r="M54" s="21" t="str">
        <f aca="false">INDEX(Companies!$D$2:$D$31,MATCH(C54,Companies!$A$2:$A$31,0))</f>
        <v>Tier 2</v>
      </c>
      <c r="N54" s="34" t="n">
        <f aca="false">MATCH(F54,Assumptions!$K$4:$K$8,0)</f>
        <v>2</v>
      </c>
      <c r="O54" s="21" t="str">
        <f aca="false">IF(H54="Yes",MONTH(I54),"")</f>
        <v/>
      </c>
      <c r="P54" s="21" t="str">
        <f aca="false">IF(H54="Yes",B54,"")</f>
        <v/>
      </c>
    </row>
    <row r="55" customFormat="false" ht="15" hidden="false" customHeight="false" outlineLevel="0" collapsed="false">
      <c r="A55" s="21" t="s">
        <v>1264</v>
      </c>
      <c r="B55" s="21" t="s">
        <v>281</v>
      </c>
      <c r="C55" s="21" t="s">
        <v>1201</v>
      </c>
      <c r="D55" s="21" t="s">
        <v>1209</v>
      </c>
      <c r="E55" s="33" t="n">
        <v>45154</v>
      </c>
      <c r="F55" s="21" t="s">
        <v>1175</v>
      </c>
      <c r="G55" s="32"/>
      <c r="H55" s="21"/>
      <c r="I55" s="33"/>
      <c r="J55" s="21" t="str">
        <f aca="false">INDEX(Students!$C$2:$C$601,MATCH(B55,Students!$A$2:$A$601,0))</f>
        <v>Batch 2024</v>
      </c>
      <c r="K55" s="21" t="str">
        <f aca="false">INDEX(Students!$D$2:$D$601,MATCH(B55,Students!$A$2:$A$601,0))</f>
        <v>Data Analytics</v>
      </c>
      <c r="L55" s="21" t="str">
        <f aca="false">INDEX(Companies!$C$2:$C$31,MATCH(C55,Companies!$A$2:$A$31,0))</f>
        <v>IT Services</v>
      </c>
      <c r="M55" s="21" t="str">
        <f aca="false">INDEX(Companies!$D$2:$D$31,MATCH(C55,Companies!$A$2:$A$31,0))</f>
        <v>Tier 3</v>
      </c>
      <c r="N55" s="34" t="n">
        <f aca="false">MATCH(F55,Assumptions!$K$4:$K$8,0)</f>
        <v>1</v>
      </c>
      <c r="O55" s="21" t="str">
        <f aca="false">IF(H55="Yes",MONTH(I55),"")</f>
        <v/>
      </c>
      <c r="P55" s="21" t="str">
        <f aca="false">IF(H55="Yes",B55,"")</f>
        <v/>
      </c>
    </row>
    <row r="56" customFormat="false" ht="15" hidden="false" customHeight="false" outlineLevel="0" collapsed="false">
      <c r="A56" s="21" t="s">
        <v>1265</v>
      </c>
      <c r="B56" s="21" t="s">
        <v>225</v>
      </c>
      <c r="C56" s="21" t="s">
        <v>1266</v>
      </c>
      <c r="D56" s="21" t="s">
        <v>1181</v>
      </c>
      <c r="E56" s="33" t="n">
        <v>45155</v>
      </c>
      <c r="F56" s="21" t="s">
        <v>1175</v>
      </c>
      <c r="G56" s="32"/>
      <c r="H56" s="21"/>
      <c r="I56" s="33"/>
      <c r="J56" s="21" t="str">
        <f aca="false">INDEX(Students!$C$2:$C$601,MATCH(B56,Students!$A$2:$A$601,0))</f>
        <v>Batch 2024</v>
      </c>
      <c r="K56" s="21" t="str">
        <f aca="false">INDEX(Students!$D$2:$D$601,MATCH(B56,Students!$A$2:$A$601,0))</f>
        <v>Full Stack Development</v>
      </c>
      <c r="L56" s="21" t="str">
        <f aca="false">INDEX(Companies!$C$2:$C$31,MATCH(C56,Companies!$A$2:$A$31,0))</f>
        <v>IT Services</v>
      </c>
      <c r="M56" s="21" t="str">
        <f aca="false">INDEX(Companies!$D$2:$D$31,MATCH(C56,Companies!$A$2:$A$31,0))</f>
        <v>Tier 3</v>
      </c>
      <c r="N56" s="34" t="n">
        <f aca="false">MATCH(F56,Assumptions!$K$4:$K$8,0)</f>
        <v>1</v>
      </c>
      <c r="O56" s="21" t="str">
        <f aca="false">IF(H56="Yes",MONTH(I56),"")</f>
        <v/>
      </c>
      <c r="P56" s="21" t="str">
        <f aca="false">IF(H56="Yes",B56,"")</f>
        <v/>
      </c>
    </row>
    <row r="57" customFormat="false" ht="15" hidden="false" customHeight="false" outlineLevel="0" collapsed="false">
      <c r="A57" s="21" t="s">
        <v>1267</v>
      </c>
      <c r="B57" s="21" t="s">
        <v>291</v>
      </c>
      <c r="C57" s="21" t="s">
        <v>1203</v>
      </c>
      <c r="D57" s="21" t="s">
        <v>1181</v>
      </c>
      <c r="E57" s="33" t="n">
        <v>45155</v>
      </c>
      <c r="F57" s="21" t="s">
        <v>1175</v>
      </c>
      <c r="G57" s="32"/>
      <c r="H57" s="21"/>
      <c r="I57" s="33"/>
      <c r="J57" s="21" t="str">
        <f aca="false">INDEX(Students!$C$2:$C$601,MATCH(B57,Students!$A$2:$A$601,0))</f>
        <v>Batch 2024</v>
      </c>
      <c r="K57" s="21" t="str">
        <f aca="false">INDEX(Students!$D$2:$D$601,MATCH(B57,Students!$A$2:$A$601,0))</f>
        <v>Full Stack Development</v>
      </c>
      <c r="L57" s="21" t="str">
        <f aca="false">INDEX(Companies!$C$2:$C$31,MATCH(C57,Companies!$A$2:$A$31,0))</f>
        <v>Healthtech</v>
      </c>
      <c r="M57" s="21" t="str">
        <f aca="false">INDEX(Companies!$D$2:$D$31,MATCH(C57,Companies!$A$2:$A$31,0))</f>
        <v>Tier 2</v>
      </c>
      <c r="N57" s="34" t="n">
        <f aca="false">MATCH(F57,Assumptions!$K$4:$K$8,0)</f>
        <v>1</v>
      </c>
      <c r="O57" s="21" t="str">
        <f aca="false">IF(H57="Yes",MONTH(I57),"")</f>
        <v/>
      </c>
      <c r="P57" s="21" t="str">
        <f aca="false">IF(H57="Yes",B57,"")</f>
        <v/>
      </c>
    </row>
    <row r="58" customFormat="false" ht="15" hidden="false" customHeight="false" outlineLevel="0" collapsed="false">
      <c r="A58" s="21" t="s">
        <v>1268</v>
      </c>
      <c r="B58" s="21" t="s">
        <v>179</v>
      </c>
      <c r="C58" s="21" t="s">
        <v>1239</v>
      </c>
      <c r="D58" s="21" t="s">
        <v>1191</v>
      </c>
      <c r="E58" s="33" t="n">
        <v>45155</v>
      </c>
      <c r="F58" s="21" t="s">
        <v>1185</v>
      </c>
      <c r="G58" s="32" t="n">
        <v>5.9</v>
      </c>
      <c r="H58" s="21" t="s">
        <v>113</v>
      </c>
      <c r="I58" s="33" t="n">
        <v>45196</v>
      </c>
      <c r="J58" s="21" t="str">
        <f aca="false">INDEX(Students!$C$2:$C$601,MATCH(B58,Students!$A$2:$A$601,0))</f>
        <v>Batch 2024</v>
      </c>
      <c r="K58" s="21" t="str">
        <f aca="false">INDEX(Students!$D$2:$D$601,MATCH(B58,Students!$A$2:$A$601,0))</f>
        <v>DSA with Java</v>
      </c>
      <c r="L58" s="21" t="str">
        <f aca="false">INDEX(Companies!$C$2:$C$31,MATCH(C58,Companies!$A$2:$A$31,0))</f>
        <v>E-commerce</v>
      </c>
      <c r="M58" s="21" t="str">
        <f aca="false">INDEX(Companies!$D$2:$D$31,MATCH(C58,Companies!$A$2:$A$31,0))</f>
        <v>Tier 3</v>
      </c>
      <c r="N58" s="34" t="n">
        <f aca="false">MATCH(F58,Assumptions!$K$4:$K$8,0)</f>
        <v>5</v>
      </c>
      <c r="O58" s="21" t="str">
        <f aca="false">IF(H58="Yes",MONTH(I58),"")</f>
        <v/>
      </c>
      <c r="P58" s="21" t="str">
        <f aca="false">IF(H58="Yes",B58,"")</f>
        <v/>
      </c>
    </row>
    <row r="59" customFormat="false" ht="15" hidden="false" customHeight="false" outlineLevel="0" collapsed="false">
      <c r="A59" s="21" t="s">
        <v>1269</v>
      </c>
      <c r="B59" s="21" t="s">
        <v>328</v>
      </c>
      <c r="C59" s="21" t="s">
        <v>1263</v>
      </c>
      <c r="D59" s="21" t="s">
        <v>1240</v>
      </c>
      <c r="E59" s="33" t="n">
        <v>45155</v>
      </c>
      <c r="F59" s="21" t="s">
        <v>1178</v>
      </c>
      <c r="G59" s="32"/>
      <c r="H59" s="21"/>
      <c r="I59" s="33"/>
      <c r="J59" s="21" t="str">
        <f aca="false">INDEX(Students!$C$2:$C$601,MATCH(B59,Students!$A$2:$A$601,0))</f>
        <v>Batch 2024</v>
      </c>
      <c r="K59" s="21" t="str">
        <f aca="false">INDEX(Students!$D$2:$D$601,MATCH(B59,Students!$A$2:$A$601,0))</f>
        <v>Cybersecurity</v>
      </c>
      <c r="L59" s="21" t="str">
        <f aca="false">INDEX(Companies!$C$2:$C$31,MATCH(C59,Companies!$A$2:$A$31,0))</f>
        <v>Analytics &amp; Consulting</v>
      </c>
      <c r="M59" s="21" t="str">
        <f aca="false">INDEX(Companies!$D$2:$D$31,MATCH(C59,Companies!$A$2:$A$31,0))</f>
        <v>Tier 2</v>
      </c>
      <c r="N59" s="34" t="n">
        <f aca="false">MATCH(F59,Assumptions!$K$4:$K$8,0)</f>
        <v>2</v>
      </c>
      <c r="O59" s="21" t="str">
        <f aca="false">IF(H59="Yes",MONTH(I59),"")</f>
        <v/>
      </c>
      <c r="P59" s="21" t="str">
        <f aca="false">IF(H59="Yes",B59,"")</f>
        <v/>
      </c>
    </row>
    <row r="60" customFormat="false" ht="15" hidden="false" customHeight="false" outlineLevel="0" collapsed="false">
      <c r="A60" s="21" t="s">
        <v>1270</v>
      </c>
      <c r="B60" s="21" t="s">
        <v>368</v>
      </c>
      <c r="C60" s="21" t="s">
        <v>1196</v>
      </c>
      <c r="D60" s="21" t="s">
        <v>1209</v>
      </c>
      <c r="E60" s="33" t="n">
        <v>45155</v>
      </c>
      <c r="F60" s="21" t="s">
        <v>1185</v>
      </c>
      <c r="G60" s="32" t="n">
        <v>6.8</v>
      </c>
      <c r="H60" s="21" t="s">
        <v>113</v>
      </c>
      <c r="I60" s="33" t="n">
        <v>45180</v>
      </c>
      <c r="J60" s="21" t="str">
        <f aca="false">INDEX(Students!$C$2:$C$601,MATCH(B60,Students!$A$2:$A$601,0))</f>
        <v>Batch 2024</v>
      </c>
      <c r="K60" s="21" t="str">
        <f aca="false">INDEX(Students!$D$2:$D$601,MATCH(B60,Students!$A$2:$A$601,0))</f>
        <v>Data Analytics</v>
      </c>
      <c r="L60" s="21" t="str">
        <f aca="false">INDEX(Companies!$C$2:$C$31,MATCH(C60,Companies!$A$2:$A$31,0))</f>
        <v>IT Services</v>
      </c>
      <c r="M60" s="21" t="str">
        <f aca="false">INDEX(Companies!$D$2:$D$31,MATCH(C60,Companies!$A$2:$A$31,0))</f>
        <v>Tier 3</v>
      </c>
      <c r="N60" s="34" t="n">
        <f aca="false">MATCH(F60,Assumptions!$K$4:$K$8,0)</f>
        <v>5</v>
      </c>
      <c r="O60" s="21" t="str">
        <f aca="false">IF(H60="Yes",MONTH(I60),"")</f>
        <v/>
      </c>
      <c r="P60" s="21" t="str">
        <f aca="false">IF(H60="Yes",B60,"")</f>
        <v/>
      </c>
    </row>
    <row r="61" customFormat="false" ht="15" hidden="false" customHeight="false" outlineLevel="0" collapsed="false">
      <c r="A61" s="21" t="s">
        <v>1271</v>
      </c>
      <c r="B61" s="21" t="s">
        <v>131</v>
      </c>
      <c r="C61" s="21" t="s">
        <v>1263</v>
      </c>
      <c r="D61" s="21" t="s">
        <v>1181</v>
      </c>
      <c r="E61" s="33" t="n">
        <v>45155</v>
      </c>
      <c r="F61" s="21" t="s">
        <v>1175</v>
      </c>
      <c r="G61" s="32"/>
      <c r="H61" s="21"/>
      <c r="I61" s="33"/>
      <c r="J61" s="21" t="str">
        <f aca="false">INDEX(Students!$C$2:$C$601,MATCH(B61,Students!$A$2:$A$601,0))</f>
        <v>Batch 2024</v>
      </c>
      <c r="K61" s="21" t="str">
        <f aca="false">INDEX(Students!$D$2:$D$601,MATCH(B61,Students!$A$2:$A$601,0))</f>
        <v>Full Stack Development</v>
      </c>
      <c r="L61" s="21" t="str">
        <f aca="false">INDEX(Companies!$C$2:$C$31,MATCH(C61,Companies!$A$2:$A$31,0))</f>
        <v>Analytics &amp; Consulting</v>
      </c>
      <c r="M61" s="21" t="str">
        <f aca="false">INDEX(Companies!$D$2:$D$31,MATCH(C61,Companies!$A$2:$A$31,0))</f>
        <v>Tier 2</v>
      </c>
      <c r="N61" s="34" t="n">
        <f aca="false">MATCH(F61,Assumptions!$K$4:$K$8,0)</f>
        <v>1</v>
      </c>
      <c r="O61" s="21" t="str">
        <f aca="false">IF(H61="Yes",MONTH(I61),"")</f>
        <v/>
      </c>
      <c r="P61" s="21" t="str">
        <f aca="false">IF(H61="Yes",B61,"")</f>
        <v/>
      </c>
    </row>
    <row r="62" customFormat="false" ht="15" hidden="false" customHeight="false" outlineLevel="0" collapsed="false">
      <c r="A62" s="21" t="s">
        <v>1272</v>
      </c>
      <c r="B62" s="21" t="s">
        <v>424</v>
      </c>
      <c r="C62" s="21" t="s">
        <v>1173</v>
      </c>
      <c r="D62" s="21" t="s">
        <v>1194</v>
      </c>
      <c r="E62" s="33" t="n">
        <v>45155</v>
      </c>
      <c r="F62" s="21" t="s">
        <v>1175</v>
      </c>
      <c r="G62" s="32"/>
      <c r="H62" s="21"/>
      <c r="I62" s="33"/>
      <c r="J62" s="21" t="str">
        <f aca="false">INDEX(Students!$C$2:$C$601,MATCH(B62,Students!$A$2:$A$601,0))</f>
        <v>Batch 2024</v>
      </c>
      <c r="K62" s="21" t="str">
        <f aca="false">INDEX(Students!$D$2:$D$601,MATCH(B62,Students!$A$2:$A$601,0))</f>
        <v>Data Science &amp; ML</v>
      </c>
      <c r="L62" s="21" t="str">
        <f aca="false">INDEX(Companies!$C$2:$C$31,MATCH(C62,Companies!$A$2:$A$31,0))</f>
        <v>Cybersecurity</v>
      </c>
      <c r="M62" s="21" t="str">
        <f aca="false">INDEX(Companies!$D$2:$D$31,MATCH(C62,Companies!$A$2:$A$31,0))</f>
        <v>Tier 1</v>
      </c>
      <c r="N62" s="34" t="n">
        <f aca="false">MATCH(F62,Assumptions!$K$4:$K$8,0)</f>
        <v>1</v>
      </c>
      <c r="O62" s="21" t="str">
        <f aca="false">IF(H62="Yes",MONTH(I62),"")</f>
        <v/>
      </c>
      <c r="P62" s="21" t="str">
        <f aca="false">IF(H62="Yes",B62,"")</f>
        <v/>
      </c>
    </row>
    <row r="63" customFormat="false" ht="15" hidden="false" customHeight="false" outlineLevel="0" collapsed="false">
      <c r="A63" s="21" t="s">
        <v>1273</v>
      </c>
      <c r="B63" s="21" t="s">
        <v>253</v>
      </c>
      <c r="C63" s="21" t="s">
        <v>1201</v>
      </c>
      <c r="D63" s="21" t="s">
        <v>1174</v>
      </c>
      <c r="E63" s="33" t="n">
        <v>45155</v>
      </c>
      <c r="F63" s="21" t="s">
        <v>1185</v>
      </c>
      <c r="G63" s="32" t="n">
        <v>6.7</v>
      </c>
      <c r="H63" s="21" t="s">
        <v>120</v>
      </c>
      <c r="I63" s="33" t="n">
        <v>45203</v>
      </c>
      <c r="J63" s="21" t="str">
        <f aca="false">INDEX(Students!$C$2:$C$601,MATCH(B63,Students!$A$2:$A$601,0))</f>
        <v>Batch 2024</v>
      </c>
      <c r="K63" s="21" t="str">
        <f aca="false">INDEX(Students!$D$2:$D$601,MATCH(B63,Students!$A$2:$A$601,0))</f>
        <v>Full Stack Development</v>
      </c>
      <c r="L63" s="21" t="str">
        <f aca="false">INDEX(Companies!$C$2:$C$31,MATCH(C63,Companies!$A$2:$A$31,0))</f>
        <v>IT Services</v>
      </c>
      <c r="M63" s="21" t="str">
        <f aca="false">INDEX(Companies!$D$2:$D$31,MATCH(C63,Companies!$A$2:$A$31,0))</f>
        <v>Tier 3</v>
      </c>
      <c r="N63" s="34" t="n">
        <f aca="false">MATCH(F63,Assumptions!$K$4:$K$8,0)</f>
        <v>5</v>
      </c>
      <c r="O63" s="21" t="n">
        <f aca="false">IF(H63="Yes",MONTH(I63),"")</f>
        <v>10</v>
      </c>
      <c r="P63" s="21" t="str">
        <f aca="false">IF(H63="Yes",B63,"")</f>
        <v>S0072</v>
      </c>
    </row>
    <row r="64" customFormat="false" ht="15" hidden="false" customHeight="false" outlineLevel="0" collapsed="false">
      <c r="A64" s="21" t="s">
        <v>1274</v>
      </c>
      <c r="B64" s="21" t="s">
        <v>213</v>
      </c>
      <c r="C64" s="21" t="s">
        <v>1275</v>
      </c>
      <c r="D64" s="21" t="s">
        <v>1191</v>
      </c>
      <c r="E64" s="33" t="n">
        <v>45156</v>
      </c>
      <c r="F64" s="21" t="s">
        <v>1175</v>
      </c>
      <c r="G64" s="32"/>
      <c r="H64" s="21"/>
      <c r="I64" s="33"/>
      <c r="J64" s="21" t="str">
        <f aca="false">INDEX(Students!$C$2:$C$601,MATCH(B64,Students!$A$2:$A$601,0))</f>
        <v>Batch 2024</v>
      </c>
      <c r="K64" s="21" t="str">
        <f aca="false">INDEX(Students!$D$2:$D$601,MATCH(B64,Students!$A$2:$A$601,0))</f>
        <v>DSA with Java</v>
      </c>
      <c r="L64" s="21" t="str">
        <f aca="false">INDEX(Companies!$C$2:$C$31,MATCH(C64,Companies!$A$2:$A$31,0))</f>
        <v>Cybersecurity</v>
      </c>
      <c r="M64" s="21" t="str">
        <f aca="false">INDEX(Companies!$D$2:$D$31,MATCH(C64,Companies!$A$2:$A$31,0))</f>
        <v>Tier 2</v>
      </c>
      <c r="N64" s="34" t="n">
        <f aca="false">MATCH(F64,Assumptions!$K$4:$K$8,0)</f>
        <v>1</v>
      </c>
      <c r="O64" s="21" t="str">
        <f aca="false">IF(H64="Yes",MONTH(I64),"")</f>
        <v/>
      </c>
      <c r="P64" s="21" t="str">
        <f aca="false">IF(H64="Yes",B64,"")</f>
        <v/>
      </c>
    </row>
    <row r="65" customFormat="false" ht="15" hidden="false" customHeight="false" outlineLevel="0" collapsed="false">
      <c r="A65" s="21" t="s">
        <v>1276</v>
      </c>
      <c r="B65" s="21" t="s">
        <v>147</v>
      </c>
      <c r="C65" s="21" t="s">
        <v>1239</v>
      </c>
      <c r="D65" s="21" t="s">
        <v>1191</v>
      </c>
      <c r="E65" s="33" t="n">
        <v>45156</v>
      </c>
      <c r="F65" s="21" t="s">
        <v>1185</v>
      </c>
      <c r="G65" s="32" t="n">
        <v>6</v>
      </c>
      <c r="H65" s="21" t="s">
        <v>113</v>
      </c>
      <c r="I65" s="33" t="n">
        <v>45177</v>
      </c>
      <c r="J65" s="21" t="str">
        <f aca="false">INDEX(Students!$C$2:$C$601,MATCH(B65,Students!$A$2:$A$601,0))</f>
        <v>Batch 2024</v>
      </c>
      <c r="K65" s="21" t="str">
        <f aca="false">INDEX(Students!$D$2:$D$601,MATCH(B65,Students!$A$2:$A$601,0))</f>
        <v>DSA with Java</v>
      </c>
      <c r="L65" s="21" t="str">
        <f aca="false">INDEX(Companies!$C$2:$C$31,MATCH(C65,Companies!$A$2:$A$31,0))</f>
        <v>E-commerce</v>
      </c>
      <c r="M65" s="21" t="str">
        <f aca="false">INDEX(Companies!$D$2:$D$31,MATCH(C65,Companies!$A$2:$A$31,0))</f>
        <v>Tier 3</v>
      </c>
      <c r="N65" s="34" t="n">
        <f aca="false">MATCH(F65,Assumptions!$K$4:$K$8,0)</f>
        <v>5</v>
      </c>
      <c r="O65" s="21" t="str">
        <f aca="false">IF(H65="Yes",MONTH(I65),"")</f>
        <v/>
      </c>
      <c r="P65" s="21" t="str">
        <f aca="false">IF(H65="Yes",B65,"")</f>
        <v/>
      </c>
    </row>
    <row r="66" customFormat="false" ht="15" hidden="false" customHeight="false" outlineLevel="0" collapsed="false">
      <c r="A66" s="21" t="s">
        <v>1277</v>
      </c>
      <c r="B66" s="21" t="s">
        <v>171</v>
      </c>
      <c r="C66" s="21" t="s">
        <v>1211</v>
      </c>
      <c r="D66" s="21" t="s">
        <v>1240</v>
      </c>
      <c r="E66" s="33" t="n">
        <v>45156</v>
      </c>
      <c r="F66" s="21" t="s">
        <v>1197</v>
      </c>
      <c r="G66" s="32"/>
      <c r="H66" s="21"/>
      <c r="I66" s="33"/>
      <c r="J66" s="21" t="str">
        <f aca="false">INDEX(Students!$C$2:$C$601,MATCH(B66,Students!$A$2:$A$601,0))</f>
        <v>Batch 2024</v>
      </c>
      <c r="K66" s="21" t="str">
        <f aca="false">INDEX(Students!$D$2:$D$601,MATCH(B66,Students!$A$2:$A$601,0))</f>
        <v>Cybersecurity</v>
      </c>
      <c r="L66" s="21" t="str">
        <f aca="false">INDEX(Companies!$C$2:$C$31,MATCH(C66,Companies!$A$2:$A$31,0))</f>
        <v>Analytics &amp; Consulting</v>
      </c>
      <c r="M66" s="21" t="str">
        <f aca="false">INDEX(Companies!$D$2:$D$31,MATCH(C66,Companies!$A$2:$A$31,0))</f>
        <v>Tier 3</v>
      </c>
      <c r="N66" s="34" t="n">
        <f aca="false">MATCH(F66,Assumptions!$K$4:$K$8,0)</f>
        <v>3</v>
      </c>
      <c r="O66" s="21" t="str">
        <f aca="false">IF(H66="Yes",MONTH(I66),"")</f>
        <v/>
      </c>
      <c r="P66" s="21" t="str">
        <f aca="false">IF(H66="Yes",B66,"")</f>
        <v/>
      </c>
    </row>
    <row r="67" customFormat="false" ht="15" hidden="false" customHeight="false" outlineLevel="0" collapsed="false">
      <c r="A67" s="21" t="s">
        <v>1278</v>
      </c>
      <c r="B67" s="21" t="s">
        <v>139</v>
      </c>
      <c r="C67" s="21" t="s">
        <v>1187</v>
      </c>
      <c r="D67" s="21" t="s">
        <v>1181</v>
      </c>
      <c r="E67" s="33" t="n">
        <v>45157</v>
      </c>
      <c r="F67" s="21" t="s">
        <v>1175</v>
      </c>
      <c r="G67" s="32"/>
      <c r="H67" s="21"/>
      <c r="I67" s="33"/>
      <c r="J67" s="21" t="str">
        <f aca="false">INDEX(Students!$C$2:$C$601,MATCH(B67,Students!$A$2:$A$601,0))</f>
        <v>Batch 2024</v>
      </c>
      <c r="K67" s="21" t="str">
        <f aca="false">INDEX(Students!$D$2:$D$601,MATCH(B67,Students!$A$2:$A$601,0))</f>
        <v>Full Stack Development</v>
      </c>
      <c r="L67" s="21" t="str">
        <f aca="false">INDEX(Companies!$C$2:$C$31,MATCH(C67,Companies!$A$2:$A$31,0))</f>
        <v>Product</v>
      </c>
      <c r="M67" s="21" t="str">
        <f aca="false">INDEX(Companies!$D$2:$D$31,MATCH(C67,Companies!$A$2:$A$31,0))</f>
        <v>Tier 1</v>
      </c>
      <c r="N67" s="34" t="n">
        <f aca="false">MATCH(F67,Assumptions!$K$4:$K$8,0)</f>
        <v>1</v>
      </c>
      <c r="O67" s="21" t="str">
        <f aca="false">IF(H67="Yes",MONTH(I67),"")</f>
        <v/>
      </c>
      <c r="P67" s="21" t="str">
        <f aca="false">IF(H67="Yes",B67,"")</f>
        <v/>
      </c>
    </row>
    <row r="68" customFormat="false" ht="15" hidden="false" customHeight="false" outlineLevel="0" collapsed="false">
      <c r="A68" s="21" t="s">
        <v>1279</v>
      </c>
      <c r="B68" s="21" t="s">
        <v>388</v>
      </c>
      <c r="C68" s="21" t="s">
        <v>1211</v>
      </c>
      <c r="D68" s="21" t="s">
        <v>1184</v>
      </c>
      <c r="E68" s="33" t="n">
        <v>45157</v>
      </c>
      <c r="F68" s="21" t="s">
        <v>1197</v>
      </c>
      <c r="G68" s="32"/>
      <c r="H68" s="21"/>
      <c r="I68" s="33"/>
      <c r="J68" s="21" t="str">
        <f aca="false">INDEX(Students!$C$2:$C$601,MATCH(B68,Students!$A$2:$A$601,0))</f>
        <v>Batch 2024</v>
      </c>
      <c r="K68" s="21" t="str">
        <f aca="false">INDEX(Students!$D$2:$D$601,MATCH(B68,Students!$A$2:$A$601,0))</f>
        <v>DSA with Java</v>
      </c>
      <c r="L68" s="21" t="str">
        <f aca="false">INDEX(Companies!$C$2:$C$31,MATCH(C68,Companies!$A$2:$A$31,0))</f>
        <v>Analytics &amp; Consulting</v>
      </c>
      <c r="M68" s="21" t="str">
        <f aca="false">INDEX(Companies!$D$2:$D$31,MATCH(C68,Companies!$A$2:$A$31,0))</f>
        <v>Tier 3</v>
      </c>
      <c r="N68" s="34" t="n">
        <f aca="false">MATCH(F68,Assumptions!$K$4:$K$8,0)</f>
        <v>3</v>
      </c>
      <c r="O68" s="21" t="str">
        <f aca="false">IF(H68="Yes",MONTH(I68),"")</f>
        <v/>
      </c>
      <c r="P68" s="21" t="str">
        <f aca="false">IF(H68="Yes",B68,"")</f>
        <v/>
      </c>
    </row>
    <row r="69" customFormat="false" ht="15" hidden="false" customHeight="false" outlineLevel="0" collapsed="false">
      <c r="A69" s="21" t="s">
        <v>1280</v>
      </c>
      <c r="B69" s="21" t="s">
        <v>219</v>
      </c>
      <c r="C69" s="21" t="s">
        <v>1196</v>
      </c>
      <c r="D69" s="21" t="s">
        <v>1243</v>
      </c>
      <c r="E69" s="33" t="n">
        <v>45157</v>
      </c>
      <c r="F69" s="21" t="s">
        <v>1175</v>
      </c>
      <c r="G69" s="32"/>
      <c r="H69" s="21"/>
      <c r="I69" s="33"/>
      <c r="J69" s="21" t="str">
        <f aca="false">INDEX(Students!$C$2:$C$601,MATCH(B69,Students!$A$2:$A$601,0))</f>
        <v>Batch 2024</v>
      </c>
      <c r="K69" s="21" t="str">
        <f aca="false">INDEX(Students!$D$2:$D$601,MATCH(B69,Students!$A$2:$A$601,0))</f>
        <v>Data Science &amp; ML</v>
      </c>
      <c r="L69" s="21" t="str">
        <f aca="false">INDEX(Companies!$C$2:$C$31,MATCH(C69,Companies!$A$2:$A$31,0))</f>
        <v>IT Services</v>
      </c>
      <c r="M69" s="21" t="str">
        <f aca="false">INDEX(Companies!$D$2:$D$31,MATCH(C69,Companies!$A$2:$A$31,0))</f>
        <v>Tier 3</v>
      </c>
      <c r="N69" s="34" t="n">
        <f aca="false">MATCH(F69,Assumptions!$K$4:$K$8,0)</f>
        <v>1</v>
      </c>
      <c r="O69" s="21" t="str">
        <f aca="false">IF(H69="Yes",MONTH(I69),"")</f>
        <v/>
      </c>
      <c r="P69" s="21" t="str">
        <f aca="false">IF(H69="Yes",B69,"")</f>
        <v/>
      </c>
    </row>
    <row r="70" customFormat="false" ht="15" hidden="false" customHeight="false" outlineLevel="0" collapsed="false">
      <c r="A70" s="21" t="s">
        <v>1281</v>
      </c>
      <c r="B70" s="21" t="s">
        <v>337</v>
      </c>
      <c r="C70" s="21" t="s">
        <v>1173</v>
      </c>
      <c r="D70" s="21" t="s">
        <v>1243</v>
      </c>
      <c r="E70" s="33" t="n">
        <v>45157</v>
      </c>
      <c r="F70" s="21" t="s">
        <v>1175</v>
      </c>
      <c r="G70" s="32"/>
      <c r="H70" s="21"/>
      <c r="I70" s="33"/>
      <c r="J70" s="21" t="str">
        <f aca="false">INDEX(Students!$C$2:$C$601,MATCH(B70,Students!$A$2:$A$601,0))</f>
        <v>Batch 2024</v>
      </c>
      <c r="K70" s="21" t="str">
        <f aca="false">INDEX(Students!$D$2:$D$601,MATCH(B70,Students!$A$2:$A$601,0))</f>
        <v>Data Science &amp; ML</v>
      </c>
      <c r="L70" s="21" t="str">
        <f aca="false">INDEX(Companies!$C$2:$C$31,MATCH(C70,Companies!$A$2:$A$31,0))</f>
        <v>Cybersecurity</v>
      </c>
      <c r="M70" s="21" t="str">
        <f aca="false">INDEX(Companies!$D$2:$D$31,MATCH(C70,Companies!$A$2:$A$31,0))</f>
        <v>Tier 1</v>
      </c>
      <c r="N70" s="34" t="n">
        <f aca="false">MATCH(F70,Assumptions!$K$4:$K$8,0)</f>
        <v>1</v>
      </c>
      <c r="O70" s="21" t="str">
        <f aca="false">IF(H70="Yes",MONTH(I70),"")</f>
        <v/>
      </c>
      <c r="P70" s="21" t="str">
        <f aca="false">IF(H70="Yes",B70,"")</f>
        <v/>
      </c>
    </row>
    <row r="71" customFormat="false" ht="15" hidden="false" customHeight="false" outlineLevel="0" collapsed="false">
      <c r="A71" s="21" t="s">
        <v>1282</v>
      </c>
      <c r="B71" s="21" t="s">
        <v>358</v>
      </c>
      <c r="C71" s="21" t="s">
        <v>1187</v>
      </c>
      <c r="D71" s="21" t="s">
        <v>1243</v>
      </c>
      <c r="E71" s="33" t="n">
        <v>45157</v>
      </c>
      <c r="F71" s="21" t="s">
        <v>1178</v>
      </c>
      <c r="G71" s="32"/>
      <c r="H71" s="21"/>
      <c r="I71" s="33"/>
      <c r="J71" s="21" t="str">
        <f aca="false">INDEX(Students!$C$2:$C$601,MATCH(B71,Students!$A$2:$A$601,0))</f>
        <v>Batch 2024</v>
      </c>
      <c r="K71" s="21" t="str">
        <f aca="false">INDEX(Students!$D$2:$D$601,MATCH(B71,Students!$A$2:$A$601,0))</f>
        <v>Data Science &amp; ML</v>
      </c>
      <c r="L71" s="21" t="str">
        <f aca="false">INDEX(Companies!$C$2:$C$31,MATCH(C71,Companies!$A$2:$A$31,0))</f>
        <v>Product</v>
      </c>
      <c r="M71" s="21" t="str">
        <f aca="false">INDEX(Companies!$D$2:$D$31,MATCH(C71,Companies!$A$2:$A$31,0))</f>
        <v>Tier 1</v>
      </c>
      <c r="N71" s="34" t="n">
        <f aca="false">MATCH(F71,Assumptions!$K$4:$K$8,0)</f>
        <v>2</v>
      </c>
      <c r="O71" s="21" t="str">
        <f aca="false">IF(H71="Yes",MONTH(I71),"")</f>
        <v/>
      </c>
      <c r="P71" s="21" t="str">
        <f aca="false">IF(H71="Yes",B71,"")</f>
        <v/>
      </c>
    </row>
    <row r="72" customFormat="false" ht="15" hidden="false" customHeight="false" outlineLevel="0" collapsed="false">
      <c r="A72" s="21" t="s">
        <v>1283</v>
      </c>
      <c r="B72" s="21" t="s">
        <v>257</v>
      </c>
      <c r="C72" s="21" t="s">
        <v>1228</v>
      </c>
      <c r="D72" s="21" t="s">
        <v>1243</v>
      </c>
      <c r="E72" s="33" t="n">
        <v>45157</v>
      </c>
      <c r="F72" s="21" t="s">
        <v>1197</v>
      </c>
      <c r="G72" s="32"/>
      <c r="H72" s="21"/>
      <c r="I72" s="33"/>
      <c r="J72" s="21" t="str">
        <f aca="false">INDEX(Students!$C$2:$C$601,MATCH(B72,Students!$A$2:$A$601,0))</f>
        <v>Batch 2024</v>
      </c>
      <c r="K72" s="21" t="str">
        <f aca="false">INDEX(Students!$D$2:$D$601,MATCH(B72,Students!$A$2:$A$601,0))</f>
        <v>Data Science &amp; ML</v>
      </c>
      <c r="L72" s="21" t="str">
        <f aca="false">INDEX(Companies!$C$2:$C$31,MATCH(C72,Companies!$A$2:$A$31,0))</f>
        <v>Fintech</v>
      </c>
      <c r="M72" s="21" t="str">
        <f aca="false">INDEX(Companies!$D$2:$D$31,MATCH(C72,Companies!$A$2:$A$31,0))</f>
        <v>Tier 1</v>
      </c>
      <c r="N72" s="34" t="n">
        <f aca="false">MATCH(F72,Assumptions!$K$4:$K$8,0)</f>
        <v>3</v>
      </c>
      <c r="O72" s="21" t="str">
        <f aca="false">IF(H72="Yes",MONTH(I72),"")</f>
        <v/>
      </c>
      <c r="P72" s="21" t="str">
        <f aca="false">IF(H72="Yes",B72,"")</f>
        <v/>
      </c>
    </row>
    <row r="73" customFormat="false" ht="15" hidden="false" customHeight="false" outlineLevel="0" collapsed="false">
      <c r="A73" s="21" t="s">
        <v>1284</v>
      </c>
      <c r="B73" s="21" t="s">
        <v>406</v>
      </c>
      <c r="C73" s="21" t="s">
        <v>1211</v>
      </c>
      <c r="D73" s="21" t="s">
        <v>1209</v>
      </c>
      <c r="E73" s="33" t="n">
        <v>45158</v>
      </c>
      <c r="F73" s="21" t="s">
        <v>1197</v>
      </c>
      <c r="G73" s="32"/>
      <c r="H73" s="21"/>
      <c r="I73" s="33"/>
      <c r="J73" s="21" t="str">
        <f aca="false">INDEX(Students!$C$2:$C$601,MATCH(B73,Students!$A$2:$A$601,0))</f>
        <v>Batch 2024</v>
      </c>
      <c r="K73" s="21" t="str">
        <f aca="false">INDEX(Students!$D$2:$D$601,MATCH(B73,Students!$A$2:$A$601,0))</f>
        <v>Data Analytics</v>
      </c>
      <c r="L73" s="21" t="str">
        <f aca="false">INDEX(Companies!$C$2:$C$31,MATCH(C73,Companies!$A$2:$A$31,0))</f>
        <v>Analytics &amp; Consulting</v>
      </c>
      <c r="M73" s="21" t="str">
        <f aca="false">INDEX(Companies!$D$2:$D$31,MATCH(C73,Companies!$A$2:$A$31,0))</f>
        <v>Tier 3</v>
      </c>
      <c r="N73" s="34" t="n">
        <f aca="false">MATCH(F73,Assumptions!$K$4:$K$8,0)</f>
        <v>3</v>
      </c>
      <c r="O73" s="21" t="str">
        <f aca="false">IF(H73="Yes",MONTH(I73),"")</f>
        <v/>
      </c>
      <c r="P73" s="21" t="str">
        <f aca="false">IF(H73="Yes",B73,"")</f>
        <v/>
      </c>
    </row>
    <row r="74" customFormat="false" ht="15" hidden="false" customHeight="false" outlineLevel="0" collapsed="false">
      <c r="A74" s="21" t="s">
        <v>1285</v>
      </c>
      <c r="B74" s="21" t="s">
        <v>147</v>
      </c>
      <c r="C74" s="21" t="s">
        <v>1201</v>
      </c>
      <c r="D74" s="21" t="s">
        <v>1184</v>
      </c>
      <c r="E74" s="33" t="n">
        <v>45158</v>
      </c>
      <c r="F74" s="21" t="s">
        <v>1197</v>
      </c>
      <c r="G74" s="32"/>
      <c r="H74" s="21"/>
      <c r="I74" s="33"/>
      <c r="J74" s="21" t="str">
        <f aca="false">INDEX(Students!$C$2:$C$601,MATCH(B74,Students!$A$2:$A$601,0))</f>
        <v>Batch 2024</v>
      </c>
      <c r="K74" s="21" t="str">
        <f aca="false">INDEX(Students!$D$2:$D$601,MATCH(B74,Students!$A$2:$A$601,0))</f>
        <v>DSA with Java</v>
      </c>
      <c r="L74" s="21" t="str">
        <f aca="false">INDEX(Companies!$C$2:$C$31,MATCH(C74,Companies!$A$2:$A$31,0))</f>
        <v>IT Services</v>
      </c>
      <c r="M74" s="21" t="str">
        <f aca="false">INDEX(Companies!$D$2:$D$31,MATCH(C74,Companies!$A$2:$A$31,0))</f>
        <v>Tier 3</v>
      </c>
      <c r="N74" s="34" t="n">
        <f aca="false">MATCH(F74,Assumptions!$K$4:$K$8,0)</f>
        <v>3</v>
      </c>
      <c r="O74" s="21" t="str">
        <f aca="false">IF(H74="Yes",MONTH(I74),"")</f>
        <v/>
      </c>
      <c r="P74" s="21" t="str">
        <f aca="false">IF(H74="Yes",B74,"")</f>
        <v/>
      </c>
    </row>
    <row r="75" customFormat="false" ht="15" hidden="false" customHeight="false" outlineLevel="0" collapsed="false">
      <c r="A75" s="21" t="s">
        <v>1286</v>
      </c>
      <c r="B75" s="21" t="s">
        <v>323</v>
      </c>
      <c r="C75" s="21" t="s">
        <v>1214</v>
      </c>
      <c r="D75" s="21" t="s">
        <v>1243</v>
      </c>
      <c r="E75" s="33" t="n">
        <v>45158</v>
      </c>
      <c r="F75" s="21" t="s">
        <v>1178</v>
      </c>
      <c r="G75" s="32"/>
      <c r="H75" s="21"/>
      <c r="I75" s="33"/>
      <c r="J75" s="21" t="str">
        <f aca="false">INDEX(Students!$C$2:$C$601,MATCH(B75,Students!$A$2:$A$601,0))</f>
        <v>Batch 2024</v>
      </c>
      <c r="K75" s="21" t="str">
        <f aca="false">INDEX(Students!$D$2:$D$601,MATCH(B75,Students!$A$2:$A$601,0))</f>
        <v>Data Science &amp; ML</v>
      </c>
      <c r="L75" s="21" t="str">
        <f aca="false">INDEX(Companies!$C$2:$C$31,MATCH(C75,Companies!$A$2:$A$31,0))</f>
        <v>Product</v>
      </c>
      <c r="M75" s="21" t="str">
        <f aca="false">INDEX(Companies!$D$2:$D$31,MATCH(C75,Companies!$A$2:$A$31,0))</f>
        <v>Tier 1</v>
      </c>
      <c r="N75" s="34" t="n">
        <f aca="false">MATCH(F75,Assumptions!$K$4:$K$8,0)</f>
        <v>2</v>
      </c>
      <c r="O75" s="21" t="str">
        <f aca="false">IF(H75="Yes",MONTH(I75),"")</f>
        <v/>
      </c>
      <c r="P75" s="21" t="str">
        <f aca="false">IF(H75="Yes",B75,"")</f>
        <v/>
      </c>
    </row>
    <row r="76" customFormat="false" ht="15" hidden="false" customHeight="false" outlineLevel="0" collapsed="false">
      <c r="A76" s="21" t="s">
        <v>1287</v>
      </c>
      <c r="B76" s="21" t="s">
        <v>199</v>
      </c>
      <c r="C76" s="21" t="s">
        <v>1208</v>
      </c>
      <c r="D76" s="21" t="s">
        <v>1243</v>
      </c>
      <c r="E76" s="33" t="n">
        <v>45158</v>
      </c>
      <c r="F76" s="21" t="s">
        <v>1175</v>
      </c>
      <c r="G76" s="32"/>
      <c r="H76" s="21"/>
      <c r="I76" s="33"/>
      <c r="J76" s="21" t="str">
        <f aca="false">INDEX(Students!$C$2:$C$601,MATCH(B76,Students!$A$2:$A$601,0))</f>
        <v>Batch 2024</v>
      </c>
      <c r="K76" s="21" t="str">
        <f aca="false">INDEX(Students!$D$2:$D$601,MATCH(B76,Students!$A$2:$A$601,0))</f>
        <v>Data Science &amp; ML</v>
      </c>
      <c r="L76" s="21" t="str">
        <f aca="false">INDEX(Companies!$C$2:$C$31,MATCH(C76,Companies!$A$2:$A$31,0))</f>
        <v>E-commerce</v>
      </c>
      <c r="M76" s="21" t="str">
        <f aca="false">INDEX(Companies!$D$2:$D$31,MATCH(C76,Companies!$A$2:$A$31,0))</f>
        <v>Tier 1</v>
      </c>
      <c r="N76" s="34" t="n">
        <f aca="false">MATCH(F76,Assumptions!$K$4:$K$8,0)</f>
        <v>1</v>
      </c>
      <c r="O76" s="21" t="str">
        <f aca="false">IF(H76="Yes",MONTH(I76),"")</f>
        <v/>
      </c>
      <c r="P76" s="21" t="str">
        <f aca="false">IF(H76="Yes",B76,"")</f>
        <v/>
      </c>
    </row>
    <row r="77" customFormat="false" ht="15" hidden="false" customHeight="false" outlineLevel="0" collapsed="false">
      <c r="A77" s="21" t="s">
        <v>1288</v>
      </c>
      <c r="B77" s="21" t="s">
        <v>235</v>
      </c>
      <c r="C77" s="21" t="s">
        <v>1201</v>
      </c>
      <c r="D77" s="21" t="s">
        <v>1194</v>
      </c>
      <c r="E77" s="33" t="n">
        <v>45158</v>
      </c>
      <c r="F77" s="21" t="s">
        <v>1185</v>
      </c>
      <c r="G77" s="32" t="n">
        <v>5.5</v>
      </c>
      <c r="H77" s="21" t="s">
        <v>113</v>
      </c>
      <c r="I77" s="33" t="n">
        <v>45211</v>
      </c>
      <c r="J77" s="21" t="str">
        <f aca="false">INDEX(Students!$C$2:$C$601,MATCH(B77,Students!$A$2:$A$601,0))</f>
        <v>Batch 2024</v>
      </c>
      <c r="K77" s="21" t="str">
        <f aca="false">INDEX(Students!$D$2:$D$601,MATCH(B77,Students!$A$2:$A$601,0))</f>
        <v>Data Science &amp; ML</v>
      </c>
      <c r="L77" s="21" t="str">
        <f aca="false">INDEX(Companies!$C$2:$C$31,MATCH(C77,Companies!$A$2:$A$31,0))</f>
        <v>IT Services</v>
      </c>
      <c r="M77" s="21" t="str">
        <f aca="false">INDEX(Companies!$D$2:$D$31,MATCH(C77,Companies!$A$2:$A$31,0))</f>
        <v>Tier 3</v>
      </c>
      <c r="N77" s="34" t="n">
        <f aca="false">MATCH(F77,Assumptions!$K$4:$K$8,0)</f>
        <v>5</v>
      </c>
      <c r="O77" s="21" t="str">
        <f aca="false">IF(H77="Yes",MONTH(I77),"")</f>
        <v/>
      </c>
      <c r="P77" s="21" t="str">
        <f aca="false">IF(H77="Yes",B77,"")</f>
        <v/>
      </c>
    </row>
    <row r="78" customFormat="false" ht="15" hidden="false" customHeight="false" outlineLevel="0" collapsed="false">
      <c r="A78" s="21" t="s">
        <v>1289</v>
      </c>
      <c r="B78" s="21" t="s">
        <v>315</v>
      </c>
      <c r="C78" s="21" t="s">
        <v>1290</v>
      </c>
      <c r="D78" s="21" t="s">
        <v>1181</v>
      </c>
      <c r="E78" s="33" t="n">
        <v>45158</v>
      </c>
      <c r="F78" s="21" t="s">
        <v>1178</v>
      </c>
      <c r="G78" s="32"/>
      <c r="H78" s="21"/>
      <c r="I78" s="33"/>
      <c r="J78" s="21" t="str">
        <f aca="false">INDEX(Students!$C$2:$C$601,MATCH(B78,Students!$A$2:$A$601,0))</f>
        <v>Batch 2024</v>
      </c>
      <c r="K78" s="21" t="str">
        <f aca="false">INDEX(Students!$D$2:$D$601,MATCH(B78,Students!$A$2:$A$601,0))</f>
        <v>Full Stack Development</v>
      </c>
      <c r="L78" s="21" t="str">
        <f aca="false">INDEX(Companies!$C$2:$C$31,MATCH(C78,Companies!$A$2:$A$31,0))</f>
        <v>Fintech</v>
      </c>
      <c r="M78" s="21" t="str">
        <f aca="false">INDEX(Companies!$D$2:$D$31,MATCH(C78,Companies!$A$2:$A$31,0))</f>
        <v>Tier 2</v>
      </c>
      <c r="N78" s="34" t="n">
        <f aca="false">MATCH(F78,Assumptions!$K$4:$K$8,0)</f>
        <v>2</v>
      </c>
      <c r="O78" s="21" t="str">
        <f aca="false">IF(H78="Yes",MONTH(I78),"")</f>
        <v/>
      </c>
      <c r="P78" s="21" t="str">
        <f aca="false">IF(H78="Yes",B78,"")</f>
        <v/>
      </c>
    </row>
    <row r="79" customFormat="false" ht="15" hidden="false" customHeight="false" outlineLevel="0" collapsed="false">
      <c r="A79" s="21" t="s">
        <v>1291</v>
      </c>
      <c r="B79" s="21" t="s">
        <v>382</v>
      </c>
      <c r="C79" s="21" t="s">
        <v>1199</v>
      </c>
      <c r="D79" s="21" t="s">
        <v>1226</v>
      </c>
      <c r="E79" s="33" t="n">
        <v>45159</v>
      </c>
      <c r="F79" s="21" t="s">
        <v>1175</v>
      </c>
      <c r="G79" s="32"/>
      <c r="H79" s="21"/>
      <c r="I79" s="33"/>
      <c r="J79" s="21" t="str">
        <f aca="false">INDEX(Students!$C$2:$C$601,MATCH(B79,Students!$A$2:$A$601,0))</f>
        <v>Batch 2024</v>
      </c>
      <c r="K79" s="21" t="str">
        <f aca="false">INDEX(Students!$D$2:$D$601,MATCH(B79,Students!$A$2:$A$601,0))</f>
        <v>Cybersecurity</v>
      </c>
      <c r="L79" s="21" t="str">
        <f aca="false">INDEX(Companies!$C$2:$C$31,MATCH(C79,Companies!$A$2:$A$31,0))</f>
        <v>E-commerce</v>
      </c>
      <c r="M79" s="21" t="str">
        <f aca="false">INDEX(Companies!$D$2:$D$31,MATCH(C79,Companies!$A$2:$A$31,0))</f>
        <v>Tier 2</v>
      </c>
      <c r="N79" s="34" t="n">
        <f aca="false">MATCH(F79,Assumptions!$K$4:$K$8,0)</f>
        <v>1</v>
      </c>
      <c r="O79" s="21" t="str">
        <f aca="false">IF(H79="Yes",MONTH(I79),"")</f>
        <v/>
      </c>
      <c r="P79" s="21" t="str">
        <f aca="false">IF(H79="Yes",B79,"")</f>
        <v/>
      </c>
    </row>
    <row r="80" customFormat="false" ht="15" hidden="false" customHeight="false" outlineLevel="0" collapsed="false">
      <c r="A80" s="21" t="s">
        <v>1292</v>
      </c>
      <c r="B80" s="21" t="s">
        <v>257</v>
      </c>
      <c r="C80" s="21" t="s">
        <v>1177</v>
      </c>
      <c r="D80" s="21" t="s">
        <v>1194</v>
      </c>
      <c r="E80" s="33" t="n">
        <v>45159</v>
      </c>
      <c r="F80" s="21" t="s">
        <v>1178</v>
      </c>
      <c r="G80" s="32"/>
      <c r="H80" s="21"/>
      <c r="I80" s="33"/>
      <c r="J80" s="21" t="str">
        <f aca="false">INDEX(Students!$C$2:$C$601,MATCH(B80,Students!$A$2:$A$601,0))</f>
        <v>Batch 2024</v>
      </c>
      <c r="K80" s="21" t="str">
        <f aca="false">INDEX(Students!$D$2:$D$601,MATCH(B80,Students!$A$2:$A$601,0))</f>
        <v>Data Science &amp; ML</v>
      </c>
      <c r="L80" s="21" t="str">
        <f aca="false">INDEX(Companies!$C$2:$C$31,MATCH(C80,Companies!$A$2:$A$31,0))</f>
        <v>IT Services</v>
      </c>
      <c r="M80" s="21" t="str">
        <f aca="false">INDEX(Companies!$D$2:$D$31,MATCH(C80,Companies!$A$2:$A$31,0))</f>
        <v>Tier 3</v>
      </c>
      <c r="N80" s="34" t="n">
        <f aca="false">MATCH(F80,Assumptions!$K$4:$K$8,0)</f>
        <v>2</v>
      </c>
      <c r="O80" s="21" t="str">
        <f aca="false">IF(H80="Yes",MONTH(I80),"")</f>
        <v/>
      </c>
      <c r="P80" s="21" t="str">
        <f aca="false">IF(H80="Yes",B80,"")</f>
        <v/>
      </c>
    </row>
    <row r="81" customFormat="false" ht="15" hidden="false" customHeight="false" outlineLevel="0" collapsed="false">
      <c r="A81" s="21" t="s">
        <v>1293</v>
      </c>
      <c r="B81" s="21" t="s">
        <v>436</v>
      </c>
      <c r="C81" s="21" t="s">
        <v>1190</v>
      </c>
      <c r="D81" s="21" t="s">
        <v>1174</v>
      </c>
      <c r="E81" s="33" t="n">
        <v>45159</v>
      </c>
      <c r="F81" s="21" t="s">
        <v>1175</v>
      </c>
      <c r="G81" s="32"/>
      <c r="H81" s="21"/>
      <c r="I81" s="33"/>
      <c r="J81" s="21" t="str">
        <f aca="false">INDEX(Students!$C$2:$C$601,MATCH(B81,Students!$A$2:$A$601,0))</f>
        <v>Batch 2024</v>
      </c>
      <c r="K81" s="21" t="str">
        <f aca="false">INDEX(Students!$D$2:$D$601,MATCH(B81,Students!$A$2:$A$601,0))</f>
        <v>Full Stack Development</v>
      </c>
      <c r="L81" s="21" t="str">
        <f aca="false">INDEX(Companies!$C$2:$C$31,MATCH(C81,Companies!$A$2:$A$31,0))</f>
        <v>Analytics &amp; Consulting</v>
      </c>
      <c r="M81" s="21" t="str">
        <f aca="false">INDEX(Companies!$D$2:$D$31,MATCH(C81,Companies!$A$2:$A$31,0))</f>
        <v>Tier 1</v>
      </c>
      <c r="N81" s="34" t="n">
        <f aca="false">MATCH(F81,Assumptions!$K$4:$K$8,0)</f>
        <v>1</v>
      </c>
      <c r="O81" s="21" t="str">
        <f aca="false">IF(H81="Yes",MONTH(I81),"")</f>
        <v/>
      </c>
      <c r="P81" s="21" t="str">
        <f aca="false">IF(H81="Yes",B81,"")</f>
        <v/>
      </c>
    </row>
    <row r="82" customFormat="false" ht="15" hidden="false" customHeight="false" outlineLevel="0" collapsed="false">
      <c r="A82" s="21" t="s">
        <v>1294</v>
      </c>
      <c r="B82" s="21" t="s">
        <v>412</v>
      </c>
      <c r="C82" s="21" t="s">
        <v>1228</v>
      </c>
      <c r="D82" s="21" t="s">
        <v>1181</v>
      </c>
      <c r="E82" s="33" t="n">
        <v>45159</v>
      </c>
      <c r="F82" s="21" t="s">
        <v>1185</v>
      </c>
      <c r="G82" s="32" t="n">
        <v>20.5</v>
      </c>
      <c r="H82" s="21" t="s">
        <v>120</v>
      </c>
      <c r="I82" s="33" t="n">
        <v>45197</v>
      </c>
      <c r="J82" s="21" t="str">
        <f aca="false">INDEX(Students!$C$2:$C$601,MATCH(B82,Students!$A$2:$A$601,0))</f>
        <v>Batch 2024</v>
      </c>
      <c r="K82" s="21" t="str">
        <f aca="false">INDEX(Students!$D$2:$D$601,MATCH(B82,Students!$A$2:$A$601,0))</f>
        <v>Full Stack Development</v>
      </c>
      <c r="L82" s="21" t="str">
        <f aca="false">INDEX(Companies!$C$2:$C$31,MATCH(C82,Companies!$A$2:$A$31,0))</f>
        <v>Fintech</v>
      </c>
      <c r="M82" s="21" t="str">
        <f aca="false">INDEX(Companies!$D$2:$D$31,MATCH(C82,Companies!$A$2:$A$31,0))</f>
        <v>Tier 1</v>
      </c>
      <c r="N82" s="34" t="n">
        <f aca="false">MATCH(F82,Assumptions!$K$4:$K$8,0)</f>
        <v>5</v>
      </c>
      <c r="O82" s="21" t="n">
        <f aca="false">IF(H82="Yes",MONTH(I82),"")</f>
        <v>9</v>
      </c>
      <c r="P82" s="21" t="str">
        <f aca="false">IF(H82="Yes",B82,"")</f>
        <v>S0156</v>
      </c>
    </row>
    <row r="83" customFormat="false" ht="15" hidden="false" customHeight="false" outlineLevel="0" collapsed="false">
      <c r="A83" s="21" t="s">
        <v>1295</v>
      </c>
      <c r="B83" s="21" t="s">
        <v>391</v>
      </c>
      <c r="C83" s="21" t="s">
        <v>1205</v>
      </c>
      <c r="D83" s="21" t="s">
        <v>1209</v>
      </c>
      <c r="E83" s="33" t="n">
        <v>45159</v>
      </c>
      <c r="F83" s="21" t="s">
        <v>1197</v>
      </c>
      <c r="G83" s="32"/>
      <c r="H83" s="21"/>
      <c r="I83" s="33"/>
      <c r="J83" s="21" t="str">
        <f aca="false">INDEX(Students!$C$2:$C$601,MATCH(B83,Students!$A$2:$A$601,0))</f>
        <v>Batch 2024</v>
      </c>
      <c r="K83" s="21" t="str">
        <f aca="false">INDEX(Students!$D$2:$D$601,MATCH(B83,Students!$A$2:$A$601,0))</f>
        <v>Data Analytics</v>
      </c>
      <c r="L83" s="21" t="str">
        <f aca="false">INDEX(Companies!$C$2:$C$31,MATCH(C83,Companies!$A$2:$A$31,0))</f>
        <v>Healthtech</v>
      </c>
      <c r="M83" s="21" t="str">
        <f aca="false">INDEX(Companies!$D$2:$D$31,MATCH(C83,Companies!$A$2:$A$31,0))</f>
        <v>Tier 3</v>
      </c>
      <c r="N83" s="34" t="n">
        <f aca="false">MATCH(F83,Assumptions!$K$4:$K$8,0)</f>
        <v>3</v>
      </c>
      <c r="O83" s="21" t="str">
        <f aca="false">IF(H83="Yes",MONTH(I83),"")</f>
        <v/>
      </c>
      <c r="P83" s="21" t="str">
        <f aca="false">IF(H83="Yes",B83,"")</f>
        <v/>
      </c>
    </row>
    <row r="84" customFormat="false" ht="15" hidden="false" customHeight="false" outlineLevel="0" collapsed="false">
      <c r="A84" s="21" t="s">
        <v>1296</v>
      </c>
      <c r="B84" s="21" t="s">
        <v>449</v>
      </c>
      <c r="C84" s="21" t="s">
        <v>1230</v>
      </c>
      <c r="D84" s="21" t="s">
        <v>1188</v>
      </c>
      <c r="E84" s="33" t="n">
        <v>45159</v>
      </c>
      <c r="F84" s="21" t="s">
        <v>1178</v>
      </c>
      <c r="G84" s="32"/>
      <c r="H84" s="21"/>
      <c r="I84" s="33"/>
      <c r="J84" s="21" t="str">
        <f aca="false">INDEX(Students!$C$2:$C$601,MATCH(B84,Students!$A$2:$A$601,0))</f>
        <v>Batch 2024</v>
      </c>
      <c r="K84" s="21" t="str">
        <f aca="false">INDEX(Students!$D$2:$D$601,MATCH(B84,Students!$A$2:$A$601,0))</f>
        <v>Data Analytics</v>
      </c>
      <c r="L84" s="21" t="str">
        <f aca="false">INDEX(Companies!$C$2:$C$31,MATCH(C84,Companies!$A$2:$A$31,0))</f>
        <v>IT Services</v>
      </c>
      <c r="M84" s="21" t="str">
        <f aca="false">INDEX(Companies!$D$2:$D$31,MATCH(C84,Companies!$A$2:$A$31,0))</f>
        <v>Tier 3</v>
      </c>
      <c r="N84" s="34" t="n">
        <f aca="false">MATCH(F84,Assumptions!$K$4:$K$8,0)</f>
        <v>2</v>
      </c>
      <c r="O84" s="21" t="str">
        <f aca="false">IF(H84="Yes",MONTH(I84),"")</f>
        <v/>
      </c>
      <c r="P84" s="21" t="str">
        <f aca="false">IF(H84="Yes",B84,"")</f>
        <v/>
      </c>
    </row>
    <row r="85" customFormat="false" ht="15" hidden="false" customHeight="false" outlineLevel="0" collapsed="false">
      <c r="A85" s="21" t="s">
        <v>1297</v>
      </c>
      <c r="B85" s="21" t="s">
        <v>283</v>
      </c>
      <c r="C85" s="21" t="s">
        <v>1298</v>
      </c>
      <c r="D85" s="21" t="s">
        <v>1184</v>
      </c>
      <c r="E85" s="33" t="n">
        <v>45159</v>
      </c>
      <c r="F85" s="21" t="s">
        <v>1178</v>
      </c>
      <c r="G85" s="32"/>
      <c r="H85" s="21"/>
      <c r="I85" s="33"/>
      <c r="J85" s="21" t="str">
        <f aca="false">INDEX(Students!$C$2:$C$601,MATCH(B85,Students!$A$2:$A$601,0))</f>
        <v>Batch 2024</v>
      </c>
      <c r="K85" s="21" t="str">
        <f aca="false">INDEX(Students!$D$2:$D$601,MATCH(B85,Students!$A$2:$A$601,0))</f>
        <v>DSA with Java</v>
      </c>
      <c r="L85" s="21" t="str">
        <f aca="false">INDEX(Companies!$C$2:$C$31,MATCH(C85,Companies!$A$2:$A$31,0))</f>
        <v>Fintech</v>
      </c>
      <c r="M85" s="21" t="str">
        <f aca="false">INDEX(Companies!$D$2:$D$31,MATCH(C85,Companies!$A$2:$A$31,0))</f>
        <v>Tier 2</v>
      </c>
      <c r="N85" s="34" t="n">
        <f aca="false">MATCH(F85,Assumptions!$K$4:$K$8,0)</f>
        <v>2</v>
      </c>
      <c r="O85" s="21" t="str">
        <f aca="false">IF(H85="Yes",MONTH(I85),"")</f>
        <v/>
      </c>
      <c r="P85" s="21" t="str">
        <f aca="false">IF(H85="Yes",B85,"")</f>
        <v/>
      </c>
    </row>
    <row r="86" customFormat="false" ht="15" hidden="false" customHeight="false" outlineLevel="0" collapsed="false">
      <c r="A86" s="21" t="s">
        <v>1299</v>
      </c>
      <c r="B86" s="21" t="s">
        <v>243</v>
      </c>
      <c r="C86" s="21" t="s">
        <v>1225</v>
      </c>
      <c r="D86" s="21" t="s">
        <v>1243</v>
      </c>
      <c r="E86" s="33" t="n">
        <v>45160</v>
      </c>
      <c r="F86" s="21" t="s">
        <v>1175</v>
      </c>
      <c r="G86" s="32"/>
      <c r="H86" s="21"/>
      <c r="I86" s="33"/>
      <c r="J86" s="21" t="str">
        <f aca="false">INDEX(Students!$C$2:$C$601,MATCH(B86,Students!$A$2:$A$601,0))</f>
        <v>Batch 2024</v>
      </c>
      <c r="K86" s="21" t="str">
        <f aca="false">INDEX(Students!$D$2:$D$601,MATCH(B86,Students!$A$2:$A$601,0))</f>
        <v>Data Science &amp; ML</v>
      </c>
      <c r="L86" s="21" t="str">
        <f aca="false">INDEX(Companies!$C$2:$C$31,MATCH(C86,Companies!$A$2:$A$31,0))</f>
        <v>EdTech</v>
      </c>
      <c r="M86" s="21" t="str">
        <f aca="false">INDEX(Companies!$D$2:$D$31,MATCH(C86,Companies!$A$2:$A$31,0))</f>
        <v>Tier 2</v>
      </c>
      <c r="N86" s="34" t="n">
        <f aca="false">MATCH(F86,Assumptions!$K$4:$K$8,0)</f>
        <v>1</v>
      </c>
      <c r="O86" s="21" t="str">
        <f aca="false">IF(H86="Yes",MONTH(I86),"")</f>
        <v/>
      </c>
      <c r="P86" s="21" t="str">
        <f aca="false">IF(H86="Yes",B86,"")</f>
        <v/>
      </c>
    </row>
    <row r="87" customFormat="false" ht="15" hidden="false" customHeight="false" outlineLevel="0" collapsed="false">
      <c r="A87" s="21" t="s">
        <v>1300</v>
      </c>
      <c r="B87" s="21" t="s">
        <v>289</v>
      </c>
      <c r="C87" s="21" t="s">
        <v>1234</v>
      </c>
      <c r="D87" s="21" t="s">
        <v>1191</v>
      </c>
      <c r="E87" s="33" t="n">
        <v>45160</v>
      </c>
      <c r="F87" s="21" t="s">
        <v>1185</v>
      </c>
      <c r="G87" s="32" t="n">
        <v>6.4</v>
      </c>
      <c r="H87" s="21" t="s">
        <v>113</v>
      </c>
      <c r="I87" s="33" t="n">
        <v>45213</v>
      </c>
      <c r="J87" s="21" t="str">
        <f aca="false">INDEX(Students!$C$2:$C$601,MATCH(B87,Students!$A$2:$A$601,0))</f>
        <v>Batch 2024</v>
      </c>
      <c r="K87" s="21" t="str">
        <f aca="false">INDEX(Students!$D$2:$D$601,MATCH(B87,Students!$A$2:$A$601,0))</f>
        <v>DSA with Java</v>
      </c>
      <c r="L87" s="21" t="str">
        <f aca="false">INDEX(Companies!$C$2:$C$31,MATCH(C87,Companies!$A$2:$A$31,0))</f>
        <v>EdTech</v>
      </c>
      <c r="M87" s="21" t="str">
        <f aca="false">INDEX(Companies!$D$2:$D$31,MATCH(C87,Companies!$A$2:$A$31,0))</f>
        <v>Tier 3</v>
      </c>
      <c r="N87" s="34" t="n">
        <f aca="false">MATCH(F87,Assumptions!$K$4:$K$8,0)</f>
        <v>5</v>
      </c>
      <c r="O87" s="21" t="str">
        <f aca="false">IF(H87="Yes",MONTH(I87),"")</f>
        <v/>
      </c>
      <c r="P87" s="21" t="str">
        <f aca="false">IF(H87="Yes",B87,"")</f>
        <v/>
      </c>
    </row>
    <row r="88" customFormat="false" ht="15" hidden="false" customHeight="false" outlineLevel="0" collapsed="false">
      <c r="A88" s="21" t="s">
        <v>1301</v>
      </c>
      <c r="B88" s="21" t="s">
        <v>295</v>
      </c>
      <c r="C88" s="21" t="s">
        <v>1196</v>
      </c>
      <c r="D88" s="21" t="s">
        <v>1181</v>
      </c>
      <c r="E88" s="33" t="n">
        <v>45160</v>
      </c>
      <c r="F88" s="21" t="s">
        <v>1185</v>
      </c>
      <c r="G88" s="32" t="n">
        <v>5.9</v>
      </c>
      <c r="H88" s="21" t="s">
        <v>120</v>
      </c>
      <c r="I88" s="33" t="n">
        <v>45198</v>
      </c>
      <c r="J88" s="21" t="str">
        <f aca="false">INDEX(Students!$C$2:$C$601,MATCH(B88,Students!$A$2:$A$601,0))</f>
        <v>Batch 2024</v>
      </c>
      <c r="K88" s="21" t="str">
        <f aca="false">INDEX(Students!$D$2:$D$601,MATCH(B88,Students!$A$2:$A$601,0))</f>
        <v>Full Stack Development</v>
      </c>
      <c r="L88" s="21" t="str">
        <f aca="false">INDEX(Companies!$C$2:$C$31,MATCH(C88,Companies!$A$2:$A$31,0))</f>
        <v>IT Services</v>
      </c>
      <c r="M88" s="21" t="str">
        <f aca="false">INDEX(Companies!$D$2:$D$31,MATCH(C88,Companies!$A$2:$A$31,0))</f>
        <v>Tier 3</v>
      </c>
      <c r="N88" s="34" t="n">
        <f aca="false">MATCH(F88,Assumptions!$K$4:$K$8,0)</f>
        <v>5</v>
      </c>
      <c r="O88" s="21" t="n">
        <f aca="false">IF(H88="Yes",MONTH(I88),"")</f>
        <v>9</v>
      </c>
      <c r="P88" s="21" t="str">
        <f aca="false">IF(H88="Yes",B88,"")</f>
        <v>S0094</v>
      </c>
    </row>
    <row r="89" customFormat="false" ht="15" hidden="false" customHeight="false" outlineLevel="0" collapsed="false">
      <c r="A89" s="21" t="s">
        <v>1302</v>
      </c>
      <c r="B89" s="21" t="s">
        <v>295</v>
      </c>
      <c r="C89" s="21" t="s">
        <v>1255</v>
      </c>
      <c r="D89" s="21" t="s">
        <v>1174</v>
      </c>
      <c r="E89" s="33" t="n">
        <v>45160</v>
      </c>
      <c r="F89" s="21" t="s">
        <v>1218</v>
      </c>
      <c r="G89" s="32"/>
      <c r="H89" s="21"/>
      <c r="I89" s="33"/>
      <c r="J89" s="21" t="str">
        <f aca="false">INDEX(Students!$C$2:$C$601,MATCH(B89,Students!$A$2:$A$601,0))</f>
        <v>Batch 2024</v>
      </c>
      <c r="K89" s="21" t="str">
        <f aca="false">INDEX(Students!$D$2:$D$601,MATCH(B89,Students!$A$2:$A$601,0))</f>
        <v>Full Stack Development</v>
      </c>
      <c r="L89" s="21" t="str">
        <f aca="false">INDEX(Companies!$C$2:$C$31,MATCH(C89,Companies!$A$2:$A$31,0))</f>
        <v>IT Services</v>
      </c>
      <c r="M89" s="21" t="str">
        <f aca="false">INDEX(Companies!$D$2:$D$31,MATCH(C89,Companies!$A$2:$A$31,0))</f>
        <v>Tier 3</v>
      </c>
      <c r="N89" s="34" t="n">
        <f aca="false">MATCH(F89,Assumptions!$K$4:$K$8,0)</f>
        <v>4</v>
      </c>
      <c r="O89" s="21" t="str">
        <f aca="false">IF(H89="Yes",MONTH(I89),"")</f>
        <v/>
      </c>
      <c r="P89" s="21" t="str">
        <f aca="false">IF(H89="Yes",B89,"")</f>
        <v/>
      </c>
    </row>
    <row r="90" customFormat="false" ht="15" hidden="false" customHeight="false" outlineLevel="0" collapsed="false">
      <c r="A90" s="21" t="s">
        <v>1303</v>
      </c>
      <c r="B90" s="21" t="s">
        <v>225</v>
      </c>
      <c r="C90" s="21" t="s">
        <v>1214</v>
      </c>
      <c r="D90" s="21" t="s">
        <v>1181</v>
      </c>
      <c r="E90" s="33" t="n">
        <v>45160</v>
      </c>
      <c r="F90" s="21" t="s">
        <v>1175</v>
      </c>
      <c r="G90" s="32"/>
      <c r="H90" s="21"/>
      <c r="I90" s="33"/>
      <c r="J90" s="21" t="str">
        <f aca="false">INDEX(Students!$C$2:$C$601,MATCH(B90,Students!$A$2:$A$601,0))</f>
        <v>Batch 2024</v>
      </c>
      <c r="K90" s="21" t="str">
        <f aca="false">INDEX(Students!$D$2:$D$601,MATCH(B90,Students!$A$2:$A$601,0))</f>
        <v>Full Stack Development</v>
      </c>
      <c r="L90" s="21" t="str">
        <f aca="false">INDEX(Companies!$C$2:$C$31,MATCH(C90,Companies!$A$2:$A$31,0))</f>
        <v>Product</v>
      </c>
      <c r="M90" s="21" t="str">
        <f aca="false">INDEX(Companies!$D$2:$D$31,MATCH(C90,Companies!$A$2:$A$31,0))</f>
        <v>Tier 1</v>
      </c>
      <c r="N90" s="34" t="n">
        <f aca="false">MATCH(F90,Assumptions!$K$4:$K$8,0)</f>
        <v>1</v>
      </c>
      <c r="O90" s="21" t="str">
        <f aca="false">IF(H90="Yes",MONTH(I90),"")</f>
        <v/>
      </c>
      <c r="P90" s="21" t="str">
        <f aca="false">IF(H90="Yes",B90,"")</f>
        <v/>
      </c>
    </row>
    <row r="91" customFormat="false" ht="15" hidden="false" customHeight="false" outlineLevel="0" collapsed="false">
      <c r="A91" s="21" t="s">
        <v>1304</v>
      </c>
      <c r="B91" s="21" t="s">
        <v>219</v>
      </c>
      <c r="C91" s="21" t="s">
        <v>1199</v>
      </c>
      <c r="D91" s="21" t="s">
        <v>1243</v>
      </c>
      <c r="E91" s="33" t="n">
        <v>45160</v>
      </c>
      <c r="F91" s="21" t="s">
        <v>1218</v>
      </c>
      <c r="G91" s="32"/>
      <c r="H91" s="21"/>
      <c r="I91" s="33"/>
      <c r="J91" s="21" t="str">
        <f aca="false">INDEX(Students!$C$2:$C$601,MATCH(B91,Students!$A$2:$A$601,0))</f>
        <v>Batch 2024</v>
      </c>
      <c r="K91" s="21" t="str">
        <f aca="false">INDEX(Students!$D$2:$D$601,MATCH(B91,Students!$A$2:$A$601,0))</f>
        <v>Data Science &amp; ML</v>
      </c>
      <c r="L91" s="21" t="str">
        <f aca="false">INDEX(Companies!$C$2:$C$31,MATCH(C91,Companies!$A$2:$A$31,0))</f>
        <v>E-commerce</v>
      </c>
      <c r="M91" s="21" t="str">
        <f aca="false">INDEX(Companies!$D$2:$D$31,MATCH(C91,Companies!$A$2:$A$31,0))</f>
        <v>Tier 2</v>
      </c>
      <c r="N91" s="34" t="n">
        <f aca="false">MATCH(F91,Assumptions!$K$4:$K$8,0)</f>
        <v>4</v>
      </c>
      <c r="O91" s="21" t="str">
        <f aca="false">IF(H91="Yes",MONTH(I91),"")</f>
        <v/>
      </c>
      <c r="P91" s="21" t="str">
        <f aca="false">IF(H91="Yes",B91,"")</f>
        <v/>
      </c>
    </row>
    <row r="92" customFormat="false" ht="15" hidden="false" customHeight="false" outlineLevel="0" collapsed="false">
      <c r="A92" s="21" t="s">
        <v>1305</v>
      </c>
      <c r="B92" s="21" t="s">
        <v>319</v>
      </c>
      <c r="C92" s="21" t="s">
        <v>1216</v>
      </c>
      <c r="D92" s="21" t="s">
        <v>1191</v>
      </c>
      <c r="E92" s="33" t="n">
        <v>45161</v>
      </c>
      <c r="F92" s="21" t="s">
        <v>1218</v>
      </c>
      <c r="G92" s="32"/>
      <c r="H92" s="21"/>
      <c r="I92" s="33"/>
      <c r="J92" s="21" t="str">
        <f aca="false">INDEX(Students!$C$2:$C$601,MATCH(B92,Students!$A$2:$A$601,0))</f>
        <v>Batch 2024</v>
      </c>
      <c r="K92" s="21" t="str">
        <f aca="false">INDEX(Students!$D$2:$D$601,MATCH(B92,Students!$A$2:$A$601,0))</f>
        <v>DSA with Java</v>
      </c>
      <c r="L92" s="21" t="str">
        <f aca="false">INDEX(Companies!$C$2:$C$31,MATCH(C92,Companies!$A$2:$A$31,0))</f>
        <v>IT Services</v>
      </c>
      <c r="M92" s="21" t="str">
        <f aca="false">INDEX(Companies!$D$2:$D$31,MATCH(C92,Companies!$A$2:$A$31,0))</f>
        <v>Tier 3</v>
      </c>
      <c r="N92" s="34" t="n">
        <f aca="false">MATCH(F92,Assumptions!$K$4:$K$8,0)</f>
        <v>4</v>
      </c>
      <c r="O92" s="21" t="str">
        <f aca="false">IF(H92="Yes",MONTH(I92),"")</f>
        <v/>
      </c>
      <c r="P92" s="21" t="str">
        <f aca="false">IF(H92="Yes",B92,"")</f>
        <v/>
      </c>
    </row>
    <row r="93" customFormat="false" ht="15" hidden="false" customHeight="false" outlineLevel="0" collapsed="false">
      <c r="A93" s="21" t="s">
        <v>1306</v>
      </c>
      <c r="B93" s="21" t="s">
        <v>336</v>
      </c>
      <c r="C93" s="21" t="s">
        <v>1183</v>
      </c>
      <c r="D93" s="21" t="s">
        <v>1181</v>
      </c>
      <c r="E93" s="33" t="n">
        <v>45161</v>
      </c>
      <c r="F93" s="21" t="s">
        <v>1175</v>
      </c>
      <c r="G93" s="32"/>
      <c r="H93" s="21"/>
      <c r="I93" s="33"/>
      <c r="J93" s="21" t="str">
        <f aca="false">INDEX(Students!$C$2:$C$601,MATCH(B93,Students!$A$2:$A$601,0))</f>
        <v>Batch 2024</v>
      </c>
      <c r="K93" s="21" t="str">
        <f aca="false">INDEX(Students!$D$2:$D$601,MATCH(B93,Students!$A$2:$A$601,0))</f>
        <v>Full Stack Development</v>
      </c>
      <c r="L93" s="21" t="str">
        <f aca="false">INDEX(Companies!$C$2:$C$31,MATCH(C93,Companies!$A$2:$A$31,0))</f>
        <v>E-commerce</v>
      </c>
      <c r="M93" s="21" t="str">
        <f aca="false">INDEX(Companies!$D$2:$D$31,MATCH(C93,Companies!$A$2:$A$31,0))</f>
        <v>Tier 2</v>
      </c>
      <c r="N93" s="34" t="n">
        <f aca="false">MATCH(F93,Assumptions!$K$4:$K$8,0)</f>
        <v>1</v>
      </c>
      <c r="O93" s="21" t="str">
        <f aca="false">IF(H93="Yes",MONTH(I93),"")</f>
        <v/>
      </c>
      <c r="P93" s="21" t="str">
        <f aca="false">IF(H93="Yes",B93,"")</f>
        <v/>
      </c>
    </row>
    <row r="94" customFormat="false" ht="15" hidden="false" customHeight="false" outlineLevel="0" collapsed="false">
      <c r="A94" s="21" t="s">
        <v>1307</v>
      </c>
      <c r="B94" s="21" t="s">
        <v>153</v>
      </c>
      <c r="C94" s="21" t="s">
        <v>1211</v>
      </c>
      <c r="D94" s="21" t="s">
        <v>1191</v>
      </c>
      <c r="E94" s="33" t="n">
        <v>45161</v>
      </c>
      <c r="F94" s="21" t="s">
        <v>1218</v>
      </c>
      <c r="G94" s="32"/>
      <c r="H94" s="21"/>
      <c r="I94" s="33"/>
      <c r="J94" s="21" t="str">
        <f aca="false">INDEX(Students!$C$2:$C$601,MATCH(B94,Students!$A$2:$A$601,0))</f>
        <v>Batch 2024</v>
      </c>
      <c r="K94" s="21" t="str">
        <f aca="false">INDEX(Students!$D$2:$D$601,MATCH(B94,Students!$A$2:$A$601,0))</f>
        <v>DSA with Java</v>
      </c>
      <c r="L94" s="21" t="str">
        <f aca="false">INDEX(Companies!$C$2:$C$31,MATCH(C94,Companies!$A$2:$A$31,0))</f>
        <v>Analytics &amp; Consulting</v>
      </c>
      <c r="M94" s="21" t="str">
        <f aca="false">INDEX(Companies!$D$2:$D$31,MATCH(C94,Companies!$A$2:$A$31,0))</f>
        <v>Tier 3</v>
      </c>
      <c r="N94" s="34" t="n">
        <f aca="false">MATCH(F94,Assumptions!$K$4:$K$8,0)</f>
        <v>4</v>
      </c>
      <c r="O94" s="21" t="str">
        <f aca="false">IF(H94="Yes",MONTH(I94),"")</f>
        <v/>
      </c>
      <c r="P94" s="21" t="str">
        <f aca="false">IF(H94="Yes",B94,"")</f>
        <v/>
      </c>
    </row>
    <row r="95" customFormat="false" ht="15" hidden="false" customHeight="false" outlineLevel="0" collapsed="false">
      <c r="A95" s="21" t="s">
        <v>1308</v>
      </c>
      <c r="B95" s="21" t="s">
        <v>451</v>
      </c>
      <c r="C95" s="21" t="s">
        <v>1309</v>
      </c>
      <c r="D95" s="21" t="s">
        <v>1174</v>
      </c>
      <c r="E95" s="33" t="n">
        <v>45161</v>
      </c>
      <c r="F95" s="21" t="s">
        <v>1218</v>
      </c>
      <c r="G95" s="32"/>
      <c r="H95" s="21"/>
      <c r="I95" s="33"/>
      <c r="J95" s="21" t="str">
        <f aca="false">INDEX(Students!$C$2:$C$601,MATCH(B95,Students!$A$2:$A$601,0))</f>
        <v>Batch 2024</v>
      </c>
      <c r="K95" s="21" t="str">
        <f aca="false">INDEX(Students!$D$2:$D$601,MATCH(B95,Students!$A$2:$A$601,0))</f>
        <v>Full Stack Development</v>
      </c>
      <c r="L95" s="21" t="str">
        <f aca="false">INDEX(Companies!$C$2:$C$31,MATCH(C95,Companies!$A$2:$A$31,0))</f>
        <v>EdTech</v>
      </c>
      <c r="M95" s="21" t="str">
        <f aca="false">INDEX(Companies!$D$2:$D$31,MATCH(C95,Companies!$A$2:$A$31,0))</f>
        <v>Tier 2</v>
      </c>
      <c r="N95" s="34" t="n">
        <f aca="false">MATCH(F95,Assumptions!$K$4:$K$8,0)</f>
        <v>4</v>
      </c>
      <c r="O95" s="21" t="str">
        <f aca="false">IF(H95="Yes",MONTH(I95),"")</f>
        <v/>
      </c>
      <c r="P95" s="21" t="str">
        <f aca="false">IF(H95="Yes",B95,"")</f>
        <v/>
      </c>
    </row>
    <row r="96" customFormat="false" ht="15" hidden="false" customHeight="false" outlineLevel="0" collapsed="false">
      <c r="A96" s="21" t="s">
        <v>1310</v>
      </c>
      <c r="B96" s="21" t="s">
        <v>419</v>
      </c>
      <c r="C96" s="21" t="s">
        <v>1290</v>
      </c>
      <c r="D96" s="21" t="s">
        <v>1240</v>
      </c>
      <c r="E96" s="33" t="n">
        <v>45161</v>
      </c>
      <c r="F96" s="21" t="s">
        <v>1175</v>
      </c>
      <c r="G96" s="32"/>
      <c r="H96" s="21"/>
      <c r="I96" s="33"/>
      <c r="J96" s="21" t="str">
        <f aca="false">INDEX(Students!$C$2:$C$601,MATCH(B96,Students!$A$2:$A$601,0))</f>
        <v>Batch 2024</v>
      </c>
      <c r="K96" s="21" t="str">
        <f aca="false">INDEX(Students!$D$2:$D$601,MATCH(B96,Students!$A$2:$A$601,0))</f>
        <v>Cybersecurity</v>
      </c>
      <c r="L96" s="21" t="str">
        <f aca="false">INDEX(Companies!$C$2:$C$31,MATCH(C96,Companies!$A$2:$A$31,0))</f>
        <v>Fintech</v>
      </c>
      <c r="M96" s="21" t="str">
        <f aca="false">INDEX(Companies!$D$2:$D$31,MATCH(C96,Companies!$A$2:$A$31,0))</f>
        <v>Tier 2</v>
      </c>
      <c r="N96" s="34" t="n">
        <f aca="false">MATCH(F96,Assumptions!$K$4:$K$8,0)</f>
        <v>1</v>
      </c>
      <c r="O96" s="21" t="str">
        <f aca="false">IF(H96="Yes",MONTH(I96),"")</f>
        <v/>
      </c>
      <c r="P96" s="21" t="str">
        <f aca="false">IF(H96="Yes",B96,"")</f>
        <v/>
      </c>
    </row>
    <row r="97" customFormat="false" ht="15" hidden="false" customHeight="false" outlineLevel="0" collapsed="false">
      <c r="A97" s="21" t="s">
        <v>1311</v>
      </c>
      <c r="B97" s="21" t="s">
        <v>127</v>
      </c>
      <c r="C97" s="21" t="s">
        <v>1177</v>
      </c>
      <c r="D97" s="21" t="s">
        <v>1191</v>
      </c>
      <c r="E97" s="33" t="n">
        <v>45162</v>
      </c>
      <c r="F97" s="21" t="s">
        <v>1185</v>
      </c>
      <c r="G97" s="32" t="n">
        <v>6.6</v>
      </c>
      <c r="H97" s="21" t="s">
        <v>113</v>
      </c>
      <c r="I97" s="33" t="n">
        <v>45209</v>
      </c>
      <c r="J97" s="21" t="str">
        <f aca="false">INDEX(Students!$C$2:$C$601,MATCH(B97,Students!$A$2:$A$601,0))</f>
        <v>Batch 2024</v>
      </c>
      <c r="K97" s="21" t="str">
        <f aca="false">INDEX(Students!$D$2:$D$601,MATCH(B97,Students!$A$2:$A$601,0))</f>
        <v>DSA with Java</v>
      </c>
      <c r="L97" s="21" t="str">
        <f aca="false">INDEX(Companies!$C$2:$C$31,MATCH(C97,Companies!$A$2:$A$31,0))</f>
        <v>IT Services</v>
      </c>
      <c r="M97" s="21" t="str">
        <f aca="false">INDEX(Companies!$D$2:$D$31,MATCH(C97,Companies!$A$2:$A$31,0))</f>
        <v>Tier 3</v>
      </c>
      <c r="N97" s="34" t="n">
        <f aca="false">MATCH(F97,Assumptions!$K$4:$K$8,0)</f>
        <v>5</v>
      </c>
      <c r="O97" s="21" t="str">
        <f aca="false">IF(H97="Yes",MONTH(I97),"")</f>
        <v/>
      </c>
      <c r="P97" s="21" t="str">
        <f aca="false">IF(H97="Yes",B97,"")</f>
        <v/>
      </c>
    </row>
    <row r="98" customFormat="false" ht="15" hidden="false" customHeight="false" outlineLevel="0" collapsed="false">
      <c r="A98" s="21" t="s">
        <v>1312</v>
      </c>
      <c r="B98" s="21" t="s">
        <v>451</v>
      </c>
      <c r="C98" s="21" t="s">
        <v>1298</v>
      </c>
      <c r="D98" s="21" t="s">
        <v>1174</v>
      </c>
      <c r="E98" s="33" t="n">
        <v>45162</v>
      </c>
      <c r="F98" s="21" t="s">
        <v>1175</v>
      </c>
      <c r="G98" s="32"/>
      <c r="H98" s="21"/>
      <c r="I98" s="33"/>
      <c r="J98" s="21" t="str">
        <f aca="false">INDEX(Students!$C$2:$C$601,MATCH(B98,Students!$A$2:$A$601,0))</f>
        <v>Batch 2024</v>
      </c>
      <c r="K98" s="21" t="str">
        <f aca="false">INDEX(Students!$D$2:$D$601,MATCH(B98,Students!$A$2:$A$601,0))</f>
        <v>Full Stack Development</v>
      </c>
      <c r="L98" s="21" t="str">
        <f aca="false">INDEX(Companies!$C$2:$C$31,MATCH(C98,Companies!$A$2:$A$31,0))</f>
        <v>Fintech</v>
      </c>
      <c r="M98" s="21" t="str">
        <f aca="false">INDEX(Companies!$D$2:$D$31,MATCH(C98,Companies!$A$2:$A$31,0))</f>
        <v>Tier 2</v>
      </c>
      <c r="N98" s="34" t="n">
        <f aca="false">MATCH(F98,Assumptions!$K$4:$K$8,0)</f>
        <v>1</v>
      </c>
      <c r="O98" s="21" t="str">
        <f aca="false">IF(H98="Yes",MONTH(I98),"")</f>
        <v/>
      </c>
      <c r="P98" s="21" t="str">
        <f aca="false">IF(H98="Yes",B98,"")</f>
        <v/>
      </c>
    </row>
    <row r="99" customFormat="false" ht="15" hidden="false" customHeight="false" outlineLevel="0" collapsed="false">
      <c r="A99" s="21" t="s">
        <v>1313</v>
      </c>
      <c r="B99" s="21" t="s">
        <v>155</v>
      </c>
      <c r="C99" s="21" t="s">
        <v>1234</v>
      </c>
      <c r="D99" s="21" t="s">
        <v>1181</v>
      </c>
      <c r="E99" s="33" t="n">
        <v>45162</v>
      </c>
      <c r="F99" s="21" t="s">
        <v>1185</v>
      </c>
      <c r="G99" s="32" t="n">
        <v>6.8</v>
      </c>
      <c r="H99" s="21" t="s">
        <v>113</v>
      </c>
      <c r="I99" s="33" t="n">
        <v>45201</v>
      </c>
      <c r="J99" s="21" t="str">
        <f aca="false">INDEX(Students!$C$2:$C$601,MATCH(B99,Students!$A$2:$A$601,0))</f>
        <v>Batch 2024</v>
      </c>
      <c r="K99" s="21" t="str">
        <f aca="false">INDEX(Students!$D$2:$D$601,MATCH(B99,Students!$A$2:$A$601,0))</f>
        <v>Full Stack Development</v>
      </c>
      <c r="L99" s="21" t="str">
        <f aca="false">INDEX(Companies!$C$2:$C$31,MATCH(C99,Companies!$A$2:$A$31,0))</f>
        <v>EdTech</v>
      </c>
      <c r="M99" s="21" t="str">
        <f aca="false">INDEX(Companies!$D$2:$D$31,MATCH(C99,Companies!$A$2:$A$31,0))</f>
        <v>Tier 3</v>
      </c>
      <c r="N99" s="34" t="n">
        <f aca="false">MATCH(F99,Assumptions!$K$4:$K$8,0)</f>
        <v>5</v>
      </c>
      <c r="O99" s="21" t="str">
        <f aca="false">IF(H99="Yes",MONTH(I99),"")</f>
        <v/>
      </c>
      <c r="P99" s="21" t="str">
        <f aca="false">IF(H99="Yes",B99,"")</f>
        <v/>
      </c>
    </row>
    <row r="100" customFormat="false" ht="15" hidden="false" customHeight="false" outlineLevel="0" collapsed="false">
      <c r="A100" s="21" t="s">
        <v>1314</v>
      </c>
      <c r="B100" s="21" t="s">
        <v>376</v>
      </c>
      <c r="C100" s="21" t="s">
        <v>1205</v>
      </c>
      <c r="D100" s="21" t="s">
        <v>1209</v>
      </c>
      <c r="E100" s="33" t="n">
        <v>45162</v>
      </c>
      <c r="F100" s="21" t="s">
        <v>1175</v>
      </c>
      <c r="G100" s="32"/>
      <c r="H100" s="21"/>
      <c r="I100" s="33"/>
      <c r="J100" s="21" t="str">
        <f aca="false">INDEX(Students!$C$2:$C$601,MATCH(B100,Students!$A$2:$A$601,0))</f>
        <v>Batch 2024</v>
      </c>
      <c r="K100" s="21" t="str">
        <f aca="false">INDEX(Students!$D$2:$D$601,MATCH(B100,Students!$A$2:$A$601,0))</f>
        <v>Data Analytics</v>
      </c>
      <c r="L100" s="21" t="str">
        <f aca="false">INDEX(Companies!$C$2:$C$31,MATCH(C100,Companies!$A$2:$A$31,0))</f>
        <v>Healthtech</v>
      </c>
      <c r="M100" s="21" t="str">
        <f aca="false">INDEX(Companies!$D$2:$D$31,MATCH(C100,Companies!$A$2:$A$31,0))</f>
        <v>Tier 3</v>
      </c>
      <c r="N100" s="34" t="n">
        <f aca="false">MATCH(F100,Assumptions!$K$4:$K$8,0)</f>
        <v>1</v>
      </c>
      <c r="O100" s="21" t="str">
        <f aca="false">IF(H100="Yes",MONTH(I100),"")</f>
        <v/>
      </c>
      <c r="P100" s="21" t="str">
        <f aca="false">IF(H100="Yes",B100,"")</f>
        <v/>
      </c>
    </row>
    <row r="101" customFormat="false" ht="15" hidden="false" customHeight="false" outlineLevel="0" collapsed="false">
      <c r="A101" s="21" t="s">
        <v>1315</v>
      </c>
      <c r="B101" s="21" t="s">
        <v>149</v>
      </c>
      <c r="C101" s="21" t="s">
        <v>1216</v>
      </c>
      <c r="D101" s="21" t="s">
        <v>1181</v>
      </c>
      <c r="E101" s="33" t="n">
        <v>45162</v>
      </c>
      <c r="F101" s="21" t="s">
        <v>1185</v>
      </c>
      <c r="G101" s="32" t="n">
        <v>7.4</v>
      </c>
      <c r="H101" s="21" t="s">
        <v>113</v>
      </c>
      <c r="I101" s="33" t="n">
        <v>45215</v>
      </c>
      <c r="J101" s="21" t="str">
        <f aca="false">INDEX(Students!$C$2:$C$601,MATCH(B101,Students!$A$2:$A$601,0))</f>
        <v>Batch 2024</v>
      </c>
      <c r="K101" s="21" t="str">
        <f aca="false">INDEX(Students!$D$2:$D$601,MATCH(B101,Students!$A$2:$A$601,0))</f>
        <v>Full Stack Development</v>
      </c>
      <c r="L101" s="21" t="str">
        <f aca="false">INDEX(Companies!$C$2:$C$31,MATCH(C101,Companies!$A$2:$A$31,0))</f>
        <v>IT Services</v>
      </c>
      <c r="M101" s="21" t="str">
        <f aca="false">INDEX(Companies!$D$2:$D$31,MATCH(C101,Companies!$A$2:$A$31,0))</f>
        <v>Tier 3</v>
      </c>
      <c r="N101" s="34" t="n">
        <f aca="false">MATCH(F101,Assumptions!$K$4:$K$8,0)</f>
        <v>5</v>
      </c>
      <c r="O101" s="21" t="str">
        <f aca="false">IF(H101="Yes",MONTH(I101),"")</f>
        <v/>
      </c>
      <c r="P101" s="21" t="str">
        <f aca="false">IF(H101="Yes",B101,"")</f>
        <v/>
      </c>
    </row>
    <row r="102" customFormat="false" ht="15" hidden="false" customHeight="false" outlineLevel="0" collapsed="false">
      <c r="A102" s="21" t="s">
        <v>1316</v>
      </c>
      <c r="B102" s="21" t="s">
        <v>262</v>
      </c>
      <c r="C102" s="21" t="s">
        <v>1222</v>
      </c>
      <c r="D102" s="21" t="s">
        <v>1240</v>
      </c>
      <c r="E102" s="33" t="n">
        <v>45163</v>
      </c>
      <c r="F102" s="21" t="s">
        <v>1175</v>
      </c>
      <c r="G102" s="32"/>
      <c r="H102" s="21"/>
      <c r="I102" s="33"/>
      <c r="J102" s="21" t="str">
        <f aca="false">INDEX(Students!$C$2:$C$601,MATCH(B102,Students!$A$2:$A$601,0))</f>
        <v>Batch 2024</v>
      </c>
      <c r="K102" s="21" t="str">
        <f aca="false">INDEX(Students!$D$2:$D$601,MATCH(B102,Students!$A$2:$A$601,0))</f>
        <v>Cybersecurity</v>
      </c>
      <c r="L102" s="21" t="str">
        <f aca="false">INDEX(Companies!$C$2:$C$31,MATCH(C102,Companies!$A$2:$A$31,0))</f>
        <v>Product</v>
      </c>
      <c r="M102" s="21" t="str">
        <f aca="false">INDEX(Companies!$D$2:$D$31,MATCH(C102,Companies!$A$2:$A$31,0))</f>
        <v>Tier 2</v>
      </c>
      <c r="N102" s="34" t="n">
        <f aca="false">MATCH(F102,Assumptions!$K$4:$K$8,0)</f>
        <v>1</v>
      </c>
      <c r="O102" s="21" t="str">
        <f aca="false">IF(H102="Yes",MONTH(I102),"")</f>
        <v/>
      </c>
      <c r="P102" s="21" t="str">
        <f aca="false">IF(H102="Yes",B102,"")</f>
        <v/>
      </c>
    </row>
    <row r="103" customFormat="false" ht="15" hidden="false" customHeight="false" outlineLevel="0" collapsed="false">
      <c r="A103" s="21" t="s">
        <v>1317</v>
      </c>
      <c r="B103" s="21" t="s">
        <v>419</v>
      </c>
      <c r="C103" s="21" t="s">
        <v>1211</v>
      </c>
      <c r="D103" s="21" t="s">
        <v>1240</v>
      </c>
      <c r="E103" s="33" t="n">
        <v>45163</v>
      </c>
      <c r="F103" s="21" t="s">
        <v>1175</v>
      </c>
      <c r="G103" s="32"/>
      <c r="H103" s="21"/>
      <c r="I103" s="33"/>
      <c r="J103" s="21" t="str">
        <f aca="false">INDEX(Students!$C$2:$C$601,MATCH(B103,Students!$A$2:$A$601,0))</f>
        <v>Batch 2024</v>
      </c>
      <c r="K103" s="21" t="str">
        <f aca="false">INDEX(Students!$D$2:$D$601,MATCH(B103,Students!$A$2:$A$601,0))</f>
        <v>Cybersecurity</v>
      </c>
      <c r="L103" s="21" t="str">
        <f aca="false">INDEX(Companies!$C$2:$C$31,MATCH(C103,Companies!$A$2:$A$31,0))</f>
        <v>Analytics &amp; Consulting</v>
      </c>
      <c r="M103" s="21" t="str">
        <f aca="false">INDEX(Companies!$D$2:$D$31,MATCH(C103,Companies!$A$2:$A$31,0))</f>
        <v>Tier 3</v>
      </c>
      <c r="N103" s="34" t="n">
        <f aca="false">MATCH(F103,Assumptions!$K$4:$K$8,0)</f>
        <v>1</v>
      </c>
      <c r="O103" s="21" t="str">
        <f aca="false">IF(H103="Yes",MONTH(I103),"")</f>
        <v/>
      </c>
      <c r="P103" s="21" t="str">
        <f aca="false">IF(H103="Yes",B103,"")</f>
        <v/>
      </c>
    </row>
    <row r="104" customFormat="false" ht="15" hidden="false" customHeight="false" outlineLevel="0" collapsed="false">
      <c r="A104" s="21" t="s">
        <v>1318</v>
      </c>
      <c r="B104" s="21" t="s">
        <v>441</v>
      </c>
      <c r="C104" s="21" t="s">
        <v>1177</v>
      </c>
      <c r="D104" s="21" t="s">
        <v>1194</v>
      </c>
      <c r="E104" s="33" t="n">
        <v>45163</v>
      </c>
      <c r="F104" s="21" t="s">
        <v>1185</v>
      </c>
      <c r="G104" s="32" t="n">
        <v>6.8</v>
      </c>
      <c r="H104" s="21" t="s">
        <v>113</v>
      </c>
      <c r="I104" s="33" t="n">
        <v>45207</v>
      </c>
      <c r="J104" s="21" t="str">
        <f aca="false">INDEX(Students!$C$2:$C$601,MATCH(B104,Students!$A$2:$A$601,0))</f>
        <v>Batch 2024</v>
      </c>
      <c r="K104" s="21" t="str">
        <f aca="false">INDEX(Students!$D$2:$D$601,MATCH(B104,Students!$A$2:$A$601,0))</f>
        <v>Data Science &amp; ML</v>
      </c>
      <c r="L104" s="21" t="str">
        <f aca="false">INDEX(Companies!$C$2:$C$31,MATCH(C104,Companies!$A$2:$A$31,0))</f>
        <v>IT Services</v>
      </c>
      <c r="M104" s="21" t="str">
        <f aca="false">INDEX(Companies!$D$2:$D$31,MATCH(C104,Companies!$A$2:$A$31,0))</f>
        <v>Tier 3</v>
      </c>
      <c r="N104" s="34" t="n">
        <f aca="false">MATCH(F104,Assumptions!$K$4:$K$8,0)</f>
        <v>5</v>
      </c>
      <c r="O104" s="21" t="str">
        <f aca="false">IF(H104="Yes",MONTH(I104),"")</f>
        <v/>
      </c>
      <c r="P104" s="21" t="str">
        <f aca="false">IF(H104="Yes",B104,"")</f>
        <v/>
      </c>
    </row>
    <row r="105" customFormat="false" ht="15" hidden="false" customHeight="false" outlineLevel="0" collapsed="false">
      <c r="A105" s="21" t="s">
        <v>1319</v>
      </c>
      <c r="B105" s="21" t="s">
        <v>345</v>
      </c>
      <c r="C105" s="21" t="s">
        <v>1216</v>
      </c>
      <c r="D105" s="21" t="s">
        <v>1209</v>
      </c>
      <c r="E105" s="33" t="n">
        <v>45163</v>
      </c>
      <c r="F105" s="21" t="s">
        <v>1175</v>
      </c>
      <c r="G105" s="32"/>
      <c r="H105" s="21"/>
      <c r="I105" s="33"/>
      <c r="J105" s="21" t="str">
        <f aca="false">INDEX(Students!$C$2:$C$601,MATCH(B105,Students!$A$2:$A$601,0))</f>
        <v>Batch 2024</v>
      </c>
      <c r="K105" s="21" t="str">
        <f aca="false">INDEX(Students!$D$2:$D$601,MATCH(B105,Students!$A$2:$A$601,0))</f>
        <v>Data Analytics</v>
      </c>
      <c r="L105" s="21" t="str">
        <f aca="false">INDEX(Companies!$C$2:$C$31,MATCH(C105,Companies!$A$2:$A$31,0))</f>
        <v>IT Services</v>
      </c>
      <c r="M105" s="21" t="str">
        <f aca="false">INDEX(Companies!$D$2:$D$31,MATCH(C105,Companies!$A$2:$A$31,0))</f>
        <v>Tier 3</v>
      </c>
      <c r="N105" s="34" t="n">
        <f aca="false">MATCH(F105,Assumptions!$K$4:$K$8,0)</f>
        <v>1</v>
      </c>
      <c r="O105" s="21" t="str">
        <f aca="false">IF(H105="Yes",MONTH(I105),"")</f>
        <v/>
      </c>
      <c r="P105" s="21" t="str">
        <f aca="false">IF(H105="Yes",B105,"")</f>
        <v/>
      </c>
    </row>
    <row r="106" customFormat="false" ht="15" hidden="false" customHeight="false" outlineLevel="0" collapsed="false">
      <c r="A106" s="21" t="s">
        <v>1320</v>
      </c>
      <c r="B106" s="21" t="s">
        <v>378</v>
      </c>
      <c r="C106" s="21" t="s">
        <v>1187</v>
      </c>
      <c r="D106" s="21" t="s">
        <v>1191</v>
      </c>
      <c r="E106" s="33" t="n">
        <v>45163</v>
      </c>
      <c r="F106" s="21" t="s">
        <v>1178</v>
      </c>
      <c r="G106" s="32"/>
      <c r="H106" s="21"/>
      <c r="I106" s="33"/>
      <c r="J106" s="21" t="str">
        <f aca="false">INDEX(Students!$C$2:$C$601,MATCH(B106,Students!$A$2:$A$601,0))</f>
        <v>Batch 2024</v>
      </c>
      <c r="K106" s="21" t="str">
        <f aca="false">INDEX(Students!$D$2:$D$601,MATCH(B106,Students!$A$2:$A$601,0))</f>
        <v>DSA with Java</v>
      </c>
      <c r="L106" s="21" t="str">
        <f aca="false">INDEX(Companies!$C$2:$C$31,MATCH(C106,Companies!$A$2:$A$31,0))</f>
        <v>Product</v>
      </c>
      <c r="M106" s="21" t="str">
        <f aca="false">INDEX(Companies!$D$2:$D$31,MATCH(C106,Companies!$A$2:$A$31,0))</f>
        <v>Tier 1</v>
      </c>
      <c r="N106" s="34" t="n">
        <f aca="false">MATCH(F106,Assumptions!$K$4:$K$8,0)</f>
        <v>2</v>
      </c>
      <c r="O106" s="21" t="str">
        <f aca="false">IF(H106="Yes",MONTH(I106),"")</f>
        <v/>
      </c>
      <c r="P106" s="21" t="str">
        <f aca="false">IF(H106="Yes",B106,"")</f>
        <v/>
      </c>
    </row>
    <row r="107" customFormat="false" ht="15" hidden="false" customHeight="false" outlineLevel="0" collapsed="false">
      <c r="A107" s="21" t="s">
        <v>1321</v>
      </c>
      <c r="B107" s="21" t="s">
        <v>299</v>
      </c>
      <c r="C107" s="21" t="s">
        <v>1322</v>
      </c>
      <c r="D107" s="21" t="s">
        <v>1209</v>
      </c>
      <c r="E107" s="33" t="n">
        <v>45163</v>
      </c>
      <c r="F107" s="21" t="s">
        <v>1178</v>
      </c>
      <c r="G107" s="32"/>
      <c r="H107" s="21"/>
      <c r="I107" s="33"/>
      <c r="J107" s="21" t="str">
        <f aca="false">INDEX(Students!$C$2:$C$601,MATCH(B107,Students!$A$2:$A$601,0))</f>
        <v>Batch 2024</v>
      </c>
      <c r="K107" s="21" t="str">
        <f aca="false">INDEX(Students!$D$2:$D$601,MATCH(B107,Students!$A$2:$A$601,0))</f>
        <v>Data Analytics</v>
      </c>
      <c r="L107" s="21" t="str">
        <f aca="false">INDEX(Companies!$C$2:$C$31,MATCH(C107,Companies!$A$2:$A$31,0))</f>
        <v>Healthtech</v>
      </c>
      <c r="M107" s="21" t="str">
        <f aca="false">INDEX(Companies!$D$2:$D$31,MATCH(C107,Companies!$A$2:$A$31,0))</f>
        <v>Tier 2</v>
      </c>
      <c r="N107" s="34" t="n">
        <f aca="false">MATCH(F107,Assumptions!$K$4:$K$8,0)</f>
        <v>2</v>
      </c>
      <c r="O107" s="21" t="str">
        <f aca="false">IF(H107="Yes",MONTH(I107),"")</f>
        <v/>
      </c>
      <c r="P107" s="21" t="str">
        <f aca="false">IF(H107="Yes",B107,"")</f>
        <v/>
      </c>
    </row>
    <row r="108" customFormat="false" ht="15" hidden="false" customHeight="false" outlineLevel="0" collapsed="false">
      <c r="A108" s="21" t="s">
        <v>1323</v>
      </c>
      <c r="B108" s="21" t="s">
        <v>285</v>
      </c>
      <c r="C108" s="21" t="s">
        <v>1177</v>
      </c>
      <c r="D108" s="21" t="s">
        <v>1240</v>
      </c>
      <c r="E108" s="33" t="n">
        <v>45163</v>
      </c>
      <c r="F108" s="21" t="s">
        <v>1185</v>
      </c>
      <c r="G108" s="32" t="n">
        <v>5.5</v>
      </c>
      <c r="H108" s="21" t="s">
        <v>120</v>
      </c>
      <c r="I108" s="33" t="n">
        <v>45201</v>
      </c>
      <c r="J108" s="21" t="str">
        <f aca="false">INDEX(Students!$C$2:$C$601,MATCH(B108,Students!$A$2:$A$601,0))</f>
        <v>Batch 2024</v>
      </c>
      <c r="K108" s="21" t="str">
        <f aca="false">INDEX(Students!$D$2:$D$601,MATCH(B108,Students!$A$2:$A$601,0))</f>
        <v>Cybersecurity</v>
      </c>
      <c r="L108" s="21" t="str">
        <f aca="false">INDEX(Companies!$C$2:$C$31,MATCH(C108,Companies!$A$2:$A$31,0))</f>
        <v>IT Services</v>
      </c>
      <c r="M108" s="21" t="str">
        <f aca="false">INDEX(Companies!$D$2:$D$31,MATCH(C108,Companies!$A$2:$A$31,0))</f>
        <v>Tier 3</v>
      </c>
      <c r="N108" s="34" t="n">
        <f aca="false">MATCH(F108,Assumptions!$K$4:$K$8,0)</f>
        <v>5</v>
      </c>
      <c r="O108" s="21" t="n">
        <f aca="false">IF(H108="Yes",MONTH(I108),"")</f>
        <v>10</v>
      </c>
      <c r="P108" s="21" t="str">
        <f aca="false">IF(H108="Yes",B108,"")</f>
        <v>S0089</v>
      </c>
    </row>
    <row r="109" customFormat="false" ht="15" hidden="false" customHeight="false" outlineLevel="0" collapsed="false">
      <c r="A109" s="21" t="s">
        <v>1324</v>
      </c>
      <c r="B109" s="21" t="s">
        <v>299</v>
      </c>
      <c r="C109" s="21" t="s">
        <v>1199</v>
      </c>
      <c r="D109" s="21" t="s">
        <v>1209</v>
      </c>
      <c r="E109" s="33" t="n">
        <v>45163</v>
      </c>
      <c r="F109" s="21" t="s">
        <v>1178</v>
      </c>
      <c r="G109" s="32"/>
      <c r="H109" s="21"/>
      <c r="I109" s="33"/>
      <c r="J109" s="21" t="str">
        <f aca="false">INDEX(Students!$C$2:$C$601,MATCH(B109,Students!$A$2:$A$601,0))</f>
        <v>Batch 2024</v>
      </c>
      <c r="K109" s="21" t="str">
        <f aca="false">INDEX(Students!$D$2:$D$601,MATCH(B109,Students!$A$2:$A$601,0))</f>
        <v>Data Analytics</v>
      </c>
      <c r="L109" s="21" t="str">
        <f aca="false">INDEX(Companies!$C$2:$C$31,MATCH(C109,Companies!$A$2:$A$31,0))</f>
        <v>E-commerce</v>
      </c>
      <c r="M109" s="21" t="str">
        <f aca="false">INDEX(Companies!$D$2:$D$31,MATCH(C109,Companies!$A$2:$A$31,0))</f>
        <v>Tier 2</v>
      </c>
      <c r="N109" s="34" t="n">
        <f aca="false">MATCH(F109,Assumptions!$K$4:$K$8,0)</f>
        <v>2</v>
      </c>
      <c r="O109" s="21" t="str">
        <f aca="false">IF(H109="Yes",MONTH(I109),"")</f>
        <v/>
      </c>
      <c r="P109" s="21" t="str">
        <f aca="false">IF(H109="Yes",B109,"")</f>
        <v/>
      </c>
    </row>
    <row r="110" customFormat="false" ht="15" hidden="false" customHeight="false" outlineLevel="0" collapsed="false">
      <c r="A110" s="21" t="s">
        <v>1325</v>
      </c>
      <c r="B110" s="21" t="s">
        <v>191</v>
      </c>
      <c r="C110" s="21" t="s">
        <v>1208</v>
      </c>
      <c r="D110" s="21" t="s">
        <v>1191</v>
      </c>
      <c r="E110" s="33" t="n">
        <v>45164</v>
      </c>
      <c r="F110" s="21" t="s">
        <v>1218</v>
      </c>
      <c r="G110" s="32"/>
      <c r="H110" s="21"/>
      <c r="I110" s="33"/>
      <c r="J110" s="21" t="str">
        <f aca="false">INDEX(Students!$C$2:$C$601,MATCH(B110,Students!$A$2:$A$601,0))</f>
        <v>Batch 2024</v>
      </c>
      <c r="K110" s="21" t="str">
        <f aca="false">INDEX(Students!$D$2:$D$601,MATCH(B110,Students!$A$2:$A$601,0))</f>
        <v>DSA with Java</v>
      </c>
      <c r="L110" s="21" t="str">
        <f aca="false">INDEX(Companies!$C$2:$C$31,MATCH(C110,Companies!$A$2:$A$31,0))</f>
        <v>E-commerce</v>
      </c>
      <c r="M110" s="21" t="str">
        <f aca="false">INDEX(Companies!$D$2:$D$31,MATCH(C110,Companies!$A$2:$A$31,0))</f>
        <v>Tier 1</v>
      </c>
      <c r="N110" s="34" t="n">
        <f aca="false">MATCH(F110,Assumptions!$K$4:$K$8,0)</f>
        <v>4</v>
      </c>
      <c r="O110" s="21" t="str">
        <f aca="false">IF(H110="Yes",MONTH(I110),"")</f>
        <v/>
      </c>
      <c r="P110" s="21" t="str">
        <f aca="false">IF(H110="Yes",B110,"")</f>
        <v/>
      </c>
    </row>
    <row r="111" customFormat="false" ht="15" hidden="false" customHeight="false" outlineLevel="0" collapsed="false">
      <c r="A111" s="21" t="s">
        <v>1326</v>
      </c>
      <c r="B111" s="21" t="s">
        <v>303</v>
      </c>
      <c r="C111" s="21" t="s">
        <v>1214</v>
      </c>
      <c r="D111" s="21" t="s">
        <v>1181</v>
      </c>
      <c r="E111" s="33" t="n">
        <v>45164</v>
      </c>
      <c r="F111" s="21" t="s">
        <v>1178</v>
      </c>
      <c r="G111" s="32"/>
      <c r="H111" s="21"/>
      <c r="I111" s="33"/>
      <c r="J111" s="21" t="str">
        <f aca="false">INDEX(Students!$C$2:$C$601,MATCH(B111,Students!$A$2:$A$601,0))</f>
        <v>Batch 2024</v>
      </c>
      <c r="K111" s="21" t="str">
        <f aca="false">INDEX(Students!$D$2:$D$601,MATCH(B111,Students!$A$2:$A$601,0))</f>
        <v>Full Stack Development</v>
      </c>
      <c r="L111" s="21" t="str">
        <f aca="false">INDEX(Companies!$C$2:$C$31,MATCH(C111,Companies!$A$2:$A$31,0))</f>
        <v>Product</v>
      </c>
      <c r="M111" s="21" t="str">
        <f aca="false">INDEX(Companies!$D$2:$D$31,MATCH(C111,Companies!$A$2:$A$31,0))</f>
        <v>Tier 1</v>
      </c>
      <c r="N111" s="34" t="n">
        <f aca="false">MATCH(F111,Assumptions!$K$4:$K$8,0)</f>
        <v>2</v>
      </c>
      <c r="O111" s="21" t="str">
        <f aca="false">IF(H111="Yes",MONTH(I111),"")</f>
        <v/>
      </c>
      <c r="P111" s="21" t="str">
        <f aca="false">IF(H111="Yes",B111,"")</f>
        <v/>
      </c>
    </row>
    <row r="112" customFormat="false" ht="15" hidden="false" customHeight="false" outlineLevel="0" collapsed="false">
      <c r="A112" s="21" t="s">
        <v>1327</v>
      </c>
      <c r="B112" s="21" t="s">
        <v>309</v>
      </c>
      <c r="C112" s="21" t="s">
        <v>1173</v>
      </c>
      <c r="D112" s="21" t="s">
        <v>1209</v>
      </c>
      <c r="E112" s="33" t="n">
        <v>45164</v>
      </c>
      <c r="F112" s="21" t="s">
        <v>1218</v>
      </c>
      <c r="G112" s="32"/>
      <c r="H112" s="21"/>
      <c r="I112" s="33"/>
      <c r="J112" s="21" t="str">
        <f aca="false">INDEX(Students!$C$2:$C$601,MATCH(B112,Students!$A$2:$A$601,0))</f>
        <v>Batch 2024</v>
      </c>
      <c r="K112" s="21" t="str">
        <f aca="false">INDEX(Students!$D$2:$D$601,MATCH(B112,Students!$A$2:$A$601,0))</f>
        <v>Data Analytics</v>
      </c>
      <c r="L112" s="21" t="str">
        <f aca="false">INDEX(Companies!$C$2:$C$31,MATCH(C112,Companies!$A$2:$A$31,0))</f>
        <v>Cybersecurity</v>
      </c>
      <c r="M112" s="21" t="str">
        <f aca="false">INDEX(Companies!$D$2:$D$31,MATCH(C112,Companies!$A$2:$A$31,0))</f>
        <v>Tier 1</v>
      </c>
      <c r="N112" s="34" t="n">
        <f aca="false">MATCH(F112,Assumptions!$K$4:$K$8,0)</f>
        <v>4</v>
      </c>
      <c r="O112" s="21" t="str">
        <f aca="false">IF(H112="Yes",MONTH(I112),"")</f>
        <v/>
      </c>
      <c r="P112" s="21" t="str">
        <f aca="false">IF(H112="Yes",B112,"")</f>
        <v/>
      </c>
    </row>
    <row r="113" customFormat="false" ht="15" hidden="false" customHeight="false" outlineLevel="0" collapsed="false">
      <c r="A113" s="21" t="s">
        <v>1328</v>
      </c>
      <c r="B113" s="21" t="s">
        <v>328</v>
      </c>
      <c r="C113" s="21" t="s">
        <v>1205</v>
      </c>
      <c r="D113" s="21" t="s">
        <v>1240</v>
      </c>
      <c r="E113" s="33" t="n">
        <v>45165</v>
      </c>
      <c r="F113" s="21" t="s">
        <v>1175</v>
      </c>
      <c r="G113" s="32"/>
      <c r="H113" s="21"/>
      <c r="I113" s="33"/>
      <c r="J113" s="21" t="str">
        <f aca="false">INDEX(Students!$C$2:$C$601,MATCH(B113,Students!$A$2:$A$601,0))</f>
        <v>Batch 2024</v>
      </c>
      <c r="K113" s="21" t="str">
        <f aca="false">INDEX(Students!$D$2:$D$601,MATCH(B113,Students!$A$2:$A$601,0))</f>
        <v>Cybersecurity</v>
      </c>
      <c r="L113" s="21" t="str">
        <f aca="false">INDEX(Companies!$C$2:$C$31,MATCH(C113,Companies!$A$2:$A$31,0))</f>
        <v>Healthtech</v>
      </c>
      <c r="M113" s="21" t="str">
        <f aca="false">INDEX(Companies!$D$2:$D$31,MATCH(C113,Companies!$A$2:$A$31,0))</f>
        <v>Tier 3</v>
      </c>
      <c r="N113" s="34" t="n">
        <f aca="false">MATCH(F113,Assumptions!$K$4:$K$8,0)</f>
        <v>1</v>
      </c>
      <c r="O113" s="21" t="str">
        <f aca="false">IF(H113="Yes",MONTH(I113),"")</f>
        <v/>
      </c>
      <c r="P113" s="21" t="str">
        <f aca="false">IF(H113="Yes",B113,"")</f>
        <v/>
      </c>
    </row>
    <row r="114" customFormat="false" ht="15" hidden="false" customHeight="false" outlineLevel="0" collapsed="false">
      <c r="A114" s="21" t="s">
        <v>1329</v>
      </c>
      <c r="B114" s="21" t="s">
        <v>262</v>
      </c>
      <c r="C114" s="21" t="s">
        <v>1183</v>
      </c>
      <c r="D114" s="21" t="s">
        <v>1240</v>
      </c>
      <c r="E114" s="33" t="n">
        <v>45165</v>
      </c>
      <c r="F114" s="21" t="s">
        <v>1218</v>
      </c>
      <c r="G114" s="32"/>
      <c r="H114" s="21"/>
      <c r="I114" s="33"/>
      <c r="J114" s="21" t="str">
        <f aca="false">INDEX(Students!$C$2:$C$601,MATCH(B114,Students!$A$2:$A$601,0))</f>
        <v>Batch 2024</v>
      </c>
      <c r="K114" s="21" t="str">
        <f aca="false">INDEX(Students!$D$2:$D$601,MATCH(B114,Students!$A$2:$A$601,0))</f>
        <v>Cybersecurity</v>
      </c>
      <c r="L114" s="21" t="str">
        <f aca="false">INDEX(Companies!$C$2:$C$31,MATCH(C114,Companies!$A$2:$A$31,0))</f>
        <v>E-commerce</v>
      </c>
      <c r="M114" s="21" t="str">
        <f aca="false">INDEX(Companies!$D$2:$D$31,MATCH(C114,Companies!$A$2:$A$31,0))</f>
        <v>Tier 2</v>
      </c>
      <c r="N114" s="34" t="n">
        <f aca="false">MATCH(F114,Assumptions!$K$4:$K$8,0)</f>
        <v>4</v>
      </c>
      <c r="O114" s="21" t="str">
        <f aca="false">IF(H114="Yes",MONTH(I114),"")</f>
        <v/>
      </c>
      <c r="P114" s="21" t="str">
        <f aca="false">IF(H114="Yes",B114,"")</f>
        <v/>
      </c>
    </row>
    <row r="115" customFormat="false" ht="15" hidden="false" customHeight="false" outlineLevel="0" collapsed="false">
      <c r="A115" s="21" t="s">
        <v>1330</v>
      </c>
      <c r="B115" s="21" t="s">
        <v>440</v>
      </c>
      <c r="C115" s="21" t="s">
        <v>1193</v>
      </c>
      <c r="D115" s="21" t="s">
        <v>1174</v>
      </c>
      <c r="E115" s="33" t="n">
        <v>45165</v>
      </c>
      <c r="F115" s="21" t="s">
        <v>1175</v>
      </c>
      <c r="G115" s="32"/>
      <c r="H115" s="21"/>
      <c r="I115" s="33"/>
      <c r="J115" s="21" t="str">
        <f aca="false">INDEX(Students!$C$2:$C$601,MATCH(B115,Students!$A$2:$A$601,0))</f>
        <v>Batch 2024</v>
      </c>
      <c r="K115" s="21" t="str">
        <f aca="false">INDEX(Students!$D$2:$D$601,MATCH(B115,Students!$A$2:$A$601,0))</f>
        <v>Full Stack Development</v>
      </c>
      <c r="L115" s="21" t="str">
        <f aca="false">INDEX(Companies!$C$2:$C$31,MATCH(C115,Companies!$A$2:$A$31,0))</f>
        <v>Analytics &amp; Consulting</v>
      </c>
      <c r="M115" s="21" t="str">
        <f aca="false">INDEX(Companies!$D$2:$D$31,MATCH(C115,Companies!$A$2:$A$31,0))</f>
        <v>Tier 2</v>
      </c>
      <c r="N115" s="34" t="n">
        <f aca="false">MATCH(F115,Assumptions!$K$4:$K$8,0)</f>
        <v>1</v>
      </c>
      <c r="O115" s="21" t="str">
        <f aca="false">IF(H115="Yes",MONTH(I115),"")</f>
        <v/>
      </c>
      <c r="P115" s="21" t="str">
        <f aca="false">IF(H115="Yes",B115,"")</f>
        <v/>
      </c>
    </row>
    <row r="116" customFormat="false" ht="15" hidden="false" customHeight="false" outlineLevel="0" collapsed="false">
      <c r="A116" s="21" t="s">
        <v>1331</v>
      </c>
      <c r="B116" s="21" t="s">
        <v>251</v>
      </c>
      <c r="C116" s="21" t="s">
        <v>1183</v>
      </c>
      <c r="D116" s="21" t="s">
        <v>1240</v>
      </c>
      <c r="E116" s="33" t="n">
        <v>45165</v>
      </c>
      <c r="F116" s="21" t="s">
        <v>1175</v>
      </c>
      <c r="G116" s="32"/>
      <c r="H116" s="21"/>
      <c r="I116" s="33"/>
      <c r="J116" s="21" t="str">
        <f aca="false">INDEX(Students!$C$2:$C$601,MATCH(B116,Students!$A$2:$A$601,0))</f>
        <v>Batch 2024</v>
      </c>
      <c r="K116" s="21" t="str">
        <f aca="false">INDEX(Students!$D$2:$D$601,MATCH(B116,Students!$A$2:$A$601,0))</f>
        <v>Cybersecurity</v>
      </c>
      <c r="L116" s="21" t="str">
        <f aca="false">INDEX(Companies!$C$2:$C$31,MATCH(C116,Companies!$A$2:$A$31,0))</f>
        <v>E-commerce</v>
      </c>
      <c r="M116" s="21" t="str">
        <f aca="false">INDEX(Companies!$D$2:$D$31,MATCH(C116,Companies!$A$2:$A$31,0))</f>
        <v>Tier 2</v>
      </c>
      <c r="N116" s="34" t="n">
        <f aca="false">MATCH(F116,Assumptions!$K$4:$K$8,0)</f>
        <v>1</v>
      </c>
      <c r="O116" s="21" t="str">
        <f aca="false">IF(H116="Yes",MONTH(I116),"")</f>
        <v/>
      </c>
      <c r="P116" s="21" t="str">
        <f aca="false">IF(H116="Yes",B116,"")</f>
        <v/>
      </c>
    </row>
    <row r="117" customFormat="false" ht="15" hidden="false" customHeight="false" outlineLevel="0" collapsed="false">
      <c r="A117" s="21" t="s">
        <v>1332</v>
      </c>
      <c r="B117" s="21" t="s">
        <v>285</v>
      </c>
      <c r="C117" s="21" t="s">
        <v>1216</v>
      </c>
      <c r="D117" s="21" t="s">
        <v>1240</v>
      </c>
      <c r="E117" s="33" t="n">
        <v>45165</v>
      </c>
      <c r="F117" s="21" t="s">
        <v>1197</v>
      </c>
      <c r="G117" s="32"/>
      <c r="H117" s="21"/>
      <c r="I117" s="33"/>
      <c r="J117" s="21" t="str">
        <f aca="false">INDEX(Students!$C$2:$C$601,MATCH(B117,Students!$A$2:$A$601,0))</f>
        <v>Batch 2024</v>
      </c>
      <c r="K117" s="21" t="str">
        <f aca="false">INDEX(Students!$D$2:$D$601,MATCH(B117,Students!$A$2:$A$601,0))</f>
        <v>Cybersecurity</v>
      </c>
      <c r="L117" s="21" t="str">
        <f aca="false">INDEX(Companies!$C$2:$C$31,MATCH(C117,Companies!$A$2:$A$31,0))</f>
        <v>IT Services</v>
      </c>
      <c r="M117" s="21" t="str">
        <f aca="false">INDEX(Companies!$D$2:$D$31,MATCH(C117,Companies!$A$2:$A$31,0))</f>
        <v>Tier 3</v>
      </c>
      <c r="N117" s="34" t="n">
        <f aca="false">MATCH(F117,Assumptions!$K$4:$K$8,0)</f>
        <v>3</v>
      </c>
      <c r="O117" s="21" t="str">
        <f aca="false">IF(H117="Yes",MONTH(I117),"")</f>
        <v/>
      </c>
      <c r="P117" s="21" t="str">
        <f aca="false">IF(H117="Yes",B117,"")</f>
        <v/>
      </c>
    </row>
    <row r="118" customFormat="false" ht="15" hidden="false" customHeight="false" outlineLevel="0" collapsed="false">
      <c r="A118" s="21" t="s">
        <v>1333</v>
      </c>
      <c r="B118" s="21" t="s">
        <v>321</v>
      </c>
      <c r="C118" s="21" t="s">
        <v>1263</v>
      </c>
      <c r="D118" s="21" t="s">
        <v>1184</v>
      </c>
      <c r="E118" s="33" t="n">
        <v>45166</v>
      </c>
      <c r="F118" s="21" t="s">
        <v>1175</v>
      </c>
      <c r="G118" s="32"/>
      <c r="H118" s="21"/>
      <c r="I118" s="33"/>
      <c r="J118" s="21" t="str">
        <f aca="false">INDEX(Students!$C$2:$C$601,MATCH(B118,Students!$A$2:$A$601,0))</f>
        <v>Batch 2024</v>
      </c>
      <c r="K118" s="21" t="str">
        <f aca="false">INDEX(Students!$D$2:$D$601,MATCH(B118,Students!$A$2:$A$601,0))</f>
        <v>DSA with Java</v>
      </c>
      <c r="L118" s="21" t="str">
        <f aca="false">INDEX(Companies!$C$2:$C$31,MATCH(C118,Companies!$A$2:$A$31,0))</f>
        <v>Analytics &amp; Consulting</v>
      </c>
      <c r="M118" s="21" t="str">
        <f aca="false">INDEX(Companies!$D$2:$D$31,MATCH(C118,Companies!$A$2:$A$31,0))</f>
        <v>Tier 2</v>
      </c>
      <c r="N118" s="34" t="n">
        <f aca="false">MATCH(F118,Assumptions!$K$4:$K$8,0)</f>
        <v>1</v>
      </c>
      <c r="O118" s="21" t="str">
        <f aca="false">IF(H118="Yes",MONTH(I118),"")</f>
        <v/>
      </c>
      <c r="P118" s="21" t="str">
        <f aca="false">IF(H118="Yes",B118,"")</f>
        <v/>
      </c>
    </row>
    <row r="119" customFormat="false" ht="15" hidden="false" customHeight="false" outlineLevel="0" collapsed="false">
      <c r="A119" s="21" t="s">
        <v>1334</v>
      </c>
      <c r="B119" s="21" t="s">
        <v>173</v>
      </c>
      <c r="C119" s="21" t="s">
        <v>1230</v>
      </c>
      <c r="D119" s="21" t="s">
        <v>1181</v>
      </c>
      <c r="E119" s="33" t="n">
        <v>45166</v>
      </c>
      <c r="F119" s="21" t="s">
        <v>1185</v>
      </c>
      <c r="G119" s="32" t="n">
        <v>5.8</v>
      </c>
      <c r="H119" s="21" t="s">
        <v>113</v>
      </c>
      <c r="I119" s="33" t="n">
        <v>45189</v>
      </c>
      <c r="J119" s="21" t="str">
        <f aca="false">INDEX(Students!$C$2:$C$601,MATCH(B119,Students!$A$2:$A$601,0))</f>
        <v>Batch 2024</v>
      </c>
      <c r="K119" s="21" t="str">
        <f aca="false">INDEX(Students!$D$2:$D$601,MATCH(B119,Students!$A$2:$A$601,0))</f>
        <v>Full Stack Development</v>
      </c>
      <c r="L119" s="21" t="str">
        <f aca="false">INDEX(Companies!$C$2:$C$31,MATCH(C119,Companies!$A$2:$A$31,0))</f>
        <v>IT Services</v>
      </c>
      <c r="M119" s="21" t="str">
        <f aca="false">INDEX(Companies!$D$2:$D$31,MATCH(C119,Companies!$A$2:$A$31,0))</f>
        <v>Tier 3</v>
      </c>
      <c r="N119" s="34" t="n">
        <f aca="false">MATCH(F119,Assumptions!$K$4:$K$8,0)</f>
        <v>5</v>
      </c>
      <c r="O119" s="21" t="str">
        <f aca="false">IF(H119="Yes",MONTH(I119),"")</f>
        <v/>
      </c>
      <c r="P119" s="21" t="str">
        <f aca="false">IF(H119="Yes",B119,"")</f>
        <v/>
      </c>
    </row>
    <row r="120" customFormat="false" ht="15" hidden="false" customHeight="false" outlineLevel="0" collapsed="false">
      <c r="A120" s="21" t="s">
        <v>1335</v>
      </c>
      <c r="B120" s="21" t="s">
        <v>384</v>
      </c>
      <c r="C120" s="21" t="s">
        <v>1275</v>
      </c>
      <c r="D120" s="21" t="s">
        <v>1181</v>
      </c>
      <c r="E120" s="33" t="n">
        <v>45166</v>
      </c>
      <c r="F120" s="21" t="s">
        <v>1218</v>
      </c>
      <c r="G120" s="32"/>
      <c r="H120" s="21"/>
      <c r="I120" s="33"/>
      <c r="J120" s="21" t="str">
        <f aca="false">INDEX(Students!$C$2:$C$601,MATCH(B120,Students!$A$2:$A$601,0))</f>
        <v>Batch 2024</v>
      </c>
      <c r="K120" s="21" t="str">
        <f aca="false">INDEX(Students!$D$2:$D$601,MATCH(B120,Students!$A$2:$A$601,0))</f>
        <v>Full Stack Development</v>
      </c>
      <c r="L120" s="21" t="str">
        <f aca="false">INDEX(Companies!$C$2:$C$31,MATCH(C120,Companies!$A$2:$A$31,0))</f>
        <v>Cybersecurity</v>
      </c>
      <c r="M120" s="21" t="str">
        <f aca="false">INDEX(Companies!$D$2:$D$31,MATCH(C120,Companies!$A$2:$A$31,0))</f>
        <v>Tier 2</v>
      </c>
      <c r="N120" s="34" t="n">
        <f aca="false">MATCH(F120,Assumptions!$K$4:$K$8,0)</f>
        <v>4</v>
      </c>
      <c r="O120" s="21" t="str">
        <f aca="false">IF(H120="Yes",MONTH(I120),"")</f>
        <v/>
      </c>
      <c r="P120" s="21" t="str">
        <f aca="false">IF(H120="Yes",B120,"")</f>
        <v/>
      </c>
    </row>
    <row r="121" customFormat="false" ht="15" hidden="false" customHeight="false" outlineLevel="0" collapsed="false">
      <c r="A121" s="21" t="s">
        <v>1336</v>
      </c>
      <c r="B121" s="21" t="s">
        <v>211</v>
      </c>
      <c r="C121" s="21" t="s">
        <v>1239</v>
      </c>
      <c r="D121" s="21" t="s">
        <v>1240</v>
      </c>
      <c r="E121" s="33" t="n">
        <v>45166</v>
      </c>
      <c r="F121" s="21" t="s">
        <v>1197</v>
      </c>
      <c r="G121" s="32"/>
      <c r="H121" s="21"/>
      <c r="I121" s="33"/>
      <c r="J121" s="21" t="str">
        <f aca="false">INDEX(Students!$C$2:$C$601,MATCH(B121,Students!$A$2:$A$601,0))</f>
        <v>Batch 2024</v>
      </c>
      <c r="K121" s="21" t="str">
        <f aca="false">INDEX(Students!$D$2:$D$601,MATCH(B121,Students!$A$2:$A$601,0))</f>
        <v>Cybersecurity</v>
      </c>
      <c r="L121" s="21" t="str">
        <f aca="false">INDEX(Companies!$C$2:$C$31,MATCH(C121,Companies!$A$2:$A$31,0))</f>
        <v>E-commerce</v>
      </c>
      <c r="M121" s="21" t="str">
        <f aca="false">INDEX(Companies!$D$2:$D$31,MATCH(C121,Companies!$A$2:$A$31,0))</f>
        <v>Tier 3</v>
      </c>
      <c r="N121" s="34" t="n">
        <f aca="false">MATCH(F121,Assumptions!$K$4:$K$8,0)</f>
        <v>3</v>
      </c>
      <c r="O121" s="21" t="str">
        <f aca="false">IF(H121="Yes",MONTH(I121),"")</f>
        <v/>
      </c>
      <c r="P121" s="21" t="str">
        <f aca="false">IF(H121="Yes",B121,"")</f>
        <v/>
      </c>
    </row>
    <row r="122" customFormat="false" ht="15" hidden="false" customHeight="false" outlineLevel="0" collapsed="false">
      <c r="A122" s="21" t="s">
        <v>1337</v>
      </c>
      <c r="B122" s="21" t="s">
        <v>169</v>
      </c>
      <c r="C122" s="21" t="s">
        <v>1216</v>
      </c>
      <c r="D122" s="21" t="s">
        <v>1184</v>
      </c>
      <c r="E122" s="33" t="n">
        <v>45166</v>
      </c>
      <c r="F122" s="21" t="s">
        <v>1185</v>
      </c>
      <c r="G122" s="32" t="n">
        <v>7.6</v>
      </c>
      <c r="H122" s="21" t="s">
        <v>120</v>
      </c>
      <c r="I122" s="33" t="n">
        <v>45194</v>
      </c>
      <c r="J122" s="21" t="str">
        <f aca="false">INDEX(Students!$C$2:$C$601,MATCH(B122,Students!$A$2:$A$601,0))</f>
        <v>Batch 2024</v>
      </c>
      <c r="K122" s="21" t="str">
        <f aca="false">INDEX(Students!$D$2:$D$601,MATCH(B122,Students!$A$2:$A$601,0))</f>
        <v>DSA with Java</v>
      </c>
      <c r="L122" s="21" t="str">
        <f aca="false">INDEX(Companies!$C$2:$C$31,MATCH(C122,Companies!$A$2:$A$31,0))</f>
        <v>IT Services</v>
      </c>
      <c r="M122" s="21" t="str">
        <f aca="false">INDEX(Companies!$D$2:$D$31,MATCH(C122,Companies!$A$2:$A$31,0))</f>
        <v>Tier 3</v>
      </c>
      <c r="N122" s="34" t="n">
        <f aca="false">MATCH(F122,Assumptions!$K$4:$K$8,0)</f>
        <v>5</v>
      </c>
      <c r="O122" s="21" t="n">
        <f aca="false">IF(H122="Yes",MONTH(I122),"")</f>
        <v>9</v>
      </c>
      <c r="P122" s="21" t="str">
        <f aca="false">IF(H122="Yes",B122,"")</f>
        <v>S0029</v>
      </c>
    </row>
    <row r="123" customFormat="false" ht="15" hidden="false" customHeight="false" outlineLevel="0" collapsed="false">
      <c r="A123" s="21" t="s">
        <v>1338</v>
      </c>
      <c r="B123" s="21" t="s">
        <v>441</v>
      </c>
      <c r="C123" s="21" t="s">
        <v>1205</v>
      </c>
      <c r="D123" s="21" t="s">
        <v>1194</v>
      </c>
      <c r="E123" s="33" t="n">
        <v>45167</v>
      </c>
      <c r="F123" s="21" t="s">
        <v>1197</v>
      </c>
      <c r="G123" s="32"/>
      <c r="H123" s="21"/>
      <c r="I123" s="33"/>
      <c r="J123" s="21" t="str">
        <f aca="false">INDEX(Students!$C$2:$C$601,MATCH(B123,Students!$A$2:$A$601,0))</f>
        <v>Batch 2024</v>
      </c>
      <c r="K123" s="21" t="str">
        <f aca="false">INDEX(Students!$D$2:$D$601,MATCH(B123,Students!$A$2:$A$601,0))</f>
        <v>Data Science &amp; ML</v>
      </c>
      <c r="L123" s="21" t="str">
        <f aca="false">INDEX(Companies!$C$2:$C$31,MATCH(C123,Companies!$A$2:$A$31,0))</f>
        <v>Healthtech</v>
      </c>
      <c r="M123" s="21" t="str">
        <f aca="false">INDEX(Companies!$D$2:$D$31,MATCH(C123,Companies!$A$2:$A$31,0))</f>
        <v>Tier 3</v>
      </c>
      <c r="N123" s="34" t="n">
        <f aca="false">MATCH(F123,Assumptions!$K$4:$K$8,0)</f>
        <v>3</v>
      </c>
      <c r="O123" s="21" t="str">
        <f aca="false">IF(H123="Yes",MONTH(I123),"")</f>
        <v/>
      </c>
      <c r="P123" s="21" t="str">
        <f aca="false">IF(H123="Yes",B123,"")</f>
        <v/>
      </c>
    </row>
    <row r="124" customFormat="false" ht="15" hidden="false" customHeight="false" outlineLevel="0" collapsed="false">
      <c r="A124" s="21" t="s">
        <v>1339</v>
      </c>
      <c r="B124" s="21" t="s">
        <v>451</v>
      </c>
      <c r="C124" s="21" t="s">
        <v>1208</v>
      </c>
      <c r="D124" s="21" t="s">
        <v>1174</v>
      </c>
      <c r="E124" s="33" t="n">
        <v>45167</v>
      </c>
      <c r="F124" s="21" t="s">
        <v>1175</v>
      </c>
      <c r="G124" s="32"/>
      <c r="H124" s="21"/>
      <c r="I124" s="33"/>
      <c r="J124" s="21" t="str">
        <f aca="false">INDEX(Students!$C$2:$C$601,MATCH(B124,Students!$A$2:$A$601,0))</f>
        <v>Batch 2024</v>
      </c>
      <c r="K124" s="21" t="str">
        <f aca="false">INDEX(Students!$D$2:$D$601,MATCH(B124,Students!$A$2:$A$601,0))</f>
        <v>Full Stack Development</v>
      </c>
      <c r="L124" s="21" t="str">
        <f aca="false">INDEX(Companies!$C$2:$C$31,MATCH(C124,Companies!$A$2:$A$31,0))</f>
        <v>E-commerce</v>
      </c>
      <c r="M124" s="21" t="str">
        <f aca="false">INDEX(Companies!$D$2:$D$31,MATCH(C124,Companies!$A$2:$A$31,0))</f>
        <v>Tier 1</v>
      </c>
      <c r="N124" s="34" t="n">
        <f aca="false">MATCH(F124,Assumptions!$K$4:$K$8,0)</f>
        <v>1</v>
      </c>
      <c r="O124" s="21" t="str">
        <f aca="false">IF(H124="Yes",MONTH(I124),"")</f>
        <v/>
      </c>
      <c r="P124" s="21" t="str">
        <f aca="false">IF(H124="Yes",B124,"")</f>
        <v/>
      </c>
    </row>
    <row r="125" customFormat="false" ht="15" hidden="false" customHeight="false" outlineLevel="0" collapsed="false">
      <c r="A125" s="21" t="s">
        <v>1340</v>
      </c>
      <c r="B125" s="21" t="s">
        <v>352</v>
      </c>
      <c r="C125" s="21" t="s">
        <v>1214</v>
      </c>
      <c r="D125" s="21" t="s">
        <v>1194</v>
      </c>
      <c r="E125" s="33" t="n">
        <v>45168</v>
      </c>
      <c r="F125" s="21" t="s">
        <v>1185</v>
      </c>
      <c r="G125" s="32" t="n">
        <v>18.8</v>
      </c>
      <c r="H125" s="21" t="s">
        <v>120</v>
      </c>
      <c r="I125" s="33" t="n">
        <v>45193</v>
      </c>
      <c r="J125" s="21" t="str">
        <f aca="false">INDEX(Students!$C$2:$C$601,MATCH(B125,Students!$A$2:$A$601,0))</f>
        <v>Batch 2024</v>
      </c>
      <c r="K125" s="21" t="str">
        <f aca="false">INDEX(Students!$D$2:$D$601,MATCH(B125,Students!$A$2:$A$601,0))</f>
        <v>Data Science &amp; ML</v>
      </c>
      <c r="L125" s="21" t="str">
        <f aca="false">INDEX(Companies!$C$2:$C$31,MATCH(C125,Companies!$A$2:$A$31,0))</f>
        <v>Product</v>
      </c>
      <c r="M125" s="21" t="str">
        <f aca="false">INDEX(Companies!$D$2:$D$31,MATCH(C125,Companies!$A$2:$A$31,0))</f>
        <v>Tier 1</v>
      </c>
      <c r="N125" s="34" t="n">
        <f aca="false">MATCH(F125,Assumptions!$K$4:$K$8,0)</f>
        <v>5</v>
      </c>
      <c r="O125" s="21" t="n">
        <f aca="false">IF(H125="Yes",MONTH(I125),"")</f>
        <v>9</v>
      </c>
      <c r="P125" s="21" t="str">
        <f aca="false">IF(H125="Yes",B125,"")</f>
        <v>S0125</v>
      </c>
    </row>
    <row r="126" customFormat="false" ht="15" hidden="false" customHeight="false" outlineLevel="0" collapsed="false">
      <c r="A126" s="21" t="s">
        <v>1341</v>
      </c>
      <c r="B126" s="21" t="s">
        <v>139</v>
      </c>
      <c r="C126" s="21" t="s">
        <v>1234</v>
      </c>
      <c r="D126" s="21" t="s">
        <v>1181</v>
      </c>
      <c r="E126" s="33" t="n">
        <v>45168</v>
      </c>
      <c r="F126" s="21" t="s">
        <v>1218</v>
      </c>
      <c r="G126" s="32"/>
      <c r="H126" s="21"/>
      <c r="I126" s="33"/>
      <c r="J126" s="21" t="str">
        <f aca="false">INDEX(Students!$C$2:$C$601,MATCH(B126,Students!$A$2:$A$601,0))</f>
        <v>Batch 2024</v>
      </c>
      <c r="K126" s="21" t="str">
        <f aca="false">INDEX(Students!$D$2:$D$601,MATCH(B126,Students!$A$2:$A$601,0))</f>
        <v>Full Stack Development</v>
      </c>
      <c r="L126" s="21" t="str">
        <f aca="false">INDEX(Companies!$C$2:$C$31,MATCH(C126,Companies!$A$2:$A$31,0))</f>
        <v>EdTech</v>
      </c>
      <c r="M126" s="21" t="str">
        <f aca="false">INDEX(Companies!$D$2:$D$31,MATCH(C126,Companies!$A$2:$A$31,0))</f>
        <v>Tier 3</v>
      </c>
      <c r="N126" s="34" t="n">
        <f aca="false">MATCH(F126,Assumptions!$K$4:$K$8,0)</f>
        <v>4</v>
      </c>
      <c r="O126" s="21" t="str">
        <f aca="false">IF(H126="Yes",MONTH(I126),"")</f>
        <v/>
      </c>
      <c r="P126" s="21" t="str">
        <f aca="false">IF(H126="Yes",B126,"")</f>
        <v/>
      </c>
    </row>
    <row r="127" customFormat="false" ht="15" hidden="false" customHeight="false" outlineLevel="0" collapsed="false">
      <c r="A127" s="21" t="s">
        <v>1342</v>
      </c>
      <c r="B127" s="21" t="s">
        <v>279</v>
      </c>
      <c r="C127" s="21" t="s">
        <v>1266</v>
      </c>
      <c r="D127" s="21" t="s">
        <v>1240</v>
      </c>
      <c r="E127" s="33" t="n">
        <v>45168</v>
      </c>
      <c r="F127" s="21" t="s">
        <v>1185</v>
      </c>
      <c r="G127" s="32" t="n">
        <v>4.7</v>
      </c>
      <c r="H127" s="21" t="s">
        <v>113</v>
      </c>
      <c r="I127" s="33" t="n">
        <v>45209</v>
      </c>
      <c r="J127" s="21" t="str">
        <f aca="false">INDEX(Students!$C$2:$C$601,MATCH(B127,Students!$A$2:$A$601,0))</f>
        <v>Batch 2024</v>
      </c>
      <c r="K127" s="21" t="str">
        <f aca="false">INDEX(Students!$D$2:$D$601,MATCH(B127,Students!$A$2:$A$601,0))</f>
        <v>Cybersecurity</v>
      </c>
      <c r="L127" s="21" t="str">
        <f aca="false">INDEX(Companies!$C$2:$C$31,MATCH(C127,Companies!$A$2:$A$31,0))</f>
        <v>IT Services</v>
      </c>
      <c r="M127" s="21" t="str">
        <f aca="false">INDEX(Companies!$D$2:$D$31,MATCH(C127,Companies!$A$2:$A$31,0))</f>
        <v>Tier 3</v>
      </c>
      <c r="N127" s="34" t="n">
        <f aca="false">MATCH(F127,Assumptions!$K$4:$K$8,0)</f>
        <v>5</v>
      </c>
      <c r="O127" s="21" t="str">
        <f aca="false">IF(H127="Yes",MONTH(I127),"")</f>
        <v/>
      </c>
      <c r="P127" s="21" t="str">
        <f aca="false">IF(H127="Yes",B127,"")</f>
        <v/>
      </c>
    </row>
    <row r="128" customFormat="false" ht="15" hidden="false" customHeight="false" outlineLevel="0" collapsed="false">
      <c r="A128" s="21" t="s">
        <v>1343</v>
      </c>
      <c r="B128" s="21" t="s">
        <v>293</v>
      </c>
      <c r="C128" s="21" t="s">
        <v>1298</v>
      </c>
      <c r="D128" s="21" t="s">
        <v>1209</v>
      </c>
      <c r="E128" s="33" t="n">
        <v>45168</v>
      </c>
      <c r="F128" s="21" t="s">
        <v>1178</v>
      </c>
      <c r="G128" s="32"/>
      <c r="H128" s="21"/>
      <c r="I128" s="33"/>
      <c r="J128" s="21" t="str">
        <f aca="false">INDEX(Students!$C$2:$C$601,MATCH(B128,Students!$A$2:$A$601,0))</f>
        <v>Batch 2024</v>
      </c>
      <c r="K128" s="21" t="str">
        <f aca="false">INDEX(Students!$D$2:$D$601,MATCH(B128,Students!$A$2:$A$601,0))</f>
        <v>Data Analytics</v>
      </c>
      <c r="L128" s="21" t="str">
        <f aca="false">INDEX(Companies!$C$2:$C$31,MATCH(C128,Companies!$A$2:$A$31,0))</f>
        <v>Fintech</v>
      </c>
      <c r="M128" s="21" t="str">
        <f aca="false">INDEX(Companies!$D$2:$D$31,MATCH(C128,Companies!$A$2:$A$31,0))</f>
        <v>Tier 2</v>
      </c>
      <c r="N128" s="34" t="n">
        <f aca="false">MATCH(F128,Assumptions!$K$4:$K$8,0)</f>
        <v>2</v>
      </c>
      <c r="O128" s="21" t="str">
        <f aca="false">IF(H128="Yes",MONTH(I128),"")</f>
        <v/>
      </c>
      <c r="P128" s="21" t="str">
        <f aca="false">IF(H128="Yes",B128,"")</f>
        <v/>
      </c>
    </row>
    <row r="129" customFormat="false" ht="15" hidden="false" customHeight="false" outlineLevel="0" collapsed="false">
      <c r="A129" s="21" t="s">
        <v>1344</v>
      </c>
      <c r="B129" s="21" t="s">
        <v>406</v>
      </c>
      <c r="C129" s="21" t="s">
        <v>1222</v>
      </c>
      <c r="D129" s="21" t="s">
        <v>1209</v>
      </c>
      <c r="E129" s="33" t="n">
        <v>45168</v>
      </c>
      <c r="F129" s="21" t="s">
        <v>1178</v>
      </c>
      <c r="G129" s="32"/>
      <c r="H129" s="21"/>
      <c r="I129" s="33"/>
      <c r="J129" s="21" t="str">
        <f aca="false">INDEX(Students!$C$2:$C$601,MATCH(B129,Students!$A$2:$A$601,0))</f>
        <v>Batch 2024</v>
      </c>
      <c r="K129" s="21" t="str">
        <f aca="false">INDEX(Students!$D$2:$D$601,MATCH(B129,Students!$A$2:$A$601,0))</f>
        <v>Data Analytics</v>
      </c>
      <c r="L129" s="21" t="str">
        <f aca="false">INDEX(Companies!$C$2:$C$31,MATCH(C129,Companies!$A$2:$A$31,0))</f>
        <v>Product</v>
      </c>
      <c r="M129" s="21" t="str">
        <f aca="false">INDEX(Companies!$D$2:$D$31,MATCH(C129,Companies!$A$2:$A$31,0))</f>
        <v>Tier 2</v>
      </c>
      <c r="N129" s="34" t="n">
        <f aca="false">MATCH(F129,Assumptions!$K$4:$K$8,0)</f>
        <v>2</v>
      </c>
      <c r="O129" s="21" t="str">
        <f aca="false">IF(H129="Yes",MONTH(I129),"")</f>
        <v/>
      </c>
      <c r="P129" s="21" t="str">
        <f aca="false">IF(H129="Yes",B129,"")</f>
        <v/>
      </c>
    </row>
    <row r="130" customFormat="false" ht="15" hidden="false" customHeight="false" outlineLevel="0" collapsed="false">
      <c r="A130" s="21" t="s">
        <v>1345</v>
      </c>
      <c r="B130" s="21" t="s">
        <v>420</v>
      </c>
      <c r="C130" s="21" t="s">
        <v>1216</v>
      </c>
      <c r="D130" s="21" t="s">
        <v>1243</v>
      </c>
      <c r="E130" s="33" t="n">
        <v>45169</v>
      </c>
      <c r="F130" s="21" t="s">
        <v>1178</v>
      </c>
      <c r="G130" s="32"/>
      <c r="H130" s="21"/>
      <c r="I130" s="33"/>
      <c r="J130" s="21" t="str">
        <f aca="false">INDEX(Students!$C$2:$C$601,MATCH(B130,Students!$A$2:$A$601,0))</f>
        <v>Batch 2024</v>
      </c>
      <c r="K130" s="21" t="str">
        <f aca="false">INDEX(Students!$D$2:$D$601,MATCH(B130,Students!$A$2:$A$601,0))</f>
        <v>Data Science &amp; ML</v>
      </c>
      <c r="L130" s="21" t="str">
        <f aca="false">INDEX(Companies!$C$2:$C$31,MATCH(C130,Companies!$A$2:$A$31,0))</f>
        <v>IT Services</v>
      </c>
      <c r="M130" s="21" t="str">
        <f aca="false">INDEX(Companies!$D$2:$D$31,MATCH(C130,Companies!$A$2:$A$31,0))</f>
        <v>Tier 3</v>
      </c>
      <c r="N130" s="34" t="n">
        <f aca="false">MATCH(F130,Assumptions!$K$4:$K$8,0)</f>
        <v>2</v>
      </c>
      <c r="O130" s="21" t="str">
        <f aca="false">IF(H130="Yes",MONTH(I130),"")</f>
        <v/>
      </c>
      <c r="P130" s="21" t="str">
        <f aca="false">IF(H130="Yes",B130,"")</f>
        <v/>
      </c>
    </row>
    <row r="131" customFormat="false" ht="15" hidden="false" customHeight="false" outlineLevel="0" collapsed="false">
      <c r="A131" s="21" t="s">
        <v>1346</v>
      </c>
      <c r="B131" s="21" t="s">
        <v>191</v>
      </c>
      <c r="C131" s="21" t="s">
        <v>1239</v>
      </c>
      <c r="D131" s="21" t="s">
        <v>1191</v>
      </c>
      <c r="E131" s="33" t="n">
        <v>45169</v>
      </c>
      <c r="F131" s="21" t="s">
        <v>1175</v>
      </c>
      <c r="G131" s="32"/>
      <c r="H131" s="21"/>
      <c r="I131" s="33"/>
      <c r="J131" s="21" t="str">
        <f aca="false">INDEX(Students!$C$2:$C$601,MATCH(B131,Students!$A$2:$A$601,0))</f>
        <v>Batch 2024</v>
      </c>
      <c r="K131" s="21" t="str">
        <f aca="false">INDEX(Students!$D$2:$D$601,MATCH(B131,Students!$A$2:$A$601,0))</f>
        <v>DSA with Java</v>
      </c>
      <c r="L131" s="21" t="str">
        <f aca="false">INDEX(Companies!$C$2:$C$31,MATCH(C131,Companies!$A$2:$A$31,0))</f>
        <v>E-commerce</v>
      </c>
      <c r="M131" s="21" t="str">
        <f aca="false">INDEX(Companies!$D$2:$D$31,MATCH(C131,Companies!$A$2:$A$31,0))</f>
        <v>Tier 3</v>
      </c>
      <c r="N131" s="34" t="n">
        <f aca="false">MATCH(F131,Assumptions!$K$4:$K$8,0)</f>
        <v>1</v>
      </c>
      <c r="O131" s="21" t="str">
        <f aca="false">IF(H131="Yes",MONTH(I131),"")</f>
        <v/>
      </c>
      <c r="P131" s="21" t="str">
        <f aca="false">IF(H131="Yes",B131,"")</f>
        <v/>
      </c>
    </row>
    <row r="132" customFormat="false" ht="15" hidden="false" customHeight="false" outlineLevel="0" collapsed="false">
      <c r="A132" s="21" t="s">
        <v>1347</v>
      </c>
      <c r="B132" s="21" t="s">
        <v>255</v>
      </c>
      <c r="C132" s="21" t="s">
        <v>1205</v>
      </c>
      <c r="D132" s="21" t="s">
        <v>1209</v>
      </c>
      <c r="E132" s="33" t="n">
        <v>45169</v>
      </c>
      <c r="F132" s="21" t="s">
        <v>1178</v>
      </c>
      <c r="G132" s="32"/>
      <c r="H132" s="21"/>
      <c r="I132" s="33"/>
      <c r="J132" s="21" t="str">
        <f aca="false">INDEX(Students!$C$2:$C$601,MATCH(B132,Students!$A$2:$A$601,0))</f>
        <v>Batch 2024</v>
      </c>
      <c r="K132" s="21" t="str">
        <f aca="false">INDEX(Students!$D$2:$D$601,MATCH(B132,Students!$A$2:$A$601,0))</f>
        <v>Data Analytics</v>
      </c>
      <c r="L132" s="21" t="str">
        <f aca="false">INDEX(Companies!$C$2:$C$31,MATCH(C132,Companies!$A$2:$A$31,0))</f>
        <v>Healthtech</v>
      </c>
      <c r="M132" s="21" t="str">
        <f aca="false">INDEX(Companies!$D$2:$D$31,MATCH(C132,Companies!$A$2:$A$31,0))</f>
        <v>Tier 3</v>
      </c>
      <c r="N132" s="34" t="n">
        <f aca="false">MATCH(F132,Assumptions!$K$4:$K$8,0)</f>
        <v>2</v>
      </c>
      <c r="O132" s="21" t="str">
        <f aca="false">IF(H132="Yes",MONTH(I132),"")</f>
        <v/>
      </c>
      <c r="P132" s="21" t="str">
        <f aca="false">IF(H132="Yes",B132,"")</f>
        <v/>
      </c>
    </row>
    <row r="133" customFormat="false" ht="15" hidden="false" customHeight="false" outlineLevel="0" collapsed="false">
      <c r="A133" s="21" t="s">
        <v>1348</v>
      </c>
      <c r="B133" s="21" t="s">
        <v>402</v>
      </c>
      <c r="C133" s="21" t="s">
        <v>1190</v>
      </c>
      <c r="D133" s="21" t="s">
        <v>1174</v>
      </c>
      <c r="E133" s="33" t="n">
        <v>45170</v>
      </c>
      <c r="F133" s="21" t="s">
        <v>1178</v>
      </c>
      <c r="G133" s="32"/>
      <c r="H133" s="21"/>
      <c r="I133" s="33"/>
      <c r="J133" s="21" t="str">
        <f aca="false">INDEX(Students!$C$2:$C$601,MATCH(B133,Students!$A$2:$A$601,0))</f>
        <v>Batch 2024</v>
      </c>
      <c r="K133" s="21" t="str">
        <f aca="false">INDEX(Students!$D$2:$D$601,MATCH(B133,Students!$A$2:$A$601,0))</f>
        <v>Full Stack Development</v>
      </c>
      <c r="L133" s="21" t="str">
        <f aca="false">INDEX(Companies!$C$2:$C$31,MATCH(C133,Companies!$A$2:$A$31,0))</f>
        <v>Analytics &amp; Consulting</v>
      </c>
      <c r="M133" s="21" t="str">
        <f aca="false">INDEX(Companies!$D$2:$D$31,MATCH(C133,Companies!$A$2:$A$31,0))</f>
        <v>Tier 1</v>
      </c>
      <c r="N133" s="34" t="n">
        <f aca="false">MATCH(F133,Assumptions!$K$4:$K$8,0)</f>
        <v>2</v>
      </c>
      <c r="O133" s="21" t="str">
        <f aca="false">IF(H133="Yes",MONTH(I133),"")</f>
        <v/>
      </c>
      <c r="P133" s="21" t="str">
        <f aca="false">IF(H133="Yes",B133,"")</f>
        <v/>
      </c>
    </row>
    <row r="134" customFormat="false" ht="15" hidden="false" customHeight="false" outlineLevel="0" collapsed="false">
      <c r="A134" s="21" t="s">
        <v>1349</v>
      </c>
      <c r="B134" s="21" t="s">
        <v>315</v>
      </c>
      <c r="C134" s="21" t="s">
        <v>1214</v>
      </c>
      <c r="D134" s="21" t="s">
        <v>1181</v>
      </c>
      <c r="E134" s="33" t="n">
        <v>45170</v>
      </c>
      <c r="F134" s="21" t="s">
        <v>1218</v>
      </c>
      <c r="G134" s="32"/>
      <c r="H134" s="21"/>
      <c r="I134" s="33"/>
      <c r="J134" s="21" t="str">
        <f aca="false">INDEX(Students!$C$2:$C$601,MATCH(B134,Students!$A$2:$A$601,0))</f>
        <v>Batch 2024</v>
      </c>
      <c r="K134" s="21" t="str">
        <f aca="false">INDEX(Students!$D$2:$D$601,MATCH(B134,Students!$A$2:$A$601,0))</f>
        <v>Full Stack Development</v>
      </c>
      <c r="L134" s="21" t="str">
        <f aca="false">INDEX(Companies!$C$2:$C$31,MATCH(C134,Companies!$A$2:$A$31,0))</f>
        <v>Product</v>
      </c>
      <c r="M134" s="21" t="str">
        <f aca="false">INDEX(Companies!$D$2:$D$31,MATCH(C134,Companies!$A$2:$A$31,0))</f>
        <v>Tier 1</v>
      </c>
      <c r="N134" s="34" t="n">
        <f aca="false">MATCH(F134,Assumptions!$K$4:$K$8,0)</f>
        <v>4</v>
      </c>
      <c r="O134" s="21" t="str">
        <f aca="false">IF(H134="Yes",MONTH(I134),"")</f>
        <v/>
      </c>
      <c r="P134" s="21" t="str">
        <f aca="false">IF(H134="Yes",B134,"")</f>
        <v/>
      </c>
    </row>
    <row r="135" customFormat="false" ht="15" hidden="false" customHeight="false" outlineLevel="0" collapsed="false">
      <c r="A135" s="21" t="s">
        <v>1350</v>
      </c>
      <c r="B135" s="21" t="s">
        <v>235</v>
      </c>
      <c r="C135" s="21" t="s">
        <v>1183</v>
      </c>
      <c r="D135" s="21" t="s">
        <v>1243</v>
      </c>
      <c r="E135" s="33" t="n">
        <v>45170</v>
      </c>
      <c r="F135" s="21" t="s">
        <v>1185</v>
      </c>
      <c r="G135" s="32" t="n">
        <v>9</v>
      </c>
      <c r="H135" s="21" t="s">
        <v>113</v>
      </c>
      <c r="I135" s="33" t="n">
        <v>45219</v>
      </c>
      <c r="J135" s="21" t="str">
        <f aca="false">INDEX(Students!$C$2:$C$601,MATCH(B135,Students!$A$2:$A$601,0))</f>
        <v>Batch 2024</v>
      </c>
      <c r="K135" s="21" t="str">
        <f aca="false">INDEX(Students!$D$2:$D$601,MATCH(B135,Students!$A$2:$A$601,0))</f>
        <v>Data Science &amp; ML</v>
      </c>
      <c r="L135" s="21" t="str">
        <f aca="false">INDEX(Companies!$C$2:$C$31,MATCH(C135,Companies!$A$2:$A$31,0))</f>
        <v>E-commerce</v>
      </c>
      <c r="M135" s="21" t="str">
        <f aca="false">INDEX(Companies!$D$2:$D$31,MATCH(C135,Companies!$A$2:$A$31,0))</f>
        <v>Tier 2</v>
      </c>
      <c r="N135" s="34" t="n">
        <f aca="false">MATCH(F135,Assumptions!$K$4:$K$8,0)</f>
        <v>5</v>
      </c>
      <c r="O135" s="21" t="str">
        <f aca="false">IF(H135="Yes",MONTH(I135),"")</f>
        <v/>
      </c>
      <c r="P135" s="21" t="str">
        <f aca="false">IF(H135="Yes",B135,"")</f>
        <v/>
      </c>
    </row>
    <row r="136" customFormat="false" ht="15" hidden="false" customHeight="false" outlineLevel="0" collapsed="false">
      <c r="A136" s="21" t="s">
        <v>1351</v>
      </c>
      <c r="B136" s="21" t="s">
        <v>255</v>
      </c>
      <c r="C136" s="21" t="s">
        <v>1239</v>
      </c>
      <c r="D136" s="21" t="s">
        <v>1209</v>
      </c>
      <c r="E136" s="33" t="n">
        <v>45170</v>
      </c>
      <c r="F136" s="21" t="s">
        <v>1175</v>
      </c>
      <c r="G136" s="32"/>
      <c r="H136" s="21"/>
      <c r="I136" s="33"/>
      <c r="J136" s="21" t="str">
        <f aca="false">INDEX(Students!$C$2:$C$601,MATCH(B136,Students!$A$2:$A$601,0))</f>
        <v>Batch 2024</v>
      </c>
      <c r="K136" s="21" t="str">
        <f aca="false">INDEX(Students!$D$2:$D$601,MATCH(B136,Students!$A$2:$A$601,0))</f>
        <v>Data Analytics</v>
      </c>
      <c r="L136" s="21" t="str">
        <f aca="false">INDEX(Companies!$C$2:$C$31,MATCH(C136,Companies!$A$2:$A$31,0))</f>
        <v>E-commerce</v>
      </c>
      <c r="M136" s="21" t="str">
        <f aca="false">INDEX(Companies!$D$2:$D$31,MATCH(C136,Companies!$A$2:$A$31,0))</f>
        <v>Tier 3</v>
      </c>
      <c r="N136" s="34" t="n">
        <f aca="false">MATCH(F136,Assumptions!$K$4:$K$8,0)</f>
        <v>1</v>
      </c>
      <c r="O136" s="21" t="str">
        <f aca="false">IF(H136="Yes",MONTH(I136),"")</f>
        <v/>
      </c>
      <c r="P136" s="21" t="str">
        <f aca="false">IF(H136="Yes",B136,"")</f>
        <v/>
      </c>
    </row>
    <row r="137" customFormat="false" ht="15" hidden="false" customHeight="false" outlineLevel="0" collapsed="false">
      <c r="A137" s="21" t="s">
        <v>1352</v>
      </c>
      <c r="B137" s="21" t="s">
        <v>276</v>
      </c>
      <c r="C137" s="21" t="s">
        <v>1177</v>
      </c>
      <c r="D137" s="21" t="s">
        <v>1194</v>
      </c>
      <c r="E137" s="33" t="n">
        <v>45171</v>
      </c>
      <c r="F137" s="21" t="s">
        <v>1218</v>
      </c>
      <c r="G137" s="32"/>
      <c r="H137" s="21"/>
      <c r="I137" s="33"/>
      <c r="J137" s="21" t="str">
        <f aca="false">INDEX(Students!$C$2:$C$601,MATCH(B137,Students!$A$2:$A$601,0))</f>
        <v>Batch 2024</v>
      </c>
      <c r="K137" s="21" t="str">
        <f aca="false">INDEX(Students!$D$2:$D$601,MATCH(B137,Students!$A$2:$A$601,0))</f>
        <v>Data Science &amp; ML</v>
      </c>
      <c r="L137" s="21" t="str">
        <f aca="false">INDEX(Companies!$C$2:$C$31,MATCH(C137,Companies!$A$2:$A$31,0))</f>
        <v>IT Services</v>
      </c>
      <c r="M137" s="21" t="str">
        <f aca="false">INDEX(Companies!$D$2:$D$31,MATCH(C137,Companies!$A$2:$A$31,0))</f>
        <v>Tier 3</v>
      </c>
      <c r="N137" s="34" t="n">
        <f aca="false">MATCH(F137,Assumptions!$K$4:$K$8,0)</f>
        <v>4</v>
      </c>
      <c r="O137" s="21" t="str">
        <f aca="false">IF(H137="Yes",MONTH(I137),"")</f>
        <v/>
      </c>
      <c r="P137" s="21" t="str">
        <f aca="false">IF(H137="Yes",B137,"")</f>
        <v/>
      </c>
    </row>
    <row r="138" customFormat="false" ht="15" hidden="false" customHeight="false" outlineLevel="0" collapsed="false">
      <c r="A138" s="21" t="s">
        <v>1353</v>
      </c>
      <c r="B138" s="21" t="s">
        <v>344</v>
      </c>
      <c r="C138" s="21" t="s">
        <v>1214</v>
      </c>
      <c r="D138" s="21" t="s">
        <v>1181</v>
      </c>
      <c r="E138" s="33" t="n">
        <v>45171</v>
      </c>
      <c r="F138" s="21" t="s">
        <v>1175</v>
      </c>
      <c r="G138" s="32"/>
      <c r="H138" s="21"/>
      <c r="I138" s="33"/>
      <c r="J138" s="21" t="str">
        <f aca="false">INDEX(Students!$C$2:$C$601,MATCH(B138,Students!$A$2:$A$601,0))</f>
        <v>Batch 2024</v>
      </c>
      <c r="K138" s="21" t="str">
        <f aca="false">INDEX(Students!$D$2:$D$601,MATCH(B138,Students!$A$2:$A$601,0))</f>
        <v>Full Stack Development</v>
      </c>
      <c r="L138" s="21" t="str">
        <f aca="false">INDEX(Companies!$C$2:$C$31,MATCH(C138,Companies!$A$2:$A$31,0))</f>
        <v>Product</v>
      </c>
      <c r="M138" s="21" t="str">
        <f aca="false">INDEX(Companies!$D$2:$D$31,MATCH(C138,Companies!$A$2:$A$31,0))</f>
        <v>Tier 1</v>
      </c>
      <c r="N138" s="34" t="n">
        <f aca="false">MATCH(F138,Assumptions!$K$4:$K$8,0)</f>
        <v>1</v>
      </c>
      <c r="O138" s="21" t="str">
        <f aca="false">IF(H138="Yes",MONTH(I138),"")</f>
        <v/>
      </c>
      <c r="P138" s="21" t="str">
        <f aca="false">IF(H138="Yes",B138,"")</f>
        <v/>
      </c>
    </row>
    <row r="139" customFormat="false" ht="15" hidden="false" customHeight="false" outlineLevel="0" collapsed="false">
      <c r="A139" s="21" t="s">
        <v>1354</v>
      </c>
      <c r="B139" s="21" t="s">
        <v>362</v>
      </c>
      <c r="C139" s="21" t="s">
        <v>1225</v>
      </c>
      <c r="D139" s="21" t="s">
        <v>1181</v>
      </c>
      <c r="E139" s="33" t="n">
        <v>45171</v>
      </c>
      <c r="F139" s="21" t="s">
        <v>1178</v>
      </c>
      <c r="G139" s="32"/>
      <c r="H139" s="21"/>
      <c r="I139" s="33"/>
      <c r="J139" s="21" t="str">
        <f aca="false">INDEX(Students!$C$2:$C$601,MATCH(B139,Students!$A$2:$A$601,0))</f>
        <v>Batch 2024</v>
      </c>
      <c r="K139" s="21" t="str">
        <f aca="false">INDEX(Students!$D$2:$D$601,MATCH(B139,Students!$A$2:$A$601,0))</f>
        <v>Full Stack Development</v>
      </c>
      <c r="L139" s="21" t="str">
        <f aca="false">INDEX(Companies!$C$2:$C$31,MATCH(C139,Companies!$A$2:$A$31,0))</f>
        <v>EdTech</v>
      </c>
      <c r="M139" s="21" t="str">
        <f aca="false">INDEX(Companies!$D$2:$D$31,MATCH(C139,Companies!$A$2:$A$31,0))</f>
        <v>Tier 2</v>
      </c>
      <c r="N139" s="34" t="n">
        <f aca="false">MATCH(F139,Assumptions!$K$4:$K$8,0)</f>
        <v>2</v>
      </c>
      <c r="O139" s="21" t="str">
        <f aca="false">IF(H139="Yes",MONTH(I139),"")</f>
        <v/>
      </c>
      <c r="P139" s="21" t="str">
        <f aca="false">IF(H139="Yes",B139,"")</f>
        <v/>
      </c>
    </row>
    <row r="140" customFormat="false" ht="15" hidden="false" customHeight="false" outlineLevel="0" collapsed="false">
      <c r="A140" s="21" t="s">
        <v>1355</v>
      </c>
      <c r="B140" s="21" t="s">
        <v>323</v>
      </c>
      <c r="C140" s="21" t="s">
        <v>1239</v>
      </c>
      <c r="D140" s="21" t="s">
        <v>1243</v>
      </c>
      <c r="E140" s="33" t="n">
        <v>45171</v>
      </c>
      <c r="F140" s="21" t="s">
        <v>1185</v>
      </c>
      <c r="G140" s="32" t="n">
        <v>5.8</v>
      </c>
      <c r="H140" s="21" t="s">
        <v>120</v>
      </c>
      <c r="I140" s="33" t="n">
        <v>45207</v>
      </c>
      <c r="J140" s="21" t="str">
        <f aca="false">INDEX(Students!$C$2:$C$601,MATCH(B140,Students!$A$2:$A$601,0))</f>
        <v>Batch 2024</v>
      </c>
      <c r="K140" s="21" t="str">
        <f aca="false">INDEX(Students!$D$2:$D$601,MATCH(B140,Students!$A$2:$A$601,0))</f>
        <v>Data Science &amp; ML</v>
      </c>
      <c r="L140" s="21" t="str">
        <f aca="false">INDEX(Companies!$C$2:$C$31,MATCH(C140,Companies!$A$2:$A$31,0))</f>
        <v>E-commerce</v>
      </c>
      <c r="M140" s="21" t="str">
        <f aca="false">INDEX(Companies!$D$2:$D$31,MATCH(C140,Companies!$A$2:$A$31,0))</f>
        <v>Tier 3</v>
      </c>
      <c r="N140" s="34" t="n">
        <f aca="false">MATCH(F140,Assumptions!$K$4:$K$8,0)</f>
        <v>5</v>
      </c>
      <c r="O140" s="21" t="n">
        <f aca="false">IF(H140="Yes",MONTH(I140),"")</f>
        <v>10</v>
      </c>
      <c r="P140" s="21" t="str">
        <f aca="false">IF(H140="Yes",B140,"")</f>
        <v>S0108</v>
      </c>
    </row>
    <row r="141" customFormat="false" ht="15" hidden="false" customHeight="false" outlineLevel="0" collapsed="false">
      <c r="A141" s="21" t="s">
        <v>1356</v>
      </c>
      <c r="B141" s="21" t="s">
        <v>452</v>
      </c>
      <c r="C141" s="21" t="s">
        <v>1234</v>
      </c>
      <c r="D141" s="21" t="s">
        <v>1188</v>
      </c>
      <c r="E141" s="33" t="n">
        <v>45171</v>
      </c>
      <c r="F141" s="21" t="s">
        <v>1178</v>
      </c>
      <c r="G141" s="32"/>
      <c r="H141" s="21"/>
      <c r="I141" s="33"/>
      <c r="J141" s="21" t="str">
        <f aca="false">INDEX(Students!$C$2:$C$601,MATCH(B141,Students!$A$2:$A$601,0))</f>
        <v>Batch 2024</v>
      </c>
      <c r="K141" s="21" t="str">
        <f aca="false">INDEX(Students!$D$2:$D$601,MATCH(B141,Students!$A$2:$A$601,0))</f>
        <v>Data Analytics</v>
      </c>
      <c r="L141" s="21" t="str">
        <f aca="false">INDEX(Companies!$C$2:$C$31,MATCH(C141,Companies!$A$2:$A$31,0))</f>
        <v>EdTech</v>
      </c>
      <c r="M141" s="21" t="str">
        <f aca="false">INDEX(Companies!$D$2:$D$31,MATCH(C141,Companies!$A$2:$A$31,0))</f>
        <v>Tier 3</v>
      </c>
      <c r="N141" s="34" t="n">
        <f aca="false">MATCH(F141,Assumptions!$K$4:$K$8,0)</f>
        <v>2</v>
      </c>
      <c r="O141" s="21" t="str">
        <f aca="false">IF(H141="Yes",MONTH(I141),"")</f>
        <v/>
      </c>
      <c r="P141" s="21" t="str">
        <f aca="false">IF(H141="Yes",B141,"")</f>
        <v/>
      </c>
    </row>
    <row r="142" customFormat="false" ht="15" hidden="false" customHeight="false" outlineLevel="0" collapsed="false">
      <c r="A142" s="21" t="s">
        <v>1357</v>
      </c>
      <c r="B142" s="21" t="s">
        <v>374</v>
      </c>
      <c r="C142" s="21" t="s">
        <v>1290</v>
      </c>
      <c r="D142" s="21" t="s">
        <v>1243</v>
      </c>
      <c r="E142" s="33" t="n">
        <v>45171</v>
      </c>
      <c r="F142" s="21" t="s">
        <v>1185</v>
      </c>
      <c r="G142" s="32" t="n">
        <v>10.3</v>
      </c>
      <c r="H142" s="21" t="s">
        <v>113</v>
      </c>
      <c r="I142" s="33" t="n">
        <v>45226</v>
      </c>
      <c r="J142" s="21" t="str">
        <f aca="false">INDEX(Students!$C$2:$C$601,MATCH(B142,Students!$A$2:$A$601,0))</f>
        <v>Batch 2024</v>
      </c>
      <c r="K142" s="21" t="str">
        <f aca="false">INDEX(Students!$D$2:$D$601,MATCH(B142,Students!$A$2:$A$601,0))</f>
        <v>Data Science &amp; ML</v>
      </c>
      <c r="L142" s="21" t="str">
        <f aca="false">INDEX(Companies!$C$2:$C$31,MATCH(C142,Companies!$A$2:$A$31,0))</f>
        <v>Fintech</v>
      </c>
      <c r="M142" s="21" t="str">
        <f aca="false">INDEX(Companies!$D$2:$D$31,MATCH(C142,Companies!$A$2:$A$31,0))</f>
        <v>Tier 2</v>
      </c>
      <c r="N142" s="34" t="n">
        <f aca="false">MATCH(F142,Assumptions!$K$4:$K$8,0)</f>
        <v>5</v>
      </c>
      <c r="O142" s="21" t="str">
        <f aca="false">IF(H142="Yes",MONTH(I142),"")</f>
        <v/>
      </c>
      <c r="P142" s="21" t="str">
        <f aca="false">IF(H142="Yes",B142,"")</f>
        <v/>
      </c>
    </row>
    <row r="143" customFormat="false" ht="15" hidden="false" customHeight="false" outlineLevel="0" collapsed="false">
      <c r="A143" s="21" t="s">
        <v>1358</v>
      </c>
      <c r="B143" s="21" t="s">
        <v>368</v>
      </c>
      <c r="C143" s="21" t="s">
        <v>1309</v>
      </c>
      <c r="D143" s="21" t="s">
        <v>1209</v>
      </c>
      <c r="E143" s="33" t="n">
        <v>45172</v>
      </c>
      <c r="F143" s="21" t="s">
        <v>1175</v>
      </c>
      <c r="G143" s="32"/>
      <c r="H143" s="21"/>
      <c r="I143" s="33"/>
      <c r="J143" s="21" t="str">
        <f aca="false">INDEX(Students!$C$2:$C$601,MATCH(B143,Students!$A$2:$A$601,0))</f>
        <v>Batch 2024</v>
      </c>
      <c r="K143" s="21" t="str">
        <f aca="false">INDEX(Students!$D$2:$D$601,MATCH(B143,Students!$A$2:$A$601,0))</f>
        <v>Data Analytics</v>
      </c>
      <c r="L143" s="21" t="str">
        <f aca="false">INDEX(Companies!$C$2:$C$31,MATCH(C143,Companies!$A$2:$A$31,0))</f>
        <v>EdTech</v>
      </c>
      <c r="M143" s="21" t="str">
        <f aca="false">INDEX(Companies!$D$2:$D$31,MATCH(C143,Companies!$A$2:$A$31,0))</f>
        <v>Tier 2</v>
      </c>
      <c r="N143" s="34" t="n">
        <f aca="false">MATCH(F143,Assumptions!$K$4:$K$8,0)</f>
        <v>1</v>
      </c>
      <c r="O143" s="21" t="str">
        <f aca="false">IF(H143="Yes",MONTH(I143),"")</f>
        <v/>
      </c>
      <c r="P143" s="21" t="str">
        <f aca="false">IF(H143="Yes",B143,"")</f>
        <v/>
      </c>
    </row>
    <row r="144" customFormat="false" ht="15" hidden="false" customHeight="false" outlineLevel="0" collapsed="false">
      <c r="A144" s="21" t="s">
        <v>1359</v>
      </c>
      <c r="B144" s="21" t="s">
        <v>299</v>
      </c>
      <c r="C144" s="21" t="s">
        <v>1230</v>
      </c>
      <c r="D144" s="21" t="s">
        <v>1209</v>
      </c>
      <c r="E144" s="33" t="n">
        <v>45172</v>
      </c>
      <c r="F144" s="21" t="s">
        <v>1178</v>
      </c>
      <c r="G144" s="32"/>
      <c r="H144" s="21"/>
      <c r="I144" s="33"/>
      <c r="J144" s="21" t="str">
        <f aca="false">INDEX(Students!$C$2:$C$601,MATCH(B144,Students!$A$2:$A$601,0))</f>
        <v>Batch 2024</v>
      </c>
      <c r="K144" s="21" t="str">
        <f aca="false">INDEX(Students!$D$2:$D$601,MATCH(B144,Students!$A$2:$A$601,0))</f>
        <v>Data Analytics</v>
      </c>
      <c r="L144" s="21" t="str">
        <f aca="false">INDEX(Companies!$C$2:$C$31,MATCH(C144,Companies!$A$2:$A$31,0))</f>
        <v>IT Services</v>
      </c>
      <c r="M144" s="21" t="str">
        <f aca="false">INDEX(Companies!$D$2:$D$31,MATCH(C144,Companies!$A$2:$A$31,0))</f>
        <v>Tier 3</v>
      </c>
      <c r="N144" s="34" t="n">
        <f aca="false">MATCH(F144,Assumptions!$K$4:$K$8,0)</f>
        <v>2</v>
      </c>
      <c r="O144" s="21" t="str">
        <f aca="false">IF(H144="Yes",MONTH(I144),"")</f>
        <v/>
      </c>
      <c r="P144" s="21" t="str">
        <f aca="false">IF(H144="Yes",B144,"")</f>
        <v/>
      </c>
    </row>
    <row r="145" customFormat="false" ht="15" hidden="false" customHeight="false" outlineLevel="0" collapsed="false">
      <c r="A145" s="21" t="s">
        <v>1360</v>
      </c>
      <c r="B145" s="21" t="s">
        <v>434</v>
      </c>
      <c r="C145" s="21" t="s">
        <v>1203</v>
      </c>
      <c r="D145" s="21" t="s">
        <v>1174</v>
      </c>
      <c r="E145" s="33" t="n">
        <v>45172</v>
      </c>
      <c r="F145" s="21" t="s">
        <v>1175</v>
      </c>
      <c r="G145" s="32"/>
      <c r="H145" s="21"/>
      <c r="I145" s="33"/>
      <c r="J145" s="21" t="str">
        <f aca="false">INDEX(Students!$C$2:$C$601,MATCH(B145,Students!$A$2:$A$601,0))</f>
        <v>Batch 2024</v>
      </c>
      <c r="K145" s="21" t="str">
        <f aca="false">INDEX(Students!$D$2:$D$601,MATCH(B145,Students!$A$2:$A$601,0))</f>
        <v>Full Stack Development</v>
      </c>
      <c r="L145" s="21" t="str">
        <f aca="false">INDEX(Companies!$C$2:$C$31,MATCH(C145,Companies!$A$2:$A$31,0))</f>
        <v>Healthtech</v>
      </c>
      <c r="M145" s="21" t="str">
        <f aca="false">INDEX(Companies!$D$2:$D$31,MATCH(C145,Companies!$A$2:$A$31,0))</f>
        <v>Tier 2</v>
      </c>
      <c r="N145" s="34" t="n">
        <f aca="false">MATCH(F145,Assumptions!$K$4:$K$8,0)</f>
        <v>1</v>
      </c>
      <c r="O145" s="21" t="str">
        <f aca="false">IF(H145="Yes",MONTH(I145),"")</f>
        <v/>
      </c>
      <c r="P145" s="21" t="str">
        <f aca="false">IF(H145="Yes",B145,"")</f>
        <v/>
      </c>
    </row>
    <row r="146" customFormat="false" ht="15" hidden="false" customHeight="false" outlineLevel="0" collapsed="false">
      <c r="A146" s="21" t="s">
        <v>1361</v>
      </c>
      <c r="B146" s="21" t="s">
        <v>438</v>
      </c>
      <c r="C146" s="21" t="s">
        <v>1205</v>
      </c>
      <c r="D146" s="21" t="s">
        <v>1226</v>
      </c>
      <c r="E146" s="33" t="n">
        <v>45172</v>
      </c>
      <c r="F146" s="21" t="s">
        <v>1178</v>
      </c>
      <c r="G146" s="32"/>
      <c r="H146" s="21"/>
      <c r="I146" s="33"/>
      <c r="J146" s="21" t="str">
        <f aca="false">INDEX(Students!$C$2:$C$601,MATCH(B146,Students!$A$2:$A$601,0))</f>
        <v>Batch 2024</v>
      </c>
      <c r="K146" s="21" t="str">
        <f aca="false">INDEX(Students!$D$2:$D$601,MATCH(B146,Students!$A$2:$A$601,0))</f>
        <v>Cybersecurity</v>
      </c>
      <c r="L146" s="21" t="str">
        <f aca="false">INDEX(Companies!$C$2:$C$31,MATCH(C146,Companies!$A$2:$A$31,0))</f>
        <v>Healthtech</v>
      </c>
      <c r="M146" s="21" t="str">
        <f aca="false">INDEX(Companies!$D$2:$D$31,MATCH(C146,Companies!$A$2:$A$31,0))</f>
        <v>Tier 3</v>
      </c>
      <c r="N146" s="34" t="n">
        <f aca="false">MATCH(F146,Assumptions!$K$4:$K$8,0)</f>
        <v>2</v>
      </c>
      <c r="O146" s="21" t="str">
        <f aca="false">IF(H146="Yes",MONTH(I146),"")</f>
        <v/>
      </c>
      <c r="P146" s="21" t="str">
        <f aca="false">IF(H146="Yes",B146,"")</f>
        <v/>
      </c>
    </row>
    <row r="147" customFormat="false" ht="15" hidden="false" customHeight="false" outlineLevel="0" collapsed="false">
      <c r="A147" s="21" t="s">
        <v>1362</v>
      </c>
      <c r="B147" s="21" t="s">
        <v>327</v>
      </c>
      <c r="C147" s="21" t="s">
        <v>1173</v>
      </c>
      <c r="D147" s="21" t="s">
        <v>1191</v>
      </c>
      <c r="E147" s="33" t="n">
        <v>45172</v>
      </c>
      <c r="F147" s="21" t="s">
        <v>1178</v>
      </c>
      <c r="G147" s="32"/>
      <c r="H147" s="21"/>
      <c r="I147" s="33"/>
      <c r="J147" s="21" t="str">
        <f aca="false">INDEX(Students!$C$2:$C$601,MATCH(B147,Students!$A$2:$A$601,0))</f>
        <v>Batch 2024</v>
      </c>
      <c r="K147" s="21" t="str">
        <f aca="false">INDEX(Students!$D$2:$D$601,MATCH(B147,Students!$A$2:$A$601,0))</f>
        <v>DSA with Java</v>
      </c>
      <c r="L147" s="21" t="str">
        <f aca="false">INDEX(Companies!$C$2:$C$31,MATCH(C147,Companies!$A$2:$A$31,0))</f>
        <v>Cybersecurity</v>
      </c>
      <c r="M147" s="21" t="str">
        <f aca="false">INDEX(Companies!$D$2:$D$31,MATCH(C147,Companies!$A$2:$A$31,0))</f>
        <v>Tier 1</v>
      </c>
      <c r="N147" s="34" t="n">
        <f aca="false">MATCH(F147,Assumptions!$K$4:$K$8,0)</f>
        <v>2</v>
      </c>
      <c r="O147" s="21" t="str">
        <f aca="false">IF(H147="Yes",MONTH(I147),"")</f>
        <v/>
      </c>
      <c r="P147" s="21" t="str">
        <f aca="false">IF(H147="Yes",B147,"")</f>
        <v/>
      </c>
    </row>
    <row r="148" customFormat="false" ht="15" hidden="false" customHeight="false" outlineLevel="0" collapsed="false">
      <c r="A148" s="21" t="s">
        <v>1363</v>
      </c>
      <c r="B148" s="21" t="s">
        <v>402</v>
      </c>
      <c r="C148" s="21" t="s">
        <v>1239</v>
      </c>
      <c r="D148" s="21" t="s">
        <v>1181</v>
      </c>
      <c r="E148" s="33" t="n">
        <v>45172</v>
      </c>
      <c r="F148" s="21" t="s">
        <v>1178</v>
      </c>
      <c r="G148" s="32"/>
      <c r="H148" s="21"/>
      <c r="I148" s="33"/>
      <c r="J148" s="21" t="str">
        <f aca="false">INDEX(Students!$C$2:$C$601,MATCH(B148,Students!$A$2:$A$601,0))</f>
        <v>Batch 2024</v>
      </c>
      <c r="K148" s="21" t="str">
        <f aca="false">INDEX(Students!$D$2:$D$601,MATCH(B148,Students!$A$2:$A$601,0))</f>
        <v>Full Stack Development</v>
      </c>
      <c r="L148" s="21" t="str">
        <f aca="false">INDEX(Companies!$C$2:$C$31,MATCH(C148,Companies!$A$2:$A$31,0))</f>
        <v>E-commerce</v>
      </c>
      <c r="M148" s="21" t="str">
        <f aca="false">INDEX(Companies!$D$2:$D$31,MATCH(C148,Companies!$A$2:$A$31,0))</f>
        <v>Tier 3</v>
      </c>
      <c r="N148" s="34" t="n">
        <f aca="false">MATCH(F148,Assumptions!$K$4:$K$8,0)</f>
        <v>2</v>
      </c>
      <c r="O148" s="21" t="str">
        <f aca="false">IF(H148="Yes",MONTH(I148),"")</f>
        <v/>
      </c>
      <c r="P148" s="21" t="str">
        <f aca="false">IF(H148="Yes",B148,"")</f>
        <v/>
      </c>
    </row>
    <row r="149" customFormat="false" ht="15" hidden="false" customHeight="false" outlineLevel="0" collapsed="false">
      <c r="A149" s="21" t="s">
        <v>1364</v>
      </c>
      <c r="B149" s="21" t="s">
        <v>441</v>
      </c>
      <c r="C149" s="21" t="s">
        <v>1222</v>
      </c>
      <c r="D149" s="21" t="s">
        <v>1194</v>
      </c>
      <c r="E149" s="33" t="n">
        <v>45172</v>
      </c>
      <c r="F149" s="21" t="s">
        <v>1185</v>
      </c>
      <c r="G149" s="32" t="n">
        <v>15.5</v>
      </c>
      <c r="H149" s="21" t="s">
        <v>120</v>
      </c>
      <c r="I149" s="33" t="n">
        <v>45220</v>
      </c>
      <c r="J149" s="21" t="str">
        <f aca="false">INDEX(Students!$C$2:$C$601,MATCH(B149,Students!$A$2:$A$601,0))</f>
        <v>Batch 2024</v>
      </c>
      <c r="K149" s="21" t="str">
        <f aca="false">INDEX(Students!$D$2:$D$601,MATCH(B149,Students!$A$2:$A$601,0))</f>
        <v>Data Science &amp; ML</v>
      </c>
      <c r="L149" s="21" t="str">
        <f aca="false">INDEX(Companies!$C$2:$C$31,MATCH(C149,Companies!$A$2:$A$31,0))</f>
        <v>Product</v>
      </c>
      <c r="M149" s="21" t="str">
        <f aca="false">INDEX(Companies!$D$2:$D$31,MATCH(C149,Companies!$A$2:$A$31,0))</f>
        <v>Tier 2</v>
      </c>
      <c r="N149" s="34" t="n">
        <f aca="false">MATCH(F149,Assumptions!$K$4:$K$8,0)</f>
        <v>5</v>
      </c>
      <c r="O149" s="21" t="n">
        <f aca="false">IF(H149="Yes",MONTH(I149),"")</f>
        <v>10</v>
      </c>
      <c r="P149" s="21" t="str">
        <f aca="false">IF(H149="Yes",B149,"")</f>
        <v>S0173</v>
      </c>
    </row>
    <row r="150" customFormat="false" ht="15" hidden="false" customHeight="false" outlineLevel="0" collapsed="false">
      <c r="A150" s="21" t="s">
        <v>1365</v>
      </c>
      <c r="B150" s="21" t="s">
        <v>410</v>
      </c>
      <c r="C150" s="21" t="s">
        <v>1322</v>
      </c>
      <c r="D150" s="21" t="s">
        <v>1181</v>
      </c>
      <c r="E150" s="33" t="n">
        <v>45173</v>
      </c>
      <c r="F150" s="21" t="s">
        <v>1178</v>
      </c>
      <c r="G150" s="32"/>
      <c r="H150" s="21"/>
      <c r="I150" s="33"/>
      <c r="J150" s="21" t="str">
        <f aca="false">INDEX(Students!$C$2:$C$601,MATCH(B150,Students!$A$2:$A$601,0))</f>
        <v>Batch 2024</v>
      </c>
      <c r="K150" s="21" t="str">
        <f aca="false">INDEX(Students!$D$2:$D$601,MATCH(B150,Students!$A$2:$A$601,0))</f>
        <v>Full Stack Development</v>
      </c>
      <c r="L150" s="21" t="str">
        <f aca="false">INDEX(Companies!$C$2:$C$31,MATCH(C150,Companies!$A$2:$A$31,0))</f>
        <v>Healthtech</v>
      </c>
      <c r="M150" s="21" t="str">
        <f aca="false">INDEX(Companies!$D$2:$D$31,MATCH(C150,Companies!$A$2:$A$31,0))</f>
        <v>Tier 2</v>
      </c>
      <c r="N150" s="34" t="n">
        <f aca="false">MATCH(F150,Assumptions!$K$4:$K$8,0)</f>
        <v>2</v>
      </c>
      <c r="O150" s="21" t="str">
        <f aca="false">IF(H150="Yes",MONTH(I150),"")</f>
        <v/>
      </c>
      <c r="P150" s="21" t="str">
        <f aca="false">IF(H150="Yes",B150,"")</f>
        <v/>
      </c>
    </row>
    <row r="151" customFormat="false" ht="15" hidden="false" customHeight="false" outlineLevel="0" collapsed="false">
      <c r="A151" s="21" t="s">
        <v>1366</v>
      </c>
      <c r="B151" s="21" t="s">
        <v>207</v>
      </c>
      <c r="C151" s="21" t="s">
        <v>1222</v>
      </c>
      <c r="D151" s="21" t="s">
        <v>1209</v>
      </c>
      <c r="E151" s="33" t="n">
        <v>45173</v>
      </c>
      <c r="F151" s="21" t="s">
        <v>1197</v>
      </c>
      <c r="G151" s="32"/>
      <c r="H151" s="21"/>
      <c r="I151" s="33"/>
      <c r="J151" s="21" t="str">
        <f aca="false">INDEX(Students!$C$2:$C$601,MATCH(B151,Students!$A$2:$A$601,0))</f>
        <v>Batch 2024</v>
      </c>
      <c r="K151" s="21" t="str">
        <f aca="false">INDEX(Students!$D$2:$D$601,MATCH(B151,Students!$A$2:$A$601,0))</f>
        <v>Data Analytics</v>
      </c>
      <c r="L151" s="21" t="str">
        <f aca="false">INDEX(Companies!$C$2:$C$31,MATCH(C151,Companies!$A$2:$A$31,0))</f>
        <v>Product</v>
      </c>
      <c r="M151" s="21" t="str">
        <f aca="false">INDEX(Companies!$D$2:$D$31,MATCH(C151,Companies!$A$2:$A$31,0))</f>
        <v>Tier 2</v>
      </c>
      <c r="N151" s="34" t="n">
        <f aca="false">MATCH(F151,Assumptions!$K$4:$K$8,0)</f>
        <v>3</v>
      </c>
      <c r="O151" s="21" t="str">
        <f aca="false">IF(H151="Yes",MONTH(I151),"")</f>
        <v/>
      </c>
      <c r="P151" s="21" t="str">
        <f aca="false">IF(H151="Yes",B151,"")</f>
        <v/>
      </c>
    </row>
    <row r="152" customFormat="false" ht="15" hidden="false" customHeight="false" outlineLevel="0" collapsed="false">
      <c r="A152" s="21" t="s">
        <v>1367</v>
      </c>
      <c r="B152" s="21" t="s">
        <v>420</v>
      </c>
      <c r="C152" s="21" t="s">
        <v>1180</v>
      </c>
      <c r="D152" s="21" t="s">
        <v>1243</v>
      </c>
      <c r="E152" s="33" t="n">
        <v>45173</v>
      </c>
      <c r="F152" s="21" t="s">
        <v>1218</v>
      </c>
      <c r="G152" s="32"/>
      <c r="H152" s="21"/>
      <c r="I152" s="33"/>
      <c r="J152" s="21" t="str">
        <f aca="false">INDEX(Students!$C$2:$C$601,MATCH(B152,Students!$A$2:$A$601,0))</f>
        <v>Batch 2024</v>
      </c>
      <c r="K152" s="21" t="str">
        <f aca="false">INDEX(Students!$D$2:$D$601,MATCH(B152,Students!$A$2:$A$601,0))</f>
        <v>Data Science &amp; ML</v>
      </c>
      <c r="L152" s="21" t="str">
        <f aca="false">INDEX(Companies!$C$2:$C$31,MATCH(C152,Companies!$A$2:$A$31,0))</f>
        <v>IT Services</v>
      </c>
      <c r="M152" s="21" t="str">
        <f aca="false">INDEX(Companies!$D$2:$D$31,MATCH(C152,Companies!$A$2:$A$31,0))</f>
        <v>Tier 3</v>
      </c>
      <c r="N152" s="34" t="n">
        <f aca="false">MATCH(F152,Assumptions!$K$4:$K$8,0)</f>
        <v>4</v>
      </c>
      <c r="O152" s="21" t="str">
        <f aca="false">IF(H152="Yes",MONTH(I152),"")</f>
        <v/>
      </c>
      <c r="P152" s="21" t="str">
        <f aca="false">IF(H152="Yes",B152,"")</f>
        <v/>
      </c>
    </row>
    <row r="153" customFormat="false" ht="15" hidden="false" customHeight="false" outlineLevel="0" collapsed="false">
      <c r="A153" s="21" t="s">
        <v>1368</v>
      </c>
      <c r="B153" s="21" t="s">
        <v>151</v>
      </c>
      <c r="C153" s="21" t="s">
        <v>1177</v>
      </c>
      <c r="D153" s="21" t="s">
        <v>1184</v>
      </c>
      <c r="E153" s="33" t="n">
        <v>45174</v>
      </c>
      <c r="F153" s="21" t="s">
        <v>1185</v>
      </c>
      <c r="G153" s="32" t="n">
        <v>6.2</v>
      </c>
      <c r="H153" s="21" t="s">
        <v>120</v>
      </c>
      <c r="I153" s="33" t="n">
        <v>45222</v>
      </c>
      <c r="J153" s="21" t="str">
        <f aca="false">INDEX(Students!$C$2:$C$601,MATCH(B153,Students!$A$2:$A$601,0))</f>
        <v>Batch 2024</v>
      </c>
      <c r="K153" s="21" t="str">
        <f aca="false">INDEX(Students!$D$2:$D$601,MATCH(B153,Students!$A$2:$A$601,0))</f>
        <v>DSA with Java</v>
      </c>
      <c r="L153" s="21" t="str">
        <f aca="false">INDEX(Companies!$C$2:$C$31,MATCH(C153,Companies!$A$2:$A$31,0))</f>
        <v>IT Services</v>
      </c>
      <c r="M153" s="21" t="str">
        <f aca="false">INDEX(Companies!$D$2:$D$31,MATCH(C153,Companies!$A$2:$A$31,0))</f>
        <v>Tier 3</v>
      </c>
      <c r="N153" s="34" t="n">
        <f aca="false">MATCH(F153,Assumptions!$K$4:$K$8,0)</f>
        <v>5</v>
      </c>
      <c r="O153" s="21" t="n">
        <f aca="false">IF(H153="Yes",MONTH(I153),"")</f>
        <v>10</v>
      </c>
      <c r="P153" s="21" t="str">
        <f aca="false">IF(H153="Yes",B153,"")</f>
        <v>S0020</v>
      </c>
    </row>
    <row r="154" customFormat="false" ht="15" hidden="false" customHeight="false" outlineLevel="0" collapsed="false">
      <c r="A154" s="21" t="s">
        <v>1369</v>
      </c>
      <c r="B154" s="21" t="s">
        <v>118</v>
      </c>
      <c r="C154" s="21" t="s">
        <v>1309</v>
      </c>
      <c r="D154" s="21" t="s">
        <v>1191</v>
      </c>
      <c r="E154" s="33" t="n">
        <v>45174</v>
      </c>
      <c r="F154" s="21" t="s">
        <v>1218</v>
      </c>
      <c r="G154" s="32"/>
      <c r="H154" s="21"/>
      <c r="I154" s="33"/>
      <c r="J154" s="21" t="str">
        <f aca="false">INDEX(Students!$C$2:$C$601,MATCH(B154,Students!$A$2:$A$601,0))</f>
        <v>Batch 2024</v>
      </c>
      <c r="K154" s="21" t="str">
        <f aca="false">INDEX(Students!$D$2:$D$601,MATCH(B154,Students!$A$2:$A$601,0))</f>
        <v>DSA with Java</v>
      </c>
      <c r="L154" s="21" t="str">
        <f aca="false">INDEX(Companies!$C$2:$C$31,MATCH(C154,Companies!$A$2:$A$31,0))</f>
        <v>EdTech</v>
      </c>
      <c r="M154" s="21" t="str">
        <f aca="false">INDEX(Companies!$D$2:$D$31,MATCH(C154,Companies!$A$2:$A$31,0))</f>
        <v>Tier 2</v>
      </c>
      <c r="N154" s="34" t="n">
        <f aca="false">MATCH(F154,Assumptions!$K$4:$K$8,0)</f>
        <v>4</v>
      </c>
      <c r="O154" s="21" t="str">
        <f aca="false">IF(H154="Yes",MONTH(I154),"")</f>
        <v/>
      </c>
      <c r="P154" s="21" t="str">
        <f aca="false">IF(H154="Yes",B154,"")</f>
        <v/>
      </c>
    </row>
    <row r="155" customFormat="false" ht="15" hidden="false" customHeight="false" outlineLevel="0" collapsed="false">
      <c r="A155" s="21" t="s">
        <v>1370</v>
      </c>
      <c r="B155" s="21" t="s">
        <v>347</v>
      </c>
      <c r="C155" s="21" t="s">
        <v>1177</v>
      </c>
      <c r="D155" s="21" t="s">
        <v>1188</v>
      </c>
      <c r="E155" s="33" t="n">
        <v>45174</v>
      </c>
      <c r="F155" s="21" t="s">
        <v>1197</v>
      </c>
      <c r="G155" s="32"/>
      <c r="H155" s="21"/>
      <c r="I155" s="33"/>
      <c r="J155" s="21" t="str">
        <f aca="false">INDEX(Students!$C$2:$C$601,MATCH(B155,Students!$A$2:$A$601,0))</f>
        <v>Batch 2024</v>
      </c>
      <c r="K155" s="21" t="str">
        <f aca="false">INDEX(Students!$D$2:$D$601,MATCH(B155,Students!$A$2:$A$601,0))</f>
        <v>Data Analytics</v>
      </c>
      <c r="L155" s="21" t="str">
        <f aca="false">INDEX(Companies!$C$2:$C$31,MATCH(C155,Companies!$A$2:$A$31,0))</f>
        <v>IT Services</v>
      </c>
      <c r="M155" s="21" t="str">
        <f aca="false">INDEX(Companies!$D$2:$D$31,MATCH(C155,Companies!$A$2:$A$31,0))</f>
        <v>Tier 3</v>
      </c>
      <c r="N155" s="34" t="n">
        <f aca="false">MATCH(F155,Assumptions!$K$4:$K$8,0)</f>
        <v>3</v>
      </c>
      <c r="O155" s="21" t="str">
        <f aca="false">IF(H155="Yes",MONTH(I155),"")</f>
        <v/>
      </c>
      <c r="P155" s="21" t="str">
        <f aca="false">IF(H155="Yes",B155,"")</f>
        <v/>
      </c>
    </row>
    <row r="156" customFormat="false" ht="15" hidden="false" customHeight="false" outlineLevel="0" collapsed="false">
      <c r="A156" s="21" t="s">
        <v>1371</v>
      </c>
      <c r="B156" s="21" t="s">
        <v>313</v>
      </c>
      <c r="C156" s="21" t="s">
        <v>1225</v>
      </c>
      <c r="D156" s="21" t="s">
        <v>1191</v>
      </c>
      <c r="E156" s="33" t="n">
        <v>45174</v>
      </c>
      <c r="F156" s="21" t="s">
        <v>1175</v>
      </c>
      <c r="G156" s="32"/>
      <c r="H156" s="21"/>
      <c r="I156" s="33"/>
      <c r="J156" s="21" t="str">
        <f aca="false">INDEX(Students!$C$2:$C$601,MATCH(B156,Students!$A$2:$A$601,0))</f>
        <v>Batch 2024</v>
      </c>
      <c r="K156" s="21" t="str">
        <f aca="false">INDEX(Students!$D$2:$D$601,MATCH(B156,Students!$A$2:$A$601,0))</f>
        <v>DSA with Java</v>
      </c>
      <c r="L156" s="21" t="str">
        <f aca="false">INDEX(Companies!$C$2:$C$31,MATCH(C156,Companies!$A$2:$A$31,0))</f>
        <v>EdTech</v>
      </c>
      <c r="M156" s="21" t="str">
        <f aca="false">INDEX(Companies!$D$2:$D$31,MATCH(C156,Companies!$A$2:$A$31,0))</f>
        <v>Tier 2</v>
      </c>
      <c r="N156" s="34" t="n">
        <f aca="false">MATCH(F156,Assumptions!$K$4:$K$8,0)</f>
        <v>1</v>
      </c>
      <c r="O156" s="21" t="str">
        <f aca="false">IF(H156="Yes",MONTH(I156),"")</f>
        <v/>
      </c>
      <c r="P156" s="21" t="str">
        <f aca="false">IF(H156="Yes",B156,"")</f>
        <v/>
      </c>
    </row>
    <row r="157" customFormat="false" ht="15" hidden="false" customHeight="false" outlineLevel="0" collapsed="false">
      <c r="A157" s="21" t="s">
        <v>1372</v>
      </c>
      <c r="B157" s="21" t="s">
        <v>358</v>
      </c>
      <c r="C157" s="21" t="s">
        <v>1214</v>
      </c>
      <c r="D157" s="21" t="s">
        <v>1243</v>
      </c>
      <c r="E157" s="33" t="n">
        <v>45174</v>
      </c>
      <c r="F157" s="21" t="s">
        <v>1178</v>
      </c>
      <c r="G157" s="32"/>
      <c r="H157" s="21"/>
      <c r="I157" s="33"/>
      <c r="J157" s="21" t="str">
        <f aca="false">INDEX(Students!$C$2:$C$601,MATCH(B157,Students!$A$2:$A$601,0))</f>
        <v>Batch 2024</v>
      </c>
      <c r="K157" s="21" t="str">
        <f aca="false">INDEX(Students!$D$2:$D$601,MATCH(B157,Students!$A$2:$A$601,0))</f>
        <v>Data Science &amp; ML</v>
      </c>
      <c r="L157" s="21" t="str">
        <f aca="false">INDEX(Companies!$C$2:$C$31,MATCH(C157,Companies!$A$2:$A$31,0))</f>
        <v>Product</v>
      </c>
      <c r="M157" s="21" t="str">
        <f aca="false">INDEX(Companies!$D$2:$D$31,MATCH(C157,Companies!$A$2:$A$31,0))</f>
        <v>Tier 1</v>
      </c>
      <c r="N157" s="34" t="n">
        <f aca="false">MATCH(F157,Assumptions!$K$4:$K$8,0)</f>
        <v>2</v>
      </c>
      <c r="O157" s="21" t="str">
        <f aca="false">IF(H157="Yes",MONTH(I157),"")</f>
        <v/>
      </c>
      <c r="P157" s="21" t="str">
        <f aca="false">IF(H157="Yes",B157,"")</f>
        <v/>
      </c>
    </row>
    <row r="158" customFormat="false" ht="15" hidden="false" customHeight="false" outlineLevel="0" collapsed="false">
      <c r="A158" s="21" t="s">
        <v>1373</v>
      </c>
      <c r="B158" s="21" t="s">
        <v>317</v>
      </c>
      <c r="C158" s="21" t="s">
        <v>1298</v>
      </c>
      <c r="D158" s="21" t="s">
        <v>1188</v>
      </c>
      <c r="E158" s="33" t="n">
        <v>45174</v>
      </c>
      <c r="F158" s="21" t="s">
        <v>1178</v>
      </c>
      <c r="G158" s="32"/>
      <c r="H158" s="21"/>
      <c r="I158" s="33"/>
      <c r="J158" s="21" t="str">
        <f aca="false">INDEX(Students!$C$2:$C$601,MATCH(B158,Students!$A$2:$A$601,0))</f>
        <v>Batch 2024</v>
      </c>
      <c r="K158" s="21" t="str">
        <f aca="false">INDEX(Students!$D$2:$D$601,MATCH(B158,Students!$A$2:$A$601,0))</f>
        <v>Data Analytics</v>
      </c>
      <c r="L158" s="21" t="str">
        <f aca="false">INDEX(Companies!$C$2:$C$31,MATCH(C158,Companies!$A$2:$A$31,0))</f>
        <v>Fintech</v>
      </c>
      <c r="M158" s="21" t="str">
        <f aca="false">INDEX(Companies!$D$2:$D$31,MATCH(C158,Companies!$A$2:$A$31,0))</f>
        <v>Tier 2</v>
      </c>
      <c r="N158" s="34" t="n">
        <f aca="false">MATCH(F158,Assumptions!$K$4:$K$8,0)</f>
        <v>2</v>
      </c>
      <c r="O158" s="21" t="str">
        <f aca="false">IF(H158="Yes",MONTH(I158),"")</f>
        <v/>
      </c>
      <c r="P158" s="21" t="str">
        <f aca="false">IF(H158="Yes",B158,"")</f>
        <v/>
      </c>
    </row>
    <row r="159" customFormat="false" ht="15" hidden="false" customHeight="false" outlineLevel="0" collapsed="false">
      <c r="A159" s="21" t="s">
        <v>1374</v>
      </c>
      <c r="B159" s="21" t="s">
        <v>414</v>
      </c>
      <c r="C159" s="21" t="s">
        <v>1290</v>
      </c>
      <c r="D159" s="21" t="s">
        <v>1181</v>
      </c>
      <c r="E159" s="33" t="n">
        <v>45175</v>
      </c>
      <c r="F159" s="21" t="s">
        <v>1197</v>
      </c>
      <c r="G159" s="32"/>
      <c r="H159" s="21"/>
      <c r="I159" s="33"/>
      <c r="J159" s="21" t="str">
        <f aca="false">INDEX(Students!$C$2:$C$601,MATCH(B159,Students!$A$2:$A$601,0))</f>
        <v>Batch 2024</v>
      </c>
      <c r="K159" s="21" t="str">
        <f aca="false">INDEX(Students!$D$2:$D$601,MATCH(B159,Students!$A$2:$A$601,0))</f>
        <v>Full Stack Development</v>
      </c>
      <c r="L159" s="21" t="str">
        <f aca="false">INDEX(Companies!$C$2:$C$31,MATCH(C159,Companies!$A$2:$A$31,0))</f>
        <v>Fintech</v>
      </c>
      <c r="M159" s="21" t="str">
        <f aca="false">INDEX(Companies!$D$2:$D$31,MATCH(C159,Companies!$A$2:$A$31,0))</f>
        <v>Tier 2</v>
      </c>
      <c r="N159" s="34" t="n">
        <f aca="false">MATCH(F159,Assumptions!$K$4:$K$8,0)</f>
        <v>3</v>
      </c>
      <c r="O159" s="21" t="str">
        <f aca="false">IF(H159="Yes",MONTH(I159),"")</f>
        <v/>
      </c>
      <c r="P159" s="21" t="str">
        <f aca="false">IF(H159="Yes",B159,"")</f>
        <v/>
      </c>
    </row>
    <row r="160" customFormat="false" ht="15" hidden="false" customHeight="false" outlineLevel="0" collapsed="false">
      <c r="A160" s="21" t="s">
        <v>1375</v>
      </c>
      <c r="B160" s="21" t="s">
        <v>315</v>
      </c>
      <c r="C160" s="21" t="s">
        <v>1225</v>
      </c>
      <c r="D160" s="21" t="s">
        <v>1181</v>
      </c>
      <c r="E160" s="33" t="n">
        <v>45175</v>
      </c>
      <c r="F160" s="21" t="s">
        <v>1185</v>
      </c>
      <c r="G160" s="32" t="n">
        <v>12.5</v>
      </c>
      <c r="H160" s="21" t="s">
        <v>113</v>
      </c>
      <c r="I160" s="33" t="n">
        <v>45204</v>
      </c>
      <c r="J160" s="21" t="str">
        <f aca="false">INDEX(Students!$C$2:$C$601,MATCH(B160,Students!$A$2:$A$601,0))</f>
        <v>Batch 2024</v>
      </c>
      <c r="K160" s="21" t="str">
        <f aca="false">INDEX(Students!$D$2:$D$601,MATCH(B160,Students!$A$2:$A$601,0))</f>
        <v>Full Stack Development</v>
      </c>
      <c r="L160" s="21" t="str">
        <f aca="false">INDEX(Companies!$C$2:$C$31,MATCH(C160,Companies!$A$2:$A$31,0))</f>
        <v>EdTech</v>
      </c>
      <c r="M160" s="21" t="str">
        <f aca="false">INDEX(Companies!$D$2:$D$31,MATCH(C160,Companies!$A$2:$A$31,0))</f>
        <v>Tier 2</v>
      </c>
      <c r="N160" s="34" t="n">
        <f aca="false">MATCH(F160,Assumptions!$K$4:$K$8,0)</f>
        <v>5</v>
      </c>
      <c r="O160" s="21" t="str">
        <f aca="false">IF(H160="Yes",MONTH(I160),"")</f>
        <v/>
      </c>
      <c r="P160" s="21" t="str">
        <f aca="false">IF(H160="Yes",B160,"")</f>
        <v/>
      </c>
    </row>
    <row r="161" customFormat="false" ht="15" hidden="false" customHeight="false" outlineLevel="0" collapsed="false">
      <c r="A161" s="21" t="s">
        <v>1376</v>
      </c>
      <c r="B161" s="21" t="s">
        <v>382</v>
      </c>
      <c r="C161" s="21" t="s">
        <v>1275</v>
      </c>
      <c r="D161" s="21" t="s">
        <v>1240</v>
      </c>
      <c r="E161" s="33" t="n">
        <v>45175</v>
      </c>
      <c r="F161" s="21" t="s">
        <v>1197</v>
      </c>
      <c r="G161" s="32"/>
      <c r="H161" s="21"/>
      <c r="I161" s="33"/>
      <c r="J161" s="21" t="str">
        <f aca="false">INDEX(Students!$C$2:$C$601,MATCH(B161,Students!$A$2:$A$601,0))</f>
        <v>Batch 2024</v>
      </c>
      <c r="K161" s="21" t="str">
        <f aca="false">INDEX(Students!$D$2:$D$601,MATCH(B161,Students!$A$2:$A$601,0))</f>
        <v>Cybersecurity</v>
      </c>
      <c r="L161" s="21" t="str">
        <f aca="false">INDEX(Companies!$C$2:$C$31,MATCH(C161,Companies!$A$2:$A$31,0))</f>
        <v>Cybersecurity</v>
      </c>
      <c r="M161" s="21" t="str">
        <f aca="false">INDEX(Companies!$D$2:$D$31,MATCH(C161,Companies!$A$2:$A$31,0))</f>
        <v>Tier 2</v>
      </c>
      <c r="N161" s="34" t="n">
        <f aca="false">MATCH(F161,Assumptions!$K$4:$K$8,0)</f>
        <v>3</v>
      </c>
      <c r="O161" s="21" t="str">
        <f aca="false">IF(H161="Yes",MONTH(I161),"")</f>
        <v/>
      </c>
      <c r="P161" s="21" t="str">
        <f aca="false">IF(H161="Yes",B161,"")</f>
        <v/>
      </c>
    </row>
    <row r="162" customFormat="false" ht="15" hidden="false" customHeight="false" outlineLevel="0" collapsed="false">
      <c r="A162" s="21" t="s">
        <v>1377</v>
      </c>
      <c r="B162" s="21" t="s">
        <v>356</v>
      </c>
      <c r="C162" s="21" t="s">
        <v>1255</v>
      </c>
      <c r="D162" s="21" t="s">
        <v>1226</v>
      </c>
      <c r="E162" s="33" t="n">
        <v>45175</v>
      </c>
      <c r="F162" s="21" t="s">
        <v>1175</v>
      </c>
      <c r="G162" s="32"/>
      <c r="H162" s="21"/>
      <c r="I162" s="33"/>
      <c r="J162" s="21" t="str">
        <f aca="false">INDEX(Students!$C$2:$C$601,MATCH(B162,Students!$A$2:$A$601,0))</f>
        <v>Batch 2024</v>
      </c>
      <c r="K162" s="21" t="str">
        <f aca="false">INDEX(Students!$D$2:$D$601,MATCH(B162,Students!$A$2:$A$601,0))</f>
        <v>Cybersecurity</v>
      </c>
      <c r="L162" s="21" t="str">
        <f aca="false">INDEX(Companies!$C$2:$C$31,MATCH(C162,Companies!$A$2:$A$31,0))</f>
        <v>IT Services</v>
      </c>
      <c r="M162" s="21" t="str">
        <f aca="false">INDEX(Companies!$D$2:$D$31,MATCH(C162,Companies!$A$2:$A$31,0))</f>
        <v>Tier 3</v>
      </c>
      <c r="N162" s="34" t="n">
        <f aca="false">MATCH(F162,Assumptions!$K$4:$K$8,0)</f>
        <v>1</v>
      </c>
      <c r="O162" s="21" t="str">
        <f aca="false">IF(H162="Yes",MONTH(I162),"")</f>
        <v/>
      </c>
      <c r="P162" s="21" t="str">
        <f aca="false">IF(H162="Yes",B162,"")</f>
        <v/>
      </c>
    </row>
    <row r="163" customFormat="false" ht="15" hidden="false" customHeight="false" outlineLevel="0" collapsed="false">
      <c r="A163" s="21" t="s">
        <v>1378</v>
      </c>
      <c r="B163" s="21" t="s">
        <v>215</v>
      </c>
      <c r="C163" s="21" t="s">
        <v>1187</v>
      </c>
      <c r="D163" s="21" t="s">
        <v>1194</v>
      </c>
      <c r="E163" s="33" t="n">
        <v>45175</v>
      </c>
      <c r="F163" s="21" t="s">
        <v>1175</v>
      </c>
      <c r="G163" s="32"/>
      <c r="H163" s="21"/>
      <c r="I163" s="33"/>
      <c r="J163" s="21" t="str">
        <f aca="false">INDEX(Students!$C$2:$C$601,MATCH(B163,Students!$A$2:$A$601,0))</f>
        <v>Batch 2024</v>
      </c>
      <c r="K163" s="21" t="str">
        <f aca="false">INDEX(Students!$D$2:$D$601,MATCH(B163,Students!$A$2:$A$601,0))</f>
        <v>Data Science &amp; ML</v>
      </c>
      <c r="L163" s="21" t="str">
        <f aca="false">INDEX(Companies!$C$2:$C$31,MATCH(C163,Companies!$A$2:$A$31,0))</f>
        <v>Product</v>
      </c>
      <c r="M163" s="21" t="str">
        <f aca="false">INDEX(Companies!$D$2:$D$31,MATCH(C163,Companies!$A$2:$A$31,0))</f>
        <v>Tier 1</v>
      </c>
      <c r="N163" s="34" t="n">
        <f aca="false">MATCH(F163,Assumptions!$K$4:$K$8,0)</f>
        <v>1</v>
      </c>
      <c r="O163" s="21" t="str">
        <f aca="false">IF(H163="Yes",MONTH(I163),"")</f>
        <v/>
      </c>
      <c r="P163" s="21" t="str">
        <f aca="false">IF(H163="Yes",B163,"")</f>
        <v/>
      </c>
    </row>
    <row r="164" customFormat="false" ht="15" hidden="false" customHeight="false" outlineLevel="0" collapsed="false">
      <c r="A164" s="21" t="s">
        <v>1379</v>
      </c>
      <c r="B164" s="21" t="s">
        <v>185</v>
      </c>
      <c r="C164" s="21" t="s">
        <v>1266</v>
      </c>
      <c r="D164" s="21" t="s">
        <v>1209</v>
      </c>
      <c r="E164" s="33" t="n">
        <v>45176</v>
      </c>
      <c r="F164" s="21" t="s">
        <v>1178</v>
      </c>
      <c r="G164" s="32"/>
      <c r="H164" s="21"/>
      <c r="I164" s="33"/>
      <c r="J164" s="21" t="str">
        <f aca="false">INDEX(Students!$C$2:$C$601,MATCH(B164,Students!$A$2:$A$601,0))</f>
        <v>Batch 2024</v>
      </c>
      <c r="K164" s="21" t="str">
        <f aca="false">INDEX(Students!$D$2:$D$601,MATCH(B164,Students!$A$2:$A$601,0))</f>
        <v>Data Analytics</v>
      </c>
      <c r="L164" s="21" t="str">
        <f aca="false">INDEX(Companies!$C$2:$C$31,MATCH(C164,Companies!$A$2:$A$31,0))</f>
        <v>IT Services</v>
      </c>
      <c r="M164" s="21" t="str">
        <f aca="false">INDEX(Companies!$D$2:$D$31,MATCH(C164,Companies!$A$2:$A$31,0))</f>
        <v>Tier 3</v>
      </c>
      <c r="N164" s="34" t="n">
        <f aca="false">MATCH(F164,Assumptions!$K$4:$K$8,0)</f>
        <v>2</v>
      </c>
      <c r="O164" s="21" t="str">
        <f aca="false">IF(H164="Yes",MONTH(I164),"")</f>
        <v/>
      </c>
      <c r="P164" s="21" t="str">
        <f aca="false">IF(H164="Yes",B164,"")</f>
        <v/>
      </c>
    </row>
    <row r="165" customFormat="false" ht="15" hidden="false" customHeight="false" outlineLevel="0" collapsed="false">
      <c r="A165" s="21" t="s">
        <v>1380</v>
      </c>
      <c r="B165" s="21" t="s">
        <v>259</v>
      </c>
      <c r="C165" s="21" t="s">
        <v>1255</v>
      </c>
      <c r="D165" s="21" t="s">
        <v>1174</v>
      </c>
      <c r="E165" s="33" t="n">
        <v>45176</v>
      </c>
      <c r="F165" s="21" t="s">
        <v>1185</v>
      </c>
      <c r="G165" s="32" t="n">
        <v>5</v>
      </c>
      <c r="H165" s="21" t="s">
        <v>113</v>
      </c>
      <c r="I165" s="33" t="n">
        <v>45203</v>
      </c>
      <c r="J165" s="21" t="str">
        <f aca="false">INDEX(Students!$C$2:$C$601,MATCH(B165,Students!$A$2:$A$601,0))</f>
        <v>Batch 2024</v>
      </c>
      <c r="K165" s="21" t="str">
        <f aca="false">INDEX(Students!$D$2:$D$601,MATCH(B165,Students!$A$2:$A$601,0))</f>
        <v>Full Stack Development</v>
      </c>
      <c r="L165" s="21" t="str">
        <f aca="false">INDEX(Companies!$C$2:$C$31,MATCH(C165,Companies!$A$2:$A$31,0))</f>
        <v>IT Services</v>
      </c>
      <c r="M165" s="21" t="str">
        <f aca="false">INDEX(Companies!$D$2:$D$31,MATCH(C165,Companies!$A$2:$A$31,0))</f>
        <v>Tier 3</v>
      </c>
      <c r="N165" s="34" t="n">
        <f aca="false">MATCH(F165,Assumptions!$K$4:$K$8,0)</f>
        <v>5</v>
      </c>
      <c r="O165" s="21" t="str">
        <f aca="false">IF(H165="Yes",MONTH(I165),"")</f>
        <v/>
      </c>
      <c r="P165" s="21" t="str">
        <f aca="false">IF(H165="Yes",B165,"")</f>
        <v/>
      </c>
    </row>
    <row r="166" customFormat="false" ht="15" hidden="false" customHeight="false" outlineLevel="0" collapsed="false">
      <c r="A166" s="21" t="s">
        <v>1381</v>
      </c>
      <c r="B166" s="21" t="s">
        <v>231</v>
      </c>
      <c r="C166" s="21" t="s">
        <v>1216</v>
      </c>
      <c r="D166" s="21" t="s">
        <v>1174</v>
      </c>
      <c r="E166" s="33" t="n">
        <v>45176</v>
      </c>
      <c r="F166" s="21" t="s">
        <v>1218</v>
      </c>
      <c r="G166" s="32"/>
      <c r="H166" s="21"/>
      <c r="I166" s="33"/>
      <c r="J166" s="21" t="str">
        <f aca="false">INDEX(Students!$C$2:$C$601,MATCH(B166,Students!$A$2:$A$601,0))</f>
        <v>Batch 2024</v>
      </c>
      <c r="K166" s="21" t="str">
        <f aca="false">INDEX(Students!$D$2:$D$601,MATCH(B166,Students!$A$2:$A$601,0))</f>
        <v>Full Stack Development</v>
      </c>
      <c r="L166" s="21" t="str">
        <f aca="false">INDEX(Companies!$C$2:$C$31,MATCH(C166,Companies!$A$2:$A$31,0))</f>
        <v>IT Services</v>
      </c>
      <c r="M166" s="21" t="str">
        <f aca="false">INDEX(Companies!$D$2:$D$31,MATCH(C166,Companies!$A$2:$A$31,0))</f>
        <v>Tier 3</v>
      </c>
      <c r="N166" s="34" t="n">
        <f aca="false">MATCH(F166,Assumptions!$K$4:$K$8,0)</f>
        <v>4</v>
      </c>
      <c r="O166" s="21" t="str">
        <f aca="false">IF(H166="Yes",MONTH(I166),"")</f>
        <v/>
      </c>
      <c r="P166" s="21" t="str">
        <f aca="false">IF(H166="Yes",B166,"")</f>
        <v/>
      </c>
    </row>
    <row r="167" customFormat="false" ht="15" hidden="false" customHeight="false" outlineLevel="0" collapsed="false">
      <c r="A167" s="21" t="s">
        <v>1382</v>
      </c>
      <c r="B167" s="21" t="s">
        <v>372</v>
      </c>
      <c r="C167" s="21" t="s">
        <v>1177</v>
      </c>
      <c r="D167" s="21" t="s">
        <v>1191</v>
      </c>
      <c r="E167" s="33" t="n">
        <v>45176</v>
      </c>
      <c r="F167" s="21" t="s">
        <v>1218</v>
      </c>
      <c r="G167" s="32"/>
      <c r="H167" s="21"/>
      <c r="I167" s="33"/>
      <c r="J167" s="21" t="str">
        <f aca="false">INDEX(Students!$C$2:$C$601,MATCH(B167,Students!$A$2:$A$601,0))</f>
        <v>Batch 2024</v>
      </c>
      <c r="K167" s="21" t="str">
        <f aca="false">INDEX(Students!$D$2:$D$601,MATCH(B167,Students!$A$2:$A$601,0))</f>
        <v>DSA with Java</v>
      </c>
      <c r="L167" s="21" t="str">
        <f aca="false">INDEX(Companies!$C$2:$C$31,MATCH(C167,Companies!$A$2:$A$31,0))</f>
        <v>IT Services</v>
      </c>
      <c r="M167" s="21" t="str">
        <f aca="false">INDEX(Companies!$D$2:$D$31,MATCH(C167,Companies!$A$2:$A$31,0))</f>
        <v>Tier 3</v>
      </c>
      <c r="N167" s="34" t="n">
        <f aca="false">MATCH(F167,Assumptions!$K$4:$K$8,0)</f>
        <v>4</v>
      </c>
      <c r="O167" s="21" t="str">
        <f aca="false">IF(H167="Yes",MONTH(I167),"")</f>
        <v/>
      </c>
      <c r="P167" s="21" t="str">
        <f aca="false">IF(H167="Yes",B167,"")</f>
        <v/>
      </c>
    </row>
    <row r="168" customFormat="false" ht="15" hidden="false" customHeight="false" outlineLevel="0" collapsed="false">
      <c r="A168" s="21" t="s">
        <v>1383</v>
      </c>
      <c r="B168" s="21" t="s">
        <v>167</v>
      </c>
      <c r="C168" s="21" t="s">
        <v>1196</v>
      </c>
      <c r="D168" s="21" t="s">
        <v>1209</v>
      </c>
      <c r="E168" s="33" t="n">
        <v>45176</v>
      </c>
      <c r="F168" s="21" t="s">
        <v>1178</v>
      </c>
      <c r="G168" s="32"/>
      <c r="H168" s="21"/>
      <c r="I168" s="33"/>
      <c r="J168" s="21" t="str">
        <f aca="false">INDEX(Students!$C$2:$C$601,MATCH(B168,Students!$A$2:$A$601,0))</f>
        <v>Batch 2024</v>
      </c>
      <c r="K168" s="21" t="str">
        <f aca="false">INDEX(Students!$D$2:$D$601,MATCH(B168,Students!$A$2:$A$601,0))</f>
        <v>Data Analytics</v>
      </c>
      <c r="L168" s="21" t="str">
        <f aca="false">INDEX(Companies!$C$2:$C$31,MATCH(C168,Companies!$A$2:$A$31,0))</f>
        <v>IT Services</v>
      </c>
      <c r="M168" s="21" t="str">
        <f aca="false">INDEX(Companies!$D$2:$D$31,MATCH(C168,Companies!$A$2:$A$31,0))</f>
        <v>Tier 3</v>
      </c>
      <c r="N168" s="34" t="n">
        <f aca="false">MATCH(F168,Assumptions!$K$4:$K$8,0)</f>
        <v>2</v>
      </c>
      <c r="O168" s="21" t="str">
        <f aca="false">IF(H168="Yes",MONTH(I168),"")</f>
        <v/>
      </c>
      <c r="P168" s="21" t="str">
        <f aca="false">IF(H168="Yes",B168,"")</f>
        <v/>
      </c>
    </row>
    <row r="169" customFormat="false" ht="15" hidden="false" customHeight="false" outlineLevel="0" collapsed="false">
      <c r="A169" s="21" t="s">
        <v>1384</v>
      </c>
      <c r="B169" s="21" t="s">
        <v>301</v>
      </c>
      <c r="C169" s="21" t="s">
        <v>1298</v>
      </c>
      <c r="D169" s="21" t="s">
        <v>1174</v>
      </c>
      <c r="E169" s="33" t="n">
        <v>45177</v>
      </c>
      <c r="F169" s="21" t="s">
        <v>1178</v>
      </c>
      <c r="G169" s="32"/>
      <c r="H169" s="21"/>
      <c r="I169" s="33"/>
      <c r="J169" s="21" t="str">
        <f aca="false">INDEX(Students!$C$2:$C$601,MATCH(B169,Students!$A$2:$A$601,0))</f>
        <v>Batch 2024</v>
      </c>
      <c r="K169" s="21" t="str">
        <f aca="false">INDEX(Students!$D$2:$D$601,MATCH(B169,Students!$A$2:$A$601,0))</f>
        <v>Full Stack Development</v>
      </c>
      <c r="L169" s="21" t="str">
        <f aca="false">INDEX(Companies!$C$2:$C$31,MATCH(C169,Companies!$A$2:$A$31,0))</f>
        <v>Fintech</v>
      </c>
      <c r="M169" s="21" t="str">
        <f aca="false">INDEX(Companies!$D$2:$D$31,MATCH(C169,Companies!$A$2:$A$31,0))</f>
        <v>Tier 2</v>
      </c>
      <c r="N169" s="34" t="n">
        <f aca="false">MATCH(F169,Assumptions!$K$4:$K$8,0)</f>
        <v>2</v>
      </c>
      <c r="O169" s="21" t="str">
        <f aca="false">IF(H169="Yes",MONTH(I169),"")</f>
        <v/>
      </c>
      <c r="P169" s="21" t="str">
        <f aca="false">IF(H169="Yes",B169,"")</f>
        <v/>
      </c>
    </row>
    <row r="170" customFormat="false" ht="15" hidden="false" customHeight="false" outlineLevel="0" collapsed="false">
      <c r="A170" s="21" t="s">
        <v>1385</v>
      </c>
      <c r="B170" s="21" t="s">
        <v>419</v>
      </c>
      <c r="C170" s="21" t="s">
        <v>1234</v>
      </c>
      <c r="D170" s="21" t="s">
        <v>1226</v>
      </c>
      <c r="E170" s="33" t="n">
        <v>45177</v>
      </c>
      <c r="F170" s="21" t="s">
        <v>1185</v>
      </c>
      <c r="G170" s="32" t="n">
        <v>4.3</v>
      </c>
      <c r="H170" s="21" t="s">
        <v>120</v>
      </c>
      <c r="I170" s="33" t="n">
        <v>45213</v>
      </c>
      <c r="J170" s="21" t="str">
        <f aca="false">INDEX(Students!$C$2:$C$601,MATCH(B170,Students!$A$2:$A$601,0))</f>
        <v>Batch 2024</v>
      </c>
      <c r="K170" s="21" t="str">
        <f aca="false">INDEX(Students!$D$2:$D$601,MATCH(B170,Students!$A$2:$A$601,0))</f>
        <v>Cybersecurity</v>
      </c>
      <c r="L170" s="21" t="str">
        <f aca="false">INDEX(Companies!$C$2:$C$31,MATCH(C170,Companies!$A$2:$A$31,0))</f>
        <v>EdTech</v>
      </c>
      <c r="M170" s="21" t="str">
        <f aca="false">INDEX(Companies!$D$2:$D$31,MATCH(C170,Companies!$A$2:$A$31,0))</f>
        <v>Tier 3</v>
      </c>
      <c r="N170" s="34" t="n">
        <f aca="false">MATCH(F170,Assumptions!$K$4:$K$8,0)</f>
        <v>5</v>
      </c>
      <c r="O170" s="21" t="n">
        <f aca="false">IF(H170="Yes",MONTH(I170),"")</f>
        <v>10</v>
      </c>
      <c r="P170" s="21" t="str">
        <f aca="false">IF(H170="Yes",B170,"")</f>
        <v>S0160</v>
      </c>
    </row>
    <row r="171" customFormat="false" ht="15" hidden="false" customHeight="false" outlineLevel="0" collapsed="false">
      <c r="A171" s="21" t="s">
        <v>1386</v>
      </c>
      <c r="B171" s="21" t="s">
        <v>243</v>
      </c>
      <c r="C171" s="21" t="s">
        <v>1322</v>
      </c>
      <c r="D171" s="21" t="s">
        <v>1243</v>
      </c>
      <c r="E171" s="33" t="n">
        <v>45177</v>
      </c>
      <c r="F171" s="21" t="s">
        <v>1175</v>
      </c>
      <c r="G171" s="32"/>
      <c r="H171" s="21"/>
      <c r="I171" s="33"/>
      <c r="J171" s="21" t="str">
        <f aca="false">INDEX(Students!$C$2:$C$601,MATCH(B171,Students!$A$2:$A$601,0))</f>
        <v>Batch 2024</v>
      </c>
      <c r="K171" s="21" t="str">
        <f aca="false">INDEX(Students!$D$2:$D$601,MATCH(B171,Students!$A$2:$A$601,0))</f>
        <v>Data Science &amp; ML</v>
      </c>
      <c r="L171" s="21" t="str">
        <f aca="false">INDEX(Companies!$C$2:$C$31,MATCH(C171,Companies!$A$2:$A$31,0))</f>
        <v>Healthtech</v>
      </c>
      <c r="M171" s="21" t="str">
        <f aca="false">INDEX(Companies!$D$2:$D$31,MATCH(C171,Companies!$A$2:$A$31,0))</f>
        <v>Tier 2</v>
      </c>
      <c r="N171" s="34" t="n">
        <f aca="false">MATCH(F171,Assumptions!$K$4:$K$8,0)</f>
        <v>1</v>
      </c>
      <c r="O171" s="21" t="str">
        <f aca="false">IF(H171="Yes",MONTH(I171),"")</f>
        <v/>
      </c>
      <c r="P171" s="21" t="str">
        <f aca="false">IF(H171="Yes",B171,"")</f>
        <v/>
      </c>
    </row>
    <row r="172" customFormat="false" ht="15" hidden="false" customHeight="false" outlineLevel="0" collapsed="false">
      <c r="A172" s="21" t="s">
        <v>1387</v>
      </c>
      <c r="B172" s="21" t="s">
        <v>123</v>
      </c>
      <c r="C172" s="21" t="s">
        <v>1205</v>
      </c>
      <c r="D172" s="21" t="s">
        <v>1188</v>
      </c>
      <c r="E172" s="33" t="n">
        <v>45177</v>
      </c>
      <c r="F172" s="21" t="s">
        <v>1178</v>
      </c>
      <c r="G172" s="32"/>
      <c r="H172" s="21"/>
      <c r="I172" s="33"/>
      <c r="J172" s="21" t="str">
        <f aca="false">INDEX(Students!$C$2:$C$601,MATCH(B172,Students!$A$2:$A$601,0))</f>
        <v>Batch 2024</v>
      </c>
      <c r="K172" s="21" t="str">
        <f aca="false">INDEX(Students!$D$2:$D$601,MATCH(B172,Students!$A$2:$A$601,0))</f>
        <v>Data Analytics</v>
      </c>
      <c r="L172" s="21" t="str">
        <f aca="false">INDEX(Companies!$C$2:$C$31,MATCH(C172,Companies!$A$2:$A$31,0))</f>
        <v>Healthtech</v>
      </c>
      <c r="M172" s="21" t="str">
        <f aca="false">INDEX(Companies!$D$2:$D$31,MATCH(C172,Companies!$A$2:$A$31,0))</f>
        <v>Tier 3</v>
      </c>
      <c r="N172" s="34" t="n">
        <f aca="false">MATCH(F172,Assumptions!$K$4:$K$8,0)</f>
        <v>2</v>
      </c>
      <c r="O172" s="21" t="str">
        <f aca="false">IF(H172="Yes",MONTH(I172),"")</f>
        <v/>
      </c>
      <c r="P172" s="21" t="str">
        <f aca="false">IF(H172="Yes",B172,"")</f>
        <v/>
      </c>
    </row>
    <row r="173" customFormat="false" ht="15" hidden="false" customHeight="false" outlineLevel="0" collapsed="false">
      <c r="A173" s="21" t="s">
        <v>1388</v>
      </c>
      <c r="B173" s="21" t="s">
        <v>427</v>
      </c>
      <c r="C173" s="21" t="s">
        <v>1222</v>
      </c>
      <c r="D173" s="21" t="s">
        <v>1181</v>
      </c>
      <c r="E173" s="33" t="n">
        <v>45177</v>
      </c>
      <c r="F173" s="21" t="s">
        <v>1178</v>
      </c>
      <c r="G173" s="32"/>
      <c r="H173" s="21"/>
      <c r="I173" s="33"/>
      <c r="J173" s="21" t="str">
        <f aca="false">INDEX(Students!$C$2:$C$601,MATCH(B173,Students!$A$2:$A$601,0))</f>
        <v>Batch 2024</v>
      </c>
      <c r="K173" s="21" t="str">
        <f aca="false">INDEX(Students!$D$2:$D$601,MATCH(B173,Students!$A$2:$A$601,0))</f>
        <v>Full Stack Development</v>
      </c>
      <c r="L173" s="21" t="str">
        <f aca="false">INDEX(Companies!$C$2:$C$31,MATCH(C173,Companies!$A$2:$A$31,0))</f>
        <v>Product</v>
      </c>
      <c r="M173" s="21" t="str">
        <f aca="false">INDEX(Companies!$D$2:$D$31,MATCH(C173,Companies!$A$2:$A$31,0))</f>
        <v>Tier 2</v>
      </c>
      <c r="N173" s="34" t="n">
        <f aca="false">MATCH(F173,Assumptions!$K$4:$K$8,0)</f>
        <v>2</v>
      </c>
      <c r="O173" s="21" t="str">
        <f aca="false">IF(H173="Yes",MONTH(I173),"")</f>
        <v/>
      </c>
      <c r="P173" s="21" t="str">
        <f aca="false">IF(H173="Yes",B173,"")</f>
        <v/>
      </c>
    </row>
    <row r="174" customFormat="false" ht="15" hidden="false" customHeight="false" outlineLevel="0" collapsed="false">
      <c r="A174" s="21" t="s">
        <v>1389</v>
      </c>
      <c r="B174" s="21" t="s">
        <v>425</v>
      </c>
      <c r="C174" s="21" t="s">
        <v>1201</v>
      </c>
      <c r="D174" s="21" t="s">
        <v>1181</v>
      </c>
      <c r="E174" s="33" t="n">
        <v>45178</v>
      </c>
      <c r="F174" s="21" t="s">
        <v>1185</v>
      </c>
      <c r="G174" s="32" t="n">
        <v>5.7</v>
      </c>
      <c r="H174" s="21" t="s">
        <v>120</v>
      </c>
      <c r="I174" s="33" t="n">
        <v>45208</v>
      </c>
      <c r="J174" s="21" t="str">
        <f aca="false">INDEX(Students!$C$2:$C$601,MATCH(B174,Students!$A$2:$A$601,0))</f>
        <v>Batch 2024</v>
      </c>
      <c r="K174" s="21" t="str">
        <f aca="false">INDEX(Students!$D$2:$D$601,MATCH(B174,Students!$A$2:$A$601,0))</f>
        <v>Full Stack Development</v>
      </c>
      <c r="L174" s="21" t="str">
        <f aca="false">INDEX(Companies!$C$2:$C$31,MATCH(C174,Companies!$A$2:$A$31,0))</f>
        <v>IT Services</v>
      </c>
      <c r="M174" s="21" t="str">
        <f aca="false">INDEX(Companies!$D$2:$D$31,MATCH(C174,Companies!$A$2:$A$31,0))</f>
        <v>Tier 3</v>
      </c>
      <c r="N174" s="34" t="n">
        <f aca="false">MATCH(F174,Assumptions!$K$4:$K$8,0)</f>
        <v>5</v>
      </c>
      <c r="O174" s="21" t="n">
        <f aca="false">IF(H174="Yes",MONTH(I174),"")</f>
        <v>10</v>
      </c>
      <c r="P174" s="21" t="str">
        <f aca="false">IF(H174="Yes",B174,"")</f>
        <v>S0164</v>
      </c>
    </row>
    <row r="175" customFormat="false" ht="15" hidden="false" customHeight="false" outlineLevel="0" collapsed="false">
      <c r="A175" s="21" t="s">
        <v>1390</v>
      </c>
      <c r="B175" s="21" t="s">
        <v>209</v>
      </c>
      <c r="C175" s="21" t="s">
        <v>1222</v>
      </c>
      <c r="D175" s="21" t="s">
        <v>1240</v>
      </c>
      <c r="E175" s="33" t="n">
        <v>45179</v>
      </c>
      <c r="F175" s="21" t="s">
        <v>1175</v>
      </c>
      <c r="G175" s="32"/>
      <c r="H175" s="21"/>
      <c r="I175" s="33"/>
      <c r="J175" s="21" t="str">
        <f aca="false">INDEX(Students!$C$2:$C$601,MATCH(B175,Students!$A$2:$A$601,0))</f>
        <v>Batch 2024</v>
      </c>
      <c r="K175" s="21" t="str">
        <f aca="false">INDEX(Students!$D$2:$D$601,MATCH(B175,Students!$A$2:$A$601,0))</f>
        <v>Cybersecurity</v>
      </c>
      <c r="L175" s="21" t="str">
        <f aca="false">INDEX(Companies!$C$2:$C$31,MATCH(C175,Companies!$A$2:$A$31,0))</f>
        <v>Product</v>
      </c>
      <c r="M175" s="21" t="str">
        <f aca="false">INDEX(Companies!$D$2:$D$31,MATCH(C175,Companies!$A$2:$A$31,0))</f>
        <v>Tier 2</v>
      </c>
      <c r="N175" s="34" t="n">
        <f aca="false">MATCH(F175,Assumptions!$K$4:$K$8,0)</f>
        <v>1</v>
      </c>
      <c r="O175" s="21" t="str">
        <f aca="false">IF(H175="Yes",MONTH(I175),"")</f>
        <v/>
      </c>
      <c r="P175" s="21" t="str">
        <f aca="false">IF(H175="Yes",B175,"")</f>
        <v/>
      </c>
    </row>
    <row r="176" customFormat="false" ht="15" hidden="false" customHeight="false" outlineLevel="0" collapsed="false">
      <c r="A176" s="21" t="s">
        <v>1391</v>
      </c>
      <c r="B176" s="21" t="s">
        <v>241</v>
      </c>
      <c r="C176" s="21" t="s">
        <v>1266</v>
      </c>
      <c r="D176" s="21" t="s">
        <v>1243</v>
      </c>
      <c r="E176" s="33" t="n">
        <v>45179</v>
      </c>
      <c r="F176" s="21" t="s">
        <v>1185</v>
      </c>
      <c r="G176" s="32" t="n">
        <v>6.3</v>
      </c>
      <c r="H176" s="21" t="s">
        <v>113</v>
      </c>
      <c r="I176" s="33" t="n">
        <v>45218</v>
      </c>
      <c r="J176" s="21" t="str">
        <f aca="false">INDEX(Students!$C$2:$C$601,MATCH(B176,Students!$A$2:$A$601,0))</f>
        <v>Batch 2024</v>
      </c>
      <c r="K176" s="21" t="str">
        <f aca="false">INDEX(Students!$D$2:$D$601,MATCH(B176,Students!$A$2:$A$601,0))</f>
        <v>Data Science &amp; ML</v>
      </c>
      <c r="L176" s="21" t="str">
        <f aca="false">INDEX(Companies!$C$2:$C$31,MATCH(C176,Companies!$A$2:$A$31,0))</f>
        <v>IT Services</v>
      </c>
      <c r="M176" s="21" t="str">
        <f aca="false">INDEX(Companies!$D$2:$D$31,MATCH(C176,Companies!$A$2:$A$31,0))</f>
        <v>Tier 3</v>
      </c>
      <c r="N176" s="34" t="n">
        <f aca="false">MATCH(F176,Assumptions!$K$4:$K$8,0)</f>
        <v>5</v>
      </c>
      <c r="O176" s="21" t="str">
        <f aca="false">IF(H176="Yes",MONTH(I176),"")</f>
        <v/>
      </c>
      <c r="P176" s="21" t="str">
        <f aca="false">IF(H176="Yes",B176,"")</f>
        <v/>
      </c>
    </row>
    <row r="177" customFormat="false" ht="15" hidden="false" customHeight="false" outlineLevel="0" collapsed="false">
      <c r="A177" s="21" t="s">
        <v>1392</v>
      </c>
      <c r="B177" s="21" t="s">
        <v>233</v>
      </c>
      <c r="C177" s="21" t="s">
        <v>1225</v>
      </c>
      <c r="D177" s="21" t="s">
        <v>1174</v>
      </c>
      <c r="E177" s="33" t="n">
        <v>45179</v>
      </c>
      <c r="F177" s="21" t="s">
        <v>1197</v>
      </c>
      <c r="G177" s="32"/>
      <c r="H177" s="21"/>
      <c r="I177" s="33"/>
      <c r="J177" s="21" t="str">
        <f aca="false">INDEX(Students!$C$2:$C$601,MATCH(B177,Students!$A$2:$A$601,0))</f>
        <v>Batch 2024</v>
      </c>
      <c r="K177" s="21" t="str">
        <f aca="false">INDEX(Students!$D$2:$D$601,MATCH(B177,Students!$A$2:$A$601,0))</f>
        <v>Full Stack Development</v>
      </c>
      <c r="L177" s="21" t="str">
        <f aca="false">INDEX(Companies!$C$2:$C$31,MATCH(C177,Companies!$A$2:$A$31,0))</f>
        <v>EdTech</v>
      </c>
      <c r="M177" s="21" t="str">
        <f aca="false">INDEX(Companies!$D$2:$D$31,MATCH(C177,Companies!$A$2:$A$31,0))</f>
        <v>Tier 2</v>
      </c>
      <c r="N177" s="34" t="n">
        <f aca="false">MATCH(F177,Assumptions!$K$4:$K$8,0)</f>
        <v>3</v>
      </c>
      <c r="O177" s="21" t="str">
        <f aca="false">IF(H177="Yes",MONTH(I177),"")</f>
        <v/>
      </c>
      <c r="P177" s="21" t="str">
        <f aca="false">IF(H177="Yes",B177,"")</f>
        <v/>
      </c>
    </row>
    <row r="178" customFormat="false" ht="15" hidden="false" customHeight="false" outlineLevel="0" collapsed="false">
      <c r="A178" s="21" t="s">
        <v>1393</v>
      </c>
      <c r="B178" s="21" t="s">
        <v>155</v>
      </c>
      <c r="C178" s="21" t="s">
        <v>1239</v>
      </c>
      <c r="D178" s="21" t="s">
        <v>1181</v>
      </c>
      <c r="E178" s="33" t="n">
        <v>45179</v>
      </c>
      <c r="F178" s="21" t="s">
        <v>1185</v>
      </c>
      <c r="G178" s="32" t="n">
        <v>5.2</v>
      </c>
      <c r="H178" s="21" t="s">
        <v>113</v>
      </c>
      <c r="I178" s="33" t="n">
        <v>45212</v>
      </c>
      <c r="J178" s="21" t="str">
        <f aca="false">INDEX(Students!$C$2:$C$601,MATCH(B178,Students!$A$2:$A$601,0))</f>
        <v>Batch 2024</v>
      </c>
      <c r="K178" s="21" t="str">
        <f aca="false">INDEX(Students!$D$2:$D$601,MATCH(B178,Students!$A$2:$A$601,0))</f>
        <v>Full Stack Development</v>
      </c>
      <c r="L178" s="21" t="str">
        <f aca="false">INDEX(Companies!$C$2:$C$31,MATCH(C178,Companies!$A$2:$A$31,0))</f>
        <v>E-commerce</v>
      </c>
      <c r="M178" s="21" t="str">
        <f aca="false">INDEX(Companies!$D$2:$D$31,MATCH(C178,Companies!$A$2:$A$31,0))</f>
        <v>Tier 3</v>
      </c>
      <c r="N178" s="34" t="n">
        <f aca="false">MATCH(F178,Assumptions!$K$4:$K$8,0)</f>
        <v>5</v>
      </c>
      <c r="O178" s="21" t="str">
        <f aca="false">IF(H178="Yes",MONTH(I178),"")</f>
        <v/>
      </c>
      <c r="P178" s="21" t="str">
        <f aca="false">IF(H178="Yes",B178,"")</f>
        <v/>
      </c>
    </row>
    <row r="179" customFormat="false" ht="15" hidden="false" customHeight="false" outlineLevel="0" collapsed="false">
      <c r="A179" s="21" t="s">
        <v>1394</v>
      </c>
      <c r="B179" s="21" t="s">
        <v>161</v>
      </c>
      <c r="C179" s="21" t="s">
        <v>1234</v>
      </c>
      <c r="D179" s="21" t="s">
        <v>1188</v>
      </c>
      <c r="E179" s="33" t="n">
        <v>45180</v>
      </c>
      <c r="F179" s="21" t="s">
        <v>1175</v>
      </c>
      <c r="G179" s="32"/>
      <c r="H179" s="21"/>
      <c r="I179" s="33"/>
      <c r="J179" s="21" t="str">
        <f aca="false">INDEX(Students!$C$2:$C$601,MATCH(B179,Students!$A$2:$A$601,0))</f>
        <v>Batch 2024</v>
      </c>
      <c r="K179" s="21" t="str">
        <f aca="false">INDEX(Students!$D$2:$D$601,MATCH(B179,Students!$A$2:$A$601,0))</f>
        <v>Data Analytics</v>
      </c>
      <c r="L179" s="21" t="str">
        <f aca="false">INDEX(Companies!$C$2:$C$31,MATCH(C179,Companies!$A$2:$A$31,0))</f>
        <v>EdTech</v>
      </c>
      <c r="M179" s="21" t="str">
        <f aca="false">INDEX(Companies!$D$2:$D$31,MATCH(C179,Companies!$A$2:$A$31,0))</f>
        <v>Tier 3</v>
      </c>
      <c r="N179" s="34" t="n">
        <f aca="false">MATCH(F179,Assumptions!$K$4:$K$8,0)</f>
        <v>1</v>
      </c>
      <c r="O179" s="21" t="str">
        <f aca="false">IF(H179="Yes",MONTH(I179),"")</f>
        <v/>
      </c>
      <c r="P179" s="21" t="str">
        <f aca="false">IF(H179="Yes",B179,"")</f>
        <v/>
      </c>
    </row>
    <row r="180" customFormat="false" ht="15" hidden="false" customHeight="false" outlineLevel="0" collapsed="false">
      <c r="A180" s="21" t="s">
        <v>1395</v>
      </c>
      <c r="B180" s="21" t="s">
        <v>433</v>
      </c>
      <c r="C180" s="21" t="s">
        <v>1183</v>
      </c>
      <c r="D180" s="21" t="s">
        <v>1174</v>
      </c>
      <c r="E180" s="33" t="n">
        <v>45180</v>
      </c>
      <c r="F180" s="21" t="s">
        <v>1175</v>
      </c>
      <c r="G180" s="32"/>
      <c r="H180" s="21"/>
      <c r="I180" s="33"/>
      <c r="J180" s="21" t="str">
        <f aca="false">INDEX(Students!$C$2:$C$601,MATCH(B180,Students!$A$2:$A$601,0))</f>
        <v>Batch 2024</v>
      </c>
      <c r="K180" s="21" t="str">
        <f aca="false">INDEX(Students!$D$2:$D$601,MATCH(B180,Students!$A$2:$A$601,0))</f>
        <v>Full Stack Development</v>
      </c>
      <c r="L180" s="21" t="str">
        <f aca="false">INDEX(Companies!$C$2:$C$31,MATCH(C180,Companies!$A$2:$A$31,0))</f>
        <v>E-commerce</v>
      </c>
      <c r="M180" s="21" t="str">
        <f aca="false">INDEX(Companies!$D$2:$D$31,MATCH(C180,Companies!$A$2:$A$31,0))</f>
        <v>Tier 2</v>
      </c>
      <c r="N180" s="34" t="n">
        <f aca="false">MATCH(F180,Assumptions!$K$4:$K$8,0)</f>
        <v>1</v>
      </c>
      <c r="O180" s="21" t="str">
        <f aca="false">IF(H180="Yes",MONTH(I180),"")</f>
        <v/>
      </c>
      <c r="P180" s="21" t="str">
        <f aca="false">IF(H180="Yes",B180,"")</f>
        <v/>
      </c>
    </row>
    <row r="181" customFormat="false" ht="15" hidden="false" customHeight="false" outlineLevel="0" collapsed="false">
      <c r="A181" s="21" t="s">
        <v>1396</v>
      </c>
      <c r="B181" s="21" t="s">
        <v>283</v>
      </c>
      <c r="C181" s="21" t="s">
        <v>1230</v>
      </c>
      <c r="D181" s="21" t="s">
        <v>1191</v>
      </c>
      <c r="E181" s="33" t="n">
        <v>45180</v>
      </c>
      <c r="F181" s="21" t="s">
        <v>1197</v>
      </c>
      <c r="G181" s="32"/>
      <c r="H181" s="21"/>
      <c r="I181" s="33"/>
      <c r="J181" s="21" t="str">
        <f aca="false">INDEX(Students!$C$2:$C$601,MATCH(B181,Students!$A$2:$A$601,0))</f>
        <v>Batch 2024</v>
      </c>
      <c r="K181" s="21" t="str">
        <f aca="false">INDEX(Students!$D$2:$D$601,MATCH(B181,Students!$A$2:$A$601,0))</f>
        <v>DSA with Java</v>
      </c>
      <c r="L181" s="21" t="str">
        <f aca="false">INDEX(Companies!$C$2:$C$31,MATCH(C181,Companies!$A$2:$A$31,0))</f>
        <v>IT Services</v>
      </c>
      <c r="M181" s="21" t="str">
        <f aca="false">INDEX(Companies!$D$2:$D$31,MATCH(C181,Companies!$A$2:$A$31,0))</f>
        <v>Tier 3</v>
      </c>
      <c r="N181" s="34" t="n">
        <f aca="false">MATCH(F181,Assumptions!$K$4:$K$8,0)</f>
        <v>3</v>
      </c>
      <c r="O181" s="21" t="str">
        <f aca="false">IF(H181="Yes",MONTH(I181),"")</f>
        <v/>
      </c>
      <c r="P181" s="21" t="str">
        <f aca="false">IF(H181="Yes",B181,"")</f>
        <v/>
      </c>
    </row>
    <row r="182" customFormat="false" ht="15" hidden="false" customHeight="false" outlineLevel="0" collapsed="false">
      <c r="A182" s="21" t="s">
        <v>1397</v>
      </c>
      <c r="B182" s="21" t="s">
        <v>276</v>
      </c>
      <c r="C182" s="21" t="s">
        <v>1230</v>
      </c>
      <c r="D182" s="21" t="s">
        <v>1194</v>
      </c>
      <c r="E182" s="33" t="n">
        <v>45180</v>
      </c>
      <c r="F182" s="21" t="s">
        <v>1197</v>
      </c>
      <c r="G182" s="32"/>
      <c r="H182" s="21"/>
      <c r="I182" s="33"/>
      <c r="J182" s="21" t="str">
        <f aca="false">INDEX(Students!$C$2:$C$601,MATCH(B182,Students!$A$2:$A$601,0))</f>
        <v>Batch 2024</v>
      </c>
      <c r="K182" s="21" t="str">
        <f aca="false">INDEX(Students!$D$2:$D$601,MATCH(B182,Students!$A$2:$A$601,0))</f>
        <v>Data Science &amp; ML</v>
      </c>
      <c r="L182" s="21" t="str">
        <f aca="false">INDEX(Companies!$C$2:$C$31,MATCH(C182,Companies!$A$2:$A$31,0))</f>
        <v>IT Services</v>
      </c>
      <c r="M182" s="21" t="str">
        <f aca="false">INDEX(Companies!$D$2:$D$31,MATCH(C182,Companies!$A$2:$A$31,0))</f>
        <v>Tier 3</v>
      </c>
      <c r="N182" s="34" t="n">
        <f aca="false">MATCH(F182,Assumptions!$K$4:$K$8,0)</f>
        <v>3</v>
      </c>
      <c r="O182" s="21" t="str">
        <f aca="false">IF(H182="Yes",MONTH(I182),"")</f>
        <v/>
      </c>
      <c r="P182" s="21" t="str">
        <f aca="false">IF(H182="Yes",B182,"")</f>
        <v/>
      </c>
    </row>
    <row r="183" customFormat="false" ht="15" hidden="false" customHeight="false" outlineLevel="0" collapsed="false">
      <c r="A183" s="21" t="s">
        <v>1398</v>
      </c>
      <c r="B183" s="21" t="s">
        <v>339</v>
      </c>
      <c r="C183" s="21" t="s">
        <v>1183</v>
      </c>
      <c r="D183" s="21" t="s">
        <v>1226</v>
      </c>
      <c r="E183" s="33" t="n">
        <v>45180</v>
      </c>
      <c r="F183" s="21" t="s">
        <v>1175</v>
      </c>
      <c r="G183" s="32"/>
      <c r="H183" s="21"/>
      <c r="I183" s="33"/>
      <c r="J183" s="21" t="str">
        <f aca="false">INDEX(Students!$C$2:$C$601,MATCH(B183,Students!$A$2:$A$601,0))</f>
        <v>Batch 2024</v>
      </c>
      <c r="K183" s="21" t="str">
        <f aca="false">INDEX(Students!$D$2:$D$601,MATCH(B183,Students!$A$2:$A$601,0))</f>
        <v>Cybersecurity</v>
      </c>
      <c r="L183" s="21" t="str">
        <f aca="false">INDEX(Companies!$C$2:$C$31,MATCH(C183,Companies!$A$2:$A$31,0))</f>
        <v>E-commerce</v>
      </c>
      <c r="M183" s="21" t="str">
        <f aca="false">INDEX(Companies!$D$2:$D$31,MATCH(C183,Companies!$A$2:$A$31,0))</f>
        <v>Tier 2</v>
      </c>
      <c r="N183" s="34" t="n">
        <f aca="false">MATCH(F183,Assumptions!$K$4:$K$8,0)</f>
        <v>1</v>
      </c>
      <c r="O183" s="21" t="str">
        <f aca="false">IF(H183="Yes",MONTH(I183),"")</f>
        <v/>
      </c>
      <c r="P183" s="21" t="str">
        <f aca="false">IF(H183="Yes",B183,"")</f>
        <v/>
      </c>
    </row>
    <row r="184" customFormat="false" ht="15" hidden="false" customHeight="false" outlineLevel="0" collapsed="false">
      <c r="A184" s="21" t="s">
        <v>1399</v>
      </c>
      <c r="B184" s="21" t="s">
        <v>380</v>
      </c>
      <c r="C184" s="21" t="s">
        <v>1177</v>
      </c>
      <c r="D184" s="21" t="s">
        <v>1209</v>
      </c>
      <c r="E184" s="33" t="n">
        <v>45180</v>
      </c>
      <c r="F184" s="21" t="s">
        <v>1218</v>
      </c>
      <c r="G184" s="32"/>
      <c r="H184" s="21"/>
      <c r="I184" s="33"/>
      <c r="J184" s="21" t="str">
        <f aca="false">INDEX(Students!$C$2:$C$601,MATCH(B184,Students!$A$2:$A$601,0))</f>
        <v>Batch 2024</v>
      </c>
      <c r="K184" s="21" t="str">
        <f aca="false">INDEX(Students!$D$2:$D$601,MATCH(B184,Students!$A$2:$A$601,0))</f>
        <v>Data Analytics</v>
      </c>
      <c r="L184" s="21" t="str">
        <f aca="false">INDEX(Companies!$C$2:$C$31,MATCH(C184,Companies!$A$2:$A$31,0))</f>
        <v>IT Services</v>
      </c>
      <c r="M184" s="21" t="str">
        <f aca="false">INDEX(Companies!$D$2:$D$31,MATCH(C184,Companies!$A$2:$A$31,0))</f>
        <v>Tier 3</v>
      </c>
      <c r="N184" s="34" t="n">
        <f aca="false">MATCH(F184,Assumptions!$K$4:$K$8,0)</f>
        <v>4</v>
      </c>
      <c r="O184" s="21" t="str">
        <f aca="false">IF(H184="Yes",MONTH(I184),"")</f>
        <v/>
      </c>
      <c r="P184" s="21" t="str">
        <f aca="false">IF(H184="Yes",B184,"")</f>
        <v/>
      </c>
    </row>
    <row r="185" customFormat="false" ht="15" hidden="false" customHeight="false" outlineLevel="0" collapsed="false">
      <c r="A185" s="21" t="s">
        <v>1400</v>
      </c>
      <c r="B185" s="21" t="s">
        <v>336</v>
      </c>
      <c r="C185" s="21" t="s">
        <v>1203</v>
      </c>
      <c r="D185" s="21" t="s">
        <v>1181</v>
      </c>
      <c r="E185" s="33" t="n">
        <v>45180</v>
      </c>
      <c r="F185" s="21" t="s">
        <v>1175</v>
      </c>
      <c r="G185" s="32"/>
      <c r="H185" s="21"/>
      <c r="I185" s="33"/>
      <c r="J185" s="21" t="str">
        <f aca="false">INDEX(Students!$C$2:$C$601,MATCH(B185,Students!$A$2:$A$601,0))</f>
        <v>Batch 2024</v>
      </c>
      <c r="K185" s="21" t="str">
        <f aca="false">INDEX(Students!$D$2:$D$601,MATCH(B185,Students!$A$2:$A$601,0))</f>
        <v>Full Stack Development</v>
      </c>
      <c r="L185" s="21" t="str">
        <f aca="false">INDEX(Companies!$C$2:$C$31,MATCH(C185,Companies!$A$2:$A$31,0))</f>
        <v>Healthtech</v>
      </c>
      <c r="M185" s="21" t="str">
        <f aca="false">INDEX(Companies!$D$2:$D$31,MATCH(C185,Companies!$A$2:$A$31,0))</f>
        <v>Tier 2</v>
      </c>
      <c r="N185" s="34" t="n">
        <f aca="false">MATCH(F185,Assumptions!$K$4:$K$8,0)</f>
        <v>1</v>
      </c>
      <c r="O185" s="21" t="str">
        <f aca="false">IF(H185="Yes",MONTH(I185),"")</f>
        <v/>
      </c>
      <c r="P185" s="21" t="str">
        <f aca="false">IF(H185="Yes",B185,"")</f>
        <v/>
      </c>
    </row>
    <row r="186" customFormat="false" ht="15" hidden="false" customHeight="false" outlineLevel="0" collapsed="false">
      <c r="A186" s="21" t="s">
        <v>1401</v>
      </c>
      <c r="B186" s="21" t="s">
        <v>376</v>
      </c>
      <c r="C186" s="21" t="s">
        <v>1266</v>
      </c>
      <c r="D186" s="21" t="s">
        <v>1209</v>
      </c>
      <c r="E186" s="33" t="n">
        <v>45180</v>
      </c>
      <c r="F186" s="21" t="s">
        <v>1175</v>
      </c>
      <c r="G186" s="32"/>
      <c r="H186" s="21"/>
      <c r="I186" s="33"/>
      <c r="J186" s="21" t="str">
        <f aca="false">INDEX(Students!$C$2:$C$601,MATCH(B186,Students!$A$2:$A$601,0))</f>
        <v>Batch 2024</v>
      </c>
      <c r="K186" s="21" t="str">
        <f aca="false">INDEX(Students!$D$2:$D$601,MATCH(B186,Students!$A$2:$A$601,0))</f>
        <v>Data Analytics</v>
      </c>
      <c r="L186" s="21" t="str">
        <f aca="false">INDEX(Companies!$C$2:$C$31,MATCH(C186,Companies!$A$2:$A$31,0))</f>
        <v>IT Services</v>
      </c>
      <c r="M186" s="21" t="str">
        <f aca="false">INDEX(Companies!$D$2:$D$31,MATCH(C186,Companies!$A$2:$A$31,0))</f>
        <v>Tier 3</v>
      </c>
      <c r="N186" s="34" t="n">
        <f aca="false">MATCH(F186,Assumptions!$K$4:$K$8,0)</f>
        <v>1</v>
      </c>
      <c r="O186" s="21" t="str">
        <f aca="false">IF(H186="Yes",MONTH(I186),"")</f>
        <v/>
      </c>
      <c r="P186" s="21" t="str">
        <f aca="false">IF(H186="Yes",B186,"")</f>
        <v/>
      </c>
    </row>
    <row r="187" customFormat="false" ht="15" hidden="false" customHeight="false" outlineLevel="0" collapsed="false">
      <c r="A187" s="21" t="s">
        <v>1402</v>
      </c>
      <c r="B187" s="21" t="s">
        <v>422</v>
      </c>
      <c r="C187" s="21" t="s">
        <v>1177</v>
      </c>
      <c r="D187" s="21" t="s">
        <v>1243</v>
      </c>
      <c r="E187" s="33" t="n">
        <v>45180</v>
      </c>
      <c r="F187" s="21" t="s">
        <v>1178</v>
      </c>
      <c r="G187" s="32"/>
      <c r="H187" s="21"/>
      <c r="I187" s="33"/>
      <c r="J187" s="21" t="str">
        <f aca="false">INDEX(Students!$C$2:$C$601,MATCH(B187,Students!$A$2:$A$601,0))</f>
        <v>Batch 2024</v>
      </c>
      <c r="K187" s="21" t="str">
        <f aca="false">INDEX(Students!$D$2:$D$601,MATCH(B187,Students!$A$2:$A$601,0))</f>
        <v>Data Science &amp; ML</v>
      </c>
      <c r="L187" s="21" t="str">
        <f aca="false">INDEX(Companies!$C$2:$C$31,MATCH(C187,Companies!$A$2:$A$31,0))</f>
        <v>IT Services</v>
      </c>
      <c r="M187" s="21" t="str">
        <f aca="false">INDEX(Companies!$D$2:$D$31,MATCH(C187,Companies!$A$2:$A$31,0))</f>
        <v>Tier 3</v>
      </c>
      <c r="N187" s="34" t="n">
        <f aca="false">MATCH(F187,Assumptions!$K$4:$K$8,0)</f>
        <v>2</v>
      </c>
      <c r="O187" s="21" t="str">
        <f aca="false">IF(H187="Yes",MONTH(I187),"")</f>
        <v/>
      </c>
      <c r="P187" s="21" t="str">
        <f aca="false">IF(H187="Yes",B187,"")</f>
        <v/>
      </c>
    </row>
    <row r="188" customFormat="false" ht="15" hidden="false" customHeight="false" outlineLevel="0" collapsed="false">
      <c r="A188" s="21" t="s">
        <v>1403</v>
      </c>
      <c r="B188" s="21" t="s">
        <v>305</v>
      </c>
      <c r="C188" s="21" t="s">
        <v>1239</v>
      </c>
      <c r="D188" s="21" t="s">
        <v>1243</v>
      </c>
      <c r="E188" s="33" t="n">
        <v>45181</v>
      </c>
      <c r="F188" s="21" t="s">
        <v>1185</v>
      </c>
      <c r="G188" s="32" t="n">
        <v>6.4</v>
      </c>
      <c r="H188" s="21" t="s">
        <v>120</v>
      </c>
      <c r="I188" s="33" t="n">
        <v>45233</v>
      </c>
      <c r="J188" s="21" t="str">
        <f aca="false">INDEX(Students!$C$2:$C$601,MATCH(B188,Students!$A$2:$A$601,0))</f>
        <v>Batch 2024</v>
      </c>
      <c r="K188" s="21" t="str">
        <f aca="false">INDEX(Students!$D$2:$D$601,MATCH(B188,Students!$A$2:$A$601,0))</f>
        <v>Data Science &amp; ML</v>
      </c>
      <c r="L188" s="21" t="str">
        <f aca="false">INDEX(Companies!$C$2:$C$31,MATCH(C188,Companies!$A$2:$A$31,0))</f>
        <v>E-commerce</v>
      </c>
      <c r="M188" s="21" t="str">
        <f aca="false">INDEX(Companies!$D$2:$D$31,MATCH(C188,Companies!$A$2:$A$31,0))</f>
        <v>Tier 3</v>
      </c>
      <c r="N188" s="34" t="n">
        <f aca="false">MATCH(F188,Assumptions!$K$4:$K$8,0)</f>
        <v>5</v>
      </c>
      <c r="O188" s="21" t="n">
        <f aca="false">IF(H188="Yes",MONTH(I188),"")</f>
        <v>11</v>
      </c>
      <c r="P188" s="21" t="str">
        <f aca="false">IF(H188="Yes",B188,"")</f>
        <v>S0099</v>
      </c>
    </row>
    <row r="189" customFormat="false" ht="15" hidden="false" customHeight="false" outlineLevel="0" collapsed="false">
      <c r="A189" s="21" t="s">
        <v>1404</v>
      </c>
      <c r="B189" s="21" t="s">
        <v>213</v>
      </c>
      <c r="C189" s="21" t="s">
        <v>1266</v>
      </c>
      <c r="D189" s="21" t="s">
        <v>1191</v>
      </c>
      <c r="E189" s="33" t="n">
        <v>45181</v>
      </c>
      <c r="F189" s="21" t="s">
        <v>1185</v>
      </c>
      <c r="G189" s="32" t="n">
        <v>6.3</v>
      </c>
      <c r="H189" s="21" t="s">
        <v>113</v>
      </c>
      <c r="I189" s="33" t="n">
        <v>45203</v>
      </c>
      <c r="J189" s="21" t="str">
        <f aca="false">INDEX(Students!$C$2:$C$601,MATCH(B189,Students!$A$2:$A$601,0))</f>
        <v>Batch 2024</v>
      </c>
      <c r="K189" s="21" t="str">
        <f aca="false">INDEX(Students!$D$2:$D$601,MATCH(B189,Students!$A$2:$A$601,0))</f>
        <v>DSA with Java</v>
      </c>
      <c r="L189" s="21" t="str">
        <f aca="false">INDEX(Companies!$C$2:$C$31,MATCH(C189,Companies!$A$2:$A$31,0))</f>
        <v>IT Services</v>
      </c>
      <c r="M189" s="21" t="str">
        <f aca="false">INDEX(Companies!$D$2:$D$31,MATCH(C189,Companies!$A$2:$A$31,0))</f>
        <v>Tier 3</v>
      </c>
      <c r="N189" s="34" t="n">
        <f aca="false">MATCH(F189,Assumptions!$K$4:$K$8,0)</f>
        <v>5</v>
      </c>
      <c r="O189" s="21" t="str">
        <f aca="false">IF(H189="Yes",MONTH(I189),"")</f>
        <v/>
      </c>
      <c r="P189" s="21" t="str">
        <f aca="false">IF(H189="Yes",B189,"")</f>
        <v/>
      </c>
    </row>
    <row r="190" customFormat="false" ht="15" hidden="false" customHeight="false" outlineLevel="0" collapsed="false">
      <c r="A190" s="21" t="s">
        <v>1405</v>
      </c>
      <c r="B190" s="21" t="s">
        <v>149</v>
      </c>
      <c r="C190" s="21" t="s">
        <v>1214</v>
      </c>
      <c r="D190" s="21" t="s">
        <v>1181</v>
      </c>
      <c r="E190" s="33" t="n">
        <v>45181</v>
      </c>
      <c r="F190" s="21" t="s">
        <v>1175</v>
      </c>
      <c r="G190" s="32"/>
      <c r="H190" s="21"/>
      <c r="I190" s="33"/>
      <c r="J190" s="21" t="str">
        <f aca="false">INDEX(Students!$C$2:$C$601,MATCH(B190,Students!$A$2:$A$601,0))</f>
        <v>Batch 2024</v>
      </c>
      <c r="K190" s="21" t="str">
        <f aca="false">INDEX(Students!$D$2:$D$601,MATCH(B190,Students!$A$2:$A$601,0))</f>
        <v>Full Stack Development</v>
      </c>
      <c r="L190" s="21" t="str">
        <f aca="false">INDEX(Companies!$C$2:$C$31,MATCH(C190,Companies!$A$2:$A$31,0))</f>
        <v>Product</v>
      </c>
      <c r="M190" s="21" t="str">
        <f aca="false">INDEX(Companies!$D$2:$D$31,MATCH(C190,Companies!$A$2:$A$31,0))</f>
        <v>Tier 1</v>
      </c>
      <c r="N190" s="34" t="n">
        <f aca="false">MATCH(F190,Assumptions!$K$4:$K$8,0)</f>
        <v>1</v>
      </c>
      <c r="O190" s="21" t="str">
        <f aca="false">IF(H190="Yes",MONTH(I190),"")</f>
        <v/>
      </c>
      <c r="P190" s="21" t="str">
        <f aca="false">IF(H190="Yes",B190,"")</f>
        <v/>
      </c>
    </row>
    <row r="191" customFormat="false" ht="15" hidden="false" customHeight="false" outlineLevel="0" collapsed="false">
      <c r="A191" s="21" t="s">
        <v>1406</v>
      </c>
      <c r="B191" s="21" t="s">
        <v>223</v>
      </c>
      <c r="C191" s="21" t="s">
        <v>1199</v>
      </c>
      <c r="D191" s="21" t="s">
        <v>1184</v>
      </c>
      <c r="E191" s="33" t="n">
        <v>45181</v>
      </c>
      <c r="F191" s="21" t="s">
        <v>1178</v>
      </c>
      <c r="G191" s="32"/>
      <c r="H191" s="21"/>
      <c r="I191" s="33"/>
      <c r="J191" s="21" t="str">
        <f aca="false">INDEX(Students!$C$2:$C$601,MATCH(B191,Students!$A$2:$A$601,0))</f>
        <v>Batch 2024</v>
      </c>
      <c r="K191" s="21" t="str">
        <f aca="false">INDEX(Students!$D$2:$D$601,MATCH(B191,Students!$A$2:$A$601,0))</f>
        <v>DSA with Java</v>
      </c>
      <c r="L191" s="21" t="str">
        <f aca="false">INDEX(Companies!$C$2:$C$31,MATCH(C191,Companies!$A$2:$A$31,0))</f>
        <v>E-commerce</v>
      </c>
      <c r="M191" s="21" t="str">
        <f aca="false">INDEX(Companies!$D$2:$D$31,MATCH(C191,Companies!$A$2:$A$31,0))</f>
        <v>Tier 2</v>
      </c>
      <c r="N191" s="34" t="n">
        <f aca="false">MATCH(F191,Assumptions!$K$4:$K$8,0)</f>
        <v>2</v>
      </c>
      <c r="O191" s="21" t="str">
        <f aca="false">IF(H191="Yes",MONTH(I191),"")</f>
        <v/>
      </c>
      <c r="P191" s="21" t="str">
        <f aca="false">IF(H191="Yes",B191,"")</f>
        <v/>
      </c>
    </row>
    <row r="192" customFormat="false" ht="15" hidden="false" customHeight="false" outlineLevel="0" collapsed="false">
      <c r="A192" s="21" t="s">
        <v>1407</v>
      </c>
      <c r="B192" s="21" t="s">
        <v>239</v>
      </c>
      <c r="C192" s="21" t="s">
        <v>1196</v>
      </c>
      <c r="D192" s="21" t="s">
        <v>1181</v>
      </c>
      <c r="E192" s="33" t="n">
        <v>45181</v>
      </c>
      <c r="F192" s="21" t="s">
        <v>1175</v>
      </c>
      <c r="G192" s="32"/>
      <c r="H192" s="21"/>
      <c r="I192" s="33"/>
      <c r="J192" s="21" t="str">
        <f aca="false">INDEX(Students!$C$2:$C$601,MATCH(B192,Students!$A$2:$A$601,0))</f>
        <v>Batch 2024</v>
      </c>
      <c r="K192" s="21" t="str">
        <f aca="false">INDEX(Students!$D$2:$D$601,MATCH(B192,Students!$A$2:$A$601,0))</f>
        <v>Full Stack Development</v>
      </c>
      <c r="L192" s="21" t="str">
        <f aca="false">INDEX(Companies!$C$2:$C$31,MATCH(C192,Companies!$A$2:$A$31,0))</f>
        <v>IT Services</v>
      </c>
      <c r="M192" s="21" t="str">
        <f aca="false">INDEX(Companies!$D$2:$D$31,MATCH(C192,Companies!$A$2:$A$31,0))</f>
        <v>Tier 3</v>
      </c>
      <c r="N192" s="34" t="n">
        <f aca="false">MATCH(F192,Assumptions!$K$4:$K$8,0)</f>
        <v>1</v>
      </c>
      <c r="O192" s="21" t="str">
        <f aca="false">IF(H192="Yes",MONTH(I192),"")</f>
        <v/>
      </c>
      <c r="P192" s="21" t="str">
        <f aca="false">IF(H192="Yes",B192,"")</f>
        <v/>
      </c>
    </row>
    <row r="193" customFormat="false" ht="15" hidden="false" customHeight="false" outlineLevel="0" collapsed="false">
      <c r="A193" s="21" t="s">
        <v>1408</v>
      </c>
      <c r="B193" s="21" t="s">
        <v>125</v>
      </c>
      <c r="C193" s="21" t="s">
        <v>1211</v>
      </c>
      <c r="D193" s="21" t="s">
        <v>1194</v>
      </c>
      <c r="E193" s="33" t="n">
        <v>45182</v>
      </c>
      <c r="F193" s="21" t="s">
        <v>1218</v>
      </c>
      <c r="G193" s="32"/>
      <c r="H193" s="21"/>
      <c r="I193" s="33"/>
      <c r="J193" s="21" t="str">
        <f aca="false">INDEX(Students!$C$2:$C$601,MATCH(B193,Students!$A$2:$A$601,0))</f>
        <v>Batch 2024</v>
      </c>
      <c r="K193" s="21" t="str">
        <f aca="false">INDEX(Students!$D$2:$D$601,MATCH(B193,Students!$A$2:$A$601,0))</f>
        <v>Data Science &amp; ML</v>
      </c>
      <c r="L193" s="21" t="str">
        <f aca="false">INDEX(Companies!$C$2:$C$31,MATCH(C193,Companies!$A$2:$A$31,0))</f>
        <v>Analytics &amp; Consulting</v>
      </c>
      <c r="M193" s="21" t="str">
        <f aca="false">INDEX(Companies!$D$2:$D$31,MATCH(C193,Companies!$A$2:$A$31,0))</f>
        <v>Tier 3</v>
      </c>
      <c r="N193" s="34" t="n">
        <f aca="false">MATCH(F193,Assumptions!$K$4:$K$8,0)</f>
        <v>4</v>
      </c>
      <c r="O193" s="21" t="str">
        <f aca="false">IF(H193="Yes",MONTH(I193),"")</f>
        <v/>
      </c>
      <c r="P193" s="21" t="str">
        <f aca="false">IF(H193="Yes",B193,"")</f>
        <v/>
      </c>
    </row>
    <row r="194" customFormat="false" ht="15" hidden="false" customHeight="false" outlineLevel="0" collapsed="false">
      <c r="A194" s="21" t="s">
        <v>1409</v>
      </c>
      <c r="B194" s="21" t="s">
        <v>388</v>
      </c>
      <c r="C194" s="21" t="s">
        <v>1201</v>
      </c>
      <c r="D194" s="21" t="s">
        <v>1191</v>
      </c>
      <c r="E194" s="33" t="n">
        <v>45182</v>
      </c>
      <c r="F194" s="21" t="s">
        <v>1185</v>
      </c>
      <c r="G194" s="32" t="n">
        <v>6</v>
      </c>
      <c r="H194" s="21" t="s">
        <v>120</v>
      </c>
      <c r="I194" s="33" t="n">
        <v>45222</v>
      </c>
      <c r="J194" s="21" t="str">
        <f aca="false">INDEX(Students!$C$2:$C$601,MATCH(B194,Students!$A$2:$A$601,0))</f>
        <v>Batch 2024</v>
      </c>
      <c r="K194" s="21" t="str">
        <f aca="false">INDEX(Students!$D$2:$D$601,MATCH(B194,Students!$A$2:$A$601,0))</f>
        <v>DSA with Java</v>
      </c>
      <c r="L194" s="21" t="str">
        <f aca="false">INDEX(Companies!$C$2:$C$31,MATCH(C194,Companies!$A$2:$A$31,0))</f>
        <v>IT Services</v>
      </c>
      <c r="M194" s="21" t="str">
        <f aca="false">INDEX(Companies!$D$2:$D$31,MATCH(C194,Companies!$A$2:$A$31,0))</f>
        <v>Tier 3</v>
      </c>
      <c r="N194" s="34" t="n">
        <f aca="false">MATCH(F194,Assumptions!$K$4:$K$8,0)</f>
        <v>5</v>
      </c>
      <c r="O194" s="21" t="n">
        <f aca="false">IF(H194="Yes",MONTH(I194),"")</f>
        <v>10</v>
      </c>
      <c r="P194" s="21" t="str">
        <f aca="false">IF(H194="Yes",B194,"")</f>
        <v>S0143</v>
      </c>
    </row>
    <row r="195" customFormat="false" ht="15" hidden="false" customHeight="false" outlineLevel="0" collapsed="false">
      <c r="A195" s="21" t="s">
        <v>1410</v>
      </c>
      <c r="B195" s="21" t="s">
        <v>209</v>
      </c>
      <c r="C195" s="21" t="s">
        <v>1193</v>
      </c>
      <c r="D195" s="21" t="s">
        <v>1240</v>
      </c>
      <c r="E195" s="33" t="n">
        <v>45182</v>
      </c>
      <c r="F195" s="21" t="s">
        <v>1175</v>
      </c>
      <c r="G195" s="32"/>
      <c r="H195" s="21"/>
      <c r="I195" s="33"/>
      <c r="J195" s="21" t="str">
        <f aca="false">INDEX(Students!$C$2:$C$601,MATCH(B195,Students!$A$2:$A$601,0))</f>
        <v>Batch 2024</v>
      </c>
      <c r="K195" s="21" t="str">
        <f aca="false">INDEX(Students!$D$2:$D$601,MATCH(B195,Students!$A$2:$A$601,0))</f>
        <v>Cybersecurity</v>
      </c>
      <c r="L195" s="21" t="str">
        <f aca="false">INDEX(Companies!$C$2:$C$31,MATCH(C195,Companies!$A$2:$A$31,0))</f>
        <v>Analytics &amp; Consulting</v>
      </c>
      <c r="M195" s="21" t="str">
        <f aca="false">INDEX(Companies!$D$2:$D$31,MATCH(C195,Companies!$A$2:$A$31,0))</f>
        <v>Tier 2</v>
      </c>
      <c r="N195" s="34" t="n">
        <f aca="false">MATCH(F195,Assumptions!$K$4:$K$8,0)</f>
        <v>1</v>
      </c>
      <c r="O195" s="21" t="str">
        <f aca="false">IF(H195="Yes",MONTH(I195),"")</f>
        <v/>
      </c>
      <c r="P195" s="21" t="str">
        <f aca="false">IF(H195="Yes",B195,"")</f>
        <v/>
      </c>
    </row>
    <row r="196" customFormat="false" ht="15" hidden="false" customHeight="false" outlineLevel="0" collapsed="false">
      <c r="A196" s="21" t="s">
        <v>1411</v>
      </c>
      <c r="B196" s="21" t="s">
        <v>219</v>
      </c>
      <c r="C196" s="21" t="s">
        <v>1201</v>
      </c>
      <c r="D196" s="21" t="s">
        <v>1194</v>
      </c>
      <c r="E196" s="33" t="n">
        <v>45183</v>
      </c>
      <c r="F196" s="21" t="s">
        <v>1175</v>
      </c>
      <c r="G196" s="32"/>
      <c r="H196" s="21"/>
      <c r="I196" s="33"/>
      <c r="J196" s="21" t="str">
        <f aca="false">INDEX(Students!$C$2:$C$601,MATCH(B196,Students!$A$2:$A$601,0))</f>
        <v>Batch 2024</v>
      </c>
      <c r="K196" s="21" t="str">
        <f aca="false">INDEX(Students!$D$2:$D$601,MATCH(B196,Students!$A$2:$A$601,0))</f>
        <v>Data Science &amp; ML</v>
      </c>
      <c r="L196" s="21" t="str">
        <f aca="false">INDEX(Companies!$C$2:$C$31,MATCH(C196,Companies!$A$2:$A$31,0))</f>
        <v>IT Services</v>
      </c>
      <c r="M196" s="21" t="str">
        <f aca="false">INDEX(Companies!$D$2:$D$31,MATCH(C196,Companies!$A$2:$A$31,0))</f>
        <v>Tier 3</v>
      </c>
      <c r="N196" s="34" t="n">
        <f aca="false">MATCH(F196,Assumptions!$K$4:$K$8,0)</f>
        <v>1</v>
      </c>
      <c r="O196" s="21" t="str">
        <f aca="false">IF(H196="Yes",MONTH(I196),"")</f>
        <v/>
      </c>
      <c r="P196" s="21" t="str">
        <f aca="false">IF(H196="Yes",B196,"")</f>
        <v/>
      </c>
    </row>
    <row r="197" customFormat="false" ht="15" hidden="false" customHeight="false" outlineLevel="0" collapsed="false">
      <c r="A197" s="21" t="s">
        <v>1412</v>
      </c>
      <c r="B197" s="21" t="s">
        <v>243</v>
      </c>
      <c r="C197" s="21" t="s">
        <v>1183</v>
      </c>
      <c r="D197" s="21" t="s">
        <v>1243</v>
      </c>
      <c r="E197" s="33" t="n">
        <v>45183</v>
      </c>
      <c r="F197" s="21" t="s">
        <v>1197</v>
      </c>
      <c r="G197" s="32"/>
      <c r="H197" s="21"/>
      <c r="I197" s="33"/>
      <c r="J197" s="21" t="str">
        <f aca="false">INDEX(Students!$C$2:$C$601,MATCH(B197,Students!$A$2:$A$601,0))</f>
        <v>Batch 2024</v>
      </c>
      <c r="K197" s="21" t="str">
        <f aca="false">INDEX(Students!$D$2:$D$601,MATCH(B197,Students!$A$2:$A$601,0))</f>
        <v>Data Science &amp; ML</v>
      </c>
      <c r="L197" s="21" t="str">
        <f aca="false">INDEX(Companies!$C$2:$C$31,MATCH(C197,Companies!$A$2:$A$31,0))</f>
        <v>E-commerce</v>
      </c>
      <c r="M197" s="21" t="str">
        <f aca="false">INDEX(Companies!$D$2:$D$31,MATCH(C197,Companies!$A$2:$A$31,0))</f>
        <v>Tier 2</v>
      </c>
      <c r="N197" s="34" t="n">
        <f aca="false">MATCH(F197,Assumptions!$K$4:$K$8,0)</f>
        <v>3</v>
      </c>
      <c r="O197" s="21" t="str">
        <f aca="false">IF(H197="Yes",MONTH(I197),"")</f>
        <v/>
      </c>
      <c r="P197" s="21" t="str">
        <f aca="false">IF(H197="Yes",B197,"")</f>
        <v/>
      </c>
    </row>
    <row r="198" customFormat="false" ht="15" hidden="false" customHeight="false" outlineLevel="0" collapsed="false">
      <c r="A198" s="21" t="s">
        <v>1413</v>
      </c>
      <c r="B198" s="21" t="s">
        <v>332</v>
      </c>
      <c r="C198" s="21" t="s">
        <v>1230</v>
      </c>
      <c r="D198" s="21" t="s">
        <v>1226</v>
      </c>
      <c r="E198" s="33" t="n">
        <v>45183</v>
      </c>
      <c r="F198" s="21" t="s">
        <v>1218</v>
      </c>
      <c r="G198" s="32"/>
      <c r="H198" s="21"/>
      <c r="I198" s="33"/>
      <c r="J198" s="21" t="str">
        <f aca="false">INDEX(Students!$C$2:$C$601,MATCH(B198,Students!$A$2:$A$601,0))</f>
        <v>Batch 2024</v>
      </c>
      <c r="K198" s="21" t="str">
        <f aca="false">INDEX(Students!$D$2:$D$601,MATCH(B198,Students!$A$2:$A$601,0))</f>
        <v>Cybersecurity</v>
      </c>
      <c r="L198" s="21" t="str">
        <f aca="false">INDEX(Companies!$C$2:$C$31,MATCH(C198,Companies!$A$2:$A$31,0))</f>
        <v>IT Services</v>
      </c>
      <c r="M198" s="21" t="str">
        <f aca="false">INDEX(Companies!$D$2:$D$31,MATCH(C198,Companies!$A$2:$A$31,0))</f>
        <v>Tier 3</v>
      </c>
      <c r="N198" s="34" t="n">
        <f aca="false">MATCH(F198,Assumptions!$K$4:$K$8,0)</f>
        <v>4</v>
      </c>
      <c r="O198" s="21" t="str">
        <f aca="false">IF(H198="Yes",MONTH(I198),"")</f>
        <v/>
      </c>
      <c r="P198" s="21" t="str">
        <f aca="false">IF(H198="Yes",B198,"")</f>
        <v/>
      </c>
    </row>
    <row r="199" customFormat="false" ht="15" hidden="false" customHeight="false" outlineLevel="0" collapsed="false">
      <c r="A199" s="21" t="s">
        <v>1414</v>
      </c>
      <c r="B199" s="21" t="s">
        <v>127</v>
      </c>
      <c r="C199" s="21" t="s">
        <v>1290</v>
      </c>
      <c r="D199" s="21" t="s">
        <v>1191</v>
      </c>
      <c r="E199" s="33" t="n">
        <v>45183</v>
      </c>
      <c r="F199" s="21" t="s">
        <v>1175</v>
      </c>
      <c r="G199" s="32"/>
      <c r="H199" s="21"/>
      <c r="I199" s="33"/>
      <c r="J199" s="21" t="str">
        <f aca="false">INDEX(Students!$C$2:$C$601,MATCH(B199,Students!$A$2:$A$601,0))</f>
        <v>Batch 2024</v>
      </c>
      <c r="K199" s="21" t="str">
        <f aca="false">INDEX(Students!$D$2:$D$601,MATCH(B199,Students!$A$2:$A$601,0))</f>
        <v>DSA with Java</v>
      </c>
      <c r="L199" s="21" t="str">
        <f aca="false">INDEX(Companies!$C$2:$C$31,MATCH(C199,Companies!$A$2:$A$31,0))</f>
        <v>Fintech</v>
      </c>
      <c r="M199" s="21" t="str">
        <f aca="false">INDEX(Companies!$D$2:$D$31,MATCH(C199,Companies!$A$2:$A$31,0))</f>
        <v>Tier 2</v>
      </c>
      <c r="N199" s="34" t="n">
        <f aca="false">MATCH(F199,Assumptions!$K$4:$K$8,0)</f>
        <v>1</v>
      </c>
      <c r="O199" s="21" t="str">
        <f aca="false">IF(H199="Yes",MONTH(I199),"")</f>
        <v/>
      </c>
      <c r="P199" s="21" t="str">
        <f aca="false">IF(H199="Yes",B199,"")</f>
        <v/>
      </c>
    </row>
    <row r="200" customFormat="false" ht="15" hidden="false" customHeight="false" outlineLevel="0" collapsed="false">
      <c r="A200" s="21" t="s">
        <v>1415</v>
      </c>
      <c r="B200" s="21" t="s">
        <v>231</v>
      </c>
      <c r="C200" s="21" t="s">
        <v>1225</v>
      </c>
      <c r="D200" s="21" t="s">
        <v>1181</v>
      </c>
      <c r="E200" s="33" t="n">
        <v>45183</v>
      </c>
      <c r="F200" s="21" t="s">
        <v>1185</v>
      </c>
      <c r="G200" s="32" t="n">
        <v>9.2</v>
      </c>
      <c r="H200" s="21" t="s">
        <v>120</v>
      </c>
      <c r="I200" s="33" t="n">
        <v>45224</v>
      </c>
      <c r="J200" s="21" t="str">
        <f aca="false">INDEX(Students!$C$2:$C$601,MATCH(B200,Students!$A$2:$A$601,0))</f>
        <v>Batch 2024</v>
      </c>
      <c r="K200" s="21" t="str">
        <f aca="false">INDEX(Students!$D$2:$D$601,MATCH(B200,Students!$A$2:$A$601,0))</f>
        <v>Full Stack Development</v>
      </c>
      <c r="L200" s="21" t="str">
        <f aca="false">INDEX(Companies!$C$2:$C$31,MATCH(C200,Companies!$A$2:$A$31,0))</f>
        <v>EdTech</v>
      </c>
      <c r="M200" s="21" t="str">
        <f aca="false">INDEX(Companies!$D$2:$D$31,MATCH(C200,Companies!$A$2:$A$31,0))</f>
        <v>Tier 2</v>
      </c>
      <c r="N200" s="34" t="n">
        <f aca="false">MATCH(F200,Assumptions!$K$4:$K$8,0)</f>
        <v>5</v>
      </c>
      <c r="O200" s="21" t="n">
        <f aca="false">IF(H200="Yes",MONTH(I200),"")</f>
        <v>10</v>
      </c>
      <c r="P200" s="21" t="str">
        <f aca="false">IF(H200="Yes",B200,"")</f>
        <v>S0061</v>
      </c>
    </row>
    <row r="201" customFormat="false" ht="15" hidden="false" customHeight="false" outlineLevel="0" collapsed="false">
      <c r="A201" s="21" t="s">
        <v>1416</v>
      </c>
      <c r="B201" s="21" t="s">
        <v>433</v>
      </c>
      <c r="C201" s="21" t="s">
        <v>1196</v>
      </c>
      <c r="D201" s="21" t="s">
        <v>1174</v>
      </c>
      <c r="E201" s="33" t="n">
        <v>45183</v>
      </c>
      <c r="F201" s="21" t="s">
        <v>1185</v>
      </c>
      <c r="G201" s="32" t="n">
        <v>5.5</v>
      </c>
      <c r="H201" s="21" t="s">
        <v>120</v>
      </c>
      <c r="I201" s="33" t="n">
        <v>45208</v>
      </c>
      <c r="J201" s="21" t="str">
        <f aca="false">INDEX(Students!$C$2:$C$601,MATCH(B201,Students!$A$2:$A$601,0))</f>
        <v>Batch 2024</v>
      </c>
      <c r="K201" s="21" t="str">
        <f aca="false">INDEX(Students!$D$2:$D$601,MATCH(B201,Students!$A$2:$A$601,0))</f>
        <v>Full Stack Development</v>
      </c>
      <c r="L201" s="21" t="str">
        <f aca="false">INDEX(Companies!$C$2:$C$31,MATCH(C201,Companies!$A$2:$A$31,0))</f>
        <v>IT Services</v>
      </c>
      <c r="M201" s="21" t="str">
        <f aca="false">INDEX(Companies!$D$2:$D$31,MATCH(C201,Companies!$A$2:$A$31,0))</f>
        <v>Tier 3</v>
      </c>
      <c r="N201" s="34" t="n">
        <f aca="false">MATCH(F201,Assumptions!$K$4:$K$8,0)</f>
        <v>5</v>
      </c>
      <c r="O201" s="21" t="n">
        <f aca="false">IF(H201="Yes",MONTH(I201),"")</f>
        <v>10</v>
      </c>
      <c r="P201" s="21" t="str">
        <f aca="false">IF(H201="Yes",B201,"")</f>
        <v>S0168</v>
      </c>
    </row>
    <row r="202" customFormat="false" ht="15" hidden="false" customHeight="false" outlineLevel="0" collapsed="false">
      <c r="A202" s="21" t="s">
        <v>1417</v>
      </c>
      <c r="B202" s="21" t="s">
        <v>452</v>
      </c>
      <c r="C202" s="21" t="s">
        <v>1322</v>
      </c>
      <c r="D202" s="21" t="s">
        <v>1209</v>
      </c>
      <c r="E202" s="33" t="n">
        <v>45183</v>
      </c>
      <c r="F202" s="21" t="s">
        <v>1197</v>
      </c>
      <c r="G202" s="32"/>
      <c r="H202" s="21"/>
      <c r="I202" s="33"/>
      <c r="J202" s="21" t="str">
        <f aca="false">INDEX(Students!$C$2:$C$601,MATCH(B202,Students!$A$2:$A$601,0))</f>
        <v>Batch 2024</v>
      </c>
      <c r="K202" s="21" t="str">
        <f aca="false">INDEX(Students!$D$2:$D$601,MATCH(B202,Students!$A$2:$A$601,0))</f>
        <v>Data Analytics</v>
      </c>
      <c r="L202" s="21" t="str">
        <f aca="false">INDEX(Companies!$C$2:$C$31,MATCH(C202,Companies!$A$2:$A$31,0))</f>
        <v>Healthtech</v>
      </c>
      <c r="M202" s="21" t="str">
        <f aca="false">INDEX(Companies!$D$2:$D$31,MATCH(C202,Companies!$A$2:$A$31,0))</f>
        <v>Tier 2</v>
      </c>
      <c r="N202" s="34" t="n">
        <f aca="false">MATCH(F202,Assumptions!$K$4:$K$8,0)</f>
        <v>3</v>
      </c>
      <c r="O202" s="21" t="str">
        <f aca="false">IF(H202="Yes",MONTH(I202),"")</f>
        <v/>
      </c>
      <c r="P202" s="21" t="str">
        <f aca="false">IF(H202="Yes",B202,"")</f>
        <v/>
      </c>
    </row>
    <row r="203" customFormat="false" ht="15" hidden="false" customHeight="false" outlineLevel="0" collapsed="false">
      <c r="A203" s="21" t="s">
        <v>1418</v>
      </c>
      <c r="B203" s="21" t="s">
        <v>231</v>
      </c>
      <c r="C203" s="21" t="s">
        <v>1230</v>
      </c>
      <c r="D203" s="21" t="s">
        <v>1181</v>
      </c>
      <c r="E203" s="33" t="n">
        <v>45184</v>
      </c>
      <c r="F203" s="21" t="s">
        <v>1178</v>
      </c>
      <c r="G203" s="32"/>
      <c r="H203" s="21"/>
      <c r="I203" s="33"/>
      <c r="J203" s="21" t="str">
        <f aca="false">INDEX(Students!$C$2:$C$601,MATCH(B203,Students!$A$2:$A$601,0))</f>
        <v>Batch 2024</v>
      </c>
      <c r="K203" s="21" t="str">
        <f aca="false">INDEX(Students!$D$2:$D$601,MATCH(B203,Students!$A$2:$A$601,0))</f>
        <v>Full Stack Development</v>
      </c>
      <c r="L203" s="21" t="str">
        <f aca="false">INDEX(Companies!$C$2:$C$31,MATCH(C203,Companies!$A$2:$A$31,0))</f>
        <v>IT Services</v>
      </c>
      <c r="M203" s="21" t="str">
        <f aca="false">INDEX(Companies!$D$2:$D$31,MATCH(C203,Companies!$A$2:$A$31,0))</f>
        <v>Tier 3</v>
      </c>
      <c r="N203" s="34" t="n">
        <f aca="false">MATCH(F203,Assumptions!$K$4:$K$8,0)</f>
        <v>2</v>
      </c>
      <c r="O203" s="21" t="str">
        <f aca="false">IF(H203="Yes",MONTH(I203),"")</f>
        <v/>
      </c>
      <c r="P203" s="21" t="str">
        <f aca="false">IF(H203="Yes",B203,"")</f>
        <v/>
      </c>
    </row>
    <row r="204" customFormat="false" ht="15" hidden="false" customHeight="false" outlineLevel="0" collapsed="false">
      <c r="A204" s="21" t="s">
        <v>1419</v>
      </c>
      <c r="B204" s="21" t="s">
        <v>189</v>
      </c>
      <c r="C204" s="21" t="s">
        <v>1180</v>
      </c>
      <c r="D204" s="21" t="s">
        <v>1174</v>
      </c>
      <c r="E204" s="33" t="n">
        <v>45184</v>
      </c>
      <c r="F204" s="21" t="s">
        <v>1185</v>
      </c>
      <c r="G204" s="32" t="n">
        <v>5.9</v>
      </c>
      <c r="H204" s="21" t="s">
        <v>113</v>
      </c>
      <c r="I204" s="33" t="n">
        <v>45221</v>
      </c>
      <c r="J204" s="21" t="str">
        <f aca="false">INDEX(Students!$C$2:$C$601,MATCH(B204,Students!$A$2:$A$601,0))</f>
        <v>Batch 2024</v>
      </c>
      <c r="K204" s="21" t="str">
        <f aca="false">INDEX(Students!$D$2:$D$601,MATCH(B204,Students!$A$2:$A$601,0))</f>
        <v>Full Stack Development</v>
      </c>
      <c r="L204" s="21" t="str">
        <f aca="false">INDEX(Companies!$C$2:$C$31,MATCH(C204,Companies!$A$2:$A$31,0))</f>
        <v>IT Services</v>
      </c>
      <c r="M204" s="21" t="str">
        <f aca="false">INDEX(Companies!$D$2:$D$31,MATCH(C204,Companies!$A$2:$A$31,0))</f>
        <v>Tier 3</v>
      </c>
      <c r="N204" s="34" t="n">
        <f aca="false">MATCH(F204,Assumptions!$K$4:$K$8,0)</f>
        <v>5</v>
      </c>
      <c r="O204" s="21" t="str">
        <f aca="false">IF(H204="Yes",MONTH(I204),"")</f>
        <v/>
      </c>
      <c r="P204" s="21" t="str">
        <f aca="false">IF(H204="Yes",B204,"")</f>
        <v/>
      </c>
    </row>
    <row r="205" customFormat="false" ht="15" hidden="false" customHeight="false" outlineLevel="0" collapsed="false">
      <c r="A205" s="21" t="s">
        <v>1420</v>
      </c>
      <c r="B205" s="21" t="s">
        <v>299</v>
      </c>
      <c r="C205" s="21" t="s">
        <v>1205</v>
      </c>
      <c r="D205" s="21" t="s">
        <v>1209</v>
      </c>
      <c r="E205" s="33" t="n">
        <v>45184</v>
      </c>
      <c r="F205" s="21" t="s">
        <v>1175</v>
      </c>
      <c r="G205" s="32"/>
      <c r="H205" s="21"/>
      <c r="I205" s="33"/>
      <c r="J205" s="21" t="str">
        <f aca="false">INDEX(Students!$C$2:$C$601,MATCH(B205,Students!$A$2:$A$601,0))</f>
        <v>Batch 2024</v>
      </c>
      <c r="K205" s="21" t="str">
        <f aca="false">INDEX(Students!$D$2:$D$601,MATCH(B205,Students!$A$2:$A$601,0))</f>
        <v>Data Analytics</v>
      </c>
      <c r="L205" s="21" t="str">
        <f aca="false">INDEX(Companies!$C$2:$C$31,MATCH(C205,Companies!$A$2:$A$31,0))</f>
        <v>Healthtech</v>
      </c>
      <c r="M205" s="21" t="str">
        <f aca="false">INDEX(Companies!$D$2:$D$31,MATCH(C205,Companies!$A$2:$A$31,0))</f>
        <v>Tier 3</v>
      </c>
      <c r="N205" s="34" t="n">
        <f aca="false">MATCH(F205,Assumptions!$K$4:$K$8,0)</f>
        <v>1</v>
      </c>
      <c r="O205" s="21" t="str">
        <f aca="false">IF(H205="Yes",MONTH(I205),"")</f>
        <v/>
      </c>
      <c r="P205" s="21" t="str">
        <f aca="false">IF(H205="Yes",B205,"")</f>
        <v/>
      </c>
    </row>
    <row r="206" customFormat="false" ht="15" hidden="false" customHeight="false" outlineLevel="0" collapsed="false">
      <c r="A206" s="21" t="s">
        <v>1421</v>
      </c>
      <c r="B206" s="21" t="s">
        <v>395</v>
      </c>
      <c r="C206" s="21" t="s">
        <v>1230</v>
      </c>
      <c r="D206" s="21" t="s">
        <v>1184</v>
      </c>
      <c r="E206" s="33" t="n">
        <v>45184</v>
      </c>
      <c r="F206" s="21" t="s">
        <v>1185</v>
      </c>
      <c r="G206" s="32" t="n">
        <v>5.7</v>
      </c>
      <c r="H206" s="21" t="s">
        <v>120</v>
      </c>
      <c r="I206" s="33" t="n">
        <v>45232</v>
      </c>
      <c r="J206" s="21" t="str">
        <f aca="false">INDEX(Students!$C$2:$C$601,MATCH(B206,Students!$A$2:$A$601,0))</f>
        <v>Batch 2024</v>
      </c>
      <c r="K206" s="21" t="str">
        <f aca="false">INDEX(Students!$D$2:$D$601,MATCH(B206,Students!$A$2:$A$601,0))</f>
        <v>DSA with Java</v>
      </c>
      <c r="L206" s="21" t="str">
        <f aca="false">INDEX(Companies!$C$2:$C$31,MATCH(C206,Companies!$A$2:$A$31,0))</f>
        <v>IT Services</v>
      </c>
      <c r="M206" s="21" t="str">
        <f aca="false">INDEX(Companies!$D$2:$D$31,MATCH(C206,Companies!$A$2:$A$31,0))</f>
        <v>Tier 3</v>
      </c>
      <c r="N206" s="34" t="n">
        <f aca="false">MATCH(F206,Assumptions!$K$4:$K$8,0)</f>
        <v>5</v>
      </c>
      <c r="O206" s="21" t="n">
        <f aca="false">IF(H206="Yes",MONTH(I206),"")</f>
        <v>11</v>
      </c>
      <c r="P206" s="21" t="str">
        <f aca="false">IF(H206="Yes",B206,"")</f>
        <v>S0147</v>
      </c>
    </row>
    <row r="207" customFormat="false" ht="15" hidden="false" customHeight="false" outlineLevel="0" collapsed="false">
      <c r="A207" s="21" t="s">
        <v>1422</v>
      </c>
      <c r="B207" s="21" t="s">
        <v>283</v>
      </c>
      <c r="C207" s="21" t="s">
        <v>1255</v>
      </c>
      <c r="D207" s="21" t="s">
        <v>1191</v>
      </c>
      <c r="E207" s="33" t="n">
        <v>45184</v>
      </c>
      <c r="F207" s="21" t="s">
        <v>1218</v>
      </c>
      <c r="G207" s="32"/>
      <c r="H207" s="21"/>
      <c r="I207" s="33"/>
      <c r="J207" s="21" t="str">
        <f aca="false">INDEX(Students!$C$2:$C$601,MATCH(B207,Students!$A$2:$A$601,0))</f>
        <v>Batch 2024</v>
      </c>
      <c r="K207" s="21" t="str">
        <f aca="false">INDEX(Students!$D$2:$D$601,MATCH(B207,Students!$A$2:$A$601,0))</f>
        <v>DSA with Java</v>
      </c>
      <c r="L207" s="21" t="str">
        <f aca="false">INDEX(Companies!$C$2:$C$31,MATCH(C207,Companies!$A$2:$A$31,0))</f>
        <v>IT Services</v>
      </c>
      <c r="M207" s="21" t="str">
        <f aca="false">INDEX(Companies!$D$2:$D$31,MATCH(C207,Companies!$A$2:$A$31,0))</f>
        <v>Tier 3</v>
      </c>
      <c r="N207" s="34" t="n">
        <f aca="false">MATCH(F207,Assumptions!$K$4:$K$8,0)</f>
        <v>4</v>
      </c>
      <c r="O207" s="21" t="str">
        <f aca="false">IF(H207="Yes",MONTH(I207),"")</f>
        <v/>
      </c>
      <c r="P207" s="21" t="str">
        <f aca="false">IF(H207="Yes",B207,"")</f>
        <v/>
      </c>
    </row>
    <row r="208" customFormat="false" ht="15" hidden="false" customHeight="false" outlineLevel="0" collapsed="false">
      <c r="A208" s="21" t="s">
        <v>1423</v>
      </c>
      <c r="B208" s="21" t="s">
        <v>454</v>
      </c>
      <c r="C208" s="21" t="s">
        <v>1298</v>
      </c>
      <c r="D208" s="21" t="s">
        <v>1209</v>
      </c>
      <c r="E208" s="33" t="n">
        <v>45184</v>
      </c>
      <c r="F208" s="21" t="s">
        <v>1218</v>
      </c>
      <c r="G208" s="32"/>
      <c r="H208" s="21"/>
      <c r="I208" s="33"/>
      <c r="J208" s="21" t="str">
        <f aca="false">INDEX(Students!$C$2:$C$601,MATCH(B208,Students!$A$2:$A$601,0))</f>
        <v>Batch 2024</v>
      </c>
      <c r="K208" s="21" t="str">
        <f aca="false">INDEX(Students!$D$2:$D$601,MATCH(B208,Students!$A$2:$A$601,0))</f>
        <v>Data Analytics</v>
      </c>
      <c r="L208" s="21" t="str">
        <f aca="false">INDEX(Companies!$C$2:$C$31,MATCH(C208,Companies!$A$2:$A$31,0))</f>
        <v>Fintech</v>
      </c>
      <c r="M208" s="21" t="str">
        <f aca="false">INDEX(Companies!$D$2:$D$31,MATCH(C208,Companies!$A$2:$A$31,0))</f>
        <v>Tier 2</v>
      </c>
      <c r="N208" s="34" t="n">
        <f aca="false">MATCH(F208,Assumptions!$K$4:$K$8,0)</f>
        <v>4</v>
      </c>
      <c r="O208" s="21" t="str">
        <f aca="false">IF(H208="Yes",MONTH(I208),"")</f>
        <v/>
      </c>
      <c r="P208" s="21" t="str">
        <f aca="false">IF(H208="Yes",B208,"")</f>
        <v/>
      </c>
    </row>
    <row r="209" customFormat="false" ht="15" hidden="false" customHeight="false" outlineLevel="0" collapsed="false">
      <c r="A209" s="21" t="s">
        <v>1424</v>
      </c>
      <c r="B209" s="21" t="s">
        <v>431</v>
      </c>
      <c r="C209" s="21" t="s">
        <v>1177</v>
      </c>
      <c r="D209" s="21" t="s">
        <v>1243</v>
      </c>
      <c r="E209" s="33" t="n">
        <v>45184</v>
      </c>
      <c r="F209" s="21" t="s">
        <v>1178</v>
      </c>
      <c r="G209" s="32"/>
      <c r="H209" s="21"/>
      <c r="I209" s="33"/>
      <c r="J209" s="21" t="str">
        <f aca="false">INDEX(Students!$C$2:$C$601,MATCH(B209,Students!$A$2:$A$601,0))</f>
        <v>Batch 2024</v>
      </c>
      <c r="K209" s="21" t="str">
        <f aca="false">INDEX(Students!$D$2:$D$601,MATCH(B209,Students!$A$2:$A$601,0))</f>
        <v>Data Science &amp; ML</v>
      </c>
      <c r="L209" s="21" t="str">
        <f aca="false">INDEX(Companies!$C$2:$C$31,MATCH(C209,Companies!$A$2:$A$31,0))</f>
        <v>IT Services</v>
      </c>
      <c r="M209" s="21" t="str">
        <f aca="false">INDEX(Companies!$D$2:$D$31,MATCH(C209,Companies!$A$2:$A$31,0))</f>
        <v>Tier 3</v>
      </c>
      <c r="N209" s="34" t="n">
        <f aca="false">MATCH(F209,Assumptions!$K$4:$K$8,0)</f>
        <v>2</v>
      </c>
      <c r="O209" s="21" t="str">
        <f aca="false">IF(H209="Yes",MONTH(I209),"")</f>
        <v/>
      </c>
      <c r="P209" s="21" t="str">
        <f aca="false">IF(H209="Yes",B209,"")</f>
        <v/>
      </c>
    </row>
    <row r="210" customFormat="false" ht="15" hidden="false" customHeight="false" outlineLevel="0" collapsed="false">
      <c r="A210" s="21" t="s">
        <v>1425</v>
      </c>
      <c r="B210" s="21" t="s">
        <v>279</v>
      </c>
      <c r="C210" s="21" t="s">
        <v>1230</v>
      </c>
      <c r="D210" s="21" t="s">
        <v>1226</v>
      </c>
      <c r="E210" s="33" t="n">
        <v>45184</v>
      </c>
      <c r="F210" s="21" t="s">
        <v>1185</v>
      </c>
      <c r="G210" s="32" t="n">
        <v>6.4</v>
      </c>
      <c r="H210" s="21" t="s">
        <v>120</v>
      </c>
      <c r="I210" s="33" t="n">
        <v>45223</v>
      </c>
      <c r="J210" s="21" t="str">
        <f aca="false">INDEX(Students!$C$2:$C$601,MATCH(B210,Students!$A$2:$A$601,0))</f>
        <v>Batch 2024</v>
      </c>
      <c r="K210" s="21" t="str">
        <f aca="false">INDEX(Students!$D$2:$D$601,MATCH(B210,Students!$A$2:$A$601,0))</f>
        <v>Cybersecurity</v>
      </c>
      <c r="L210" s="21" t="str">
        <f aca="false">INDEX(Companies!$C$2:$C$31,MATCH(C210,Companies!$A$2:$A$31,0))</f>
        <v>IT Services</v>
      </c>
      <c r="M210" s="21" t="str">
        <f aca="false">INDEX(Companies!$D$2:$D$31,MATCH(C210,Companies!$A$2:$A$31,0))</f>
        <v>Tier 3</v>
      </c>
      <c r="N210" s="34" t="n">
        <f aca="false">MATCH(F210,Assumptions!$K$4:$K$8,0)</f>
        <v>5</v>
      </c>
      <c r="O210" s="21" t="n">
        <f aca="false">IF(H210="Yes",MONTH(I210),"")</f>
        <v>10</v>
      </c>
      <c r="P210" s="21" t="str">
        <f aca="false">IF(H210="Yes",B210,"")</f>
        <v>S0086</v>
      </c>
    </row>
    <row r="211" customFormat="false" ht="15" hidden="false" customHeight="false" outlineLevel="0" collapsed="false">
      <c r="A211" s="21" t="s">
        <v>1426</v>
      </c>
      <c r="B211" s="21" t="s">
        <v>307</v>
      </c>
      <c r="C211" s="21" t="s">
        <v>1225</v>
      </c>
      <c r="D211" s="21" t="s">
        <v>1174</v>
      </c>
      <c r="E211" s="33" t="n">
        <v>45184</v>
      </c>
      <c r="F211" s="21" t="s">
        <v>1178</v>
      </c>
      <c r="G211" s="32"/>
      <c r="H211" s="21"/>
      <c r="I211" s="33"/>
      <c r="J211" s="21" t="str">
        <f aca="false">INDEX(Students!$C$2:$C$601,MATCH(B211,Students!$A$2:$A$601,0))</f>
        <v>Batch 2024</v>
      </c>
      <c r="K211" s="21" t="str">
        <f aca="false">INDEX(Students!$D$2:$D$601,MATCH(B211,Students!$A$2:$A$601,0))</f>
        <v>Full Stack Development</v>
      </c>
      <c r="L211" s="21" t="str">
        <f aca="false">INDEX(Companies!$C$2:$C$31,MATCH(C211,Companies!$A$2:$A$31,0))</f>
        <v>EdTech</v>
      </c>
      <c r="M211" s="21" t="str">
        <f aca="false">INDEX(Companies!$D$2:$D$31,MATCH(C211,Companies!$A$2:$A$31,0))</f>
        <v>Tier 2</v>
      </c>
      <c r="N211" s="34" t="n">
        <f aca="false">MATCH(F211,Assumptions!$K$4:$K$8,0)</f>
        <v>2</v>
      </c>
      <c r="O211" s="21" t="str">
        <f aca="false">IF(H211="Yes",MONTH(I211),"")</f>
        <v/>
      </c>
      <c r="P211" s="21" t="str">
        <f aca="false">IF(H211="Yes",B211,"")</f>
        <v/>
      </c>
    </row>
    <row r="212" customFormat="false" ht="15" hidden="false" customHeight="false" outlineLevel="0" collapsed="false">
      <c r="A212" s="21" t="s">
        <v>1427</v>
      </c>
      <c r="B212" s="21" t="s">
        <v>301</v>
      </c>
      <c r="C212" s="21" t="s">
        <v>1255</v>
      </c>
      <c r="D212" s="21" t="s">
        <v>1181</v>
      </c>
      <c r="E212" s="33" t="n">
        <v>45184</v>
      </c>
      <c r="F212" s="21" t="s">
        <v>1185</v>
      </c>
      <c r="G212" s="32" t="n">
        <v>6.5</v>
      </c>
      <c r="H212" s="21" t="s">
        <v>113</v>
      </c>
      <c r="I212" s="33" t="n">
        <v>45210</v>
      </c>
      <c r="J212" s="21" t="str">
        <f aca="false">INDEX(Students!$C$2:$C$601,MATCH(B212,Students!$A$2:$A$601,0))</f>
        <v>Batch 2024</v>
      </c>
      <c r="K212" s="21" t="str">
        <f aca="false">INDEX(Students!$D$2:$D$601,MATCH(B212,Students!$A$2:$A$601,0))</f>
        <v>Full Stack Development</v>
      </c>
      <c r="L212" s="21" t="str">
        <f aca="false">INDEX(Companies!$C$2:$C$31,MATCH(C212,Companies!$A$2:$A$31,0))</f>
        <v>IT Services</v>
      </c>
      <c r="M212" s="21" t="str">
        <f aca="false">INDEX(Companies!$D$2:$D$31,MATCH(C212,Companies!$A$2:$A$31,0))</f>
        <v>Tier 3</v>
      </c>
      <c r="N212" s="34" t="n">
        <f aca="false">MATCH(F212,Assumptions!$K$4:$K$8,0)</f>
        <v>5</v>
      </c>
      <c r="O212" s="21" t="str">
        <f aca="false">IF(H212="Yes",MONTH(I212),"")</f>
        <v/>
      </c>
      <c r="P212" s="21" t="str">
        <f aca="false">IF(H212="Yes",B212,"")</f>
        <v/>
      </c>
    </row>
    <row r="213" customFormat="false" ht="15" hidden="false" customHeight="false" outlineLevel="0" collapsed="false">
      <c r="A213" s="21" t="s">
        <v>1428</v>
      </c>
      <c r="B213" s="21" t="s">
        <v>339</v>
      </c>
      <c r="C213" s="21" t="s">
        <v>1187</v>
      </c>
      <c r="D213" s="21" t="s">
        <v>1226</v>
      </c>
      <c r="E213" s="33" t="n">
        <v>45185</v>
      </c>
      <c r="F213" s="21" t="s">
        <v>1218</v>
      </c>
      <c r="G213" s="32"/>
      <c r="H213" s="21"/>
      <c r="I213" s="33"/>
      <c r="J213" s="21" t="str">
        <f aca="false">INDEX(Students!$C$2:$C$601,MATCH(B213,Students!$A$2:$A$601,0))</f>
        <v>Batch 2024</v>
      </c>
      <c r="K213" s="21" t="str">
        <f aca="false">INDEX(Students!$D$2:$D$601,MATCH(B213,Students!$A$2:$A$601,0))</f>
        <v>Cybersecurity</v>
      </c>
      <c r="L213" s="21" t="str">
        <f aca="false">INDEX(Companies!$C$2:$C$31,MATCH(C213,Companies!$A$2:$A$31,0))</f>
        <v>Product</v>
      </c>
      <c r="M213" s="21" t="str">
        <f aca="false">INDEX(Companies!$D$2:$D$31,MATCH(C213,Companies!$A$2:$A$31,0))</f>
        <v>Tier 1</v>
      </c>
      <c r="N213" s="34" t="n">
        <f aca="false">MATCH(F213,Assumptions!$K$4:$K$8,0)</f>
        <v>4</v>
      </c>
      <c r="O213" s="21" t="str">
        <f aca="false">IF(H213="Yes",MONTH(I213),"")</f>
        <v/>
      </c>
      <c r="P213" s="21" t="str">
        <f aca="false">IF(H213="Yes",B213,"")</f>
        <v/>
      </c>
    </row>
    <row r="214" customFormat="false" ht="15" hidden="false" customHeight="false" outlineLevel="0" collapsed="false">
      <c r="A214" s="21" t="s">
        <v>1429</v>
      </c>
      <c r="B214" s="21" t="s">
        <v>414</v>
      </c>
      <c r="C214" s="21" t="s">
        <v>1205</v>
      </c>
      <c r="D214" s="21" t="s">
        <v>1181</v>
      </c>
      <c r="E214" s="33" t="n">
        <v>45185</v>
      </c>
      <c r="F214" s="21" t="s">
        <v>1218</v>
      </c>
      <c r="G214" s="32"/>
      <c r="H214" s="21"/>
      <c r="I214" s="33"/>
      <c r="J214" s="21" t="str">
        <f aca="false">INDEX(Students!$C$2:$C$601,MATCH(B214,Students!$A$2:$A$601,0))</f>
        <v>Batch 2024</v>
      </c>
      <c r="K214" s="21" t="str">
        <f aca="false">INDEX(Students!$D$2:$D$601,MATCH(B214,Students!$A$2:$A$601,0))</f>
        <v>Full Stack Development</v>
      </c>
      <c r="L214" s="21" t="str">
        <f aca="false">INDEX(Companies!$C$2:$C$31,MATCH(C214,Companies!$A$2:$A$31,0))</f>
        <v>Healthtech</v>
      </c>
      <c r="M214" s="21" t="str">
        <f aca="false">INDEX(Companies!$D$2:$D$31,MATCH(C214,Companies!$A$2:$A$31,0))</f>
        <v>Tier 3</v>
      </c>
      <c r="N214" s="34" t="n">
        <f aca="false">MATCH(F214,Assumptions!$K$4:$K$8,0)</f>
        <v>4</v>
      </c>
      <c r="O214" s="21" t="str">
        <f aca="false">IF(H214="Yes",MONTH(I214),"")</f>
        <v/>
      </c>
      <c r="P214" s="21" t="str">
        <f aca="false">IF(H214="Yes",B214,"")</f>
        <v/>
      </c>
    </row>
    <row r="215" customFormat="false" ht="15" hidden="false" customHeight="false" outlineLevel="0" collapsed="false">
      <c r="A215" s="21" t="s">
        <v>1430</v>
      </c>
      <c r="B215" s="21" t="s">
        <v>147</v>
      </c>
      <c r="C215" s="21" t="s">
        <v>1205</v>
      </c>
      <c r="D215" s="21" t="s">
        <v>1191</v>
      </c>
      <c r="E215" s="33" t="n">
        <v>45185</v>
      </c>
      <c r="F215" s="21" t="s">
        <v>1197</v>
      </c>
      <c r="G215" s="32"/>
      <c r="H215" s="21"/>
      <c r="I215" s="33"/>
      <c r="J215" s="21" t="str">
        <f aca="false">INDEX(Students!$C$2:$C$601,MATCH(B215,Students!$A$2:$A$601,0))</f>
        <v>Batch 2024</v>
      </c>
      <c r="K215" s="21" t="str">
        <f aca="false">INDEX(Students!$D$2:$D$601,MATCH(B215,Students!$A$2:$A$601,0))</f>
        <v>DSA with Java</v>
      </c>
      <c r="L215" s="21" t="str">
        <f aca="false">INDEX(Companies!$C$2:$C$31,MATCH(C215,Companies!$A$2:$A$31,0))</f>
        <v>Healthtech</v>
      </c>
      <c r="M215" s="21" t="str">
        <f aca="false">INDEX(Companies!$D$2:$D$31,MATCH(C215,Companies!$A$2:$A$31,0))</f>
        <v>Tier 3</v>
      </c>
      <c r="N215" s="34" t="n">
        <f aca="false">MATCH(F215,Assumptions!$K$4:$K$8,0)</f>
        <v>3</v>
      </c>
      <c r="O215" s="21" t="str">
        <f aca="false">IF(H215="Yes",MONTH(I215),"")</f>
        <v/>
      </c>
      <c r="P215" s="21" t="str">
        <f aca="false">IF(H215="Yes",B215,"")</f>
        <v/>
      </c>
    </row>
    <row r="216" customFormat="false" ht="15" hidden="false" customHeight="false" outlineLevel="0" collapsed="false">
      <c r="A216" s="21" t="s">
        <v>1431</v>
      </c>
      <c r="B216" s="21" t="s">
        <v>262</v>
      </c>
      <c r="C216" s="21" t="s">
        <v>1309</v>
      </c>
      <c r="D216" s="21" t="s">
        <v>1226</v>
      </c>
      <c r="E216" s="33" t="n">
        <v>45185</v>
      </c>
      <c r="F216" s="21" t="s">
        <v>1175</v>
      </c>
      <c r="G216" s="32"/>
      <c r="H216" s="21"/>
      <c r="I216" s="33"/>
      <c r="J216" s="21" t="str">
        <f aca="false">INDEX(Students!$C$2:$C$601,MATCH(B216,Students!$A$2:$A$601,0))</f>
        <v>Batch 2024</v>
      </c>
      <c r="K216" s="21" t="str">
        <f aca="false">INDEX(Students!$D$2:$D$601,MATCH(B216,Students!$A$2:$A$601,0))</f>
        <v>Cybersecurity</v>
      </c>
      <c r="L216" s="21" t="str">
        <f aca="false">INDEX(Companies!$C$2:$C$31,MATCH(C216,Companies!$A$2:$A$31,0))</f>
        <v>EdTech</v>
      </c>
      <c r="M216" s="21" t="str">
        <f aca="false">INDEX(Companies!$D$2:$D$31,MATCH(C216,Companies!$A$2:$A$31,0))</f>
        <v>Tier 2</v>
      </c>
      <c r="N216" s="34" t="n">
        <f aca="false">MATCH(F216,Assumptions!$K$4:$K$8,0)</f>
        <v>1</v>
      </c>
      <c r="O216" s="21" t="str">
        <f aca="false">IF(H216="Yes",MONTH(I216),"")</f>
        <v/>
      </c>
      <c r="P216" s="21" t="str">
        <f aca="false">IF(H216="Yes",B216,"")</f>
        <v/>
      </c>
    </row>
    <row r="217" customFormat="false" ht="15" hidden="false" customHeight="false" outlineLevel="0" collapsed="false">
      <c r="A217" s="21" t="s">
        <v>1432</v>
      </c>
      <c r="B217" s="21" t="s">
        <v>279</v>
      </c>
      <c r="C217" s="21" t="s">
        <v>1239</v>
      </c>
      <c r="D217" s="21" t="s">
        <v>1226</v>
      </c>
      <c r="E217" s="33" t="n">
        <v>45185</v>
      </c>
      <c r="F217" s="21" t="s">
        <v>1218</v>
      </c>
      <c r="G217" s="32"/>
      <c r="H217" s="21"/>
      <c r="I217" s="33"/>
      <c r="J217" s="21" t="str">
        <f aca="false">INDEX(Students!$C$2:$C$601,MATCH(B217,Students!$A$2:$A$601,0))</f>
        <v>Batch 2024</v>
      </c>
      <c r="K217" s="21" t="str">
        <f aca="false">INDEX(Students!$D$2:$D$601,MATCH(B217,Students!$A$2:$A$601,0))</f>
        <v>Cybersecurity</v>
      </c>
      <c r="L217" s="21" t="str">
        <f aca="false">INDEX(Companies!$C$2:$C$31,MATCH(C217,Companies!$A$2:$A$31,0))</f>
        <v>E-commerce</v>
      </c>
      <c r="M217" s="21" t="str">
        <f aca="false">INDEX(Companies!$D$2:$D$31,MATCH(C217,Companies!$A$2:$A$31,0))</f>
        <v>Tier 3</v>
      </c>
      <c r="N217" s="34" t="n">
        <f aca="false">MATCH(F217,Assumptions!$K$4:$K$8,0)</f>
        <v>4</v>
      </c>
      <c r="O217" s="21" t="str">
        <f aca="false">IF(H217="Yes",MONTH(I217),"")</f>
        <v/>
      </c>
      <c r="P217" s="21" t="str">
        <f aca="false">IF(H217="Yes",B217,"")</f>
        <v/>
      </c>
    </row>
    <row r="218" customFormat="false" ht="15" hidden="false" customHeight="false" outlineLevel="0" collapsed="false">
      <c r="A218" s="21" t="s">
        <v>1433</v>
      </c>
      <c r="B218" s="21" t="s">
        <v>205</v>
      </c>
      <c r="C218" s="21" t="s">
        <v>1190</v>
      </c>
      <c r="D218" s="21" t="s">
        <v>1209</v>
      </c>
      <c r="E218" s="33" t="n">
        <v>45186</v>
      </c>
      <c r="F218" s="21" t="s">
        <v>1178</v>
      </c>
      <c r="G218" s="32"/>
      <c r="H218" s="21"/>
      <c r="I218" s="33"/>
      <c r="J218" s="21" t="str">
        <f aca="false">INDEX(Students!$C$2:$C$601,MATCH(B218,Students!$A$2:$A$601,0))</f>
        <v>Batch 2024</v>
      </c>
      <c r="K218" s="21" t="str">
        <f aca="false">INDEX(Students!$D$2:$D$601,MATCH(B218,Students!$A$2:$A$601,0))</f>
        <v>Data Analytics</v>
      </c>
      <c r="L218" s="21" t="str">
        <f aca="false">INDEX(Companies!$C$2:$C$31,MATCH(C218,Companies!$A$2:$A$31,0))</f>
        <v>Analytics &amp; Consulting</v>
      </c>
      <c r="M218" s="21" t="str">
        <f aca="false">INDEX(Companies!$D$2:$D$31,MATCH(C218,Companies!$A$2:$A$31,0))</f>
        <v>Tier 1</v>
      </c>
      <c r="N218" s="34" t="n">
        <f aca="false">MATCH(F218,Assumptions!$K$4:$K$8,0)</f>
        <v>2</v>
      </c>
      <c r="O218" s="21" t="str">
        <f aca="false">IF(H218="Yes",MONTH(I218),"")</f>
        <v/>
      </c>
      <c r="P218" s="21" t="str">
        <f aca="false">IF(H218="Yes",B218,"")</f>
        <v/>
      </c>
    </row>
    <row r="219" customFormat="false" ht="15" hidden="false" customHeight="false" outlineLevel="0" collapsed="false">
      <c r="A219" s="21" t="s">
        <v>1434</v>
      </c>
      <c r="B219" s="21" t="s">
        <v>368</v>
      </c>
      <c r="C219" s="21" t="s">
        <v>1234</v>
      </c>
      <c r="D219" s="21" t="s">
        <v>1188</v>
      </c>
      <c r="E219" s="33" t="n">
        <v>45186</v>
      </c>
      <c r="F219" s="21" t="s">
        <v>1185</v>
      </c>
      <c r="G219" s="32" t="n">
        <v>6.1</v>
      </c>
      <c r="H219" s="21" t="s">
        <v>113</v>
      </c>
      <c r="I219" s="33" t="n">
        <v>45237</v>
      </c>
      <c r="J219" s="21" t="str">
        <f aca="false">INDEX(Students!$C$2:$C$601,MATCH(B219,Students!$A$2:$A$601,0))</f>
        <v>Batch 2024</v>
      </c>
      <c r="K219" s="21" t="str">
        <f aca="false">INDEX(Students!$D$2:$D$601,MATCH(B219,Students!$A$2:$A$601,0))</f>
        <v>Data Analytics</v>
      </c>
      <c r="L219" s="21" t="str">
        <f aca="false">INDEX(Companies!$C$2:$C$31,MATCH(C219,Companies!$A$2:$A$31,0))</f>
        <v>EdTech</v>
      </c>
      <c r="M219" s="21" t="str">
        <f aca="false">INDEX(Companies!$D$2:$D$31,MATCH(C219,Companies!$A$2:$A$31,0))</f>
        <v>Tier 3</v>
      </c>
      <c r="N219" s="34" t="n">
        <f aca="false">MATCH(F219,Assumptions!$K$4:$K$8,0)</f>
        <v>5</v>
      </c>
      <c r="O219" s="21" t="str">
        <f aca="false">IF(H219="Yes",MONTH(I219),"")</f>
        <v/>
      </c>
      <c r="P219" s="21" t="str">
        <f aca="false">IF(H219="Yes",B219,"")</f>
        <v/>
      </c>
    </row>
    <row r="220" customFormat="false" ht="15" hidden="false" customHeight="false" outlineLevel="0" collapsed="false">
      <c r="A220" s="21" t="s">
        <v>1435</v>
      </c>
      <c r="B220" s="21" t="s">
        <v>341</v>
      </c>
      <c r="C220" s="21" t="s">
        <v>1193</v>
      </c>
      <c r="D220" s="21" t="s">
        <v>1188</v>
      </c>
      <c r="E220" s="33" t="n">
        <v>45186</v>
      </c>
      <c r="F220" s="21" t="s">
        <v>1185</v>
      </c>
      <c r="G220" s="32" t="n">
        <v>11.4</v>
      </c>
      <c r="H220" s="21" t="s">
        <v>120</v>
      </c>
      <c r="I220" s="33" t="n">
        <v>45234</v>
      </c>
      <c r="J220" s="21" t="str">
        <f aca="false">INDEX(Students!$C$2:$C$601,MATCH(B220,Students!$A$2:$A$601,0))</f>
        <v>Batch 2024</v>
      </c>
      <c r="K220" s="21" t="str">
        <f aca="false">INDEX(Students!$D$2:$D$601,MATCH(B220,Students!$A$2:$A$601,0))</f>
        <v>Data Analytics</v>
      </c>
      <c r="L220" s="21" t="str">
        <f aca="false">INDEX(Companies!$C$2:$C$31,MATCH(C220,Companies!$A$2:$A$31,0))</f>
        <v>Analytics &amp; Consulting</v>
      </c>
      <c r="M220" s="21" t="str">
        <f aca="false">INDEX(Companies!$D$2:$D$31,MATCH(C220,Companies!$A$2:$A$31,0))</f>
        <v>Tier 2</v>
      </c>
      <c r="N220" s="34" t="n">
        <f aca="false">MATCH(F220,Assumptions!$K$4:$K$8,0)</f>
        <v>5</v>
      </c>
      <c r="O220" s="21" t="n">
        <f aca="false">IF(H220="Yes",MONTH(I220),"")</f>
        <v>11</v>
      </c>
      <c r="P220" s="21" t="str">
        <f aca="false">IF(H220="Yes",B220,"")</f>
        <v>S0118</v>
      </c>
    </row>
    <row r="221" customFormat="false" ht="15" hidden="false" customHeight="false" outlineLevel="0" collapsed="false">
      <c r="A221" s="21" t="s">
        <v>1436</v>
      </c>
      <c r="B221" s="21" t="s">
        <v>233</v>
      </c>
      <c r="C221" s="21" t="s">
        <v>1214</v>
      </c>
      <c r="D221" s="21" t="s">
        <v>1174</v>
      </c>
      <c r="E221" s="33" t="n">
        <v>45186</v>
      </c>
      <c r="F221" s="21" t="s">
        <v>1175</v>
      </c>
      <c r="G221" s="32"/>
      <c r="H221" s="21"/>
      <c r="I221" s="33"/>
      <c r="J221" s="21" t="str">
        <f aca="false">INDEX(Students!$C$2:$C$601,MATCH(B221,Students!$A$2:$A$601,0))</f>
        <v>Batch 2024</v>
      </c>
      <c r="K221" s="21" t="str">
        <f aca="false">INDEX(Students!$D$2:$D$601,MATCH(B221,Students!$A$2:$A$601,0))</f>
        <v>Full Stack Development</v>
      </c>
      <c r="L221" s="21" t="str">
        <f aca="false">INDEX(Companies!$C$2:$C$31,MATCH(C221,Companies!$A$2:$A$31,0))</f>
        <v>Product</v>
      </c>
      <c r="M221" s="21" t="str">
        <f aca="false">INDEX(Companies!$D$2:$D$31,MATCH(C221,Companies!$A$2:$A$31,0))</f>
        <v>Tier 1</v>
      </c>
      <c r="N221" s="34" t="n">
        <f aca="false">MATCH(F221,Assumptions!$K$4:$K$8,0)</f>
        <v>1</v>
      </c>
      <c r="O221" s="21" t="str">
        <f aca="false">IF(H221="Yes",MONTH(I221),"")</f>
        <v/>
      </c>
      <c r="P221" s="21" t="str">
        <f aca="false">IF(H221="Yes",B221,"")</f>
        <v/>
      </c>
    </row>
    <row r="222" customFormat="false" ht="15" hidden="false" customHeight="false" outlineLevel="0" collapsed="false">
      <c r="A222" s="21" t="s">
        <v>1437</v>
      </c>
      <c r="B222" s="21" t="s">
        <v>209</v>
      </c>
      <c r="C222" s="21" t="s">
        <v>1180</v>
      </c>
      <c r="D222" s="21" t="s">
        <v>1240</v>
      </c>
      <c r="E222" s="33" t="n">
        <v>45187</v>
      </c>
      <c r="F222" s="21" t="s">
        <v>1175</v>
      </c>
      <c r="G222" s="32"/>
      <c r="H222" s="21"/>
      <c r="I222" s="33"/>
      <c r="J222" s="21" t="str">
        <f aca="false">INDEX(Students!$C$2:$C$601,MATCH(B222,Students!$A$2:$A$601,0))</f>
        <v>Batch 2024</v>
      </c>
      <c r="K222" s="21" t="str">
        <f aca="false">INDEX(Students!$D$2:$D$601,MATCH(B222,Students!$A$2:$A$601,0))</f>
        <v>Cybersecurity</v>
      </c>
      <c r="L222" s="21" t="str">
        <f aca="false">INDEX(Companies!$C$2:$C$31,MATCH(C222,Companies!$A$2:$A$31,0))</f>
        <v>IT Services</v>
      </c>
      <c r="M222" s="21" t="str">
        <f aca="false">INDEX(Companies!$D$2:$D$31,MATCH(C222,Companies!$A$2:$A$31,0))</f>
        <v>Tier 3</v>
      </c>
      <c r="N222" s="34" t="n">
        <f aca="false">MATCH(F222,Assumptions!$K$4:$K$8,0)</f>
        <v>1</v>
      </c>
      <c r="O222" s="21" t="str">
        <f aca="false">IF(H222="Yes",MONTH(I222),"")</f>
        <v/>
      </c>
      <c r="P222" s="21" t="str">
        <f aca="false">IF(H222="Yes",B222,"")</f>
        <v/>
      </c>
    </row>
    <row r="223" customFormat="false" ht="15" hidden="false" customHeight="false" outlineLevel="0" collapsed="false">
      <c r="A223" s="21" t="s">
        <v>1438</v>
      </c>
      <c r="B223" s="21" t="s">
        <v>211</v>
      </c>
      <c r="C223" s="21" t="s">
        <v>1234</v>
      </c>
      <c r="D223" s="21" t="s">
        <v>1240</v>
      </c>
      <c r="E223" s="33" t="n">
        <v>45187</v>
      </c>
      <c r="F223" s="21" t="s">
        <v>1175</v>
      </c>
      <c r="G223" s="32"/>
      <c r="H223" s="21"/>
      <c r="I223" s="33"/>
      <c r="J223" s="21" t="str">
        <f aca="false">INDEX(Students!$C$2:$C$601,MATCH(B223,Students!$A$2:$A$601,0))</f>
        <v>Batch 2024</v>
      </c>
      <c r="K223" s="21" t="str">
        <f aca="false">INDEX(Students!$D$2:$D$601,MATCH(B223,Students!$A$2:$A$601,0))</f>
        <v>Cybersecurity</v>
      </c>
      <c r="L223" s="21" t="str">
        <f aca="false">INDEX(Companies!$C$2:$C$31,MATCH(C223,Companies!$A$2:$A$31,0))</f>
        <v>EdTech</v>
      </c>
      <c r="M223" s="21" t="str">
        <f aca="false">INDEX(Companies!$D$2:$D$31,MATCH(C223,Companies!$A$2:$A$31,0))</f>
        <v>Tier 3</v>
      </c>
      <c r="N223" s="34" t="n">
        <f aca="false">MATCH(F223,Assumptions!$K$4:$K$8,0)</f>
        <v>1</v>
      </c>
      <c r="O223" s="21" t="str">
        <f aca="false">IF(H223="Yes",MONTH(I223),"")</f>
        <v/>
      </c>
      <c r="P223" s="21" t="str">
        <f aca="false">IF(H223="Yes",B223,"")</f>
        <v/>
      </c>
    </row>
    <row r="224" customFormat="false" ht="15" hidden="false" customHeight="false" outlineLevel="0" collapsed="false">
      <c r="A224" s="21" t="s">
        <v>1439</v>
      </c>
      <c r="B224" s="21" t="s">
        <v>257</v>
      </c>
      <c r="C224" s="21" t="s">
        <v>1298</v>
      </c>
      <c r="D224" s="21" t="s">
        <v>1243</v>
      </c>
      <c r="E224" s="33" t="n">
        <v>45187</v>
      </c>
      <c r="F224" s="21" t="s">
        <v>1175</v>
      </c>
      <c r="G224" s="32"/>
      <c r="H224" s="21"/>
      <c r="I224" s="33"/>
      <c r="J224" s="21" t="str">
        <f aca="false">INDEX(Students!$C$2:$C$601,MATCH(B224,Students!$A$2:$A$601,0))</f>
        <v>Batch 2024</v>
      </c>
      <c r="K224" s="21" t="str">
        <f aca="false">INDEX(Students!$D$2:$D$601,MATCH(B224,Students!$A$2:$A$601,0))</f>
        <v>Data Science &amp; ML</v>
      </c>
      <c r="L224" s="21" t="str">
        <f aca="false">INDEX(Companies!$C$2:$C$31,MATCH(C224,Companies!$A$2:$A$31,0))</f>
        <v>Fintech</v>
      </c>
      <c r="M224" s="21" t="str">
        <f aca="false">INDEX(Companies!$D$2:$D$31,MATCH(C224,Companies!$A$2:$A$31,0))</f>
        <v>Tier 2</v>
      </c>
      <c r="N224" s="34" t="n">
        <f aca="false">MATCH(F224,Assumptions!$K$4:$K$8,0)</f>
        <v>1</v>
      </c>
      <c r="O224" s="21" t="str">
        <f aca="false">IF(H224="Yes",MONTH(I224),"")</f>
        <v/>
      </c>
      <c r="P224" s="21" t="str">
        <f aca="false">IF(H224="Yes",B224,"")</f>
        <v/>
      </c>
    </row>
    <row r="225" customFormat="false" ht="15" hidden="false" customHeight="false" outlineLevel="0" collapsed="false">
      <c r="A225" s="21" t="s">
        <v>1440</v>
      </c>
      <c r="B225" s="21" t="s">
        <v>311</v>
      </c>
      <c r="C225" s="21" t="s">
        <v>1230</v>
      </c>
      <c r="D225" s="21" t="s">
        <v>1181</v>
      </c>
      <c r="E225" s="33" t="n">
        <v>45187</v>
      </c>
      <c r="F225" s="21" t="s">
        <v>1185</v>
      </c>
      <c r="G225" s="32" t="n">
        <v>6.7</v>
      </c>
      <c r="H225" s="21" t="s">
        <v>113</v>
      </c>
      <c r="I225" s="33" t="n">
        <v>45221</v>
      </c>
      <c r="J225" s="21" t="str">
        <f aca="false">INDEX(Students!$C$2:$C$601,MATCH(B225,Students!$A$2:$A$601,0))</f>
        <v>Batch 2024</v>
      </c>
      <c r="K225" s="21" t="str">
        <f aca="false">INDEX(Students!$D$2:$D$601,MATCH(B225,Students!$A$2:$A$601,0))</f>
        <v>Full Stack Development</v>
      </c>
      <c r="L225" s="21" t="str">
        <f aca="false">INDEX(Companies!$C$2:$C$31,MATCH(C225,Companies!$A$2:$A$31,0))</f>
        <v>IT Services</v>
      </c>
      <c r="M225" s="21" t="str">
        <f aca="false">INDEX(Companies!$D$2:$D$31,MATCH(C225,Companies!$A$2:$A$31,0))</f>
        <v>Tier 3</v>
      </c>
      <c r="N225" s="34" t="n">
        <f aca="false">MATCH(F225,Assumptions!$K$4:$K$8,0)</f>
        <v>5</v>
      </c>
      <c r="O225" s="21" t="str">
        <f aca="false">IF(H225="Yes",MONTH(I225),"")</f>
        <v/>
      </c>
      <c r="P225" s="21" t="str">
        <f aca="false">IF(H225="Yes",B225,"")</f>
        <v/>
      </c>
    </row>
    <row r="226" customFormat="false" ht="15" hidden="false" customHeight="false" outlineLevel="0" collapsed="false">
      <c r="A226" s="21" t="s">
        <v>1441</v>
      </c>
      <c r="B226" s="21" t="s">
        <v>299</v>
      </c>
      <c r="C226" s="21" t="s">
        <v>1183</v>
      </c>
      <c r="D226" s="21" t="s">
        <v>1209</v>
      </c>
      <c r="E226" s="33" t="n">
        <v>45187</v>
      </c>
      <c r="F226" s="21" t="s">
        <v>1197</v>
      </c>
      <c r="G226" s="32"/>
      <c r="H226" s="21"/>
      <c r="I226" s="33"/>
      <c r="J226" s="21" t="str">
        <f aca="false">INDEX(Students!$C$2:$C$601,MATCH(B226,Students!$A$2:$A$601,0))</f>
        <v>Batch 2024</v>
      </c>
      <c r="K226" s="21" t="str">
        <f aca="false">INDEX(Students!$D$2:$D$601,MATCH(B226,Students!$A$2:$A$601,0))</f>
        <v>Data Analytics</v>
      </c>
      <c r="L226" s="21" t="str">
        <f aca="false">INDEX(Companies!$C$2:$C$31,MATCH(C226,Companies!$A$2:$A$31,0))</f>
        <v>E-commerce</v>
      </c>
      <c r="M226" s="21" t="str">
        <f aca="false">INDEX(Companies!$D$2:$D$31,MATCH(C226,Companies!$A$2:$A$31,0))</f>
        <v>Tier 2</v>
      </c>
      <c r="N226" s="34" t="n">
        <f aca="false">MATCH(F226,Assumptions!$K$4:$K$8,0)</f>
        <v>3</v>
      </c>
      <c r="O226" s="21" t="str">
        <f aca="false">IF(H226="Yes",MONTH(I226),"")</f>
        <v/>
      </c>
      <c r="P226" s="21" t="str">
        <f aca="false">IF(H226="Yes",B226,"")</f>
        <v/>
      </c>
    </row>
    <row r="227" customFormat="false" ht="15" hidden="false" customHeight="false" outlineLevel="0" collapsed="false">
      <c r="A227" s="21" t="s">
        <v>1442</v>
      </c>
      <c r="B227" s="21" t="s">
        <v>268</v>
      </c>
      <c r="C227" s="21" t="s">
        <v>1239</v>
      </c>
      <c r="D227" s="21" t="s">
        <v>1174</v>
      </c>
      <c r="E227" s="33" t="n">
        <v>45187</v>
      </c>
      <c r="F227" s="21" t="s">
        <v>1218</v>
      </c>
      <c r="G227" s="32"/>
      <c r="H227" s="21"/>
      <c r="I227" s="33"/>
      <c r="J227" s="21" t="str">
        <f aca="false">INDEX(Students!$C$2:$C$601,MATCH(B227,Students!$A$2:$A$601,0))</f>
        <v>Batch 2024</v>
      </c>
      <c r="K227" s="21" t="str">
        <f aca="false">INDEX(Students!$D$2:$D$601,MATCH(B227,Students!$A$2:$A$601,0))</f>
        <v>Full Stack Development</v>
      </c>
      <c r="L227" s="21" t="str">
        <f aca="false">INDEX(Companies!$C$2:$C$31,MATCH(C227,Companies!$A$2:$A$31,0))</f>
        <v>E-commerce</v>
      </c>
      <c r="M227" s="21" t="str">
        <f aca="false">INDEX(Companies!$D$2:$D$31,MATCH(C227,Companies!$A$2:$A$31,0))</f>
        <v>Tier 3</v>
      </c>
      <c r="N227" s="34" t="n">
        <f aca="false">MATCH(F227,Assumptions!$K$4:$K$8,0)</f>
        <v>4</v>
      </c>
      <c r="O227" s="21" t="str">
        <f aca="false">IF(H227="Yes",MONTH(I227),"")</f>
        <v/>
      </c>
      <c r="P227" s="21" t="str">
        <f aca="false">IF(H227="Yes",B227,"")</f>
        <v/>
      </c>
    </row>
    <row r="228" customFormat="false" ht="15" hidden="false" customHeight="false" outlineLevel="0" collapsed="false">
      <c r="A228" s="21" t="s">
        <v>1443</v>
      </c>
      <c r="B228" s="21" t="s">
        <v>410</v>
      </c>
      <c r="C228" s="21" t="s">
        <v>1255</v>
      </c>
      <c r="D228" s="21" t="s">
        <v>1181</v>
      </c>
      <c r="E228" s="33" t="n">
        <v>45188</v>
      </c>
      <c r="F228" s="21" t="s">
        <v>1197</v>
      </c>
      <c r="G228" s="32"/>
      <c r="H228" s="21"/>
      <c r="I228" s="33"/>
      <c r="J228" s="21" t="str">
        <f aca="false">INDEX(Students!$C$2:$C$601,MATCH(B228,Students!$A$2:$A$601,0))</f>
        <v>Batch 2024</v>
      </c>
      <c r="K228" s="21" t="str">
        <f aca="false">INDEX(Students!$D$2:$D$601,MATCH(B228,Students!$A$2:$A$601,0))</f>
        <v>Full Stack Development</v>
      </c>
      <c r="L228" s="21" t="str">
        <f aca="false">INDEX(Companies!$C$2:$C$31,MATCH(C228,Companies!$A$2:$A$31,0))</f>
        <v>IT Services</v>
      </c>
      <c r="M228" s="21" t="str">
        <f aca="false">INDEX(Companies!$D$2:$D$31,MATCH(C228,Companies!$A$2:$A$31,0))</f>
        <v>Tier 3</v>
      </c>
      <c r="N228" s="34" t="n">
        <f aca="false">MATCH(F228,Assumptions!$K$4:$K$8,0)</f>
        <v>3</v>
      </c>
      <c r="O228" s="21" t="str">
        <f aca="false">IF(H228="Yes",MONTH(I228),"")</f>
        <v/>
      </c>
      <c r="P228" s="21" t="str">
        <f aca="false">IF(H228="Yes",B228,"")</f>
        <v/>
      </c>
    </row>
    <row r="229" customFormat="false" ht="15" hidden="false" customHeight="false" outlineLevel="0" collapsed="false">
      <c r="A229" s="21" t="s">
        <v>1444</v>
      </c>
      <c r="B229" s="21" t="s">
        <v>268</v>
      </c>
      <c r="C229" s="21" t="s">
        <v>1183</v>
      </c>
      <c r="D229" s="21" t="s">
        <v>1174</v>
      </c>
      <c r="E229" s="33" t="n">
        <v>45188</v>
      </c>
      <c r="F229" s="21" t="s">
        <v>1197</v>
      </c>
      <c r="G229" s="32"/>
      <c r="H229" s="21"/>
      <c r="I229" s="33"/>
      <c r="J229" s="21" t="str">
        <f aca="false">INDEX(Students!$C$2:$C$601,MATCH(B229,Students!$A$2:$A$601,0))</f>
        <v>Batch 2024</v>
      </c>
      <c r="K229" s="21" t="str">
        <f aca="false">INDEX(Students!$D$2:$D$601,MATCH(B229,Students!$A$2:$A$601,0))</f>
        <v>Full Stack Development</v>
      </c>
      <c r="L229" s="21" t="str">
        <f aca="false">INDEX(Companies!$C$2:$C$31,MATCH(C229,Companies!$A$2:$A$31,0))</f>
        <v>E-commerce</v>
      </c>
      <c r="M229" s="21" t="str">
        <f aca="false">INDEX(Companies!$D$2:$D$31,MATCH(C229,Companies!$A$2:$A$31,0))</f>
        <v>Tier 2</v>
      </c>
      <c r="N229" s="34" t="n">
        <f aca="false">MATCH(F229,Assumptions!$K$4:$K$8,0)</f>
        <v>3</v>
      </c>
      <c r="O229" s="21" t="str">
        <f aca="false">IF(H229="Yes",MONTH(I229),"")</f>
        <v/>
      </c>
      <c r="P229" s="21" t="str">
        <f aca="false">IF(H229="Yes",B229,"")</f>
        <v/>
      </c>
    </row>
    <row r="230" customFormat="false" ht="15" hidden="false" customHeight="false" outlineLevel="0" collapsed="false">
      <c r="A230" s="21" t="s">
        <v>1445</v>
      </c>
      <c r="B230" s="21" t="s">
        <v>362</v>
      </c>
      <c r="C230" s="21" t="s">
        <v>1298</v>
      </c>
      <c r="D230" s="21" t="s">
        <v>1181</v>
      </c>
      <c r="E230" s="33" t="n">
        <v>45188</v>
      </c>
      <c r="F230" s="21" t="s">
        <v>1185</v>
      </c>
      <c r="G230" s="32" t="n">
        <v>10.4</v>
      </c>
      <c r="H230" s="21" t="s">
        <v>120</v>
      </c>
      <c r="I230" s="33" t="n">
        <v>45224</v>
      </c>
      <c r="J230" s="21" t="str">
        <f aca="false">INDEX(Students!$C$2:$C$601,MATCH(B230,Students!$A$2:$A$601,0))</f>
        <v>Batch 2024</v>
      </c>
      <c r="K230" s="21" t="str">
        <f aca="false">INDEX(Students!$D$2:$D$601,MATCH(B230,Students!$A$2:$A$601,0))</f>
        <v>Full Stack Development</v>
      </c>
      <c r="L230" s="21" t="str">
        <f aca="false">INDEX(Companies!$C$2:$C$31,MATCH(C230,Companies!$A$2:$A$31,0))</f>
        <v>Fintech</v>
      </c>
      <c r="M230" s="21" t="str">
        <f aca="false">INDEX(Companies!$D$2:$D$31,MATCH(C230,Companies!$A$2:$A$31,0))</f>
        <v>Tier 2</v>
      </c>
      <c r="N230" s="34" t="n">
        <f aca="false">MATCH(F230,Assumptions!$K$4:$K$8,0)</f>
        <v>5</v>
      </c>
      <c r="O230" s="21" t="n">
        <f aca="false">IF(H230="Yes",MONTH(I230),"")</f>
        <v>10</v>
      </c>
      <c r="P230" s="21" t="str">
        <f aca="false">IF(H230="Yes",B230,"")</f>
        <v>S0130</v>
      </c>
    </row>
    <row r="231" customFormat="false" ht="15" hidden="false" customHeight="false" outlineLevel="0" collapsed="false">
      <c r="A231" s="21" t="s">
        <v>1446</v>
      </c>
      <c r="B231" s="21" t="s">
        <v>325</v>
      </c>
      <c r="C231" s="21" t="s">
        <v>1180</v>
      </c>
      <c r="D231" s="21" t="s">
        <v>1194</v>
      </c>
      <c r="E231" s="33" t="n">
        <v>45189</v>
      </c>
      <c r="F231" s="21" t="s">
        <v>1178</v>
      </c>
      <c r="G231" s="32"/>
      <c r="H231" s="21"/>
      <c r="I231" s="33"/>
      <c r="J231" s="21" t="str">
        <f aca="false">INDEX(Students!$C$2:$C$601,MATCH(B231,Students!$A$2:$A$601,0))</f>
        <v>Batch 2024</v>
      </c>
      <c r="K231" s="21" t="str">
        <f aca="false">INDEX(Students!$D$2:$D$601,MATCH(B231,Students!$A$2:$A$601,0))</f>
        <v>Data Science &amp; ML</v>
      </c>
      <c r="L231" s="21" t="str">
        <f aca="false">INDEX(Companies!$C$2:$C$31,MATCH(C231,Companies!$A$2:$A$31,0))</f>
        <v>IT Services</v>
      </c>
      <c r="M231" s="21" t="str">
        <f aca="false">INDEX(Companies!$D$2:$D$31,MATCH(C231,Companies!$A$2:$A$31,0))</f>
        <v>Tier 3</v>
      </c>
      <c r="N231" s="34" t="n">
        <f aca="false">MATCH(F231,Assumptions!$K$4:$K$8,0)</f>
        <v>2</v>
      </c>
      <c r="O231" s="21" t="str">
        <f aca="false">IF(H231="Yes",MONTH(I231),"")</f>
        <v/>
      </c>
      <c r="P231" s="21" t="str">
        <f aca="false">IF(H231="Yes",B231,"")</f>
        <v/>
      </c>
    </row>
    <row r="232" customFormat="false" ht="15" hidden="false" customHeight="false" outlineLevel="0" collapsed="false">
      <c r="A232" s="21" t="s">
        <v>1447</v>
      </c>
      <c r="B232" s="21" t="s">
        <v>209</v>
      </c>
      <c r="C232" s="21" t="s">
        <v>1211</v>
      </c>
      <c r="D232" s="21" t="s">
        <v>1226</v>
      </c>
      <c r="E232" s="33" t="n">
        <v>45189</v>
      </c>
      <c r="F232" s="21" t="s">
        <v>1175</v>
      </c>
      <c r="G232" s="32"/>
      <c r="H232" s="21"/>
      <c r="I232" s="33"/>
      <c r="J232" s="21" t="str">
        <f aca="false">INDEX(Students!$C$2:$C$601,MATCH(B232,Students!$A$2:$A$601,0))</f>
        <v>Batch 2024</v>
      </c>
      <c r="K232" s="21" t="str">
        <f aca="false">INDEX(Students!$D$2:$D$601,MATCH(B232,Students!$A$2:$A$601,0))</f>
        <v>Cybersecurity</v>
      </c>
      <c r="L232" s="21" t="str">
        <f aca="false">INDEX(Companies!$C$2:$C$31,MATCH(C232,Companies!$A$2:$A$31,0))</f>
        <v>Analytics &amp; Consulting</v>
      </c>
      <c r="M232" s="21" t="str">
        <f aca="false">INDEX(Companies!$D$2:$D$31,MATCH(C232,Companies!$A$2:$A$31,0))</f>
        <v>Tier 3</v>
      </c>
      <c r="N232" s="34" t="n">
        <f aca="false">MATCH(F232,Assumptions!$K$4:$K$8,0)</f>
        <v>1</v>
      </c>
      <c r="O232" s="21" t="str">
        <f aca="false">IF(H232="Yes",MONTH(I232),"")</f>
        <v/>
      </c>
      <c r="P232" s="21" t="str">
        <f aca="false">IF(H232="Yes",B232,"")</f>
        <v/>
      </c>
    </row>
    <row r="233" customFormat="false" ht="15" hidden="false" customHeight="false" outlineLevel="0" collapsed="false">
      <c r="A233" s="21" t="s">
        <v>1448</v>
      </c>
      <c r="B233" s="21" t="s">
        <v>129</v>
      </c>
      <c r="C233" s="21" t="s">
        <v>1228</v>
      </c>
      <c r="D233" s="21" t="s">
        <v>1181</v>
      </c>
      <c r="E233" s="33" t="n">
        <v>45189</v>
      </c>
      <c r="F233" s="21" t="s">
        <v>1178</v>
      </c>
      <c r="G233" s="32"/>
      <c r="H233" s="21"/>
      <c r="I233" s="33"/>
      <c r="J233" s="21" t="str">
        <f aca="false">INDEX(Students!$C$2:$C$601,MATCH(B233,Students!$A$2:$A$601,0))</f>
        <v>Batch 2024</v>
      </c>
      <c r="K233" s="21" t="str">
        <f aca="false">INDEX(Students!$D$2:$D$601,MATCH(B233,Students!$A$2:$A$601,0))</f>
        <v>Full Stack Development</v>
      </c>
      <c r="L233" s="21" t="str">
        <f aca="false">INDEX(Companies!$C$2:$C$31,MATCH(C233,Companies!$A$2:$A$31,0))</f>
        <v>Fintech</v>
      </c>
      <c r="M233" s="21" t="str">
        <f aca="false">INDEX(Companies!$D$2:$D$31,MATCH(C233,Companies!$A$2:$A$31,0))</f>
        <v>Tier 1</v>
      </c>
      <c r="N233" s="34" t="n">
        <f aca="false">MATCH(F233,Assumptions!$K$4:$K$8,0)</f>
        <v>2</v>
      </c>
      <c r="O233" s="21" t="str">
        <f aca="false">IF(H233="Yes",MONTH(I233),"")</f>
        <v/>
      </c>
      <c r="P233" s="21" t="str">
        <f aca="false">IF(H233="Yes",B233,"")</f>
        <v/>
      </c>
    </row>
    <row r="234" customFormat="false" ht="15" hidden="false" customHeight="false" outlineLevel="0" collapsed="false">
      <c r="A234" s="21" t="s">
        <v>1449</v>
      </c>
      <c r="B234" s="21" t="s">
        <v>319</v>
      </c>
      <c r="C234" s="21" t="s">
        <v>1275</v>
      </c>
      <c r="D234" s="21" t="s">
        <v>1184</v>
      </c>
      <c r="E234" s="33" t="n">
        <v>45189</v>
      </c>
      <c r="F234" s="21" t="s">
        <v>1175</v>
      </c>
      <c r="G234" s="32"/>
      <c r="H234" s="21"/>
      <c r="I234" s="33"/>
      <c r="J234" s="21" t="str">
        <f aca="false">INDEX(Students!$C$2:$C$601,MATCH(B234,Students!$A$2:$A$601,0))</f>
        <v>Batch 2024</v>
      </c>
      <c r="K234" s="21" t="str">
        <f aca="false">INDEX(Students!$D$2:$D$601,MATCH(B234,Students!$A$2:$A$601,0))</f>
        <v>DSA with Java</v>
      </c>
      <c r="L234" s="21" t="str">
        <f aca="false">INDEX(Companies!$C$2:$C$31,MATCH(C234,Companies!$A$2:$A$31,0))</f>
        <v>Cybersecurity</v>
      </c>
      <c r="M234" s="21" t="str">
        <f aca="false">INDEX(Companies!$D$2:$D$31,MATCH(C234,Companies!$A$2:$A$31,0))</f>
        <v>Tier 2</v>
      </c>
      <c r="N234" s="34" t="n">
        <f aca="false">MATCH(F234,Assumptions!$K$4:$K$8,0)</f>
        <v>1</v>
      </c>
      <c r="O234" s="21" t="str">
        <f aca="false">IF(H234="Yes",MONTH(I234),"")</f>
        <v/>
      </c>
      <c r="P234" s="21" t="str">
        <f aca="false">IF(H234="Yes",B234,"")</f>
        <v/>
      </c>
    </row>
    <row r="235" customFormat="false" ht="15" hidden="false" customHeight="false" outlineLevel="0" collapsed="false">
      <c r="A235" s="21" t="s">
        <v>1450</v>
      </c>
      <c r="B235" s="21" t="s">
        <v>372</v>
      </c>
      <c r="C235" s="21" t="s">
        <v>1205</v>
      </c>
      <c r="D235" s="21" t="s">
        <v>1191</v>
      </c>
      <c r="E235" s="33" t="n">
        <v>45189</v>
      </c>
      <c r="F235" s="21" t="s">
        <v>1185</v>
      </c>
      <c r="G235" s="32" t="n">
        <v>6.6</v>
      </c>
      <c r="H235" s="21" t="s">
        <v>113</v>
      </c>
      <c r="I235" s="33" t="n">
        <v>45240</v>
      </c>
      <c r="J235" s="21" t="str">
        <f aca="false">INDEX(Students!$C$2:$C$601,MATCH(B235,Students!$A$2:$A$601,0))</f>
        <v>Batch 2024</v>
      </c>
      <c r="K235" s="21" t="str">
        <f aca="false">INDEX(Students!$D$2:$D$601,MATCH(B235,Students!$A$2:$A$601,0))</f>
        <v>DSA with Java</v>
      </c>
      <c r="L235" s="21" t="str">
        <f aca="false">INDEX(Companies!$C$2:$C$31,MATCH(C235,Companies!$A$2:$A$31,0))</f>
        <v>Healthtech</v>
      </c>
      <c r="M235" s="21" t="str">
        <f aca="false">INDEX(Companies!$D$2:$D$31,MATCH(C235,Companies!$A$2:$A$31,0))</f>
        <v>Tier 3</v>
      </c>
      <c r="N235" s="34" t="n">
        <f aca="false">MATCH(F235,Assumptions!$K$4:$K$8,0)</f>
        <v>5</v>
      </c>
      <c r="O235" s="21" t="str">
        <f aca="false">IF(H235="Yes",MONTH(I235),"")</f>
        <v/>
      </c>
      <c r="P235" s="21" t="str">
        <f aca="false">IF(H235="Yes",B235,"")</f>
        <v/>
      </c>
    </row>
    <row r="236" customFormat="false" ht="15" hidden="false" customHeight="false" outlineLevel="0" collapsed="false">
      <c r="A236" s="21" t="s">
        <v>1451</v>
      </c>
      <c r="B236" s="21" t="s">
        <v>276</v>
      </c>
      <c r="C236" s="21" t="s">
        <v>1187</v>
      </c>
      <c r="D236" s="21" t="s">
        <v>1243</v>
      </c>
      <c r="E236" s="33" t="n">
        <v>45190</v>
      </c>
      <c r="F236" s="21" t="s">
        <v>1175</v>
      </c>
      <c r="G236" s="32"/>
      <c r="H236" s="21"/>
      <c r="I236" s="33"/>
      <c r="J236" s="21" t="str">
        <f aca="false">INDEX(Students!$C$2:$C$601,MATCH(B236,Students!$A$2:$A$601,0))</f>
        <v>Batch 2024</v>
      </c>
      <c r="K236" s="21" t="str">
        <f aca="false">INDEX(Students!$D$2:$D$601,MATCH(B236,Students!$A$2:$A$601,0))</f>
        <v>Data Science &amp; ML</v>
      </c>
      <c r="L236" s="21" t="str">
        <f aca="false">INDEX(Companies!$C$2:$C$31,MATCH(C236,Companies!$A$2:$A$31,0))</f>
        <v>Product</v>
      </c>
      <c r="M236" s="21" t="str">
        <f aca="false">INDEX(Companies!$D$2:$D$31,MATCH(C236,Companies!$A$2:$A$31,0))</f>
        <v>Tier 1</v>
      </c>
      <c r="N236" s="34" t="n">
        <f aca="false">MATCH(F236,Assumptions!$K$4:$K$8,0)</f>
        <v>1</v>
      </c>
      <c r="O236" s="21" t="str">
        <f aca="false">IF(H236="Yes",MONTH(I236),"")</f>
        <v/>
      </c>
      <c r="P236" s="21" t="str">
        <f aca="false">IF(H236="Yes",B236,"")</f>
        <v/>
      </c>
    </row>
    <row r="237" customFormat="false" ht="15" hidden="false" customHeight="false" outlineLevel="0" collapsed="false">
      <c r="A237" s="21" t="s">
        <v>1452</v>
      </c>
      <c r="B237" s="21" t="s">
        <v>399</v>
      </c>
      <c r="C237" s="21" t="s">
        <v>1214</v>
      </c>
      <c r="D237" s="21" t="s">
        <v>1243</v>
      </c>
      <c r="E237" s="33" t="n">
        <v>45190</v>
      </c>
      <c r="F237" s="21" t="s">
        <v>1175</v>
      </c>
      <c r="G237" s="32"/>
      <c r="H237" s="21"/>
      <c r="I237" s="33"/>
      <c r="J237" s="21" t="str">
        <f aca="false">INDEX(Students!$C$2:$C$601,MATCH(B237,Students!$A$2:$A$601,0))</f>
        <v>Batch 2024</v>
      </c>
      <c r="K237" s="21" t="str">
        <f aca="false">INDEX(Students!$D$2:$D$601,MATCH(B237,Students!$A$2:$A$601,0))</f>
        <v>Data Science &amp; ML</v>
      </c>
      <c r="L237" s="21" t="str">
        <f aca="false">INDEX(Companies!$C$2:$C$31,MATCH(C237,Companies!$A$2:$A$31,0))</f>
        <v>Product</v>
      </c>
      <c r="M237" s="21" t="str">
        <f aca="false">INDEX(Companies!$D$2:$D$31,MATCH(C237,Companies!$A$2:$A$31,0))</f>
        <v>Tier 1</v>
      </c>
      <c r="N237" s="34" t="n">
        <f aca="false">MATCH(F237,Assumptions!$K$4:$K$8,0)</f>
        <v>1</v>
      </c>
      <c r="O237" s="21" t="str">
        <f aca="false">IF(H237="Yes",MONTH(I237),"")</f>
        <v/>
      </c>
      <c r="P237" s="21" t="str">
        <f aca="false">IF(H237="Yes",B237,"")</f>
        <v/>
      </c>
    </row>
    <row r="238" customFormat="false" ht="15" hidden="false" customHeight="false" outlineLevel="0" collapsed="false">
      <c r="A238" s="21" t="s">
        <v>1453</v>
      </c>
      <c r="B238" s="21" t="s">
        <v>341</v>
      </c>
      <c r="C238" s="21" t="s">
        <v>1275</v>
      </c>
      <c r="D238" s="21" t="s">
        <v>1209</v>
      </c>
      <c r="E238" s="33" t="n">
        <v>45190</v>
      </c>
      <c r="F238" s="21" t="s">
        <v>1178</v>
      </c>
      <c r="G238" s="32"/>
      <c r="H238" s="21"/>
      <c r="I238" s="33"/>
      <c r="J238" s="21" t="str">
        <f aca="false">INDEX(Students!$C$2:$C$601,MATCH(B238,Students!$A$2:$A$601,0))</f>
        <v>Batch 2024</v>
      </c>
      <c r="K238" s="21" t="str">
        <f aca="false">INDEX(Students!$D$2:$D$601,MATCH(B238,Students!$A$2:$A$601,0))</f>
        <v>Data Analytics</v>
      </c>
      <c r="L238" s="21" t="str">
        <f aca="false">INDEX(Companies!$C$2:$C$31,MATCH(C238,Companies!$A$2:$A$31,0))</f>
        <v>Cybersecurity</v>
      </c>
      <c r="M238" s="21" t="str">
        <f aca="false">INDEX(Companies!$D$2:$D$31,MATCH(C238,Companies!$A$2:$A$31,0))</f>
        <v>Tier 2</v>
      </c>
      <c r="N238" s="34" t="n">
        <f aca="false">MATCH(F238,Assumptions!$K$4:$K$8,0)</f>
        <v>2</v>
      </c>
      <c r="O238" s="21" t="str">
        <f aca="false">IF(H238="Yes",MONTH(I238),"")</f>
        <v/>
      </c>
      <c r="P238" s="21" t="str">
        <f aca="false">IF(H238="Yes",B238,"")</f>
        <v/>
      </c>
    </row>
    <row r="239" customFormat="false" ht="15" hidden="false" customHeight="false" outlineLevel="0" collapsed="false">
      <c r="A239" s="21" t="s">
        <v>1454</v>
      </c>
      <c r="B239" s="21" t="s">
        <v>197</v>
      </c>
      <c r="C239" s="21" t="s">
        <v>1322</v>
      </c>
      <c r="D239" s="21" t="s">
        <v>1174</v>
      </c>
      <c r="E239" s="33" t="n">
        <v>45190</v>
      </c>
      <c r="F239" s="21" t="s">
        <v>1178</v>
      </c>
      <c r="G239" s="32"/>
      <c r="H239" s="21"/>
      <c r="I239" s="33"/>
      <c r="J239" s="21" t="str">
        <f aca="false">INDEX(Students!$C$2:$C$601,MATCH(B239,Students!$A$2:$A$601,0))</f>
        <v>Batch 2024</v>
      </c>
      <c r="K239" s="21" t="str">
        <f aca="false">INDEX(Students!$D$2:$D$601,MATCH(B239,Students!$A$2:$A$601,0))</f>
        <v>Full Stack Development</v>
      </c>
      <c r="L239" s="21" t="str">
        <f aca="false">INDEX(Companies!$C$2:$C$31,MATCH(C239,Companies!$A$2:$A$31,0))</f>
        <v>Healthtech</v>
      </c>
      <c r="M239" s="21" t="str">
        <f aca="false">INDEX(Companies!$D$2:$D$31,MATCH(C239,Companies!$A$2:$A$31,0))</f>
        <v>Tier 2</v>
      </c>
      <c r="N239" s="34" t="n">
        <f aca="false">MATCH(F239,Assumptions!$K$4:$K$8,0)</f>
        <v>2</v>
      </c>
      <c r="O239" s="21" t="str">
        <f aca="false">IF(H239="Yes",MONTH(I239),"")</f>
        <v/>
      </c>
      <c r="P239" s="21" t="str">
        <f aca="false">IF(H239="Yes",B239,"")</f>
        <v/>
      </c>
    </row>
    <row r="240" customFormat="false" ht="15" hidden="false" customHeight="false" outlineLevel="0" collapsed="false">
      <c r="A240" s="21" t="s">
        <v>1455</v>
      </c>
      <c r="B240" s="21" t="s">
        <v>356</v>
      </c>
      <c r="C240" s="21" t="s">
        <v>1196</v>
      </c>
      <c r="D240" s="21" t="s">
        <v>1226</v>
      </c>
      <c r="E240" s="33" t="n">
        <v>45190</v>
      </c>
      <c r="F240" s="21" t="s">
        <v>1175</v>
      </c>
      <c r="G240" s="32"/>
      <c r="H240" s="21"/>
      <c r="I240" s="33"/>
      <c r="J240" s="21" t="str">
        <f aca="false">INDEX(Students!$C$2:$C$601,MATCH(B240,Students!$A$2:$A$601,0))</f>
        <v>Batch 2024</v>
      </c>
      <c r="K240" s="21" t="str">
        <f aca="false">INDEX(Students!$D$2:$D$601,MATCH(B240,Students!$A$2:$A$601,0))</f>
        <v>Cybersecurity</v>
      </c>
      <c r="L240" s="21" t="str">
        <f aca="false">INDEX(Companies!$C$2:$C$31,MATCH(C240,Companies!$A$2:$A$31,0))</f>
        <v>IT Services</v>
      </c>
      <c r="M240" s="21" t="str">
        <f aca="false">INDEX(Companies!$D$2:$D$31,MATCH(C240,Companies!$A$2:$A$31,0))</f>
        <v>Tier 3</v>
      </c>
      <c r="N240" s="34" t="n">
        <f aca="false">MATCH(F240,Assumptions!$K$4:$K$8,0)</f>
        <v>1</v>
      </c>
      <c r="O240" s="21" t="str">
        <f aca="false">IF(H240="Yes",MONTH(I240),"")</f>
        <v/>
      </c>
      <c r="P240" s="21" t="str">
        <f aca="false">IF(H240="Yes",B240,"")</f>
        <v/>
      </c>
    </row>
    <row r="241" customFormat="false" ht="15" hidden="false" customHeight="false" outlineLevel="0" collapsed="false">
      <c r="A241" s="21" t="s">
        <v>1456</v>
      </c>
      <c r="B241" s="21" t="s">
        <v>343</v>
      </c>
      <c r="C241" s="21" t="s">
        <v>1222</v>
      </c>
      <c r="D241" s="21" t="s">
        <v>1188</v>
      </c>
      <c r="E241" s="33" t="n">
        <v>45191</v>
      </c>
      <c r="F241" s="21" t="s">
        <v>1175</v>
      </c>
      <c r="G241" s="32"/>
      <c r="H241" s="21"/>
      <c r="I241" s="33"/>
      <c r="J241" s="21" t="str">
        <f aca="false">INDEX(Students!$C$2:$C$601,MATCH(B241,Students!$A$2:$A$601,0))</f>
        <v>Batch 2024</v>
      </c>
      <c r="K241" s="21" t="str">
        <f aca="false">INDEX(Students!$D$2:$D$601,MATCH(B241,Students!$A$2:$A$601,0))</f>
        <v>Data Analytics</v>
      </c>
      <c r="L241" s="21" t="str">
        <f aca="false">INDEX(Companies!$C$2:$C$31,MATCH(C241,Companies!$A$2:$A$31,0))</f>
        <v>Product</v>
      </c>
      <c r="M241" s="21" t="str">
        <f aca="false">INDEX(Companies!$D$2:$D$31,MATCH(C241,Companies!$A$2:$A$31,0))</f>
        <v>Tier 2</v>
      </c>
      <c r="N241" s="34" t="n">
        <f aca="false">MATCH(F241,Assumptions!$K$4:$K$8,0)</f>
        <v>1</v>
      </c>
      <c r="O241" s="21" t="str">
        <f aca="false">IF(H241="Yes",MONTH(I241),"")</f>
        <v/>
      </c>
      <c r="P241" s="21" t="str">
        <f aca="false">IF(H241="Yes",B241,"")</f>
        <v/>
      </c>
    </row>
    <row r="242" customFormat="false" ht="15" hidden="false" customHeight="false" outlineLevel="0" collapsed="false">
      <c r="A242" s="21" t="s">
        <v>1457</v>
      </c>
      <c r="B242" s="21" t="s">
        <v>451</v>
      </c>
      <c r="C242" s="21" t="s">
        <v>1187</v>
      </c>
      <c r="D242" s="21" t="s">
        <v>1181</v>
      </c>
      <c r="E242" s="33" t="n">
        <v>45191</v>
      </c>
      <c r="F242" s="21" t="s">
        <v>1218</v>
      </c>
      <c r="G242" s="32"/>
      <c r="H242" s="21"/>
      <c r="I242" s="33"/>
      <c r="J242" s="21" t="str">
        <f aca="false">INDEX(Students!$C$2:$C$601,MATCH(B242,Students!$A$2:$A$601,0))</f>
        <v>Batch 2024</v>
      </c>
      <c r="K242" s="21" t="str">
        <f aca="false">INDEX(Students!$D$2:$D$601,MATCH(B242,Students!$A$2:$A$601,0))</f>
        <v>Full Stack Development</v>
      </c>
      <c r="L242" s="21" t="str">
        <f aca="false">INDEX(Companies!$C$2:$C$31,MATCH(C242,Companies!$A$2:$A$31,0))</f>
        <v>Product</v>
      </c>
      <c r="M242" s="21" t="str">
        <f aca="false">INDEX(Companies!$D$2:$D$31,MATCH(C242,Companies!$A$2:$A$31,0))</f>
        <v>Tier 1</v>
      </c>
      <c r="N242" s="34" t="n">
        <f aca="false">MATCH(F242,Assumptions!$K$4:$K$8,0)</f>
        <v>4</v>
      </c>
      <c r="O242" s="21" t="str">
        <f aca="false">IF(H242="Yes",MONTH(I242),"")</f>
        <v/>
      </c>
      <c r="P242" s="21" t="str">
        <f aca="false">IF(H242="Yes",B242,"")</f>
        <v/>
      </c>
    </row>
    <row r="243" customFormat="false" ht="15" hidden="false" customHeight="false" outlineLevel="0" collapsed="false">
      <c r="A243" s="21" t="s">
        <v>1458</v>
      </c>
      <c r="B243" s="21" t="s">
        <v>227</v>
      </c>
      <c r="C243" s="21" t="s">
        <v>1211</v>
      </c>
      <c r="D243" s="21" t="s">
        <v>1191</v>
      </c>
      <c r="E243" s="33" t="n">
        <v>45191</v>
      </c>
      <c r="F243" s="21" t="s">
        <v>1185</v>
      </c>
      <c r="G243" s="32" t="n">
        <v>6.4</v>
      </c>
      <c r="H243" s="21" t="s">
        <v>113</v>
      </c>
      <c r="I243" s="33" t="n">
        <v>45236</v>
      </c>
      <c r="J243" s="21" t="str">
        <f aca="false">INDEX(Students!$C$2:$C$601,MATCH(B243,Students!$A$2:$A$601,0))</f>
        <v>Batch 2024</v>
      </c>
      <c r="K243" s="21" t="str">
        <f aca="false">INDEX(Students!$D$2:$D$601,MATCH(B243,Students!$A$2:$A$601,0))</f>
        <v>DSA with Java</v>
      </c>
      <c r="L243" s="21" t="str">
        <f aca="false">INDEX(Companies!$C$2:$C$31,MATCH(C243,Companies!$A$2:$A$31,0))</f>
        <v>Analytics &amp; Consulting</v>
      </c>
      <c r="M243" s="21" t="str">
        <f aca="false">INDEX(Companies!$D$2:$D$31,MATCH(C243,Companies!$A$2:$A$31,0))</f>
        <v>Tier 3</v>
      </c>
      <c r="N243" s="34" t="n">
        <f aca="false">MATCH(F243,Assumptions!$K$4:$K$8,0)</f>
        <v>5</v>
      </c>
      <c r="O243" s="21" t="str">
        <f aca="false">IF(H243="Yes",MONTH(I243),"")</f>
        <v/>
      </c>
      <c r="P243" s="21" t="str">
        <f aca="false">IF(H243="Yes",B243,"")</f>
        <v/>
      </c>
    </row>
    <row r="244" customFormat="false" ht="15" hidden="false" customHeight="false" outlineLevel="0" collapsed="false">
      <c r="A244" s="21" t="s">
        <v>1459</v>
      </c>
      <c r="B244" s="21" t="s">
        <v>147</v>
      </c>
      <c r="C244" s="21" t="s">
        <v>1266</v>
      </c>
      <c r="D244" s="21" t="s">
        <v>1191</v>
      </c>
      <c r="E244" s="33" t="n">
        <v>45191</v>
      </c>
      <c r="F244" s="21" t="s">
        <v>1175</v>
      </c>
      <c r="G244" s="32"/>
      <c r="H244" s="21"/>
      <c r="I244" s="33"/>
      <c r="J244" s="21" t="str">
        <f aca="false">INDEX(Students!$C$2:$C$601,MATCH(B244,Students!$A$2:$A$601,0))</f>
        <v>Batch 2024</v>
      </c>
      <c r="K244" s="21" t="str">
        <f aca="false">INDEX(Students!$D$2:$D$601,MATCH(B244,Students!$A$2:$A$601,0))</f>
        <v>DSA with Java</v>
      </c>
      <c r="L244" s="21" t="str">
        <f aca="false">INDEX(Companies!$C$2:$C$31,MATCH(C244,Companies!$A$2:$A$31,0))</f>
        <v>IT Services</v>
      </c>
      <c r="M244" s="21" t="str">
        <f aca="false">INDEX(Companies!$D$2:$D$31,MATCH(C244,Companies!$A$2:$A$31,0))</f>
        <v>Tier 3</v>
      </c>
      <c r="N244" s="34" t="n">
        <f aca="false">MATCH(F244,Assumptions!$K$4:$K$8,0)</f>
        <v>1</v>
      </c>
      <c r="O244" s="21" t="str">
        <f aca="false">IF(H244="Yes",MONTH(I244),"")</f>
        <v/>
      </c>
      <c r="P244" s="21" t="str">
        <f aca="false">IF(H244="Yes",B244,"")</f>
        <v/>
      </c>
    </row>
    <row r="245" customFormat="false" ht="15" hidden="false" customHeight="false" outlineLevel="0" collapsed="false">
      <c r="A245" s="21" t="s">
        <v>1460</v>
      </c>
      <c r="B245" s="21" t="s">
        <v>343</v>
      </c>
      <c r="C245" s="21" t="s">
        <v>1225</v>
      </c>
      <c r="D245" s="21" t="s">
        <v>1209</v>
      </c>
      <c r="E245" s="33" t="n">
        <v>45192</v>
      </c>
      <c r="F245" s="21" t="s">
        <v>1197</v>
      </c>
      <c r="G245" s="32"/>
      <c r="H245" s="21"/>
      <c r="I245" s="33"/>
      <c r="J245" s="21" t="str">
        <f aca="false">INDEX(Students!$C$2:$C$601,MATCH(B245,Students!$A$2:$A$601,0))</f>
        <v>Batch 2024</v>
      </c>
      <c r="K245" s="21" t="str">
        <f aca="false">INDEX(Students!$D$2:$D$601,MATCH(B245,Students!$A$2:$A$601,0))</f>
        <v>Data Analytics</v>
      </c>
      <c r="L245" s="21" t="str">
        <f aca="false">INDEX(Companies!$C$2:$C$31,MATCH(C245,Companies!$A$2:$A$31,0))</f>
        <v>EdTech</v>
      </c>
      <c r="M245" s="21" t="str">
        <f aca="false">INDEX(Companies!$D$2:$D$31,MATCH(C245,Companies!$A$2:$A$31,0))</f>
        <v>Tier 2</v>
      </c>
      <c r="N245" s="34" t="n">
        <f aca="false">MATCH(F245,Assumptions!$K$4:$K$8,0)</f>
        <v>3</v>
      </c>
      <c r="O245" s="21" t="str">
        <f aca="false">IF(H245="Yes",MONTH(I245),"")</f>
        <v/>
      </c>
      <c r="P245" s="21" t="str">
        <f aca="false">IF(H245="Yes",B245,"")</f>
        <v/>
      </c>
    </row>
    <row r="246" customFormat="false" ht="15" hidden="false" customHeight="false" outlineLevel="0" collapsed="false">
      <c r="A246" s="21" t="s">
        <v>1461</v>
      </c>
      <c r="B246" s="21" t="s">
        <v>454</v>
      </c>
      <c r="C246" s="21" t="s">
        <v>1180</v>
      </c>
      <c r="D246" s="21" t="s">
        <v>1209</v>
      </c>
      <c r="E246" s="33" t="n">
        <v>45192</v>
      </c>
      <c r="F246" s="21" t="s">
        <v>1185</v>
      </c>
      <c r="G246" s="32" t="n">
        <v>6.3</v>
      </c>
      <c r="H246" s="21" t="s">
        <v>120</v>
      </c>
      <c r="I246" s="33" t="n">
        <v>45242</v>
      </c>
      <c r="J246" s="21" t="str">
        <f aca="false">INDEX(Students!$C$2:$C$601,MATCH(B246,Students!$A$2:$A$601,0))</f>
        <v>Batch 2024</v>
      </c>
      <c r="K246" s="21" t="str">
        <f aca="false">INDEX(Students!$D$2:$D$601,MATCH(B246,Students!$A$2:$A$601,0))</f>
        <v>Data Analytics</v>
      </c>
      <c r="L246" s="21" t="str">
        <f aca="false">INDEX(Companies!$C$2:$C$31,MATCH(C246,Companies!$A$2:$A$31,0))</f>
        <v>IT Services</v>
      </c>
      <c r="M246" s="21" t="str">
        <f aca="false">INDEX(Companies!$D$2:$D$31,MATCH(C246,Companies!$A$2:$A$31,0))</f>
        <v>Tier 3</v>
      </c>
      <c r="N246" s="34" t="n">
        <f aca="false">MATCH(F246,Assumptions!$K$4:$K$8,0)</f>
        <v>5</v>
      </c>
      <c r="O246" s="21" t="n">
        <f aca="false">IF(H246="Yes",MONTH(I246),"")</f>
        <v>11</v>
      </c>
      <c r="P246" s="21" t="str">
        <f aca="false">IF(H246="Yes",B246,"")</f>
        <v>S0180</v>
      </c>
    </row>
    <row r="247" customFormat="false" ht="15" hidden="false" customHeight="false" outlineLevel="0" collapsed="false">
      <c r="A247" s="21" t="s">
        <v>1462</v>
      </c>
      <c r="B247" s="21" t="s">
        <v>135</v>
      </c>
      <c r="C247" s="21" t="s">
        <v>1201</v>
      </c>
      <c r="D247" s="21" t="s">
        <v>1191</v>
      </c>
      <c r="E247" s="33" t="n">
        <v>45193</v>
      </c>
      <c r="F247" s="21" t="s">
        <v>1185</v>
      </c>
      <c r="G247" s="32" t="n">
        <v>7</v>
      </c>
      <c r="H247" s="21" t="s">
        <v>113</v>
      </c>
      <c r="I247" s="33" t="n">
        <v>45244</v>
      </c>
      <c r="J247" s="21" t="str">
        <f aca="false">INDEX(Students!$C$2:$C$601,MATCH(B247,Students!$A$2:$A$601,0))</f>
        <v>Batch 2024</v>
      </c>
      <c r="K247" s="21" t="str">
        <f aca="false">INDEX(Students!$D$2:$D$601,MATCH(B247,Students!$A$2:$A$601,0))</f>
        <v>DSA with Java</v>
      </c>
      <c r="L247" s="21" t="str">
        <f aca="false">INDEX(Companies!$C$2:$C$31,MATCH(C247,Companies!$A$2:$A$31,0))</f>
        <v>IT Services</v>
      </c>
      <c r="M247" s="21" t="str">
        <f aca="false">INDEX(Companies!$D$2:$D$31,MATCH(C247,Companies!$A$2:$A$31,0))</f>
        <v>Tier 3</v>
      </c>
      <c r="N247" s="34" t="n">
        <f aca="false">MATCH(F247,Assumptions!$K$4:$K$8,0)</f>
        <v>5</v>
      </c>
      <c r="O247" s="21" t="str">
        <f aca="false">IF(H247="Yes",MONTH(I247),"")</f>
        <v/>
      </c>
      <c r="P247" s="21" t="str">
        <f aca="false">IF(H247="Yes",B247,"")</f>
        <v/>
      </c>
    </row>
    <row r="248" customFormat="false" ht="15" hidden="false" customHeight="false" outlineLevel="0" collapsed="false">
      <c r="A248" s="21" t="s">
        <v>1463</v>
      </c>
      <c r="B248" s="21" t="s">
        <v>118</v>
      </c>
      <c r="C248" s="21" t="s">
        <v>1193</v>
      </c>
      <c r="D248" s="21" t="s">
        <v>1184</v>
      </c>
      <c r="E248" s="33" t="n">
        <v>45193</v>
      </c>
      <c r="F248" s="21" t="s">
        <v>1178</v>
      </c>
      <c r="G248" s="32"/>
      <c r="H248" s="21"/>
      <c r="I248" s="33"/>
      <c r="J248" s="21" t="str">
        <f aca="false">INDEX(Students!$C$2:$C$601,MATCH(B248,Students!$A$2:$A$601,0))</f>
        <v>Batch 2024</v>
      </c>
      <c r="K248" s="21" t="str">
        <f aca="false">INDEX(Students!$D$2:$D$601,MATCH(B248,Students!$A$2:$A$601,0))</f>
        <v>DSA with Java</v>
      </c>
      <c r="L248" s="21" t="str">
        <f aca="false">INDEX(Companies!$C$2:$C$31,MATCH(C248,Companies!$A$2:$A$31,0))</f>
        <v>Analytics &amp; Consulting</v>
      </c>
      <c r="M248" s="21" t="str">
        <f aca="false">INDEX(Companies!$D$2:$D$31,MATCH(C248,Companies!$A$2:$A$31,0))</f>
        <v>Tier 2</v>
      </c>
      <c r="N248" s="34" t="n">
        <f aca="false">MATCH(F248,Assumptions!$K$4:$K$8,0)</f>
        <v>2</v>
      </c>
      <c r="O248" s="21" t="str">
        <f aca="false">IF(H248="Yes",MONTH(I248),"")</f>
        <v/>
      </c>
      <c r="P248" s="21" t="str">
        <f aca="false">IF(H248="Yes",B248,"")</f>
        <v/>
      </c>
    </row>
    <row r="249" customFormat="false" ht="15" hidden="false" customHeight="false" outlineLevel="0" collapsed="false">
      <c r="A249" s="21" t="s">
        <v>1464</v>
      </c>
      <c r="B249" s="21" t="s">
        <v>297</v>
      </c>
      <c r="C249" s="21" t="s">
        <v>1266</v>
      </c>
      <c r="D249" s="21" t="s">
        <v>1191</v>
      </c>
      <c r="E249" s="33" t="n">
        <v>45193</v>
      </c>
      <c r="F249" s="21" t="s">
        <v>1185</v>
      </c>
      <c r="G249" s="32" t="n">
        <v>5.1</v>
      </c>
      <c r="H249" s="21" t="s">
        <v>113</v>
      </c>
      <c r="I249" s="33" t="n">
        <v>45214</v>
      </c>
      <c r="J249" s="21" t="str">
        <f aca="false">INDEX(Students!$C$2:$C$601,MATCH(B249,Students!$A$2:$A$601,0))</f>
        <v>Batch 2024</v>
      </c>
      <c r="K249" s="21" t="str">
        <f aca="false">INDEX(Students!$D$2:$D$601,MATCH(B249,Students!$A$2:$A$601,0))</f>
        <v>DSA with Java</v>
      </c>
      <c r="L249" s="21" t="str">
        <f aca="false">INDEX(Companies!$C$2:$C$31,MATCH(C249,Companies!$A$2:$A$31,0))</f>
        <v>IT Services</v>
      </c>
      <c r="M249" s="21" t="str">
        <f aca="false">INDEX(Companies!$D$2:$D$31,MATCH(C249,Companies!$A$2:$A$31,0))</f>
        <v>Tier 3</v>
      </c>
      <c r="N249" s="34" t="n">
        <f aca="false">MATCH(F249,Assumptions!$K$4:$K$8,0)</f>
        <v>5</v>
      </c>
      <c r="O249" s="21" t="str">
        <f aca="false">IF(H249="Yes",MONTH(I249),"")</f>
        <v/>
      </c>
      <c r="P249" s="21" t="str">
        <f aca="false">IF(H249="Yes",B249,"")</f>
        <v/>
      </c>
    </row>
    <row r="250" customFormat="false" ht="15" hidden="false" customHeight="false" outlineLevel="0" collapsed="false">
      <c r="A250" s="21" t="s">
        <v>1465</v>
      </c>
      <c r="B250" s="21" t="s">
        <v>139</v>
      </c>
      <c r="C250" s="21" t="s">
        <v>1239</v>
      </c>
      <c r="D250" s="21" t="s">
        <v>1181</v>
      </c>
      <c r="E250" s="33" t="n">
        <v>45193</v>
      </c>
      <c r="F250" s="21" t="s">
        <v>1185</v>
      </c>
      <c r="G250" s="32" t="n">
        <v>5.7</v>
      </c>
      <c r="H250" s="21" t="s">
        <v>113</v>
      </c>
      <c r="I250" s="33" t="n">
        <v>45235</v>
      </c>
      <c r="J250" s="21" t="str">
        <f aca="false">INDEX(Students!$C$2:$C$601,MATCH(B250,Students!$A$2:$A$601,0))</f>
        <v>Batch 2024</v>
      </c>
      <c r="K250" s="21" t="str">
        <f aca="false">INDEX(Students!$D$2:$D$601,MATCH(B250,Students!$A$2:$A$601,0))</f>
        <v>Full Stack Development</v>
      </c>
      <c r="L250" s="21" t="str">
        <f aca="false">INDEX(Companies!$C$2:$C$31,MATCH(C250,Companies!$A$2:$A$31,0))</f>
        <v>E-commerce</v>
      </c>
      <c r="M250" s="21" t="str">
        <f aca="false">INDEX(Companies!$D$2:$D$31,MATCH(C250,Companies!$A$2:$A$31,0))</f>
        <v>Tier 3</v>
      </c>
      <c r="N250" s="34" t="n">
        <f aca="false">MATCH(F250,Assumptions!$K$4:$K$8,0)</f>
        <v>5</v>
      </c>
      <c r="O250" s="21" t="str">
        <f aca="false">IF(H250="Yes",MONTH(I250),"")</f>
        <v/>
      </c>
      <c r="P250" s="21" t="str">
        <f aca="false">IF(H250="Yes",B250,"")</f>
        <v/>
      </c>
    </row>
    <row r="251" customFormat="false" ht="15" hidden="false" customHeight="false" outlineLevel="0" collapsed="false">
      <c r="A251" s="21" t="s">
        <v>1466</v>
      </c>
      <c r="B251" s="21" t="s">
        <v>293</v>
      </c>
      <c r="C251" s="21" t="s">
        <v>1205</v>
      </c>
      <c r="D251" s="21" t="s">
        <v>1209</v>
      </c>
      <c r="E251" s="33" t="n">
        <v>45194</v>
      </c>
      <c r="F251" s="21" t="s">
        <v>1218</v>
      </c>
      <c r="G251" s="32"/>
      <c r="H251" s="21"/>
      <c r="I251" s="33"/>
      <c r="J251" s="21" t="str">
        <f aca="false">INDEX(Students!$C$2:$C$601,MATCH(B251,Students!$A$2:$A$601,0))</f>
        <v>Batch 2024</v>
      </c>
      <c r="K251" s="21" t="str">
        <f aca="false">INDEX(Students!$D$2:$D$601,MATCH(B251,Students!$A$2:$A$601,0))</f>
        <v>Data Analytics</v>
      </c>
      <c r="L251" s="21" t="str">
        <f aca="false">INDEX(Companies!$C$2:$C$31,MATCH(C251,Companies!$A$2:$A$31,0))</f>
        <v>Healthtech</v>
      </c>
      <c r="M251" s="21" t="str">
        <f aca="false">INDEX(Companies!$D$2:$D$31,MATCH(C251,Companies!$A$2:$A$31,0))</f>
        <v>Tier 3</v>
      </c>
      <c r="N251" s="34" t="n">
        <f aca="false">MATCH(F251,Assumptions!$K$4:$K$8,0)</f>
        <v>4</v>
      </c>
      <c r="O251" s="21" t="str">
        <f aca="false">IF(H251="Yes",MONTH(I251),"")</f>
        <v/>
      </c>
      <c r="P251" s="21" t="str">
        <f aca="false">IF(H251="Yes",B251,"")</f>
        <v/>
      </c>
    </row>
    <row r="252" customFormat="false" ht="15" hidden="false" customHeight="false" outlineLevel="0" collapsed="false">
      <c r="A252" s="21" t="s">
        <v>1467</v>
      </c>
      <c r="B252" s="21" t="s">
        <v>438</v>
      </c>
      <c r="C252" s="21" t="s">
        <v>1239</v>
      </c>
      <c r="D252" s="21" t="s">
        <v>1240</v>
      </c>
      <c r="E252" s="33" t="n">
        <v>45194</v>
      </c>
      <c r="F252" s="21" t="s">
        <v>1185</v>
      </c>
      <c r="G252" s="32" t="n">
        <v>6</v>
      </c>
      <c r="H252" s="21" t="s">
        <v>113</v>
      </c>
      <c r="I252" s="33" t="n">
        <v>45225</v>
      </c>
      <c r="J252" s="21" t="str">
        <f aca="false">INDEX(Students!$C$2:$C$601,MATCH(B252,Students!$A$2:$A$601,0))</f>
        <v>Batch 2024</v>
      </c>
      <c r="K252" s="21" t="str">
        <f aca="false">INDEX(Students!$D$2:$D$601,MATCH(B252,Students!$A$2:$A$601,0))</f>
        <v>Cybersecurity</v>
      </c>
      <c r="L252" s="21" t="str">
        <f aca="false">INDEX(Companies!$C$2:$C$31,MATCH(C252,Companies!$A$2:$A$31,0))</f>
        <v>E-commerce</v>
      </c>
      <c r="M252" s="21" t="str">
        <f aca="false">INDEX(Companies!$D$2:$D$31,MATCH(C252,Companies!$A$2:$A$31,0))</f>
        <v>Tier 3</v>
      </c>
      <c r="N252" s="34" t="n">
        <f aca="false">MATCH(F252,Assumptions!$K$4:$K$8,0)</f>
        <v>5</v>
      </c>
      <c r="O252" s="21" t="str">
        <f aca="false">IF(H252="Yes",MONTH(I252),"")</f>
        <v/>
      </c>
      <c r="P252" s="21" t="str">
        <f aca="false">IF(H252="Yes",B252,"")</f>
        <v/>
      </c>
    </row>
    <row r="253" customFormat="false" ht="15" hidden="false" customHeight="false" outlineLevel="0" collapsed="false">
      <c r="A253" s="21" t="s">
        <v>1468</v>
      </c>
      <c r="B253" s="21" t="s">
        <v>388</v>
      </c>
      <c r="C253" s="21" t="s">
        <v>1199</v>
      </c>
      <c r="D253" s="21" t="s">
        <v>1191</v>
      </c>
      <c r="E253" s="33" t="n">
        <v>45194</v>
      </c>
      <c r="F253" s="21" t="s">
        <v>1197</v>
      </c>
      <c r="G253" s="32"/>
      <c r="H253" s="21"/>
      <c r="I253" s="33"/>
      <c r="J253" s="21" t="str">
        <f aca="false">INDEX(Students!$C$2:$C$601,MATCH(B253,Students!$A$2:$A$601,0))</f>
        <v>Batch 2024</v>
      </c>
      <c r="K253" s="21" t="str">
        <f aca="false">INDEX(Students!$D$2:$D$601,MATCH(B253,Students!$A$2:$A$601,0))</f>
        <v>DSA with Java</v>
      </c>
      <c r="L253" s="21" t="str">
        <f aca="false">INDEX(Companies!$C$2:$C$31,MATCH(C253,Companies!$A$2:$A$31,0))</f>
        <v>E-commerce</v>
      </c>
      <c r="M253" s="21" t="str">
        <f aca="false">INDEX(Companies!$D$2:$D$31,MATCH(C253,Companies!$A$2:$A$31,0))</f>
        <v>Tier 2</v>
      </c>
      <c r="N253" s="34" t="n">
        <f aca="false">MATCH(F253,Assumptions!$K$4:$K$8,0)</f>
        <v>3</v>
      </c>
      <c r="O253" s="21" t="str">
        <f aca="false">IF(H253="Yes",MONTH(I253),"")</f>
        <v/>
      </c>
      <c r="P253" s="21" t="str">
        <f aca="false">IF(H253="Yes",B253,"")</f>
        <v/>
      </c>
    </row>
    <row r="254" customFormat="false" ht="15" hidden="false" customHeight="false" outlineLevel="0" collapsed="false">
      <c r="A254" s="21" t="s">
        <v>1469</v>
      </c>
      <c r="B254" s="21" t="s">
        <v>447</v>
      </c>
      <c r="C254" s="21" t="s">
        <v>1290</v>
      </c>
      <c r="D254" s="21" t="s">
        <v>1184</v>
      </c>
      <c r="E254" s="33" t="n">
        <v>45195</v>
      </c>
      <c r="F254" s="21" t="s">
        <v>1185</v>
      </c>
      <c r="G254" s="32" t="n">
        <v>15.4</v>
      </c>
      <c r="H254" s="21" t="s">
        <v>120</v>
      </c>
      <c r="I254" s="33" t="n">
        <v>45235</v>
      </c>
      <c r="J254" s="21" t="str">
        <f aca="false">INDEX(Students!$C$2:$C$601,MATCH(B254,Students!$A$2:$A$601,0))</f>
        <v>Batch 2024</v>
      </c>
      <c r="K254" s="21" t="str">
        <f aca="false">INDEX(Students!$D$2:$D$601,MATCH(B254,Students!$A$2:$A$601,0))</f>
        <v>DSA with Java</v>
      </c>
      <c r="L254" s="21" t="str">
        <f aca="false">INDEX(Companies!$C$2:$C$31,MATCH(C254,Companies!$A$2:$A$31,0))</f>
        <v>Fintech</v>
      </c>
      <c r="M254" s="21" t="str">
        <f aca="false">INDEX(Companies!$D$2:$D$31,MATCH(C254,Companies!$A$2:$A$31,0))</f>
        <v>Tier 2</v>
      </c>
      <c r="N254" s="34" t="n">
        <f aca="false">MATCH(F254,Assumptions!$K$4:$K$8,0)</f>
        <v>5</v>
      </c>
      <c r="O254" s="21" t="n">
        <f aca="false">IF(H254="Yes",MONTH(I254),"")</f>
        <v>11</v>
      </c>
      <c r="P254" s="21" t="str">
        <f aca="false">IF(H254="Yes",B254,"")</f>
        <v>S0176</v>
      </c>
    </row>
    <row r="255" customFormat="false" ht="15" hidden="false" customHeight="false" outlineLevel="0" collapsed="false">
      <c r="A255" s="21" t="s">
        <v>1470</v>
      </c>
      <c r="B255" s="21" t="s">
        <v>399</v>
      </c>
      <c r="C255" s="21" t="s">
        <v>1199</v>
      </c>
      <c r="D255" s="21" t="s">
        <v>1194</v>
      </c>
      <c r="E255" s="33" t="n">
        <v>45195</v>
      </c>
      <c r="F255" s="21" t="s">
        <v>1178</v>
      </c>
      <c r="G255" s="32"/>
      <c r="H255" s="21"/>
      <c r="I255" s="33"/>
      <c r="J255" s="21" t="str">
        <f aca="false">INDEX(Students!$C$2:$C$601,MATCH(B255,Students!$A$2:$A$601,0))</f>
        <v>Batch 2024</v>
      </c>
      <c r="K255" s="21" t="str">
        <f aca="false">INDEX(Students!$D$2:$D$601,MATCH(B255,Students!$A$2:$A$601,0))</f>
        <v>Data Science &amp; ML</v>
      </c>
      <c r="L255" s="21" t="str">
        <f aca="false">INDEX(Companies!$C$2:$C$31,MATCH(C255,Companies!$A$2:$A$31,0))</f>
        <v>E-commerce</v>
      </c>
      <c r="M255" s="21" t="str">
        <f aca="false">INDEX(Companies!$D$2:$D$31,MATCH(C255,Companies!$A$2:$A$31,0))</f>
        <v>Tier 2</v>
      </c>
      <c r="N255" s="34" t="n">
        <f aca="false">MATCH(F255,Assumptions!$K$4:$K$8,0)</f>
        <v>2</v>
      </c>
      <c r="O255" s="21" t="str">
        <f aca="false">IF(H255="Yes",MONTH(I255),"")</f>
        <v/>
      </c>
      <c r="P255" s="21" t="str">
        <f aca="false">IF(H255="Yes",B255,"")</f>
        <v/>
      </c>
    </row>
    <row r="256" customFormat="false" ht="15" hidden="false" customHeight="false" outlineLevel="0" collapsed="false">
      <c r="A256" s="21" t="s">
        <v>1471</v>
      </c>
      <c r="B256" s="21" t="s">
        <v>215</v>
      </c>
      <c r="C256" s="21" t="s">
        <v>1205</v>
      </c>
      <c r="D256" s="21" t="s">
        <v>1243</v>
      </c>
      <c r="E256" s="33" t="n">
        <v>45195</v>
      </c>
      <c r="F256" s="21" t="s">
        <v>1197</v>
      </c>
      <c r="G256" s="32"/>
      <c r="H256" s="21"/>
      <c r="I256" s="33"/>
      <c r="J256" s="21" t="str">
        <f aca="false">INDEX(Students!$C$2:$C$601,MATCH(B256,Students!$A$2:$A$601,0))</f>
        <v>Batch 2024</v>
      </c>
      <c r="K256" s="21" t="str">
        <f aca="false">INDEX(Students!$D$2:$D$601,MATCH(B256,Students!$A$2:$A$601,0))</f>
        <v>Data Science &amp; ML</v>
      </c>
      <c r="L256" s="21" t="str">
        <f aca="false">INDEX(Companies!$C$2:$C$31,MATCH(C256,Companies!$A$2:$A$31,0))</f>
        <v>Healthtech</v>
      </c>
      <c r="M256" s="21" t="str">
        <f aca="false">INDEX(Companies!$D$2:$D$31,MATCH(C256,Companies!$A$2:$A$31,0))</f>
        <v>Tier 3</v>
      </c>
      <c r="N256" s="34" t="n">
        <f aca="false">MATCH(F256,Assumptions!$K$4:$K$8,0)</f>
        <v>3</v>
      </c>
      <c r="O256" s="21" t="str">
        <f aca="false">IF(H256="Yes",MONTH(I256),"")</f>
        <v/>
      </c>
      <c r="P256" s="21" t="str">
        <f aca="false">IF(H256="Yes",B256,"")</f>
        <v/>
      </c>
    </row>
    <row r="257" customFormat="false" ht="15" hidden="false" customHeight="false" outlineLevel="0" collapsed="false">
      <c r="A257" s="21" t="s">
        <v>1472</v>
      </c>
      <c r="B257" s="21" t="s">
        <v>339</v>
      </c>
      <c r="C257" s="21" t="s">
        <v>1180</v>
      </c>
      <c r="D257" s="21" t="s">
        <v>1226</v>
      </c>
      <c r="E257" s="33" t="n">
        <v>45195</v>
      </c>
      <c r="F257" s="21" t="s">
        <v>1175</v>
      </c>
      <c r="G257" s="32"/>
      <c r="H257" s="21"/>
      <c r="I257" s="33"/>
      <c r="J257" s="21" t="str">
        <f aca="false">INDEX(Students!$C$2:$C$601,MATCH(B257,Students!$A$2:$A$601,0))</f>
        <v>Batch 2024</v>
      </c>
      <c r="K257" s="21" t="str">
        <f aca="false">INDEX(Students!$D$2:$D$601,MATCH(B257,Students!$A$2:$A$601,0))</f>
        <v>Cybersecurity</v>
      </c>
      <c r="L257" s="21" t="str">
        <f aca="false">INDEX(Companies!$C$2:$C$31,MATCH(C257,Companies!$A$2:$A$31,0))</f>
        <v>IT Services</v>
      </c>
      <c r="M257" s="21" t="str">
        <f aca="false">INDEX(Companies!$D$2:$D$31,MATCH(C257,Companies!$A$2:$A$31,0))</f>
        <v>Tier 3</v>
      </c>
      <c r="N257" s="34" t="n">
        <f aca="false">MATCH(F257,Assumptions!$K$4:$K$8,0)</f>
        <v>1</v>
      </c>
      <c r="O257" s="21" t="str">
        <f aca="false">IF(H257="Yes",MONTH(I257),"")</f>
        <v/>
      </c>
      <c r="P257" s="21" t="str">
        <f aca="false">IF(H257="Yes",B257,"")</f>
        <v/>
      </c>
    </row>
    <row r="258" customFormat="false" ht="15" hidden="false" customHeight="false" outlineLevel="0" collapsed="false">
      <c r="A258" s="21" t="s">
        <v>1473</v>
      </c>
      <c r="B258" s="21" t="s">
        <v>414</v>
      </c>
      <c r="C258" s="21" t="s">
        <v>1177</v>
      </c>
      <c r="D258" s="21" t="s">
        <v>1181</v>
      </c>
      <c r="E258" s="33" t="n">
        <v>45196</v>
      </c>
      <c r="F258" s="21" t="s">
        <v>1185</v>
      </c>
      <c r="G258" s="32" t="n">
        <v>5.9</v>
      </c>
      <c r="H258" s="21" t="s">
        <v>113</v>
      </c>
      <c r="I258" s="33" t="n">
        <v>45216</v>
      </c>
      <c r="J258" s="21" t="str">
        <f aca="false">INDEX(Students!$C$2:$C$601,MATCH(B258,Students!$A$2:$A$601,0))</f>
        <v>Batch 2024</v>
      </c>
      <c r="K258" s="21" t="str">
        <f aca="false">INDEX(Students!$D$2:$D$601,MATCH(B258,Students!$A$2:$A$601,0))</f>
        <v>Full Stack Development</v>
      </c>
      <c r="L258" s="21" t="str">
        <f aca="false">INDEX(Companies!$C$2:$C$31,MATCH(C258,Companies!$A$2:$A$31,0))</f>
        <v>IT Services</v>
      </c>
      <c r="M258" s="21" t="str">
        <f aca="false">INDEX(Companies!$D$2:$D$31,MATCH(C258,Companies!$A$2:$A$31,0))</f>
        <v>Tier 3</v>
      </c>
      <c r="N258" s="34" t="n">
        <f aca="false">MATCH(F258,Assumptions!$K$4:$K$8,0)</f>
        <v>5</v>
      </c>
      <c r="O258" s="21" t="str">
        <f aca="false">IF(H258="Yes",MONTH(I258),"")</f>
        <v/>
      </c>
      <c r="P258" s="21" t="str">
        <f aca="false">IF(H258="Yes",B258,"")</f>
        <v/>
      </c>
    </row>
    <row r="259" customFormat="false" ht="15" hidden="false" customHeight="false" outlineLevel="0" collapsed="false">
      <c r="A259" s="21" t="s">
        <v>1474</v>
      </c>
      <c r="B259" s="21" t="s">
        <v>380</v>
      </c>
      <c r="C259" s="21" t="s">
        <v>1196</v>
      </c>
      <c r="D259" s="21" t="s">
        <v>1209</v>
      </c>
      <c r="E259" s="33" t="n">
        <v>45196</v>
      </c>
      <c r="F259" s="21" t="s">
        <v>1175</v>
      </c>
      <c r="G259" s="32"/>
      <c r="H259" s="21"/>
      <c r="I259" s="33"/>
      <c r="J259" s="21" t="str">
        <f aca="false">INDEX(Students!$C$2:$C$601,MATCH(B259,Students!$A$2:$A$601,0))</f>
        <v>Batch 2024</v>
      </c>
      <c r="K259" s="21" t="str">
        <f aca="false">INDEX(Students!$D$2:$D$601,MATCH(B259,Students!$A$2:$A$601,0))</f>
        <v>Data Analytics</v>
      </c>
      <c r="L259" s="21" t="str">
        <f aca="false">INDEX(Companies!$C$2:$C$31,MATCH(C259,Companies!$A$2:$A$31,0))</f>
        <v>IT Services</v>
      </c>
      <c r="M259" s="21" t="str">
        <f aca="false">INDEX(Companies!$D$2:$D$31,MATCH(C259,Companies!$A$2:$A$31,0))</f>
        <v>Tier 3</v>
      </c>
      <c r="N259" s="34" t="n">
        <f aca="false">MATCH(F259,Assumptions!$K$4:$K$8,0)</f>
        <v>1</v>
      </c>
      <c r="O259" s="21" t="str">
        <f aca="false">IF(H259="Yes",MONTH(I259),"")</f>
        <v/>
      </c>
      <c r="P259" s="21" t="str">
        <f aca="false">IF(H259="Yes",B259,"")</f>
        <v/>
      </c>
    </row>
    <row r="260" customFormat="false" ht="15" hidden="false" customHeight="false" outlineLevel="0" collapsed="false">
      <c r="A260" s="21" t="s">
        <v>1475</v>
      </c>
      <c r="B260" s="21" t="s">
        <v>384</v>
      </c>
      <c r="C260" s="21" t="s">
        <v>1255</v>
      </c>
      <c r="D260" s="21" t="s">
        <v>1181</v>
      </c>
      <c r="E260" s="33" t="n">
        <v>45197</v>
      </c>
      <c r="F260" s="21" t="s">
        <v>1185</v>
      </c>
      <c r="G260" s="32" t="n">
        <v>5.6</v>
      </c>
      <c r="H260" s="21" t="s">
        <v>113</v>
      </c>
      <c r="I260" s="33" t="n">
        <v>45233</v>
      </c>
      <c r="J260" s="21" t="str">
        <f aca="false">INDEX(Students!$C$2:$C$601,MATCH(B260,Students!$A$2:$A$601,0))</f>
        <v>Batch 2024</v>
      </c>
      <c r="K260" s="21" t="str">
        <f aca="false">INDEX(Students!$D$2:$D$601,MATCH(B260,Students!$A$2:$A$601,0))</f>
        <v>Full Stack Development</v>
      </c>
      <c r="L260" s="21" t="str">
        <f aca="false">INDEX(Companies!$C$2:$C$31,MATCH(C260,Companies!$A$2:$A$31,0))</f>
        <v>IT Services</v>
      </c>
      <c r="M260" s="21" t="str">
        <f aca="false">INDEX(Companies!$D$2:$D$31,MATCH(C260,Companies!$A$2:$A$31,0))</f>
        <v>Tier 3</v>
      </c>
      <c r="N260" s="34" t="n">
        <f aca="false">MATCH(F260,Assumptions!$K$4:$K$8,0)</f>
        <v>5</v>
      </c>
      <c r="O260" s="21" t="str">
        <f aca="false">IF(H260="Yes",MONTH(I260),"")</f>
        <v/>
      </c>
      <c r="P260" s="21" t="str">
        <f aca="false">IF(H260="Yes",B260,"")</f>
        <v/>
      </c>
    </row>
    <row r="261" customFormat="false" ht="15" hidden="false" customHeight="false" outlineLevel="0" collapsed="false">
      <c r="A261" s="21" t="s">
        <v>1476</v>
      </c>
      <c r="B261" s="21" t="s">
        <v>410</v>
      </c>
      <c r="C261" s="21" t="s">
        <v>1225</v>
      </c>
      <c r="D261" s="21" t="s">
        <v>1181</v>
      </c>
      <c r="E261" s="33" t="n">
        <v>45197</v>
      </c>
      <c r="F261" s="21" t="s">
        <v>1197</v>
      </c>
      <c r="G261" s="32"/>
      <c r="H261" s="21"/>
      <c r="I261" s="33"/>
      <c r="J261" s="21" t="str">
        <f aca="false">INDEX(Students!$C$2:$C$601,MATCH(B261,Students!$A$2:$A$601,0))</f>
        <v>Batch 2024</v>
      </c>
      <c r="K261" s="21" t="str">
        <f aca="false">INDEX(Students!$D$2:$D$601,MATCH(B261,Students!$A$2:$A$601,0))</f>
        <v>Full Stack Development</v>
      </c>
      <c r="L261" s="21" t="str">
        <f aca="false">INDEX(Companies!$C$2:$C$31,MATCH(C261,Companies!$A$2:$A$31,0))</f>
        <v>EdTech</v>
      </c>
      <c r="M261" s="21" t="str">
        <f aca="false">INDEX(Companies!$D$2:$D$31,MATCH(C261,Companies!$A$2:$A$31,0))</f>
        <v>Tier 2</v>
      </c>
      <c r="N261" s="34" t="n">
        <f aca="false">MATCH(F261,Assumptions!$K$4:$K$8,0)</f>
        <v>3</v>
      </c>
      <c r="O261" s="21" t="str">
        <f aca="false">IF(H261="Yes",MONTH(I261),"")</f>
        <v/>
      </c>
      <c r="P261" s="21" t="str">
        <f aca="false">IF(H261="Yes",B261,"")</f>
        <v/>
      </c>
    </row>
    <row r="262" customFormat="false" ht="15" hidden="false" customHeight="false" outlineLevel="0" collapsed="false">
      <c r="A262" s="21" t="s">
        <v>1477</v>
      </c>
      <c r="B262" s="21" t="s">
        <v>391</v>
      </c>
      <c r="C262" s="21" t="s">
        <v>1239</v>
      </c>
      <c r="D262" s="21" t="s">
        <v>1188</v>
      </c>
      <c r="E262" s="33" t="n">
        <v>45198</v>
      </c>
      <c r="F262" s="21" t="s">
        <v>1175</v>
      </c>
      <c r="G262" s="32"/>
      <c r="H262" s="21"/>
      <c r="I262" s="33"/>
      <c r="J262" s="21" t="str">
        <f aca="false">INDEX(Students!$C$2:$C$601,MATCH(B262,Students!$A$2:$A$601,0))</f>
        <v>Batch 2024</v>
      </c>
      <c r="K262" s="21" t="str">
        <f aca="false">INDEX(Students!$D$2:$D$601,MATCH(B262,Students!$A$2:$A$601,0))</f>
        <v>Data Analytics</v>
      </c>
      <c r="L262" s="21" t="str">
        <f aca="false">INDEX(Companies!$C$2:$C$31,MATCH(C262,Companies!$A$2:$A$31,0))</f>
        <v>E-commerce</v>
      </c>
      <c r="M262" s="21" t="str">
        <f aca="false">INDEX(Companies!$D$2:$D$31,MATCH(C262,Companies!$A$2:$A$31,0))</f>
        <v>Tier 3</v>
      </c>
      <c r="N262" s="34" t="n">
        <f aca="false">MATCH(F262,Assumptions!$K$4:$K$8,0)</f>
        <v>1</v>
      </c>
      <c r="O262" s="21" t="str">
        <f aca="false">IF(H262="Yes",MONTH(I262),"")</f>
        <v/>
      </c>
      <c r="P262" s="21" t="str">
        <f aca="false">IF(H262="Yes",B262,"")</f>
        <v/>
      </c>
    </row>
    <row r="263" customFormat="false" ht="15" hidden="false" customHeight="false" outlineLevel="0" collapsed="false">
      <c r="A263" s="21" t="s">
        <v>1478</v>
      </c>
      <c r="B263" s="21" t="s">
        <v>191</v>
      </c>
      <c r="C263" s="21" t="s">
        <v>1222</v>
      </c>
      <c r="D263" s="21" t="s">
        <v>1191</v>
      </c>
      <c r="E263" s="33" t="n">
        <v>45198</v>
      </c>
      <c r="F263" s="21" t="s">
        <v>1197</v>
      </c>
      <c r="G263" s="32"/>
      <c r="H263" s="21"/>
      <c r="I263" s="33"/>
      <c r="J263" s="21" t="str">
        <f aca="false">INDEX(Students!$C$2:$C$601,MATCH(B263,Students!$A$2:$A$601,0))</f>
        <v>Batch 2024</v>
      </c>
      <c r="K263" s="21" t="str">
        <f aca="false">INDEX(Students!$D$2:$D$601,MATCH(B263,Students!$A$2:$A$601,0))</f>
        <v>DSA with Java</v>
      </c>
      <c r="L263" s="21" t="str">
        <f aca="false">INDEX(Companies!$C$2:$C$31,MATCH(C263,Companies!$A$2:$A$31,0))</f>
        <v>Product</v>
      </c>
      <c r="M263" s="21" t="str">
        <f aca="false">INDEX(Companies!$D$2:$D$31,MATCH(C263,Companies!$A$2:$A$31,0))</f>
        <v>Tier 2</v>
      </c>
      <c r="N263" s="34" t="n">
        <f aca="false">MATCH(F263,Assumptions!$K$4:$K$8,0)</f>
        <v>3</v>
      </c>
      <c r="O263" s="21" t="str">
        <f aca="false">IF(H263="Yes",MONTH(I263),"")</f>
        <v/>
      </c>
      <c r="P263" s="21" t="str">
        <f aca="false">IF(H263="Yes",B263,"")</f>
        <v/>
      </c>
    </row>
    <row r="264" customFormat="false" ht="15" hidden="false" customHeight="false" outlineLevel="0" collapsed="false">
      <c r="A264" s="21" t="s">
        <v>1479</v>
      </c>
      <c r="B264" s="21" t="s">
        <v>183</v>
      </c>
      <c r="C264" s="21" t="s">
        <v>1290</v>
      </c>
      <c r="D264" s="21" t="s">
        <v>1184</v>
      </c>
      <c r="E264" s="33" t="n">
        <v>45198</v>
      </c>
      <c r="F264" s="21" t="s">
        <v>1175</v>
      </c>
      <c r="G264" s="32"/>
      <c r="H264" s="21"/>
      <c r="I264" s="33"/>
      <c r="J264" s="21" t="str">
        <f aca="false">INDEX(Students!$C$2:$C$601,MATCH(B264,Students!$A$2:$A$601,0))</f>
        <v>Batch 2024</v>
      </c>
      <c r="K264" s="21" t="str">
        <f aca="false">INDEX(Students!$D$2:$D$601,MATCH(B264,Students!$A$2:$A$601,0))</f>
        <v>DSA with Java</v>
      </c>
      <c r="L264" s="21" t="str">
        <f aca="false">INDEX(Companies!$C$2:$C$31,MATCH(C264,Companies!$A$2:$A$31,0))</f>
        <v>Fintech</v>
      </c>
      <c r="M264" s="21" t="str">
        <f aca="false">INDEX(Companies!$D$2:$D$31,MATCH(C264,Companies!$A$2:$A$31,0))</f>
        <v>Tier 2</v>
      </c>
      <c r="N264" s="34" t="n">
        <f aca="false">MATCH(F264,Assumptions!$K$4:$K$8,0)</f>
        <v>1</v>
      </c>
      <c r="O264" s="21" t="str">
        <f aca="false">IF(H264="Yes",MONTH(I264),"")</f>
        <v/>
      </c>
      <c r="P264" s="21" t="str">
        <f aca="false">IF(H264="Yes",B264,"")</f>
        <v/>
      </c>
    </row>
    <row r="265" customFormat="false" ht="15" hidden="false" customHeight="false" outlineLevel="0" collapsed="false">
      <c r="A265" s="21" t="s">
        <v>1480</v>
      </c>
      <c r="B265" s="21" t="s">
        <v>402</v>
      </c>
      <c r="C265" s="21" t="s">
        <v>1203</v>
      </c>
      <c r="D265" s="21" t="s">
        <v>1174</v>
      </c>
      <c r="E265" s="33" t="n">
        <v>45198</v>
      </c>
      <c r="F265" s="21" t="s">
        <v>1178</v>
      </c>
      <c r="G265" s="32"/>
      <c r="H265" s="21"/>
      <c r="I265" s="33"/>
      <c r="J265" s="21" t="str">
        <f aca="false">INDEX(Students!$C$2:$C$601,MATCH(B265,Students!$A$2:$A$601,0))</f>
        <v>Batch 2024</v>
      </c>
      <c r="K265" s="21" t="str">
        <f aca="false">INDEX(Students!$D$2:$D$601,MATCH(B265,Students!$A$2:$A$601,0))</f>
        <v>Full Stack Development</v>
      </c>
      <c r="L265" s="21" t="str">
        <f aca="false">INDEX(Companies!$C$2:$C$31,MATCH(C265,Companies!$A$2:$A$31,0))</f>
        <v>Healthtech</v>
      </c>
      <c r="M265" s="21" t="str">
        <f aca="false">INDEX(Companies!$D$2:$D$31,MATCH(C265,Companies!$A$2:$A$31,0))</f>
        <v>Tier 2</v>
      </c>
      <c r="N265" s="34" t="n">
        <f aca="false">MATCH(F265,Assumptions!$K$4:$K$8,0)</f>
        <v>2</v>
      </c>
      <c r="O265" s="21" t="str">
        <f aca="false">IF(H265="Yes",MONTH(I265),"")</f>
        <v/>
      </c>
      <c r="P265" s="21" t="str">
        <f aca="false">IF(H265="Yes",B265,"")</f>
        <v/>
      </c>
    </row>
    <row r="266" customFormat="false" ht="15" hidden="false" customHeight="false" outlineLevel="0" collapsed="false">
      <c r="A266" s="21" t="s">
        <v>1481</v>
      </c>
      <c r="B266" s="21" t="s">
        <v>378</v>
      </c>
      <c r="C266" s="21" t="s">
        <v>1275</v>
      </c>
      <c r="D266" s="21" t="s">
        <v>1191</v>
      </c>
      <c r="E266" s="33" t="n">
        <v>45198</v>
      </c>
      <c r="F266" s="21" t="s">
        <v>1175</v>
      </c>
      <c r="G266" s="32"/>
      <c r="H266" s="21"/>
      <c r="I266" s="33"/>
      <c r="J266" s="21" t="str">
        <f aca="false">INDEX(Students!$C$2:$C$601,MATCH(B266,Students!$A$2:$A$601,0))</f>
        <v>Batch 2024</v>
      </c>
      <c r="K266" s="21" t="str">
        <f aca="false">INDEX(Students!$D$2:$D$601,MATCH(B266,Students!$A$2:$A$601,0))</f>
        <v>DSA with Java</v>
      </c>
      <c r="L266" s="21" t="str">
        <f aca="false">INDEX(Companies!$C$2:$C$31,MATCH(C266,Companies!$A$2:$A$31,0))</f>
        <v>Cybersecurity</v>
      </c>
      <c r="M266" s="21" t="str">
        <f aca="false">INDEX(Companies!$D$2:$D$31,MATCH(C266,Companies!$A$2:$A$31,0))</f>
        <v>Tier 2</v>
      </c>
      <c r="N266" s="34" t="n">
        <f aca="false">MATCH(F266,Assumptions!$K$4:$K$8,0)</f>
        <v>1</v>
      </c>
      <c r="O266" s="21" t="str">
        <f aca="false">IF(H266="Yes",MONTH(I266),"")</f>
        <v/>
      </c>
      <c r="P266" s="21" t="str">
        <f aca="false">IF(H266="Yes",B266,"")</f>
        <v/>
      </c>
    </row>
    <row r="267" customFormat="false" ht="15" hidden="false" customHeight="false" outlineLevel="0" collapsed="false">
      <c r="A267" s="21" t="s">
        <v>1482</v>
      </c>
      <c r="B267" s="21" t="s">
        <v>230</v>
      </c>
      <c r="C267" s="21" t="s">
        <v>1239</v>
      </c>
      <c r="D267" s="21" t="s">
        <v>1181</v>
      </c>
      <c r="E267" s="33" t="n">
        <v>45199</v>
      </c>
      <c r="F267" s="21" t="s">
        <v>1185</v>
      </c>
      <c r="G267" s="32" t="n">
        <v>6</v>
      </c>
      <c r="H267" s="21" t="s">
        <v>120</v>
      </c>
      <c r="I267" s="33" t="n">
        <v>45237</v>
      </c>
      <c r="J267" s="21" t="str">
        <f aca="false">INDEX(Students!$C$2:$C$601,MATCH(B267,Students!$A$2:$A$601,0))</f>
        <v>Batch 2024</v>
      </c>
      <c r="K267" s="21" t="str">
        <f aca="false">INDEX(Students!$D$2:$D$601,MATCH(B267,Students!$A$2:$A$601,0))</f>
        <v>Full Stack Development</v>
      </c>
      <c r="L267" s="21" t="str">
        <f aca="false">INDEX(Companies!$C$2:$C$31,MATCH(C267,Companies!$A$2:$A$31,0))</f>
        <v>E-commerce</v>
      </c>
      <c r="M267" s="21" t="str">
        <f aca="false">INDEX(Companies!$D$2:$D$31,MATCH(C267,Companies!$A$2:$A$31,0))</f>
        <v>Tier 3</v>
      </c>
      <c r="N267" s="34" t="n">
        <f aca="false">MATCH(F267,Assumptions!$K$4:$K$8,0)</f>
        <v>5</v>
      </c>
      <c r="O267" s="21" t="n">
        <f aca="false">IF(H267="Yes",MONTH(I267),"")</f>
        <v>11</v>
      </c>
      <c r="P267" s="21" t="str">
        <f aca="false">IF(H267="Yes",B267,"")</f>
        <v>S0060</v>
      </c>
    </row>
    <row r="268" customFormat="false" ht="15" hidden="false" customHeight="false" outlineLevel="0" collapsed="false">
      <c r="A268" s="21" t="s">
        <v>1483</v>
      </c>
      <c r="B268" s="21" t="s">
        <v>276</v>
      </c>
      <c r="C268" s="21" t="s">
        <v>1183</v>
      </c>
      <c r="D268" s="21" t="s">
        <v>1194</v>
      </c>
      <c r="E268" s="33" t="n">
        <v>45199</v>
      </c>
      <c r="F268" s="21" t="s">
        <v>1197</v>
      </c>
      <c r="G268" s="32"/>
      <c r="H268" s="21"/>
      <c r="I268" s="33"/>
      <c r="J268" s="21" t="str">
        <f aca="false">INDEX(Students!$C$2:$C$601,MATCH(B268,Students!$A$2:$A$601,0))</f>
        <v>Batch 2024</v>
      </c>
      <c r="K268" s="21" t="str">
        <f aca="false">INDEX(Students!$D$2:$D$601,MATCH(B268,Students!$A$2:$A$601,0))</f>
        <v>Data Science &amp; ML</v>
      </c>
      <c r="L268" s="21" t="str">
        <f aca="false">INDEX(Companies!$C$2:$C$31,MATCH(C268,Companies!$A$2:$A$31,0))</f>
        <v>E-commerce</v>
      </c>
      <c r="M268" s="21" t="str">
        <f aca="false">INDEX(Companies!$D$2:$D$31,MATCH(C268,Companies!$A$2:$A$31,0))</f>
        <v>Tier 2</v>
      </c>
      <c r="N268" s="34" t="n">
        <f aca="false">MATCH(F268,Assumptions!$K$4:$K$8,0)</f>
        <v>3</v>
      </c>
      <c r="O268" s="21" t="str">
        <f aca="false">IF(H268="Yes",MONTH(I268),"")</f>
        <v/>
      </c>
      <c r="P268" s="21" t="str">
        <f aca="false">IF(H268="Yes",B268,"")</f>
        <v/>
      </c>
    </row>
    <row r="269" customFormat="false" ht="15" hidden="false" customHeight="false" outlineLevel="0" collapsed="false">
      <c r="A269" s="21" t="s">
        <v>1484</v>
      </c>
      <c r="B269" s="21" t="s">
        <v>334</v>
      </c>
      <c r="C269" s="21" t="s">
        <v>1298</v>
      </c>
      <c r="D269" s="21" t="s">
        <v>1243</v>
      </c>
      <c r="E269" s="33" t="n">
        <v>45199</v>
      </c>
      <c r="F269" s="21" t="s">
        <v>1197</v>
      </c>
      <c r="G269" s="32"/>
      <c r="H269" s="21"/>
      <c r="I269" s="33"/>
      <c r="J269" s="21" t="str">
        <f aca="false">INDEX(Students!$C$2:$C$601,MATCH(B269,Students!$A$2:$A$601,0))</f>
        <v>Batch 2024</v>
      </c>
      <c r="K269" s="21" t="str">
        <f aca="false">INDEX(Students!$D$2:$D$601,MATCH(B269,Students!$A$2:$A$601,0))</f>
        <v>Data Science &amp; ML</v>
      </c>
      <c r="L269" s="21" t="str">
        <f aca="false">INDEX(Companies!$C$2:$C$31,MATCH(C269,Companies!$A$2:$A$31,0))</f>
        <v>Fintech</v>
      </c>
      <c r="M269" s="21" t="str">
        <f aca="false">INDEX(Companies!$D$2:$D$31,MATCH(C269,Companies!$A$2:$A$31,0))</f>
        <v>Tier 2</v>
      </c>
      <c r="N269" s="34" t="n">
        <f aca="false">MATCH(F269,Assumptions!$K$4:$K$8,0)</f>
        <v>3</v>
      </c>
      <c r="O269" s="21" t="str">
        <f aca="false">IF(H269="Yes",MONTH(I269),"")</f>
        <v/>
      </c>
      <c r="P269" s="21" t="str">
        <f aca="false">IF(H269="Yes",B269,"")</f>
        <v/>
      </c>
    </row>
    <row r="270" customFormat="false" ht="15" hidden="false" customHeight="false" outlineLevel="0" collapsed="false">
      <c r="A270" s="21" t="s">
        <v>1485</v>
      </c>
      <c r="B270" s="21" t="s">
        <v>135</v>
      </c>
      <c r="C270" s="21" t="s">
        <v>1211</v>
      </c>
      <c r="D270" s="21" t="s">
        <v>1184</v>
      </c>
      <c r="E270" s="33" t="n">
        <v>45199</v>
      </c>
      <c r="F270" s="21" t="s">
        <v>1185</v>
      </c>
      <c r="G270" s="32" t="n">
        <v>7.1</v>
      </c>
      <c r="H270" s="21" t="s">
        <v>113</v>
      </c>
      <c r="I270" s="33" t="n">
        <v>45220</v>
      </c>
      <c r="J270" s="21" t="str">
        <f aca="false">INDEX(Students!$C$2:$C$601,MATCH(B270,Students!$A$2:$A$601,0))</f>
        <v>Batch 2024</v>
      </c>
      <c r="K270" s="21" t="str">
        <f aca="false">INDEX(Students!$D$2:$D$601,MATCH(B270,Students!$A$2:$A$601,0))</f>
        <v>DSA with Java</v>
      </c>
      <c r="L270" s="21" t="str">
        <f aca="false">INDEX(Companies!$C$2:$C$31,MATCH(C270,Companies!$A$2:$A$31,0))</f>
        <v>Analytics &amp; Consulting</v>
      </c>
      <c r="M270" s="21" t="str">
        <f aca="false">INDEX(Companies!$D$2:$D$31,MATCH(C270,Companies!$A$2:$A$31,0))</f>
        <v>Tier 3</v>
      </c>
      <c r="N270" s="34" t="n">
        <f aca="false">MATCH(F270,Assumptions!$K$4:$K$8,0)</f>
        <v>5</v>
      </c>
      <c r="O270" s="21" t="str">
        <f aca="false">IF(H270="Yes",MONTH(I270),"")</f>
        <v/>
      </c>
      <c r="P270" s="21" t="str">
        <f aca="false">IF(H270="Yes",B270,"")</f>
        <v/>
      </c>
    </row>
    <row r="271" customFormat="false" ht="15" hidden="false" customHeight="false" outlineLevel="0" collapsed="false">
      <c r="A271" s="21" t="s">
        <v>1486</v>
      </c>
      <c r="B271" s="21" t="s">
        <v>321</v>
      </c>
      <c r="C271" s="21" t="s">
        <v>1290</v>
      </c>
      <c r="D271" s="21" t="s">
        <v>1191</v>
      </c>
      <c r="E271" s="33" t="n">
        <v>45199</v>
      </c>
      <c r="F271" s="21" t="s">
        <v>1175</v>
      </c>
      <c r="G271" s="32"/>
      <c r="H271" s="21"/>
      <c r="I271" s="33"/>
      <c r="J271" s="21" t="str">
        <f aca="false">INDEX(Students!$C$2:$C$601,MATCH(B271,Students!$A$2:$A$601,0))</f>
        <v>Batch 2024</v>
      </c>
      <c r="K271" s="21" t="str">
        <f aca="false">INDEX(Students!$D$2:$D$601,MATCH(B271,Students!$A$2:$A$601,0))</f>
        <v>DSA with Java</v>
      </c>
      <c r="L271" s="21" t="str">
        <f aca="false">INDEX(Companies!$C$2:$C$31,MATCH(C271,Companies!$A$2:$A$31,0))</f>
        <v>Fintech</v>
      </c>
      <c r="M271" s="21" t="str">
        <f aca="false">INDEX(Companies!$D$2:$D$31,MATCH(C271,Companies!$A$2:$A$31,0))</f>
        <v>Tier 2</v>
      </c>
      <c r="N271" s="34" t="n">
        <f aca="false">MATCH(F271,Assumptions!$K$4:$K$8,0)</f>
        <v>1</v>
      </c>
      <c r="O271" s="21" t="str">
        <f aca="false">IF(H271="Yes",MONTH(I271),"")</f>
        <v/>
      </c>
      <c r="P271" s="21" t="str">
        <f aca="false">IF(H271="Yes",B271,"")</f>
        <v/>
      </c>
    </row>
    <row r="272" customFormat="false" ht="15" hidden="false" customHeight="false" outlineLevel="0" collapsed="false">
      <c r="A272" s="21" t="s">
        <v>1487</v>
      </c>
      <c r="B272" s="21" t="s">
        <v>227</v>
      </c>
      <c r="C272" s="21" t="s">
        <v>1234</v>
      </c>
      <c r="D272" s="21" t="s">
        <v>1184</v>
      </c>
      <c r="E272" s="33" t="n">
        <v>45199</v>
      </c>
      <c r="F272" s="21" t="s">
        <v>1178</v>
      </c>
      <c r="G272" s="32"/>
      <c r="H272" s="21"/>
      <c r="I272" s="33"/>
      <c r="J272" s="21" t="str">
        <f aca="false">INDEX(Students!$C$2:$C$601,MATCH(B272,Students!$A$2:$A$601,0))</f>
        <v>Batch 2024</v>
      </c>
      <c r="K272" s="21" t="str">
        <f aca="false">INDEX(Students!$D$2:$D$601,MATCH(B272,Students!$A$2:$A$601,0))</f>
        <v>DSA with Java</v>
      </c>
      <c r="L272" s="21" t="str">
        <f aca="false">INDEX(Companies!$C$2:$C$31,MATCH(C272,Companies!$A$2:$A$31,0))</f>
        <v>EdTech</v>
      </c>
      <c r="M272" s="21" t="str">
        <f aca="false">INDEX(Companies!$D$2:$D$31,MATCH(C272,Companies!$A$2:$A$31,0))</f>
        <v>Tier 3</v>
      </c>
      <c r="N272" s="34" t="n">
        <f aca="false">MATCH(F272,Assumptions!$K$4:$K$8,0)</f>
        <v>2</v>
      </c>
      <c r="O272" s="21" t="str">
        <f aca="false">IF(H272="Yes",MONTH(I272),"")</f>
        <v/>
      </c>
      <c r="P272" s="21" t="str">
        <f aca="false">IF(H272="Yes",B272,"")</f>
        <v/>
      </c>
    </row>
    <row r="273" customFormat="false" ht="15" hidden="false" customHeight="false" outlineLevel="0" collapsed="false">
      <c r="A273" s="21" t="s">
        <v>1488</v>
      </c>
      <c r="B273" s="21" t="s">
        <v>131</v>
      </c>
      <c r="C273" s="21" t="s">
        <v>1298</v>
      </c>
      <c r="D273" s="21" t="s">
        <v>1174</v>
      </c>
      <c r="E273" s="33" t="n">
        <v>45200</v>
      </c>
      <c r="F273" s="21" t="s">
        <v>1175</v>
      </c>
      <c r="G273" s="32"/>
      <c r="H273" s="21"/>
      <c r="I273" s="33"/>
      <c r="J273" s="21" t="str">
        <f aca="false">INDEX(Students!$C$2:$C$601,MATCH(B273,Students!$A$2:$A$601,0))</f>
        <v>Batch 2024</v>
      </c>
      <c r="K273" s="21" t="str">
        <f aca="false">INDEX(Students!$D$2:$D$601,MATCH(B273,Students!$A$2:$A$601,0))</f>
        <v>Full Stack Development</v>
      </c>
      <c r="L273" s="21" t="str">
        <f aca="false">INDEX(Companies!$C$2:$C$31,MATCH(C273,Companies!$A$2:$A$31,0))</f>
        <v>Fintech</v>
      </c>
      <c r="M273" s="21" t="str">
        <f aca="false">INDEX(Companies!$D$2:$D$31,MATCH(C273,Companies!$A$2:$A$31,0))</f>
        <v>Tier 2</v>
      </c>
      <c r="N273" s="34" t="n">
        <f aca="false">MATCH(F273,Assumptions!$K$4:$K$8,0)</f>
        <v>1</v>
      </c>
      <c r="O273" s="21" t="str">
        <f aca="false">IF(H273="Yes",MONTH(I273),"")</f>
        <v/>
      </c>
      <c r="P273" s="21" t="str">
        <f aca="false">IF(H273="Yes",B273,"")</f>
        <v/>
      </c>
    </row>
    <row r="274" customFormat="false" ht="15" hidden="false" customHeight="false" outlineLevel="0" collapsed="false">
      <c r="A274" s="21" t="s">
        <v>1489</v>
      </c>
      <c r="B274" s="21" t="s">
        <v>289</v>
      </c>
      <c r="C274" s="21" t="s">
        <v>1225</v>
      </c>
      <c r="D274" s="21" t="s">
        <v>1191</v>
      </c>
      <c r="E274" s="33" t="n">
        <v>45200</v>
      </c>
      <c r="F274" s="21" t="s">
        <v>1178</v>
      </c>
      <c r="G274" s="32"/>
      <c r="H274" s="21"/>
      <c r="I274" s="33"/>
      <c r="J274" s="21" t="str">
        <f aca="false">INDEX(Students!$C$2:$C$601,MATCH(B274,Students!$A$2:$A$601,0))</f>
        <v>Batch 2024</v>
      </c>
      <c r="K274" s="21" t="str">
        <f aca="false">INDEX(Students!$D$2:$D$601,MATCH(B274,Students!$A$2:$A$601,0))</f>
        <v>DSA with Java</v>
      </c>
      <c r="L274" s="21" t="str">
        <f aca="false">INDEX(Companies!$C$2:$C$31,MATCH(C274,Companies!$A$2:$A$31,0))</f>
        <v>EdTech</v>
      </c>
      <c r="M274" s="21" t="str">
        <f aca="false">INDEX(Companies!$D$2:$D$31,MATCH(C274,Companies!$A$2:$A$31,0))</f>
        <v>Tier 2</v>
      </c>
      <c r="N274" s="34" t="n">
        <f aca="false">MATCH(F274,Assumptions!$K$4:$K$8,0)</f>
        <v>2</v>
      </c>
      <c r="O274" s="21" t="str">
        <f aca="false">IF(H274="Yes",MONTH(I274),"")</f>
        <v/>
      </c>
      <c r="P274" s="21" t="str">
        <f aca="false">IF(H274="Yes",B274,"")</f>
        <v/>
      </c>
    </row>
    <row r="275" customFormat="false" ht="15" hidden="false" customHeight="false" outlineLevel="0" collapsed="false">
      <c r="A275" s="21" t="s">
        <v>1490</v>
      </c>
      <c r="B275" s="21" t="s">
        <v>235</v>
      </c>
      <c r="C275" s="21" t="s">
        <v>1290</v>
      </c>
      <c r="D275" s="21" t="s">
        <v>1243</v>
      </c>
      <c r="E275" s="33" t="n">
        <v>45200</v>
      </c>
      <c r="F275" s="21" t="s">
        <v>1185</v>
      </c>
      <c r="G275" s="32" t="n">
        <v>10.5</v>
      </c>
      <c r="H275" s="21" t="s">
        <v>113</v>
      </c>
      <c r="I275" s="33" t="n">
        <v>45222</v>
      </c>
      <c r="J275" s="21" t="str">
        <f aca="false">INDEX(Students!$C$2:$C$601,MATCH(B275,Students!$A$2:$A$601,0))</f>
        <v>Batch 2024</v>
      </c>
      <c r="K275" s="21" t="str">
        <f aca="false">INDEX(Students!$D$2:$D$601,MATCH(B275,Students!$A$2:$A$601,0))</f>
        <v>Data Science &amp; ML</v>
      </c>
      <c r="L275" s="21" t="str">
        <f aca="false">INDEX(Companies!$C$2:$C$31,MATCH(C275,Companies!$A$2:$A$31,0))</f>
        <v>Fintech</v>
      </c>
      <c r="M275" s="21" t="str">
        <f aca="false">INDEX(Companies!$D$2:$D$31,MATCH(C275,Companies!$A$2:$A$31,0))</f>
        <v>Tier 2</v>
      </c>
      <c r="N275" s="34" t="n">
        <f aca="false">MATCH(F275,Assumptions!$K$4:$K$8,0)</f>
        <v>5</v>
      </c>
      <c r="O275" s="21" t="str">
        <f aca="false">IF(H275="Yes",MONTH(I275),"")</f>
        <v/>
      </c>
      <c r="P275" s="21" t="str">
        <f aca="false">IF(H275="Yes",B275,"")</f>
        <v/>
      </c>
    </row>
    <row r="276" customFormat="false" ht="15" hidden="false" customHeight="false" outlineLevel="0" collapsed="false">
      <c r="A276" s="21" t="s">
        <v>1491</v>
      </c>
      <c r="B276" s="21" t="s">
        <v>438</v>
      </c>
      <c r="C276" s="21" t="s">
        <v>1225</v>
      </c>
      <c r="D276" s="21" t="s">
        <v>1226</v>
      </c>
      <c r="E276" s="33" t="n">
        <v>45200</v>
      </c>
      <c r="F276" s="21" t="s">
        <v>1185</v>
      </c>
      <c r="G276" s="32" t="n">
        <v>13.4</v>
      </c>
      <c r="H276" s="21" t="s">
        <v>120</v>
      </c>
      <c r="I276" s="33" t="n">
        <v>45243</v>
      </c>
      <c r="J276" s="21" t="str">
        <f aca="false">INDEX(Students!$C$2:$C$601,MATCH(B276,Students!$A$2:$A$601,0))</f>
        <v>Batch 2024</v>
      </c>
      <c r="K276" s="21" t="str">
        <f aca="false">INDEX(Students!$D$2:$D$601,MATCH(B276,Students!$A$2:$A$601,0))</f>
        <v>Cybersecurity</v>
      </c>
      <c r="L276" s="21" t="str">
        <f aca="false">INDEX(Companies!$C$2:$C$31,MATCH(C276,Companies!$A$2:$A$31,0))</f>
        <v>EdTech</v>
      </c>
      <c r="M276" s="21" t="str">
        <f aca="false">INDEX(Companies!$D$2:$D$31,MATCH(C276,Companies!$A$2:$A$31,0))</f>
        <v>Tier 2</v>
      </c>
      <c r="N276" s="34" t="n">
        <f aca="false">MATCH(F276,Assumptions!$K$4:$K$8,0)</f>
        <v>5</v>
      </c>
      <c r="O276" s="21" t="n">
        <f aca="false">IF(H276="Yes",MONTH(I276),"")</f>
        <v>11</v>
      </c>
      <c r="P276" s="21" t="str">
        <f aca="false">IF(H276="Yes",B276,"")</f>
        <v>S0171</v>
      </c>
    </row>
    <row r="277" customFormat="false" ht="15" hidden="false" customHeight="false" outlineLevel="0" collapsed="false">
      <c r="A277" s="21" t="s">
        <v>1492</v>
      </c>
      <c r="B277" s="21" t="s">
        <v>382</v>
      </c>
      <c r="C277" s="21" t="s">
        <v>1290</v>
      </c>
      <c r="D277" s="21" t="s">
        <v>1240</v>
      </c>
      <c r="E277" s="33" t="n">
        <v>45200</v>
      </c>
      <c r="F277" s="21" t="s">
        <v>1185</v>
      </c>
      <c r="G277" s="32" t="n">
        <v>11.1</v>
      </c>
      <c r="H277" s="21" t="s">
        <v>120</v>
      </c>
      <c r="I277" s="33" t="n">
        <v>45224</v>
      </c>
      <c r="J277" s="21" t="str">
        <f aca="false">INDEX(Students!$C$2:$C$601,MATCH(B277,Students!$A$2:$A$601,0))</f>
        <v>Batch 2024</v>
      </c>
      <c r="K277" s="21" t="str">
        <f aca="false">INDEX(Students!$D$2:$D$601,MATCH(B277,Students!$A$2:$A$601,0))</f>
        <v>Cybersecurity</v>
      </c>
      <c r="L277" s="21" t="str">
        <f aca="false">INDEX(Companies!$C$2:$C$31,MATCH(C277,Companies!$A$2:$A$31,0))</f>
        <v>Fintech</v>
      </c>
      <c r="M277" s="21" t="str">
        <f aca="false">INDEX(Companies!$D$2:$D$31,MATCH(C277,Companies!$A$2:$A$31,0))</f>
        <v>Tier 2</v>
      </c>
      <c r="N277" s="34" t="n">
        <f aca="false">MATCH(F277,Assumptions!$K$4:$K$8,0)</f>
        <v>5</v>
      </c>
      <c r="O277" s="21" t="n">
        <f aca="false">IF(H277="Yes",MONTH(I277),"")</f>
        <v>10</v>
      </c>
      <c r="P277" s="21" t="str">
        <f aca="false">IF(H277="Yes",B277,"")</f>
        <v>S0140</v>
      </c>
    </row>
    <row r="278" customFormat="false" ht="15" hidden="false" customHeight="false" outlineLevel="0" collapsed="false">
      <c r="A278" s="21" t="s">
        <v>1493</v>
      </c>
      <c r="B278" s="21" t="s">
        <v>347</v>
      </c>
      <c r="C278" s="21" t="s">
        <v>1275</v>
      </c>
      <c r="D278" s="21" t="s">
        <v>1209</v>
      </c>
      <c r="E278" s="33" t="n">
        <v>45200</v>
      </c>
      <c r="F278" s="21" t="s">
        <v>1185</v>
      </c>
      <c r="G278" s="32" t="n">
        <v>13.9</v>
      </c>
      <c r="H278" s="21" t="s">
        <v>120</v>
      </c>
      <c r="I278" s="33" t="n">
        <v>45236</v>
      </c>
      <c r="J278" s="21" t="str">
        <f aca="false">INDEX(Students!$C$2:$C$601,MATCH(B278,Students!$A$2:$A$601,0))</f>
        <v>Batch 2024</v>
      </c>
      <c r="K278" s="21" t="str">
        <f aca="false">INDEX(Students!$D$2:$D$601,MATCH(B278,Students!$A$2:$A$601,0))</f>
        <v>Data Analytics</v>
      </c>
      <c r="L278" s="21" t="str">
        <f aca="false">INDEX(Companies!$C$2:$C$31,MATCH(C278,Companies!$A$2:$A$31,0))</f>
        <v>Cybersecurity</v>
      </c>
      <c r="M278" s="21" t="str">
        <f aca="false">INDEX(Companies!$D$2:$D$31,MATCH(C278,Companies!$A$2:$A$31,0))</f>
        <v>Tier 2</v>
      </c>
      <c r="N278" s="34" t="n">
        <f aca="false">MATCH(F278,Assumptions!$K$4:$K$8,0)</f>
        <v>5</v>
      </c>
      <c r="O278" s="21" t="n">
        <f aca="false">IF(H278="Yes",MONTH(I278),"")</f>
        <v>11</v>
      </c>
      <c r="P278" s="21" t="str">
        <f aca="false">IF(H278="Yes",B278,"")</f>
        <v>S0122</v>
      </c>
    </row>
    <row r="279" customFormat="false" ht="15" hidden="false" customHeight="false" outlineLevel="0" collapsed="false">
      <c r="A279" s="21" t="s">
        <v>1494</v>
      </c>
      <c r="B279" s="21" t="s">
        <v>110</v>
      </c>
      <c r="C279" s="21" t="s">
        <v>1177</v>
      </c>
      <c r="D279" s="21" t="s">
        <v>1184</v>
      </c>
      <c r="E279" s="33" t="n">
        <v>45200</v>
      </c>
      <c r="F279" s="21" t="s">
        <v>1185</v>
      </c>
      <c r="G279" s="32" t="n">
        <v>4.6</v>
      </c>
      <c r="H279" s="21" t="s">
        <v>113</v>
      </c>
      <c r="I279" s="33" t="n">
        <v>45236</v>
      </c>
      <c r="J279" s="21" t="str">
        <f aca="false">INDEX(Students!$C$2:$C$601,MATCH(B279,Students!$A$2:$A$601,0))</f>
        <v>Batch 2024</v>
      </c>
      <c r="K279" s="21" t="str">
        <f aca="false">INDEX(Students!$D$2:$D$601,MATCH(B279,Students!$A$2:$A$601,0))</f>
        <v>DSA with Java</v>
      </c>
      <c r="L279" s="21" t="str">
        <f aca="false">INDEX(Companies!$C$2:$C$31,MATCH(C279,Companies!$A$2:$A$31,0))</f>
        <v>IT Services</v>
      </c>
      <c r="M279" s="21" t="str">
        <f aca="false">INDEX(Companies!$D$2:$D$31,MATCH(C279,Companies!$A$2:$A$31,0))</f>
        <v>Tier 3</v>
      </c>
      <c r="N279" s="34" t="n">
        <f aca="false">MATCH(F279,Assumptions!$K$4:$K$8,0)</f>
        <v>5</v>
      </c>
      <c r="O279" s="21" t="str">
        <f aca="false">IF(H279="Yes",MONTH(I279),"")</f>
        <v/>
      </c>
      <c r="P279" s="21" t="str">
        <f aca="false">IF(H279="Yes",B279,"")</f>
        <v/>
      </c>
    </row>
    <row r="280" customFormat="false" ht="15" hidden="false" customHeight="false" outlineLevel="0" collapsed="false">
      <c r="A280" s="21" t="s">
        <v>1495</v>
      </c>
      <c r="B280" s="21" t="s">
        <v>372</v>
      </c>
      <c r="C280" s="21" t="s">
        <v>1228</v>
      </c>
      <c r="D280" s="21" t="s">
        <v>1191</v>
      </c>
      <c r="E280" s="33" t="n">
        <v>45200</v>
      </c>
      <c r="F280" s="21" t="s">
        <v>1178</v>
      </c>
      <c r="G280" s="32"/>
      <c r="H280" s="21"/>
      <c r="I280" s="33"/>
      <c r="J280" s="21" t="str">
        <f aca="false">INDEX(Students!$C$2:$C$601,MATCH(B280,Students!$A$2:$A$601,0))</f>
        <v>Batch 2024</v>
      </c>
      <c r="K280" s="21" t="str">
        <f aca="false">INDEX(Students!$D$2:$D$601,MATCH(B280,Students!$A$2:$A$601,0))</f>
        <v>DSA with Java</v>
      </c>
      <c r="L280" s="21" t="str">
        <f aca="false">INDEX(Companies!$C$2:$C$31,MATCH(C280,Companies!$A$2:$A$31,0))</f>
        <v>Fintech</v>
      </c>
      <c r="M280" s="21" t="str">
        <f aca="false">INDEX(Companies!$D$2:$D$31,MATCH(C280,Companies!$A$2:$A$31,0))</f>
        <v>Tier 1</v>
      </c>
      <c r="N280" s="34" t="n">
        <f aca="false">MATCH(F280,Assumptions!$K$4:$K$8,0)</f>
        <v>2</v>
      </c>
      <c r="O280" s="21" t="str">
        <f aca="false">IF(H280="Yes",MONTH(I280),"")</f>
        <v/>
      </c>
      <c r="P280" s="21" t="str">
        <f aca="false">IF(H280="Yes",B280,"")</f>
        <v/>
      </c>
    </row>
    <row r="281" customFormat="false" ht="15" hidden="false" customHeight="false" outlineLevel="0" collapsed="false">
      <c r="A281" s="21" t="s">
        <v>1496</v>
      </c>
      <c r="B281" s="21" t="s">
        <v>141</v>
      </c>
      <c r="C281" s="21" t="s">
        <v>1239</v>
      </c>
      <c r="D281" s="21" t="s">
        <v>1174</v>
      </c>
      <c r="E281" s="33" t="n">
        <v>45201</v>
      </c>
      <c r="F281" s="21" t="s">
        <v>1197</v>
      </c>
      <c r="G281" s="32"/>
      <c r="H281" s="21"/>
      <c r="I281" s="33"/>
      <c r="J281" s="21" t="str">
        <f aca="false">INDEX(Students!$C$2:$C$601,MATCH(B281,Students!$A$2:$A$601,0))</f>
        <v>Batch 2024</v>
      </c>
      <c r="K281" s="21" t="str">
        <f aca="false">INDEX(Students!$D$2:$D$601,MATCH(B281,Students!$A$2:$A$601,0))</f>
        <v>Full Stack Development</v>
      </c>
      <c r="L281" s="21" t="str">
        <f aca="false">INDEX(Companies!$C$2:$C$31,MATCH(C281,Companies!$A$2:$A$31,0))</f>
        <v>E-commerce</v>
      </c>
      <c r="M281" s="21" t="str">
        <f aca="false">INDEX(Companies!$D$2:$D$31,MATCH(C281,Companies!$A$2:$A$31,0))</f>
        <v>Tier 3</v>
      </c>
      <c r="N281" s="34" t="n">
        <f aca="false">MATCH(F281,Assumptions!$K$4:$K$8,0)</f>
        <v>3</v>
      </c>
      <c r="O281" s="21" t="str">
        <f aca="false">IF(H281="Yes",MONTH(I281),"")</f>
        <v/>
      </c>
      <c r="P281" s="21" t="str">
        <f aca="false">IF(H281="Yes",B281,"")</f>
        <v/>
      </c>
    </row>
    <row r="282" customFormat="false" ht="15" hidden="false" customHeight="false" outlineLevel="0" collapsed="false">
      <c r="A282" s="21" t="s">
        <v>1497</v>
      </c>
      <c r="B282" s="21" t="s">
        <v>145</v>
      </c>
      <c r="C282" s="21" t="s">
        <v>1298</v>
      </c>
      <c r="D282" s="21" t="s">
        <v>1226</v>
      </c>
      <c r="E282" s="33" t="n">
        <v>45201</v>
      </c>
      <c r="F282" s="21" t="s">
        <v>1175</v>
      </c>
      <c r="G282" s="32"/>
      <c r="H282" s="21"/>
      <c r="I282" s="33"/>
      <c r="J282" s="21" t="str">
        <f aca="false">INDEX(Students!$C$2:$C$601,MATCH(B282,Students!$A$2:$A$601,0))</f>
        <v>Batch 2024</v>
      </c>
      <c r="K282" s="21" t="str">
        <f aca="false">INDEX(Students!$D$2:$D$601,MATCH(B282,Students!$A$2:$A$601,0))</f>
        <v>Cybersecurity</v>
      </c>
      <c r="L282" s="21" t="str">
        <f aca="false">INDEX(Companies!$C$2:$C$31,MATCH(C282,Companies!$A$2:$A$31,0))</f>
        <v>Fintech</v>
      </c>
      <c r="M282" s="21" t="str">
        <f aca="false">INDEX(Companies!$D$2:$D$31,MATCH(C282,Companies!$A$2:$A$31,0))</f>
        <v>Tier 2</v>
      </c>
      <c r="N282" s="34" t="n">
        <f aca="false">MATCH(F282,Assumptions!$K$4:$K$8,0)</f>
        <v>1</v>
      </c>
      <c r="O282" s="21" t="str">
        <f aca="false">IF(H282="Yes",MONTH(I282),"")</f>
        <v/>
      </c>
      <c r="P282" s="21" t="str">
        <f aca="false">IF(H282="Yes",B282,"")</f>
        <v/>
      </c>
    </row>
    <row r="283" customFormat="false" ht="15" hidden="false" customHeight="false" outlineLevel="0" collapsed="false">
      <c r="A283" s="21" t="s">
        <v>1498</v>
      </c>
      <c r="B283" s="21" t="s">
        <v>219</v>
      </c>
      <c r="C283" s="21" t="s">
        <v>1211</v>
      </c>
      <c r="D283" s="21" t="s">
        <v>1194</v>
      </c>
      <c r="E283" s="33" t="n">
        <v>45202</v>
      </c>
      <c r="F283" s="21" t="s">
        <v>1197</v>
      </c>
      <c r="G283" s="32"/>
      <c r="H283" s="21"/>
      <c r="I283" s="33"/>
      <c r="J283" s="21" t="str">
        <f aca="false">INDEX(Students!$C$2:$C$601,MATCH(B283,Students!$A$2:$A$601,0))</f>
        <v>Batch 2024</v>
      </c>
      <c r="K283" s="21" t="str">
        <f aca="false">INDEX(Students!$D$2:$D$601,MATCH(B283,Students!$A$2:$A$601,0))</f>
        <v>Data Science &amp; ML</v>
      </c>
      <c r="L283" s="21" t="str">
        <f aca="false">INDEX(Companies!$C$2:$C$31,MATCH(C283,Companies!$A$2:$A$31,0))</f>
        <v>Analytics &amp; Consulting</v>
      </c>
      <c r="M283" s="21" t="str">
        <f aca="false">INDEX(Companies!$D$2:$D$31,MATCH(C283,Companies!$A$2:$A$31,0))</f>
        <v>Tier 3</v>
      </c>
      <c r="N283" s="34" t="n">
        <f aca="false">MATCH(F283,Assumptions!$K$4:$K$8,0)</f>
        <v>3</v>
      </c>
      <c r="O283" s="21" t="str">
        <f aca="false">IF(H283="Yes",MONTH(I283),"")</f>
        <v/>
      </c>
      <c r="P283" s="21" t="str">
        <f aca="false">IF(H283="Yes",B283,"")</f>
        <v/>
      </c>
    </row>
    <row r="284" customFormat="false" ht="15" hidden="false" customHeight="false" outlineLevel="0" collapsed="false">
      <c r="A284" s="21" t="s">
        <v>1499</v>
      </c>
      <c r="B284" s="21" t="s">
        <v>249</v>
      </c>
      <c r="C284" s="21" t="s">
        <v>1255</v>
      </c>
      <c r="D284" s="21" t="s">
        <v>1243</v>
      </c>
      <c r="E284" s="33" t="n">
        <v>45202</v>
      </c>
      <c r="F284" s="21" t="s">
        <v>1197</v>
      </c>
      <c r="G284" s="32"/>
      <c r="H284" s="21"/>
      <c r="I284" s="33"/>
      <c r="J284" s="21" t="str">
        <f aca="false">INDEX(Students!$C$2:$C$601,MATCH(B284,Students!$A$2:$A$601,0))</f>
        <v>Batch 2024</v>
      </c>
      <c r="K284" s="21" t="str">
        <f aca="false">INDEX(Students!$D$2:$D$601,MATCH(B284,Students!$A$2:$A$601,0))</f>
        <v>Data Science &amp; ML</v>
      </c>
      <c r="L284" s="21" t="str">
        <f aca="false">INDEX(Companies!$C$2:$C$31,MATCH(C284,Companies!$A$2:$A$31,0))</f>
        <v>IT Services</v>
      </c>
      <c r="M284" s="21" t="str">
        <f aca="false">INDEX(Companies!$D$2:$D$31,MATCH(C284,Companies!$A$2:$A$31,0))</f>
        <v>Tier 3</v>
      </c>
      <c r="N284" s="34" t="n">
        <f aca="false">MATCH(F284,Assumptions!$K$4:$K$8,0)</f>
        <v>3</v>
      </c>
      <c r="O284" s="21" t="str">
        <f aca="false">IF(H284="Yes",MONTH(I284),"")</f>
        <v/>
      </c>
      <c r="P284" s="21" t="str">
        <f aca="false">IF(H284="Yes",B284,"")</f>
        <v/>
      </c>
    </row>
    <row r="285" customFormat="false" ht="15" hidden="false" customHeight="false" outlineLevel="0" collapsed="false">
      <c r="A285" s="21" t="s">
        <v>1500</v>
      </c>
      <c r="B285" s="21" t="s">
        <v>197</v>
      </c>
      <c r="C285" s="21" t="s">
        <v>1205</v>
      </c>
      <c r="D285" s="21" t="s">
        <v>1181</v>
      </c>
      <c r="E285" s="33" t="n">
        <v>45202</v>
      </c>
      <c r="F285" s="21" t="s">
        <v>1175</v>
      </c>
      <c r="G285" s="32"/>
      <c r="H285" s="21"/>
      <c r="I285" s="33"/>
      <c r="J285" s="21" t="str">
        <f aca="false">INDEX(Students!$C$2:$C$601,MATCH(B285,Students!$A$2:$A$601,0))</f>
        <v>Batch 2024</v>
      </c>
      <c r="K285" s="21" t="str">
        <f aca="false">INDEX(Students!$D$2:$D$601,MATCH(B285,Students!$A$2:$A$601,0))</f>
        <v>Full Stack Development</v>
      </c>
      <c r="L285" s="21" t="str">
        <f aca="false">INDEX(Companies!$C$2:$C$31,MATCH(C285,Companies!$A$2:$A$31,0))</f>
        <v>Healthtech</v>
      </c>
      <c r="M285" s="21" t="str">
        <f aca="false">INDEX(Companies!$D$2:$D$31,MATCH(C285,Companies!$A$2:$A$31,0))</f>
        <v>Tier 3</v>
      </c>
      <c r="N285" s="34" t="n">
        <f aca="false">MATCH(F285,Assumptions!$K$4:$K$8,0)</f>
        <v>1</v>
      </c>
      <c r="O285" s="21" t="str">
        <f aca="false">IF(H285="Yes",MONTH(I285),"")</f>
        <v/>
      </c>
      <c r="P285" s="21" t="str">
        <f aca="false">IF(H285="Yes",B285,"")</f>
        <v/>
      </c>
    </row>
    <row r="286" customFormat="false" ht="15" hidden="false" customHeight="false" outlineLevel="0" collapsed="false">
      <c r="A286" s="21" t="s">
        <v>1501</v>
      </c>
      <c r="B286" s="21" t="s">
        <v>362</v>
      </c>
      <c r="C286" s="21" t="s">
        <v>1177</v>
      </c>
      <c r="D286" s="21" t="s">
        <v>1174</v>
      </c>
      <c r="E286" s="33" t="n">
        <v>45202</v>
      </c>
      <c r="F286" s="21" t="s">
        <v>1185</v>
      </c>
      <c r="G286" s="32" t="n">
        <v>7.3</v>
      </c>
      <c r="H286" s="21" t="s">
        <v>113</v>
      </c>
      <c r="I286" s="33" t="n">
        <v>45252</v>
      </c>
      <c r="J286" s="21" t="str">
        <f aca="false">INDEX(Students!$C$2:$C$601,MATCH(B286,Students!$A$2:$A$601,0))</f>
        <v>Batch 2024</v>
      </c>
      <c r="K286" s="21" t="str">
        <f aca="false">INDEX(Students!$D$2:$D$601,MATCH(B286,Students!$A$2:$A$601,0))</f>
        <v>Full Stack Development</v>
      </c>
      <c r="L286" s="21" t="str">
        <f aca="false">INDEX(Companies!$C$2:$C$31,MATCH(C286,Companies!$A$2:$A$31,0))</f>
        <v>IT Services</v>
      </c>
      <c r="M286" s="21" t="str">
        <f aca="false">INDEX(Companies!$D$2:$D$31,MATCH(C286,Companies!$A$2:$A$31,0))</f>
        <v>Tier 3</v>
      </c>
      <c r="N286" s="34" t="n">
        <f aca="false">MATCH(F286,Assumptions!$K$4:$K$8,0)</f>
        <v>5</v>
      </c>
      <c r="O286" s="21" t="str">
        <f aca="false">IF(H286="Yes",MONTH(I286),"")</f>
        <v/>
      </c>
      <c r="P286" s="21" t="str">
        <f aca="false">IF(H286="Yes",B286,"")</f>
        <v/>
      </c>
    </row>
    <row r="287" customFormat="false" ht="15" hidden="false" customHeight="false" outlineLevel="0" collapsed="false">
      <c r="A287" s="21" t="s">
        <v>1502</v>
      </c>
      <c r="B287" s="21" t="s">
        <v>438</v>
      </c>
      <c r="C287" s="21" t="s">
        <v>1216</v>
      </c>
      <c r="D287" s="21" t="s">
        <v>1240</v>
      </c>
      <c r="E287" s="33" t="n">
        <v>45202</v>
      </c>
      <c r="F287" s="21" t="s">
        <v>1178</v>
      </c>
      <c r="G287" s="32"/>
      <c r="H287" s="21"/>
      <c r="I287" s="33"/>
      <c r="J287" s="21" t="str">
        <f aca="false">INDEX(Students!$C$2:$C$601,MATCH(B287,Students!$A$2:$A$601,0))</f>
        <v>Batch 2024</v>
      </c>
      <c r="K287" s="21" t="str">
        <f aca="false">INDEX(Students!$D$2:$D$601,MATCH(B287,Students!$A$2:$A$601,0))</f>
        <v>Cybersecurity</v>
      </c>
      <c r="L287" s="21" t="str">
        <f aca="false">INDEX(Companies!$C$2:$C$31,MATCH(C287,Companies!$A$2:$A$31,0))</f>
        <v>IT Services</v>
      </c>
      <c r="M287" s="21" t="str">
        <f aca="false">INDEX(Companies!$D$2:$D$31,MATCH(C287,Companies!$A$2:$A$31,0))</f>
        <v>Tier 3</v>
      </c>
      <c r="N287" s="34" t="n">
        <f aca="false">MATCH(F287,Assumptions!$K$4:$K$8,0)</f>
        <v>2</v>
      </c>
      <c r="O287" s="21" t="str">
        <f aca="false">IF(H287="Yes",MONTH(I287),"")</f>
        <v/>
      </c>
      <c r="P287" s="21" t="str">
        <f aca="false">IF(H287="Yes",B287,"")</f>
        <v/>
      </c>
    </row>
    <row r="288" customFormat="false" ht="15" hidden="false" customHeight="false" outlineLevel="0" collapsed="false">
      <c r="A288" s="21" t="s">
        <v>1503</v>
      </c>
      <c r="B288" s="21" t="s">
        <v>399</v>
      </c>
      <c r="C288" s="21" t="s">
        <v>1230</v>
      </c>
      <c r="D288" s="21" t="s">
        <v>1243</v>
      </c>
      <c r="E288" s="33" t="n">
        <v>45202</v>
      </c>
      <c r="F288" s="21" t="s">
        <v>1178</v>
      </c>
      <c r="G288" s="32"/>
      <c r="H288" s="21"/>
      <c r="I288" s="33"/>
      <c r="J288" s="21" t="str">
        <f aca="false">INDEX(Students!$C$2:$C$601,MATCH(B288,Students!$A$2:$A$601,0))</f>
        <v>Batch 2024</v>
      </c>
      <c r="K288" s="21" t="str">
        <f aca="false">INDEX(Students!$D$2:$D$601,MATCH(B288,Students!$A$2:$A$601,0))</f>
        <v>Data Science &amp; ML</v>
      </c>
      <c r="L288" s="21" t="str">
        <f aca="false">INDEX(Companies!$C$2:$C$31,MATCH(C288,Companies!$A$2:$A$31,0))</f>
        <v>IT Services</v>
      </c>
      <c r="M288" s="21" t="str">
        <f aca="false">INDEX(Companies!$D$2:$D$31,MATCH(C288,Companies!$A$2:$A$31,0))</f>
        <v>Tier 3</v>
      </c>
      <c r="N288" s="34" t="n">
        <f aca="false">MATCH(F288,Assumptions!$K$4:$K$8,0)</f>
        <v>2</v>
      </c>
      <c r="O288" s="21" t="str">
        <f aca="false">IF(H288="Yes",MONTH(I288),"")</f>
        <v/>
      </c>
      <c r="P288" s="21" t="str">
        <f aca="false">IF(H288="Yes",B288,"")</f>
        <v/>
      </c>
    </row>
    <row r="289" customFormat="false" ht="15" hidden="false" customHeight="false" outlineLevel="0" collapsed="false">
      <c r="A289" s="21" t="s">
        <v>1504</v>
      </c>
      <c r="B289" s="21" t="s">
        <v>297</v>
      </c>
      <c r="C289" s="21" t="s">
        <v>1239</v>
      </c>
      <c r="D289" s="21" t="s">
        <v>1184</v>
      </c>
      <c r="E289" s="33" t="n">
        <v>45202</v>
      </c>
      <c r="F289" s="21" t="s">
        <v>1175</v>
      </c>
      <c r="G289" s="32"/>
      <c r="H289" s="21"/>
      <c r="I289" s="33"/>
      <c r="J289" s="21" t="str">
        <f aca="false">INDEX(Students!$C$2:$C$601,MATCH(B289,Students!$A$2:$A$601,0))</f>
        <v>Batch 2024</v>
      </c>
      <c r="K289" s="21" t="str">
        <f aca="false">INDEX(Students!$D$2:$D$601,MATCH(B289,Students!$A$2:$A$601,0))</f>
        <v>DSA with Java</v>
      </c>
      <c r="L289" s="21" t="str">
        <f aca="false">INDEX(Companies!$C$2:$C$31,MATCH(C289,Companies!$A$2:$A$31,0))</f>
        <v>E-commerce</v>
      </c>
      <c r="M289" s="21" t="str">
        <f aca="false">INDEX(Companies!$D$2:$D$31,MATCH(C289,Companies!$A$2:$A$31,0))</f>
        <v>Tier 3</v>
      </c>
      <c r="N289" s="34" t="n">
        <f aca="false">MATCH(F289,Assumptions!$K$4:$K$8,0)</f>
        <v>1</v>
      </c>
      <c r="O289" s="21" t="str">
        <f aca="false">IF(H289="Yes",MONTH(I289),"")</f>
        <v/>
      </c>
      <c r="P289" s="21" t="str">
        <f aca="false">IF(H289="Yes",B289,"")</f>
        <v/>
      </c>
    </row>
    <row r="290" customFormat="false" ht="15" hidden="false" customHeight="false" outlineLevel="0" collapsed="false">
      <c r="A290" s="21" t="s">
        <v>1505</v>
      </c>
      <c r="B290" s="21" t="s">
        <v>131</v>
      </c>
      <c r="C290" s="21" t="s">
        <v>1239</v>
      </c>
      <c r="D290" s="21" t="s">
        <v>1181</v>
      </c>
      <c r="E290" s="33" t="n">
        <v>45203</v>
      </c>
      <c r="F290" s="21" t="s">
        <v>1218</v>
      </c>
      <c r="G290" s="32"/>
      <c r="H290" s="21"/>
      <c r="I290" s="33"/>
      <c r="J290" s="21" t="str">
        <f aca="false">INDEX(Students!$C$2:$C$601,MATCH(B290,Students!$A$2:$A$601,0))</f>
        <v>Batch 2024</v>
      </c>
      <c r="K290" s="21" t="str">
        <f aca="false">INDEX(Students!$D$2:$D$601,MATCH(B290,Students!$A$2:$A$601,0))</f>
        <v>Full Stack Development</v>
      </c>
      <c r="L290" s="21" t="str">
        <f aca="false">INDEX(Companies!$C$2:$C$31,MATCH(C290,Companies!$A$2:$A$31,0))</f>
        <v>E-commerce</v>
      </c>
      <c r="M290" s="21" t="str">
        <f aca="false">INDEX(Companies!$D$2:$D$31,MATCH(C290,Companies!$A$2:$A$31,0))</f>
        <v>Tier 3</v>
      </c>
      <c r="N290" s="34" t="n">
        <f aca="false">MATCH(F290,Assumptions!$K$4:$K$8,0)</f>
        <v>4</v>
      </c>
      <c r="O290" s="21" t="str">
        <f aca="false">IF(H290="Yes",MONTH(I290),"")</f>
        <v/>
      </c>
      <c r="P290" s="21" t="str">
        <f aca="false">IF(H290="Yes",B290,"")</f>
        <v/>
      </c>
    </row>
    <row r="291" customFormat="false" ht="15" hidden="false" customHeight="false" outlineLevel="0" collapsed="false">
      <c r="A291" s="21" t="s">
        <v>1506</v>
      </c>
      <c r="B291" s="21" t="s">
        <v>349</v>
      </c>
      <c r="C291" s="21" t="s">
        <v>1275</v>
      </c>
      <c r="D291" s="21" t="s">
        <v>1243</v>
      </c>
      <c r="E291" s="33" t="n">
        <v>45203</v>
      </c>
      <c r="F291" s="21" t="s">
        <v>1175</v>
      </c>
      <c r="G291" s="32"/>
      <c r="H291" s="21"/>
      <c r="I291" s="33"/>
      <c r="J291" s="21" t="str">
        <f aca="false">INDEX(Students!$C$2:$C$601,MATCH(B291,Students!$A$2:$A$601,0))</f>
        <v>Batch 2024</v>
      </c>
      <c r="K291" s="21" t="str">
        <f aca="false">INDEX(Students!$D$2:$D$601,MATCH(B291,Students!$A$2:$A$601,0))</f>
        <v>Data Science &amp; ML</v>
      </c>
      <c r="L291" s="21" t="str">
        <f aca="false">INDEX(Companies!$C$2:$C$31,MATCH(C291,Companies!$A$2:$A$31,0))</f>
        <v>Cybersecurity</v>
      </c>
      <c r="M291" s="21" t="str">
        <f aca="false">INDEX(Companies!$D$2:$D$31,MATCH(C291,Companies!$A$2:$A$31,0))</f>
        <v>Tier 2</v>
      </c>
      <c r="N291" s="34" t="n">
        <f aca="false">MATCH(F291,Assumptions!$K$4:$K$8,0)</f>
        <v>1</v>
      </c>
      <c r="O291" s="21" t="str">
        <f aca="false">IF(H291="Yes",MONTH(I291),"")</f>
        <v/>
      </c>
      <c r="P291" s="21" t="str">
        <f aca="false">IF(H291="Yes",B291,"")</f>
        <v/>
      </c>
    </row>
    <row r="292" customFormat="false" ht="15" hidden="false" customHeight="false" outlineLevel="0" collapsed="false">
      <c r="A292" s="21" t="s">
        <v>1507</v>
      </c>
      <c r="B292" s="21" t="s">
        <v>402</v>
      </c>
      <c r="C292" s="21" t="s">
        <v>1216</v>
      </c>
      <c r="D292" s="21" t="s">
        <v>1181</v>
      </c>
      <c r="E292" s="33" t="n">
        <v>45203</v>
      </c>
      <c r="F292" s="21" t="s">
        <v>1175</v>
      </c>
      <c r="G292" s="32"/>
      <c r="H292" s="21"/>
      <c r="I292" s="33"/>
      <c r="J292" s="21" t="str">
        <f aca="false">INDEX(Students!$C$2:$C$601,MATCH(B292,Students!$A$2:$A$601,0))</f>
        <v>Batch 2024</v>
      </c>
      <c r="K292" s="21" t="str">
        <f aca="false">INDEX(Students!$D$2:$D$601,MATCH(B292,Students!$A$2:$A$601,0))</f>
        <v>Full Stack Development</v>
      </c>
      <c r="L292" s="21" t="str">
        <f aca="false">INDEX(Companies!$C$2:$C$31,MATCH(C292,Companies!$A$2:$A$31,0))</f>
        <v>IT Services</v>
      </c>
      <c r="M292" s="21" t="str">
        <f aca="false">INDEX(Companies!$D$2:$D$31,MATCH(C292,Companies!$A$2:$A$31,0))</f>
        <v>Tier 3</v>
      </c>
      <c r="N292" s="34" t="n">
        <f aca="false">MATCH(F292,Assumptions!$K$4:$K$8,0)</f>
        <v>1</v>
      </c>
      <c r="O292" s="21" t="str">
        <f aca="false">IF(H292="Yes",MONTH(I292),"")</f>
        <v/>
      </c>
      <c r="P292" s="21" t="str">
        <f aca="false">IF(H292="Yes",B292,"")</f>
        <v/>
      </c>
    </row>
    <row r="293" customFormat="false" ht="15" hidden="false" customHeight="false" outlineLevel="0" collapsed="false">
      <c r="A293" s="21" t="s">
        <v>1508</v>
      </c>
      <c r="B293" s="21" t="s">
        <v>161</v>
      </c>
      <c r="C293" s="21" t="s">
        <v>1190</v>
      </c>
      <c r="D293" s="21" t="s">
        <v>1209</v>
      </c>
      <c r="E293" s="33" t="n">
        <v>45203</v>
      </c>
      <c r="F293" s="21" t="s">
        <v>1178</v>
      </c>
      <c r="G293" s="32"/>
      <c r="H293" s="21"/>
      <c r="I293" s="33"/>
      <c r="J293" s="21" t="str">
        <f aca="false">INDEX(Students!$C$2:$C$601,MATCH(B293,Students!$A$2:$A$601,0))</f>
        <v>Batch 2024</v>
      </c>
      <c r="K293" s="21" t="str">
        <f aca="false">INDEX(Students!$D$2:$D$601,MATCH(B293,Students!$A$2:$A$601,0))</f>
        <v>Data Analytics</v>
      </c>
      <c r="L293" s="21" t="str">
        <f aca="false">INDEX(Companies!$C$2:$C$31,MATCH(C293,Companies!$A$2:$A$31,0))</f>
        <v>Analytics &amp; Consulting</v>
      </c>
      <c r="M293" s="21" t="str">
        <f aca="false">INDEX(Companies!$D$2:$D$31,MATCH(C293,Companies!$A$2:$A$31,0))</f>
        <v>Tier 1</v>
      </c>
      <c r="N293" s="34" t="n">
        <f aca="false">MATCH(F293,Assumptions!$K$4:$K$8,0)</f>
        <v>2</v>
      </c>
      <c r="O293" s="21" t="str">
        <f aca="false">IF(H293="Yes",MONTH(I293),"")</f>
        <v/>
      </c>
      <c r="P293" s="21" t="str">
        <f aca="false">IF(H293="Yes",B293,"")</f>
        <v/>
      </c>
    </row>
    <row r="294" customFormat="false" ht="15" hidden="false" customHeight="false" outlineLevel="0" collapsed="false">
      <c r="A294" s="21" t="s">
        <v>1509</v>
      </c>
      <c r="B294" s="21" t="s">
        <v>449</v>
      </c>
      <c r="C294" s="21" t="s">
        <v>1290</v>
      </c>
      <c r="D294" s="21" t="s">
        <v>1188</v>
      </c>
      <c r="E294" s="33" t="n">
        <v>45203</v>
      </c>
      <c r="F294" s="21" t="s">
        <v>1197</v>
      </c>
      <c r="G294" s="32"/>
      <c r="H294" s="21"/>
      <c r="I294" s="33"/>
      <c r="J294" s="21" t="str">
        <f aca="false">INDEX(Students!$C$2:$C$601,MATCH(B294,Students!$A$2:$A$601,0))</f>
        <v>Batch 2024</v>
      </c>
      <c r="K294" s="21" t="str">
        <f aca="false">INDEX(Students!$D$2:$D$601,MATCH(B294,Students!$A$2:$A$601,0))</f>
        <v>Data Analytics</v>
      </c>
      <c r="L294" s="21" t="str">
        <f aca="false">INDEX(Companies!$C$2:$C$31,MATCH(C294,Companies!$A$2:$A$31,0))</f>
        <v>Fintech</v>
      </c>
      <c r="M294" s="21" t="str">
        <f aca="false">INDEX(Companies!$D$2:$D$31,MATCH(C294,Companies!$A$2:$A$31,0))</f>
        <v>Tier 2</v>
      </c>
      <c r="N294" s="34" t="n">
        <f aca="false">MATCH(F294,Assumptions!$K$4:$K$8,0)</f>
        <v>3</v>
      </c>
      <c r="O294" s="21" t="str">
        <f aca="false">IF(H294="Yes",MONTH(I294),"")</f>
        <v/>
      </c>
      <c r="P294" s="21" t="str">
        <f aca="false">IF(H294="Yes",B294,"")</f>
        <v/>
      </c>
    </row>
    <row r="295" customFormat="false" ht="15" hidden="false" customHeight="false" outlineLevel="0" collapsed="false">
      <c r="A295" s="21" t="s">
        <v>1510</v>
      </c>
      <c r="B295" s="21" t="s">
        <v>321</v>
      </c>
      <c r="C295" s="21" t="s">
        <v>1201</v>
      </c>
      <c r="D295" s="21" t="s">
        <v>1191</v>
      </c>
      <c r="E295" s="33" t="n">
        <v>45204</v>
      </c>
      <c r="F295" s="21" t="s">
        <v>1178</v>
      </c>
      <c r="G295" s="32"/>
      <c r="H295" s="21"/>
      <c r="I295" s="33"/>
      <c r="J295" s="21" t="str">
        <f aca="false">INDEX(Students!$C$2:$C$601,MATCH(B295,Students!$A$2:$A$601,0))</f>
        <v>Batch 2024</v>
      </c>
      <c r="K295" s="21" t="str">
        <f aca="false">INDEX(Students!$D$2:$D$601,MATCH(B295,Students!$A$2:$A$601,0))</f>
        <v>DSA with Java</v>
      </c>
      <c r="L295" s="21" t="str">
        <f aca="false">INDEX(Companies!$C$2:$C$31,MATCH(C295,Companies!$A$2:$A$31,0))</f>
        <v>IT Services</v>
      </c>
      <c r="M295" s="21" t="str">
        <f aca="false">INDEX(Companies!$D$2:$D$31,MATCH(C295,Companies!$A$2:$A$31,0))</f>
        <v>Tier 3</v>
      </c>
      <c r="N295" s="34" t="n">
        <f aca="false">MATCH(F295,Assumptions!$K$4:$K$8,0)</f>
        <v>2</v>
      </c>
      <c r="O295" s="21" t="str">
        <f aca="false">IF(H295="Yes",MONTH(I295),"")</f>
        <v/>
      </c>
      <c r="P295" s="21" t="str">
        <f aca="false">IF(H295="Yes",B295,"")</f>
        <v/>
      </c>
    </row>
    <row r="296" customFormat="false" ht="15" hidden="false" customHeight="false" outlineLevel="0" collapsed="false">
      <c r="A296" s="21" t="s">
        <v>1511</v>
      </c>
      <c r="B296" s="21" t="s">
        <v>262</v>
      </c>
      <c r="C296" s="21" t="s">
        <v>1201</v>
      </c>
      <c r="D296" s="21" t="s">
        <v>1226</v>
      </c>
      <c r="E296" s="33" t="n">
        <v>45204</v>
      </c>
      <c r="F296" s="21" t="s">
        <v>1175</v>
      </c>
      <c r="G296" s="32"/>
      <c r="H296" s="21"/>
      <c r="I296" s="33"/>
      <c r="J296" s="21" t="str">
        <f aca="false">INDEX(Students!$C$2:$C$601,MATCH(B296,Students!$A$2:$A$601,0))</f>
        <v>Batch 2024</v>
      </c>
      <c r="K296" s="21" t="str">
        <f aca="false">INDEX(Students!$D$2:$D$601,MATCH(B296,Students!$A$2:$A$601,0))</f>
        <v>Cybersecurity</v>
      </c>
      <c r="L296" s="21" t="str">
        <f aca="false">INDEX(Companies!$C$2:$C$31,MATCH(C296,Companies!$A$2:$A$31,0))</f>
        <v>IT Services</v>
      </c>
      <c r="M296" s="21" t="str">
        <f aca="false">INDEX(Companies!$D$2:$D$31,MATCH(C296,Companies!$A$2:$A$31,0))</f>
        <v>Tier 3</v>
      </c>
      <c r="N296" s="34" t="n">
        <f aca="false">MATCH(F296,Assumptions!$K$4:$K$8,0)</f>
        <v>1</v>
      </c>
      <c r="O296" s="21" t="str">
        <f aca="false">IF(H296="Yes",MONTH(I296),"")</f>
        <v/>
      </c>
      <c r="P296" s="21" t="str">
        <f aca="false">IF(H296="Yes",B296,"")</f>
        <v/>
      </c>
    </row>
    <row r="297" customFormat="false" ht="15" hidden="false" customHeight="false" outlineLevel="0" collapsed="false">
      <c r="A297" s="21" t="s">
        <v>1512</v>
      </c>
      <c r="B297" s="21" t="s">
        <v>382</v>
      </c>
      <c r="C297" s="21" t="s">
        <v>1263</v>
      </c>
      <c r="D297" s="21" t="s">
        <v>1226</v>
      </c>
      <c r="E297" s="33" t="n">
        <v>45204</v>
      </c>
      <c r="F297" s="21" t="s">
        <v>1178</v>
      </c>
      <c r="G297" s="32"/>
      <c r="H297" s="21"/>
      <c r="I297" s="33"/>
      <c r="J297" s="21" t="str">
        <f aca="false">INDEX(Students!$C$2:$C$601,MATCH(B297,Students!$A$2:$A$601,0))</f>
        <v>Batch 2024</v>
      </c>
      <c r="K297" s="21" t="str">
        <f aca="false">INDEX(Students!$D$2:$D$601,MATCH(B297,Students!$A$2:$A$601,0))</f>
        <v>Cybersecurity</v>
      </c>
      <c r="L297" s="21" t="str">
        <f aca="false">INDEX(Companies!$C$2:$C$31,MATCH(C297,Companies!$A$2:$A$31,0))</f>
        <v>Analytics &amp; Consulting</v>
      </c>
      <c r="M297" s="21" t="str">
        <f aca="false">INDEX(Companies!$D$2:$D$31,MATCH(C297,Companies!$A$2:$A$31,0))</f>
        <v>Tier 2</v>
      </c>
      <c r="N297" s="34" t="n">
        <f aca="false">MATCH(F297,Assumptions!$K$4:$K$8,0)</f>
        <v>2</v>
      </c>
      <c r="O297" s="21" t="str">
        <f aca="false">IF(H297="Yes",MONTH(I297),"")</f>
        <v/>
      </c>
      <c r="P297" s="21" t="str">
        <f aca="false">IF(H297="Yes",B297,"")</f>
        <v/>
      </c>
    </row>
    <row r="298" customFormat="false" ht="15" hidden="false" customHeight="false" outlineLevel="0" collapsed="false">
      <c r="A298" s="21" t="s">
        <v>1513</v>
      </c>
      <c r="B298" s="21" t="s">
        <v>159</v>
      </c>
      <c r="C298" s="21" t="s">
        <v>1177</v>
      </c>
      <c r="D298" s="21" t="s">
        <v>1240</v>
      </c>
      <c r="E298" s="33" t="n">
        <v>45204</v>
      </c>
      <c r="F298" s="21" t="s">
        <v>1175</v>
      </c>
      <c r="G298" s="32"/>
      <c r="H298" s="21"/>
      <c r="I298" s="33"/>
      <c r="J298" s="21" t="str">
        <f aca="false">INDEX(Students!$C$2:$C$601,MATCH(B298,Students!$A$2:$A$601,0))</f>
        <v>Batch 2024</v>
      </c>
      <c r="K298" s="21" t="str">
        <f aca="false">INDEX(Students!$D$2:$D$601,MATCH(B298,Students!$A$2:$A$601,0))</f>
        <v>Cybersecurity</v>
      </c>
      <c r="L298" s="21" t="str">
        <f aca="false">INDEX(Companies!$C$2:$C$31,MATCH(C298,Companies!$A$2:$A$31,0))</f>
        <v>IT Services</v>
      </c>
      <c r="M298" s="21" t="str">
        <f aca="false">INDEX(Companies!$D$2:$D$31,MATCH(C298,Companies!$A$2:$A$31,0))</f>
        <v>Tier 3</v>
      </c>
      <c r="N298" s="34" t="n">
        <f aca="false">MATCH(F298,Assumptions!$K$4:$K$8,0)</f>
        <v>1</v>
      </c>
      <c r="O298" s="21" t="str">
        <f aca="false">IF(H298="Yes",MONTH(I298),"")</f>
        <v/>
      </c>
      <c r="P298" s="21" t="str">
        <f aca="false">IF(H298="Yes",B298,"")</f>
        <v/>
      </c>
    </row>
    <row r="299" customFormat="false" ht="15" hidden="false" customHeight="false" outlineLevel="0" collapsed="false">
      <c r="A299" s="21" t="s">
        <v>1514</v>
      </c>
      <c r="B299" s="21" t="s">
        <v>334</v>
      </c>
      <c r="C299" s="21" t="s">
        <v>1255</v>
      </c>
      <c r="D299" s="21" t="s">
        <v>1243</v>
      </c>
      <c r="E299" s="33" t="n">
        <v>45204</v>
      </c>
      <c r="F299" s="21" t="s">
        <v>1178</v>
      </c>
      <c r="G299" s="32"/>
      <c r="H299" s="21"/>
      <c r="I299" s="33"/>
      <c r="J299" s="21" t="str">
        <f aca="false">INDEX(Students!$C$2:$C$601,MATCH(B299,Students!$A$2:$A$601,0))</f>
        <v>Batch 2024</v>
      </c>
      <c r="K299" s="21" t="str">
        <f aca="false">INDEX(Students!$D$2:$D$601,MATCH(B299,Students!$A$2:$A$601,0))</f>
        <v>Data Science &amp; ML</v>
      </c>
      <c r="L299" s="21" t="str">
        <f aca="false">INDEX(Companies!$C$2:$C$31,MATCH(C299,Companies!$A$2:$A$31,0))</f>
        <v>IT Services</v>
      </c>
      <c r="M299" s="21" t="str">
        <f aca="false">INDEX(Companies!$D$2:$D$31,MATCH(C299,Companies!$A$2:$A$31,0))</f>
        <v>Tier 3</v>
      </c>
      <c r="N299" s="34" t="n">
        <f aca="false">MATCH(F299,Assumptions!$K$4:$K$8,0)</f>
        <v>2</v>
      </c>
      <c r="O299" s="21" t="str">
        <f aca="false">IF(H299="Yes",MONTH(I299),"")</f>
        <v/>
      </c>
      <c r="P299" s="21" t="str">
        <f aca="false">IF(H299="Yes",B299,"")</f>
        <v/>
      </c>
    </row>
    <row r="300" customFormat="false" ht="15" hidden="false" customHeight="false" outlineLevel="0" collapsed="false">
      <c r="A300" s="21" t="s">
        <v>1515</v>
      </c>
      <c r="B300" s="21" t="s">
        <v>301</v>
      </c>
      <c r="C300" s="21" t="s">
        <v>1266</v>
      </c>
      <c r="D300" s="21" t="s">
        <v>1174</v>
      </c>
      <c r="E300" s="33" t="n">
        <v>45205</v>
      </c>
      <c r="F300" s="21" t="s">
        <v>1185</v>
      </c>
      <c r="G300" s="32" t="n">
        <v>6.1</v>
      </c>
      <c r="H300" s="21" t="s">
        <v>113</v>
      </c>
      <c r="I300" s="33" t="n">
        <v>45245</v>
      </c>
      <c r="J300" s="21" t="str">
        <f aca="false">INDEX(Students!$C$2:$C$601,MATCH(B300,Students!$A$2:$A$601,0))</f>
        <v>Batch 2024</v>
      </c>
      <c r="K300" s="21" t="str">
        <f aca="false">INDEX(Students!$D$2:$D$601,MATCH(B300,Students!$A$2:$A$601,0))</f>
        <v>Full Stack Development</v>
      </c>
      <c r="L300" s="21" t="str">
        <f aca="false">INDEX(Companies!$C$2:$C$31,MATCH(C300,Companies!$A$2:$A$31,0))</f>
        <v>IT Services</v>
      </c>
      <c r="M300" s="21" t="str">
        <f aca="false">INDEX(Companies!$D$2:$D$31,MATCH(C300,Companies!$A$2:$A$31,0))</f>
        <v>Tier 3</v>
      </c>
      <c r="N300" s="34" t="n">
        <f aca="false">MATCH(F300,Assumptions!$K$4:$K$8,0)</f>
        <v>5</v>
      </c>
      <c r="O300" s="21" t="str">
        <f aca="false">IF(H300="Yes",MONTH(I300),"")</f>
        <v/>
      </c>
      <c r="P300" s="21" t="str">
        <f aca="false">IF(H300="Yes",B300,"")</f>
        <v/>
      </c>
    </row>
    <row r="301" customFormat="false" ht="15" hidden="false" customHeight="false" outlineLevel="0" collapsed="false">
      <c r="A301" s="21" t="s">
        <v>1516</v>
      </c>
      <c r="B301" s="21" t="s">
        <v>339</v>
      </c>
      <c r="C301" s="21" t="s">
        <v>1214</v>
      </c>
      <c r="D301" s="21" t="s">
        <v>1240</v>
      </c>
      <c r="E301" s="33" t="n">
        <v>45205</v>
      </c>
      <c r="F301" s="21" t="s">
        <v>1175</v>
      </c>
      <c r="G301" s="32"/>
      <c r="H301" s="21"/>
      <c r="I301" s="33"/>
      <c r="J301" s="21" t="str">
        <f aca="false">INDEX(Students!$C$2:$C$601,MATCH(B301,Students!$A$2:$A$601,0))</f>
        <v>Batch 2024</v>
      </c>
      <c r="K301" s="21" t="str">
        <f aca="false">INDEX(Students!$D$2:$D$601,MATCH(B301,Students!$A$2:$A$601,0))</f>
        <v>Cybersecurity</v>
      </c>
      <c r="L301" s="21" t="str">
        <f aca="false">INDEX(Companies!$C$2:$C$31,MATCH(C301,Companies!$A$2:$A$31,0))</f>
        <v>Product</v>
      </c>
      <c r="M301" s="21" t="str">
        <f aca="false">INDEX(Companies!$D$2:$D$31,MATCH(C301,Companies!$A$2:$A$31,0))</f>
        <v>Tier 1</v>
      </c>
      <c r="N301" s="34" t="n">
        <f aca="false">MATCH(F301,Assumptions!$K$4:$K$8,0)</f>
        <v>1</v>
      </c>
      <c r="O301" s="21" t="str">
        <f aca="false">IF(H301="Yes",MONTH(I301),"")</f>
        <v/>
      </c>
      <c r="P301" s="21" t="str">
        <f aca="false">IF(H301="Yes",B301,"")</f>
        <v/>
      </c>
    </row>
    <row r="302" customFormat="false" ht="15" hidden="false" customHeight="false" outlineLevel="0" collapsed="false">
      <c r="A302" s="21" t="s">
        <v>1517</v>
      </c>
      <c r="B302" s="21" t="s">
        <v>364</v>
      </c>
      <c r="C302" s="21" t="s">
        <v>1290</v>
      </c>
      <c r="D302" s="21" t="s">
        <v>1191</v>
      </c>
      <c r="E302" s="33" t="n">
        <v>45206</v>
      </c>
      <c r="F302" s="21" t="s">
        <v>1185</v>
      </c>
      <c r="G302" s="32" t="n">
        <v>12.6</v>
      </c>
      <c r="H302" s="21" t="s">
        <v>113</v>
      </c>
      <c r="I302" s="33" t="n">
        <v>45247</v>
      </c>
      <c r="J302" s="21" t="str">
        <f aca="false">INDEX(Students!$C$2:$C$601,MATCH(B302,Students!$A$2:$A$601,0))</f>
        <v>Batch 2024</v>
      </c>
      <c r="K302" s="21" t="str">
        <f aca="false">INDEX(Students!$D$2:$D$601,MATCH(B302,Students!$A$2:$A$601,0))</f>
        <v>DSA with Java</v>
      </c>
      <c r="L302" s="21" t="str">
        <f aca="false">INDEX(Companies!$C$2:$C$31,MATCH(C302,Companies!$A$2:$A$31,0))</f>
        <v>Fintech</v>
      </c>
      <c r="M302" s="21" t="str">
        <f aca="false">INDEX(Companies!$D$2:$D$31,MATCH(C302,Companies!$A$2:$A$31,0))</f>
        <v>Tier 2</v>
      </c>
      <c r="N302" s="34" t="n">
        <f aca="false">MATCH(F302,Assumptions!$K$4:$K$8,0)</f>
        <v>5</v>
      </c>
      <c r="O302" s="21" t="str">
        <f aca="false">IF(H302="Yes",MONTH(I302),"")</f>
        <v/>
      </c>
      <c r="P302" s="21" t="str">
        <f aca="false">IF(H302="Yes",B302,"")</f>
        <v/>
      </c>
    </row>
    <row r="303" customFormat="false" ht="15" hidden="false" customHeight="false" outlineLevel="0" collapsed="false">
      <c r="A303" s="21" t="s">
        <v>1518</v>
      </c>
      <c r="B303" s="21" t="s">
        <v>151</v>
      </c>
      <c r="C303" s="21" t="s">
        <v>1196</v>
      </c>
      <c r="D303" s="21" t="s">
        <v>1184</v>
      </c>
      <c r="E303" s="33" t="n">
        <v>45206</v>
      </c>
      <c r="F303" s="21" t="s">
        <v>1175</v>
      </c>
      <c r="G303" s="32"/>
      <c r="H303" s="21"/>
      <c r="I303" s="33"/>
      <c r="J303" s="21" t="str">
        <f aca="false">INDEX(Students!$C$2:$C$601,MATCH(B303,Students!$A$2:$A$601,0))</f>
        <v>Batch 2024</v>
      </c>
      <c r="K303" s="21" t="str">
        <f aca="false">INDEX(Students!$D$2:$D$601,MATCH(B303,Students!$A$2:$A$601,0))</f>
        <v>DSA with Java</v>
      </c>
      <c r="L303" s="21" t="str">
        <f aca="false">INDEX(Companies!$C$2:$C$31,MATCH(C303,Companies!$A$2:$A$31,0))</f>
        <v>IT Services</v>
      </c>
      <c r="M303" s="21" t="str">
        <f aca="false">INDEX(Companies!$D$2:$D$31,MATCH(C303,Companies!$A$2:$A$31,0))</f>
        <v>Tier 3</v>
      </c>
      <c r="N303" s="34" t="n">
        <f aca="false">MATCH(F303,Assumptions!$K$4:$K$8,0)</f>
        <v>1</v>
      </c>
      <c r="O303" s="21" t="str">
        <f aca="false">IF(H303="Yes",MONTH(I303),"")</f>
        <v/>
      </c>
      <c r="P303" s="21" t="str">
        <f aca="false">IF(H303="Yes",B303,"")</f>
        <v/>
      </c>
    </row>
    <row r="304" customFormat="false" ht="15" hidden="false" customHeight="false" outlineLevel="0" collapsed="false">
      <c r="A304" s="21" t="s">
        <v>1519</v>
      </c>
      <c r="B304" s="21" t="s">
        <v>253</v>
      </c>
      <c r="C304" s="21" t="s">
        <v>1275</v>
      </c>
      <c r="D304" s="21" t="s">
        <v>1181</v>
      </c>
      <c r="E304" s="33" t="n">
        <v>45206</v>
      </c>
      <c r="F304" s="21" t="s">
        <v>1178</v>
      </c>
      <c r="G304" s="32"/>
      <c r="H304" s="21"/>
      <c r="I304" s="33"/>
      <c r="J304" s="21" t="str">
        <f aca="false">INDEX(Students!$C$2:$C$601,MATCH(B304,Students!$A$2:$A$601,0))</f>
        <v>Batch 2024</v>
      </c>
      <c r="K304" s="21" t="str">
        <f aca="false">INDEX(Students!$D$2:$D$601,MATCH(B304,Students!$A$2:$A$601,0))</f>
        <v>Full Stack Development</v>
      </c>
      <c r="L304" s="21" t="str">
        <f aca="false">INDEX(Companies!$C$2:$C$31,MATCH(C304,Companies!$A$2:$A$31,0))</f>
        <v>Cybersecurity</v>
      </c>
      <c r="M304" s="21" t="str">
        <f aca="false">INDEX(Companies!$D$2:$D$31,MATCH(C304,Companies!$A$2:$A$31,0))</f>
        <v>Tier 2</v>
      </c>
      <c r="N304" s="34" t="n">
        <f aca="false">MATCH(F304,Assumptions!$K$4:$K$8,0)</f>
        <v>2</v>
      </c>
      <c r="O304" s="21" t="str">
        <f aca="false">IF(H304="Yes",MONTH(I304),"")</f>
        <v/>
      </c>
      <c r="P304" s="21" t="str">
        <f aca="false">IF(H304="Yes",B304,"")</f>
        <v/>
      </c>
    </row>
    <row r="305" customFormat="false" ht="15" hidden="false" customHeight="false" outlineLevel="0" collapsed="false">
      <c r="A305" s="21" t="s">
        <v>1520</v>
      </c>
      <c r="B305" s="21" t="s">
        <v>336</v>
      </c>
      <c r="C305" s="21" t="s">
        <v>1177</v>
      </c>
      <c r="D305" s="21" t="s">
        <v>1174</v>
      </c>
      <c r="E305" s="33" t="n">
        <v>45206</v>
      </c>
      <c r="F305" s="21" t="s">
        <v>1185</v>
      </c>
      <c r="G305" s="32" t="n">
        <v>7.2</v>
      </c>
      <c r="H305" s="21" t="s">
        <v>113</v>
      </c>
      <c r="I305" s="33" t="n">
        <v>45228</v>
      </c>
      <c r="J305" s="21" t="str">
        <f aca="false">INDEX(Students!$C$2:$C$601,MATCH(B305,Students!$A$2:$A$601,0))</f>
        <v>Batch 2024</v>
      </c>
      <c r="K305" s="21" t="str">
        <f aca="false">INDEX(Students!$D$2:$D$601,MATCH(B305,Students!$A$2:$A$601,0))</f>
        <v>Full Stack Development</v>
      </c>
      <c r="L305" s="21" t="str">
        <f aca="false">INDEX(Companies!$C$2:$C$31,MATCH(C305,Companies!$A$2:$A$31,0))</f>
        <v>IT Services</v>
      </c>
      <c r="M305" s="21" t="str">
        <f aca="false">INDEX(Companies!$D$2:$D$31,MATCH(C305,Companies!$A$2:$A$31,0))</f>
        <v>Tier 3</v>
      </c>
      <c r="N305" s="34" t="n">
        <f aca="false">MATCH(F305,Assumptions!$K$4:$K$8,0)</f>
        <v>5</v>
      </c>
      <c r="O305" s="21" t="str">
        <f aca="false">IF(H305="Yes",MONTH(I305),"")</f>
        <v/>
      </c>
      <c r="P305" s="21" t="str">
        <f aca="false">IF(H305="Yes",B305,"")</f>
        <v/>
      </c>
    </row>
    <row r="306" customFormat="false" ht="15" hidden="false" customHeight="false" outlineLevel="0" collapsed="false">
      <c r="A306" s="21" t="s">
        <v>1521</v>
      </c>
      <c r="B306" s="21" t="s">
        <v>251</v>
      </c>
      <c r="C306" s="21" t="s">
        <v>1222</v>
      </c>
      <c r="D306" s="21" t="s">
        <v>1240</v>
      </c>
      <c r="E306" s="33" t="n">
        <v>45206</v>
      </c>
      <c r="F306" s="21" t="s">
        <v>1178</v>
      </c>
      <c r="G306" s="32"/>
      <c r="H306" s="21"/>
      <c r="I306" s="33"/>
      <c r="J306" s="21" t="str">
        <f aca="false">INDEX(Students!$C$2:$C$601,MATCH(B306,Students!$A$2:$A$601,0))</f>
        <v>Batch 2024</v>
      </c>
      <c r="K306" s="21" t="str">
        <f aca="false">INDEX(Students!$D$2:$D$601,MATCH(B306,Students!$A$2:$A$601,0))</f>
        <v>Cybersecurity</v>
      </c>
      <c r="L306" s="21" t="str">
        <f aca="false">INDEX(Companies!$C$2:$C$31,MATCH(C306,Companies!$A$2:$A$31,0))</f>
        <v>Product</v>
      </c>
      <c r="M306" s="21" t="str">
        <f aca="false">INDEX(Companies!$D$2:$D$31,MATCH(C306,Companies!$A$2:$A$31,0))</f>
        <v>Tier 2</v>
      </c>
      <c r="N306" s="34" t="n">
        <f aca="false">MATCH(F306,Assumptions!$K$4:$K$8,0)</f>
        <v>2</v>
      </c>
      <c r="O306" s="21" t="str">
        <f aca="false">IF(H306="Yes",MONTH(I306),"")</f>
        <v/>
      </c>
      <c r="P306" s="21" t="str">
        <f aca="false">IF(H306="Yes",B306,"")</f>
        <v/>
      </c>
    </row>
    <row r="307" customFormat="false" ht="15" hidden="false" customHeight="false" outlineLevel="0" collapsed="false">
      <c r="A307" s="21" t="s">
        <v>1522</v>
      </c>
      <c r="B307" s="21" t="s">
        <v>374</v>
      </c>
      <c r="C307" s="21" t="s">
        <v>1255</v>
      </c>
      <c r="D307" s="21" t="s">
        <v>1243</v>
      </c>
      <c r="E307" s="33" t="n">
        <v>45206</v>
      </c>
      <c r="F307" s="21" t="s">
        <v>1175</v>
      </c>
      <c r="G307" s="32"/>
      <c r="H307" s="21"/>
      <c r="I307" s="33"/>
      <c r="J307" s="21" t="str">
        <f aca="false">INDEX(Students!$C$2:$C$601,MATCH(B307,Students!$A$2:$A$601,0))</f>
        <v>Batch 2024</v>
      </c>
      <c r="K307" s="21" t="str">
        <f aca="false">INDEX(Students!$D$2:$D$601,MATCH(B307,Students!$A$2:$A$601,0))</f>
        <v>Data Science &amp; ML</v>
      </c>
      <c r="L307" s="21" t="str">
        <f aca="false">INDEX(Companies!$C$2:$C$31,MATCH(C307,Companies!$A$2:$A$31,0))</f>
        <v>IT Services</v>
      </c>
      <c r="M307" s="21" t="str">
        <f aca="false">INDEX(Companies!$D$2:$D$31,MATCH(C307,Companies!$A$2:$A$31,0))</f>
        <v>Tier 3</v>
      </c>
      <c r="N307" s="34" t="n">
        <f aca="false">MATCH(F307,Assumptions!$K$4:$K$8,0)</f>
        <v>1</v>
      </c>
      <c r="O307" s="21" t="str">
        <f aca="false">IF(H307="Yes",MONTH(I307),"")</f>
        <v/>
      </c>
      <c r="P307" s="21" t="str">
        <f aca="false">IF(H307="Yes",B307,"")</f>
        <v/>
      </c>
    </row>
    <row r="308" customFormat="false" ht="15" hidden="false" customHeight="false" outlineLevel="0" collapsed="false">
      <c r="A308" s="21" t="s">
        <v>1523</v>
      </c>
      <c r="B308" s="21" t="s">
        <v>382</v>
      </c>
      <c r="C308" s="21" t="s">
        <v>1298</v>
      </c>
      <c r="D308" s="21" t="s">
        <v>1240</v>
      </c>
      <c r="E308" s="33" t="n">
        <v>45206</v>
      </c>
      <c r="F308" s="21" t="s">
        <v>1178</v>
      </c>
      <c r="G308" s="32"/>
      <c r="H308" s="21"/>
      <c r="I308" s="33"/>
      <c r="J308" s="21" t="str">
        <f aca="false">INDEX(Students!$C$2:$C$601,MATCH(B308,Students!$A$2:$A$601,0))</f>
        <v>Batch 2024</v>
      </c>
      <c r="K308" s="21" t="str">
        <f aca="false">INDEX(Students!$D$2:$D$601,MATCH(B308,Students!$A$2:$A$601,0))</f>
        <v>Cybersecurity</v>
      </c>
      <c r="L308" s="21" t="str">
        <f aca="false">INDEX(Companies!$C$2:$C$31,MATCH(C308,Companies!$A$2:$A$31,0))</f>
        <v>Fintech</v>
      </c>
      <c r="M308" s="21" t="str">
        <f aca="false">INDEX(Companies!$D$2:$D$31,MATCH(C308,Companies!$A$2:$A$31,0))</f>
        <v>Tier 2</v>
      </c>
      <c r="N308" s="34" t="n">
        <f aca="false">MATCH(F308,Assumptions!$K$4:$K$8,0)</f>
        <v>2</v>
      </c>
      <c r="O308" s="21" t="str">
        <f aca="false">IF(H308="Yes",MONTH(I308),"")</f>
        <v/>
      </c>
      <c r="P308" s="21" t="str">
        <f aca="false">IF(H308="Yes",B308,"")</f>
        <v/>
      </c>
    </row>
    <row r="309" customFormat="false" ht="15" hidden="false" customHeight="false" outlineLevel="0" collapsed="false">
      <c r="A309" s="21" t="s">
        <v>1524</v>
      </c>
      <c r="B309" s="21" t="s">
        <v>191</v>
      </c>
      <c r="C309" s="21" t="s">
        <v>1230</v>
      </c>
      <c r="D309" s="21" t="s">
        <v>1191</v>
      </c>
      <c r="E309" s="33" t="n">
        <v>45207</v>
      </c>
      <c r="F309" s="21" t="s">
        <v>1185</v>
      </c>
      <c r="G309" s="32" t="n">
        <v>4.6</v>
      </c>
      <c r="H309" s="21" t="s">
        <v>120</v>
      </c>
      <c r="I309" s="33" t="n">
        <v>45249</v>
      </c>
      <c r="J309" s="21" t="str">
        <f aca="false">INDEX(Students!$C$2:$C$601,MATCH(B309,Students!$A$2:$A$601,0))</f>
        <v>Batch 2024</v>
      </c>
      <c r="K309" s="21" t="str">
        <f aca="false">INDEX(Students!$D$2:$D$601,MATCH(B309,Students!$A$2:$A$601,0))</f>
        <v>DSA with Java</v>
      </c>
      <c r="L309" s="21" t="str">
        <f aca="false">INDEX(Companies!$C$2:$C$31,MATCH(C309,Companies!$A$2:$A$31,0))</f>
        <v>IT Services</v>
      </c>
      <c r="M309" s="21" t="str">
        <f aca="false">INDEX(Companies!$D$2:$D$31,MATCH(C309,Companies!$A$2:$A$31,0))</f>
        <v>Tier 3</v>
      </c>
      <c r="N309" s="34" t="n">
        <f aca="false">MATCH(F309,Assumptions!$K$4:$K$8,0)</f>
        <v>5</v>
      </c>
      <c r="O309" s="21" t="n">
        <f aca="false">IF(H309="Yes",MONTH(I309),"")</f>
        <v>11</v>
      </c>
      <c r="P309" s="21" t="str">
        <f aca="false">IF(H309="Yes",B309,"")</f>
        <v>S0040</v>
      </c>
    </row>
    <row r="310" customFormat="false" ht="15" hidden="false" customHeight="false" outlineLevel="0" collapsed="false">
      <c r="A310" s="21" t="s">
        <v>1525</v>
      </c>
      <c r="B310" s="21" t="s">
        <v>123</v>
      </c>
      <c r="C310" s="21" t="s">
        <v>1183</v>
      </c>
      <c r="D310" s="21" t="s">
        <v>1209</v>
      </c>
      <c r="E310" s="33" t="n">
        <v>45207</v>
      </c>
      <c r="F310" s="21" t="s">
        <v>1175</v>
      </c>
      <c r="G310" s="32"/>
      <c r="H310" s="21"/>
      <c r="I310" s="33"/>
      <c r="J310" s="21" t="str">
        <f aca="false">INDEX(Students!$C$2:$C$601,MATCH(B310,Students!$A$2:$A$601,0))</f>
        <v>Batch 2024</v>
      </c>
      <c r="K310" s="21" t="str">
        <f aca="false">INDEX(Students!$D$2:$D$601,MATCH(B310,Students!$A$2:$A$601,0))</f>
        <v>Data Analytics</v>
      </c>
      <c r="L310" s="21" t="str">
        <f aca="false">INDEX(Companies!$C$2:$C$31,MATCH(C310,Companies!$A$2:$A$31,0))</f>
        <v>E-commerce</v>
      </c>
      <c r="M310" s="21" t="str">
        <f aca="false">INDEX(Companies!$D$2:$D$31,MATCH(C310,Companies!$A$2:$A$31,0))</f>
        <v>Tier 2</v>
      </c>
      <c r="N310" s="34" t="n">
        <f aca="false">MATCH(F310,Assumptions!$K$4:$K$8,0)</f>
        <v>1</v>
      </c>
      <c r="O310" s="21" t="str">
        <f aca="false">IF(H310="Yes",MONTH(I310),"")</f>
        <v/>
      </c>
      <c r="P310" s="21" t="str">
        <f aca="false">IF(H310="Yes",B310,"")</f>
        <v/>
      </c>
    </row>
    <row r="311" customFormat="false" ht="15" hidden="false" customHeight="false" outlineLevel="0" collapsed="false">
      <c r="A311" s="21" t="s">
        <v>1526</v>
      </c>
      <c r="B311" s="21" t="s">
        <v>251</v>
      </c>
      <c r="C311" s="21" t="s">
        <v>1239</v>
      </c>
      <c r="D311" s="21" t="s">
        <v>1240</v>
      </c>
      <c r="E311" s="33" t="n">
        <v>45207</v>
      </c>
      <c r="F311" s="21" t="s">
        <v>1185</v>
      </c>
      <c r="G311" s="32" t="n">
        <v>5.5</v>
      </c>
      <c r="H311" s="21" t="s">
        <v>120</v>
      </c>
      <c r="I311" s="33" t="n">
        <v>45230</v>
      </c>
      <c r="J311" s="21" t="str">
        <f aca="false">INDEX(Students!$C$2:$C$601,MATCH(B311,Students!$A$2:$A$601,0))</f>
        <v>Batch 2024</v>
      </c>
      <c r="K311" s="21" t="str">
        <f aca="false">INDEX(Students!$D$2:$D$601,MATCH(B311,Students!$A$2:$A$601,0))</f>
        <v>Cybersecurity</v>
      </c>
      <c r="L311" s="21" t="str">
        <f aca="false">INDEX(Companies!$C$2:$C$31,MATCH(C311,Companies!$A$2:$A$31,0))</f>
        <v>E-commerce</v>
      </c>
      <c r="M311" s="21" t="str">
        <f aca="false">INDEX(Companies!$D$2:$D$31,MATCH(C311,Companies!$A$2:$A$31,0))</f>
        <v>Tier 3</v>
      </c>
      <c r="N311" s="34" t="n">
        <f aca="false">MATCH(F311,Assumptions!$K$4:$K$8,0)</f>
        <v>5</v>
      </c>
      <c r="O311" s="21" t="n">
        <f aca="false">IF(H311="Yes",MONTH(I311),"")</f>
        <v>10</v>
      </c>
      <c r="P311" s="21" t="str">
        <f aca="false">IF(H311="Yes",B311,"")</f>
        <v>S0071</v>
      </c>
    </row>
    <row r="312" customFormat="false" ht="15" hidden="false" customHeight="false" outlineLevel="0" collapsed="false">
      <c r="A312" s="21" t="s">
        <v>1527</v>
      </c>
      <c r="B312" s="21" t="s">
        <v>347</v>
      </c>
      <c r="C312" s="21" t="s">
        <v>1214</v>
      </c>
      <c r="D312" s="21" t="s">
        <v>1188</v>
      </c>
      <c r="E312" s="33" t="n">
        <v>45207</v>
      </c>
      <c r="F312" s="21" t="s">
        <v>1178</v>
      </c>
      <c r="G312" s="32"/>
      <c r="H312" s="21"/>
      <c r="I312" s="33"/>
      <c r="J312" s="21" t="str">
        <f aca="false">INDEX(Students!$C$2:$C$601,MATCH(B312,Students!$A$2:$A$601,0))</f>
        <v>Batch 2024</v>
      </c>
      <c r="K312" s="21" t="str">
        <f aca="false">INDEX(Students!$D$2:$D$601,MATCH(B312,Students!$A$2:$A$601,0))</f>
        <v>Data Analytics</v>
      </c>
      <c r="L312" s="21" t="str">
        <f aca="false">INDEX(Companies!$C$2:$C$31,MATCH(C312,Companies!$A$2:$A$31,0))</f>
        <v>Product</v>
      </c>
      <c r="M312" s="21" t="str">
        <f aca="false">INDEX(Companies!$D$2:$D$31,MATCH(C312,Companies!$A$2:$A$31,0))</f>
        <v>Tier 1</v>
      </c>
      <c r="N312" s="34" t="n">
        <f aca="false">MATCH(F312,Assumptions!$K$4:$K$8,0)</f>
        <v>2</v>
      </c>
      <c r="O312" s="21" t="str">
        <f aca="false">IF(H312="Yes",MONTH(I312),"")</f>
        <v/>
      </c>
      <c r="P312" s="21" t="str">
        <f aca="false">IF(H312="Yes",B312,"")</f>
        <v/>
      </c>
    </row>
    <row r="313" customFormat="false" ht="15" hidden="false" customHeight="false" outlineLevel="0" collapsed="false">
      <c r="A313" s="21" t="s">
        <v>1528</v>
      </c>
      <c r="B313" s="21" t="s">
        <v>247</v>
      </c>
      <c r="C313" s="21" t="s">
        <v>1214</v>
      </c>
      <c r="D313" s="21" t="s">
        <v>1191</v>
      </c>
      <c r="E313" s="33" t="n">
        <v>45208</v>
      </c>
      <c r="F313" s="21" t="s">
        <v>1175</v>
      </c>
      <c r="G313" s="32"/>
      <c r="H313" s="21"/>
      <c r="I313" s="33"/>
      <c r="J313" s="21" t="str">
        <f aca="false">INDEX(Students!$C$2:$C$601,MATCH(B313,Students!$A$2:$A$601,0))</f>
        <v>Batch 2024</v>
      </c>
      <c r="K313" s="21" t="str">
        <f aca="false">INDEX(Students!$D$2:$D$601,MATCH(B313,Students!$A$2:$A$601,0))</f>
        <v>DSA with Java</v>
      </c>
      <c r="L313" s="21" t="str">
        <f aca="false">INDEX(Companies!$C$2:$C$31,MATCH(C313,Companies!$A$2:$A$31,0))</f>
        <v>Product</v>
      </c>
      <c r="M313" s="21" t="str">
        <f aca="false">INDEX(Companies!$D$2:$D$31,MATCH(C313,Companies!$A$2:$A$31,0))</f>
        <v>Tier 1</v>
      </c>
      <c r="N313" s="34" t="n">
        <f aca="false">MATCH(F313,Assumptions!$K$4:$K$8,0)</f>
        <v>1</v>
      </c>
      <c r="O313" s="21" t="str">
        <f aca="false">IF(H313="Yes",MONTH(I313),"")</f>
        <v/>
      </c>
      <c r="P313" s="21" t="str">
        <f aca="false">IF(H313="Yes",B313,"")</f>
        <v/>
      </c>
    </row>
    <row r="314" customFormat="false" ht="15" hidden="false" customHeight="false" outlineLevel="0" collapsed="false">
      <c r="A314" s="21" t="s">
        <v>1529</v>
      </c>
      <c r="B314" s="21" t="s">
        <v>141</v>
      </c>
      <c r="C314" s="21" t="s">
        <v>1199</v>
      </c>
      <c r="D314" s="21" t="s">
        <v>1181</v>
      </c>
      <c r="E314" s="33" t="n">
        <v>45208</v>
      </c>
      <c r="F314" s="21" t="s">
        <v>1185</v>
      </c>
      <c r="G314" s="32" t="n">
        <v>11.4</v>
      </c>
      <c r="H314" s="21" t="s">
        <v>113</v>
      </c>
      <c r="I314" s="33" t="n">
        <v>45262</v>
      </c>
      <c r="J314" s="21" t="str">
        <f aca="false">INDEX(Students!$C$2:$C$601,MATCH(B314,Students!$A$2:$A$601,0))</f>
        <v>Batch 2024</v>
      </c>
      <c r="K314" s="21" t="str">
        <f aca="false">INDEX(Students!$D$2:$D$601,MATCH(B314,Students!$A$2:$A$601,0))</f>
        <v>Full Stack Development</v>
      </c>
      <c r="L314" s="21" t="str">
        <f aca="false">INDEX(Companies!$C$2:$C$31,MATCH(C314,Companies!$A$2:$A$31,0))</f>
        <v>E-commerce</v>
      </c>
      <c r="M314" s="21" t="str">
        <f aca="false">INDEX(Companies!$D$2:$D$31,MATCH(C314,Companies!$A$2:$A$31,0))</f>
        <v>Tier 2</v>
      </c>
      <c r="N314" s="34" t="n">
        <f aca="false">MATCH(F314,Assumptions!$K$4:$K$8,0)</f>
        <v>5</v>
      </c>
      <c r="O314" s="21" t="str">
        <f aca="false">IF(H314="Yes",MONTH(I314),"")</f>
        <v/>
      </c>
      <c r="P314" s="21" t="str">
        <f aca="false">IF(H314="Yes",B314,"")</f>
        <v/>
      </c>
    </row>
    <row r="315" customFormat="false" ht="15" hidden="false" customHeight="false" outlineLevel="0" collapsed="false">
      <c r="A315" s="21" t="s">
        <v>1530</v>
      </c>
      <c r="B315" s="21" t="s">
        <v>433</v>
      </c>
      <c r="C315" s="21" t="s">
        <v>1239</v>
      </c>
      <c r="D315" s="21" t="s">
        <v>1181</v>
      </c>
      <c r="E315" s="33" t="n">
        <v>45208</v>
      </c>
      <c r="F315" s="21" t="s">
        <v>1197</v>
      </c>
      <c r="G315" s="32"/>
      <c r="H315" s="21"/>
      <c r="I315" s="33"/>
      <c r="J315" s="21" t="str">
        <f aca="false">INDEX(Students!$C$2:$C$601,MATCH(B315,Students!$A$2:$A$601,0))</f>
        <v>Batch 2024</v>
      </c>
      <c r="K315" s="21" t="str">
        <f aca="false">INDEX(Students!$D$2:$D$601,MATCH(B315,Students!$A$2:$A$601,0))</f>
        <v>Full Stack Development</v>
      </c>
      <c r="L315" s="21" t="str">
        <f aca="false">INDEX(Companies!$C$2:$C$31,MATCH(C315,Companies!$A$2:$A$31,0))</f>
        <v>E-commerce</v>
      </c>
      <c r="M315" s="21" t="str">
        <f aca="false">INDEX(Companies!$D$2:$D$31,MATCH(C315,Companies!$A$2:$A$31,0))</f>
        <v>Tier 3</v>
      </c>
      <c r="N315" s="34" t="n">
        <f aca="false">MATCH(F315,Assumptions!$K$4:$K$8,0)</f>
        <v>3</v>
      </c>
      <c r="O315" s="21" t="str">
        <f aca="false">IF(H315="Yes",MONTH(I315),"")</f>
        <v/>
      </c>
      <c r="P315" s="21" t="str">
        <f aca="false">IF(H315="Yes",B315,"")</f>
        <v/>
      </c>
    </row>
    <row r="316" customFormat="false" ht="15" hidden="false" customHeight="false" outlineLevel="0" collapsed="false">
      <c r="A316" s="21" t="s">
        <v>1531</v>
      </c>
      <c r="B316" s="21" t="s">
        <v>334</v>
      </c>
      <c r="C316" s="21" t="s">
        <v>1216</v>
      </c>
      <c r="D316" s="21" t="s">
        <v>1243</v>
      </c>
      <c r="E316" s="33" t="n">
        <v>45208</v>
      </c>
      <c r="F316" s="21" t="s">
        <v>1185</v>
      </c>
      <c r="G316" s="32" t="n">
        <v>7.6</v>
      </c>
      <c r="H316" s="21" t="s">
        <v>113</v>
      </c>
      <c r="I316" s="33" t="n">
        <v>45243</v>
      </c>
      <c r="J316" s="21" t="str">
        <f aca="false">INDEX(Students!$C$2:$C$601,MATCH(B316,Students!$A$2:$A$601,0))</f>
        <v>Batch 2024</v>
      </c>
      <c r="K316" s="21" t="str">
        <f aca="false">INDEX(Students!$D$2:$D$601,MATCH(B316,Students!$A$2:$A$601,0))</f>
        <v>Data Science &amp; ML</v>
      </c>
      <c r="L316" s="21" t="str">
        <f aca="false">INDEX(Companies!$C$2:$C$31,MATCH(C316,Companies!$A$2:$A$31,0))</f>
        <v>IT Services</v>
      </c>
      <c r="M316" s="21" t="str">
        <f aca="false">INDEX(Companies!$D$2:$D$31,MATCH(C316,Companies!$A$2:$A$31,0))</f>
        <v>Tier 3</v>
      </c>
      <c r="N316" s="34" t="n">
        <f aca="false">MATCH(F316,Assumptions!$K$4:$K$8,0)</f>
        <v>5</v>
      </c>
      <c r="O316" s="21" t="str">
        <f aca="false">IF(H316="Yes",MONTH(I316),"")</f>
        <v/>
      </c>
      <c r="P316" s="21" t="str">
        <f aca="false">IF(H316="Yes",B316,"")</f>
        <v/>
      </c>
    </row>
    <row r="317" customFormat="false" ht="15" hidden="false" customHeight="false" outlineLevel="0" collapsed="false">
      <c r="A317" s="21" t="s">
        <v>1532</v>
      </c>
      <c r="B317" s="21" t="s">
        <v>189</v>
      </c>
      <c r="C317" s="21" t="s">
        <v>1201</v>
      </c>
      <c r="D317" s="21" t="s">
        <v>1181</v>
      </c>
      <c r="E317" s="33" t="n">
        <v>45208</v>
      </c>
      <c r="F317" s="21" t="s">
        <v>1185</v>
      </c>
      <c r="G317" s="32" t="n">
        <v>5.9</v>
      </c>
      <c r="H317" s="21" t="s">
        <v>120</v>
      </c>
      <c r="I317" s="33" t="n">
        <v>45250</v>
      </c>
      <c r="J317" s="21" t="str">
        <f aca="false">INDEX(Students!$C$2:$C$601,MATCH(B317,Students!$A$2:$A$601,0))</f>
        <v>Batch 2024</v>
      </c>
      <c r="K317" s="21" t="str">
        <f aca="false">INDEX(Students!$D$2:$D$601,MATCH(B317,Students!$A$2:$A$601,0))</f>
        <v>Full Stack Development</v>
      </c>
      <c r="L317" s="21" t="str">
        <f aca="false">INDEX(Companies!$C$2:$C$31,MATCH(C317,Companies!$A$2:$A$31,0))</f>
        <v>IT Services</v>
      </c>
      <c r="M317" s="21" t="str">
        <f aca="false">INDEX(Companies!$D$2:$D$31,MATCH(C317,Companies!$A$2:$A$31,0))</f>
        <v>Tier 3</v>
      </c>
      <c r="N317" s="34" t="n">
        <f aca="false">MATCH(F317,Assumptions!$K$4:$K$8,0)</f>
        <v>5</v>
      </c>
      <c r="O317" s="21" t="n">
        <f aca="false">IF(H317="Yes",MONTH(I317),"")</f>
        <v>11</v>
      </c>
      <c r="P317" s="21" t="str">
        <f aca="false">IF(H317="Yes",B317,"")</f>
        <v>S0039</v>
      </c>
    </row>
    <row r="318" customFormat="false" ht="15" hidden="false" customHeight="false" outlineLevel="0" collapsed="false">
      <c r="A318" s="21" t="s">
        <v>1533</v>
      </c>
      <c r="B318" s="21" t="s">
        <v>352</v>
      </c>
      <c r="C318" s="21" t="s">
        <v>1211</v>
      </c>
      <c r="D318" s="21" t="s">
        <v>1194</v>
      </c>
      <c r="E318" s="33" t="n">
        <v>45208</v>
      </c>
      <c r="F318" s="21" t="s">
        <v>1197</v>
      </c>
      <c r="G318" s="32"/>
      <c r="H318" s="21"/>
      <c r="I318" s="33"/>
      <c r="J318" s="21" t="str">
        <f aca="false">INDEX(Students!$C$2:$C$601,MATCH(B318,Students!$A$2:$A$601,0))</f>
        <v>Batch 2024</v>
      </c>
      <c r="K318" s="21" t="str">
        <f aca="false">INDEX(Students!$D$2:$D$601,MATCH(B318,Students!$A$2:$A$601,0))</f>
        <v>Data Science &amp; ML</v>
      </c>
      <c r="L318" s="21" t="str">
        <f aca="false">INDEX(Companies!$C$2:$C$31,MATCH(C318,Companies!$A$2:$A$31,0))</f>
        <v>Analytics &amp; Consulting</v>
      </c>
      <c r="M318" s="21" t="str">
        <f aca="false">INDEX(Companies!$D$2:$D$31,MATCH(C318,Companies!$A$2:$A$31,0))</f>
        <v>Tier 3</v>
      </c>
      <c r="N318" s="34" t="n">
        <f aca="false">MATCH(F318,Assumptions!$K$4:$K$8,0)</f>
        <v>3</v>
      </c>
      <c r="O318" s="21" t="str">
        <f aca="false">IF(H318="Yes",MONTH(I318),"")</f>
        <v/>
      </c>
      <c r="P318" s="21" t="str">
        <f aca="false">IF(H318="Yes",B318,"")</f>
        <v/>
      </c>
    </row>
    <row r="319" customFormat="false" ht="15" hidden="false" customHeight="false" outlineLevel="0" collapsed="false">
      <c r="A319" s="21" t="s">
        <v>1534</v>
      </c>
      <c r="B319" s="21" t="s">
        <v>213</v>
      </c>
      <c r="C319" s="21" t="s">
        <v>1228</v>
      </c>
      <c r="D319" s="21" t="s">
        <v>1184</v>
      </c>
      <c r="E319" s="33" t="n">
        <v>45209</v>
      </c>
      <c r="F319" s="21" t="s">
        <v>1185</v>
      </c>
      <c r="G319" s="32" t="n">
        <v>26.9</v>
      </c>
      <c r="H319" s="21" t="s">
        <v>120</v>
      </c>
      <c r="I319" s="33" t="n">
        <v>45241</v>
      </c>
      <c r="J319" s="21" t="str">
        <f aca="false">INDEX(Students!$C$2:$C$601,MATCH(B319,Students!$A$2:$A$601,0))</f>
        <v>Batch 2024</v>
      </c>
      <c r="K319" s="21" t="str">
        <f aca="false">INDEX(Students!$D$2:$D$601,MATCH(B319,Students!$A$2:$A$601,0))</f>
        <v>DSA with Java</v>
      </c>
      <c r="L319" s="21" t="str">
        <f aca="false">INDEX(Companies!$C$2:$C$31,MATCH(C319,Companies!$A$2:$A$31,0))</f>
        <v>Fintech</v>
      </c>
      <c r="M319" s="21" t="str">
        <f aca="false">INDEX(Companies!$D$2:$D$31,MATCH(C319,Companies!$A$2:$A$31,0))</f>
        <v>Tier 1</v>
      </c>
      <c r="N319" s="34" t="n">
        <f aca="false">MATCH(F319,Assumptions!$K$4:$K$8,0)</f>
        <v>5</v>
      </c>
      <c r="O319" s="21" t="n">
        <f aca="false">IF(H319="Yes",MONTH(I319),"")</f>
        <v>11</v>
      </c>
      <c r="P319" s="21" t="str">
        <f aca="false">IF(H319="Yes",B319,"")</f>
        <v>S0051</v>
      </c>
    </row>
    <row r="320" customFormat="false" ht="15" hidden="false" customHeight="false" outlineLevel="0" collapsed="false">
      <c r="A320" s="21" t="s">
        <v>1535</v>
      </c>
      <c r="B320" s="21" t="s">
        <v>205</v>
      </c>
      <c r="C320" s="21" t="s">
        <v>1266</v>
      </c>
      <c r="D320" s="21" t="s">
        <v>1209</v>
      </c>
      <c r="E320" s="33" t="n">
        <v>45209</v>
      </c>
      <c r="F320" s="21" t="s">
        <v>1197</v>
      </c>
      <c r="G320" s="32"/>
      <c r="H320" s="21"/>
      <c r="I320" s="33"/>
      <c r="J320" s="21" t="str">
        <f aca="false">INDEX(Students!$C$2:$C$601,MATCH(B320,Students!$A$2:$A$601,0))</f>
        <v>Batch 2024</v>
      </c>
      <c r="K320" s="21" t="str">
        <f aca="false">INDEX(Students!$D$2:$D$601,MATCH(B320,Students!$A$2:$A$601,0))</f>
        <v>Data Analytics</v>
      </c>
      <c r="L320" s="21" t="str">
        <f aca="false">INDEX(Companies!$C$2:$C$31,MATCH(C320,Companies!$A$2:$A$31,0))</f>
        <v>IT Services</v>
      </c>
      <c r="M320" s="21" t="str">
        <f aca="false">INDEX(Companies!$D$2:$D$31,MATCH(C320,Companies!$A$2:$A$31,0))</f>
        <v>Tier 3</v>
      </c>
      <c r="N320" s="34" t="n">
        <f aca="false">MATCH(F320,Assumptions!$K$4:$K$8,0)</f>
        <v>3</v>
      </c>
      <c r="O320" s="21" t="str">
        <f aca="false">IF(H320="Yes",MONTH(I320),"")</f>
        <v/>
      </c>
      <c r="P320" s="21" t="str">
        <f aca="false">IF(H320="Yes",B320,"")</f>
        <v/>
      </c>
    </row>
    <row r="321" customFormat="false" ht="15" hidden="false" customHeight="false" outlineLevel="0" collapsed="false">
      <c r="A321" s="21" t="s">
        <v>1536</v>
      </c>
      <c r="B321" s="21" t="s">
        <v>159</v>
      </c>
      <c r="C321" s="21" t="s">
        <v>1205</v>
      </c>
      <c r="D321" s="21" t="s">
        <v>1226</v>
      </c>
      <c r="E321" s="33" t="n">
        <v>45209</v>
      </c>
      <c r="F321" s="21" t="s">
        <v>1185</v>
      </c>
      <c r="G321" s="32" t="n">
        <v>5.9</v>
      </c>
      <c r="H321" s="21" t="s">
        <v>113</v>
      </c>
      <c r="I321" s="33" t="n">
        <v>45248</v>
      </c>
      <c r="J321" s="21" t="str">
        <f aca="false">INDEX(Students!$C$2:$C$601,MATCH(B321,Students!$A$2:$A$601,0))</f>
        <v>Batch 2024</v>
      </c>
      <c r="K321" s="21" t="str">
        <f aca="false">INDEX(Students!$D$2:$D$601,MATCH(B321,Students!$A$2:$A$601,0))</f>
        <v>Cybersecurity</v>
      </c>
      <c r="L321" s="21" t="str">
        <f aca="false">INDEX(Companies!$C$2:$C$31,MATCH(C321,Companies!$A$2:$A$31,0))</f>
        <v>Healthtech</v>
      </c>
      <c r="M321" s="21" t="str">
        <f aca="false">INDEX(Companies!$D$2:$D$31,MATCH(C321,Companies!$A$2:$A$31,0))</f>
        <v>Tier 3</v>
      </c>
      <c r="N321" s="34" t="n">
        <f aca="false">MATCH(F321,Assumptions!$K$4:$K$8,0)</f>
        <v>5</v>
      </c>
      <c r="O321" s="21" t="str">
        <f aca="false">IF(H321="Yes",MONTH(I321),"")</f>
        <v/>
      </c>
      <c r="P321" s="21" t="str">
        <f aca="false">IF(H321="Yes",B321,"")</f>
        <v/>
      </c>
    </row>
    <row r="322" customFormat="false" ht="15" hidden="false" customHeight="false" outlineLevel="0" collapsed="false">
      <c r="A322" s="21" t="s">
        <v>1537</v>
      </c>
      <c r="B322" s="21" t="s">
        <v>241</v>
      </c>
      <c r="C322" s="21" t="s">
        <v>1187</v>
      </c>
      <c r="D322" s="21" t="s">
        <v>1194</v>
      </c>
      <c r="E322" s="33" t="n">
        <v>45209</v>
      </c>
      <c r="F322" s="21" t="s">
        <v>1178</v>
      </c>
      <c r="G322" s="32"/>
      <c r="H322" s="21"/>
      <c r="I322" s="33"/>
      <c r="J322" s="21" t="str">
        <f aca="false">INDEX(Students!$C$2:$C$601,MATCH(B322,Students!$A$2:$A$601,0))</f>
        <v>Batch 2024</v>
      </c>
      <c r="K322" s="21" t="str">
        <f aca="false">INDEX(Students!$D$2:$D$601,MATCH(B322,Students!$A$2:$A$601,0))</f>
        <v>Data Science &amp; ML</v>
      </c>
      <c r="L322" s="21" t="str">
        <f aca="false">INDEX(Companies!$C$2:$C$31,MATCH(C322,Companies!$A$2:$A$31,0))</f>
        <v>Product</v>
      </c>
      <c r="M322" s="21" t="str">
        <f aca="false">INDEX(Companies!$D$2:$D$31,MATCH(C322,Companies!$A$2:$A$31,0))</f>
        <v>Tier 1</v>
      </c>
      <c r="N322" s="34" t="n">
        <f aca="false">MATCH(F322,Assumptions!$K$4:$K$8,0)</f>
        <v>2</v>
      </c>
      <c r="O322" s="21" t="str">
        <f aca="false">IF(H322="Yes",MONTH(I322),"")</f>
        <v/>
      </c>
      <c r="P322" s="21" t="str">
        <f aca="false">IF(H322="Yes",B322,"")</f>
        <v/>
      </c>
    </row>
    <row r="323" customFormat="false" ht="15" hidden="false" customHeight="false" outlineLevel="0" collapsed="false">
      <c r="A323" s="21" t="s">
        <v>1538</v>
      </c>
      <c r="B323" s="21" t="s">
        <v>425</v>
      </c>
      <c r="C323" s="21" t="s">
        <v>1222</v>
      </c>
      <c r="D323" s="21" t="s">
        <v>1181</v>
      </c>
      <c r="E323" s="33" t="n">
        <v>45210</v>
      </c>
      <c r="F323" s="21" t="s">
        <v>1218</v>
      </c>
      <c r="G323" s="32"/>
      <c r="H323" s="21"/>
      <c r="I323" s="33"/>
      <c r="J323" s="21" t="str">
        <f aca="false">INDEX(Students!$C$2:$C$601,MATCH(B323,Students!$A$2:$A$601,0))</f>
        <v>Batch 2024</v>
      </c>
      <c r="K323" s="21" t="str">
        <f aca="false">INDEX(Students!$D$2:$D$601,MATCH(B323,Students!$A$2:$A$601,0))</f>
        <v>Full Stack Development</v>
      </c>
      <c r="L323" s="21" t="str">
        <f aca="false">INDEX(Companies!$C$2:$C$31,MATCH(C323,Companies!$A$2:$A$31,0))</f>
        <v>Product</v>
      </c>
      <c r="M323" s="21" t="str">
        <f aca="false">INDEX(Companies!$D$2:$D$31,MATCH(C323,Companies!$A$2:$A$31,0))</f>
        <v>Tier 2</v>
      </c>
      <c r="N323" s="34" t="n">
        <f aca="false">MATCH(F323,Assumptions!$K$4:$K$8,0)</f>
        <v>4</v>
      </c>
      <c r="O323" s="21" t="str">
        <f aca="false">IF(H323="Yes",MONTH(I323),"")</f>
        <v/>
      </c>
      <c r="P323" s="21" t="str">
        <f aca="false">IF(H323="Yes",B323,"")</f>
        <v/>
      </c>
    </row>
    <row r="324" customFormat="false" ht="15" hidden="false" customHeight="false" outlineLevel="0" collapsed="false">
      <c r="A324" s="21" t="s">
        <v>1539</v>
      </c>
      <c r="B324" s="21" t="s">
        <v>452</v>
      </c>
      <c r="C324" s="21" t="s">
        <v>1263</v>
      </c>
      <c r="D324" s="21" t="s">
        <v>1188</v>
      </c>
      <c r="E324" s="33" t="n">
        <v>45210</v>
      </c>
      <c r="F324" s="21" t="s">
        <v>1178</v>
      </c>
      <c r="G324" s="32"/>
      <c r="H324" s="21"/>
      <c r="I324" s="33"/>
      <c r="J324" s="21" t="str">
        <f aca="false">INDEX(Students!$C$2:$C$601,MATCH(B324,Students!$A$2:$A$601,0))</f>
        <v>Batch 2024</v>
      </c>
      <c r="K324" s="21" t="str">
        <f aca="false">INDEX(Students!$D$2:$D$601,MATCH(B324,Students!$A$2:$A$601,0))</f>
        <v>Data Analytics</v>
      </c>
      <c r="L324" s="21" t="str">
        <f aca="false">INDEX(Companies!$C$2:$C$31,MATCH(C324,Companies!$A$2:$A$31,0))</f>
        <v>Analytics &amp; Consulting</v>
      </c>
      <c r="M324" s="21" t="str">
        <f aca="false">INDEX(Companies!$D$2:$D$31,MATCH(C324,Companies!$A$2:$A$31,0))</f>
        <v>Tier 2</v>
      </c>
      <c r="N324" s="34" t="n">
        <f aca="false">MATCH(F324,Assumptions!$K$4:$K$8,0)</f>
        <v>2</v>
      </c>
      <c r="O324" s="21" t="str">
        <f aca="false">IF(H324="Yes",MONTH(I324),"")</f>
        <v/>
      </c>
      <c r="P324" s="21" t="str">
        <f aca="false">IF(H324="Yes",B324,"")</f>
        <v/>
      </c>
    </row>
    <row r="325" customFormat="false" ht="15" hidden="false" customHeight="false" outlineLevel="0" collapsed="false">
      <c r="A325" s="21" t="s">
        <v>1540</v>
      </c>
      <c r="B325" s="21" t="s">
        <v>339</v>
      </c>
      <c r="C325" s="21" t="s">
        <v>1266</v>
      </c>
      <c r="D325" s="21" t="s">
        <v>1240</v>
      </c>
      <c r="E325" s="33" t="n">
        <v>45210</v>
      </c>
      <c r="F325" s="21" t="s">
        <v>1185</v>
      </c>
      <c r="G325" s="32" t="n">
        <v>6.2</v>
      </c>
      <c r="H325" s="21" t="s">
        <v>113</v>
      </c>
      <c r="I325" s="33" t="n">
        <v>45251</v>
      </c>
      <c r="J325" s="21" t="str">
        <f aca="false">INDEX(Students!$C$2:$C$601,MATCH(B325,Students!$A$2:$A$601,0))</f>
        <v>Batch 2024</v>
      </c>
      <c r="K325" s="21" t="str">
        <f aca="false">INDEX(Students!$D$2:$D$601,MATCH(B325,Students!$A$2:$A$601,0))</f>
        <v>Cybersecurity</v>
      </c>
      <c r="L325" s="21" t="str">
        <f aca="false">INDEX(Companies!$C$2:$C$31,MATCH(C325,Companies!$A$2:$A$31,0))</f>
        <v>IT Services</v>
      </c>
      <c r="M325" s="21" t="str">
        <f aca="false">INDEX(Companies!$D$2:$D$31,MATCH(C325,Companies!$A$2:$A$31,0))</f>
        <v>Tier 3</v>
      </c>
      <c r="N325" s="34" t="n">
        <f aca="false">MATCH(F325,Assumptions!$K$4:$K$8,0)</f>
        <v>5</v>
      </c>
      <c r="O325" s="21" t="str">
        <f aca="false">IF(H325="Yes",MONTH(I325),"")</f>
        <v/>
      </c>
      <c r="P325" s="21" t="str">
        <f aca="false">IF(H325="Yes",B325,"")</f>
        <v/>
      </c>
    </row>
    <row r="326" customFormat="false" ht="15" hidden="false" customHeight="false" outlineLevel="0" collapsed="false">
      <c r="A326" s="21" t="s">
        <v>1541</v>
      </c>
      <c r="B326" s="21" t="s">
        <v>161</v>
      </c>
      <c r="C326" s="21" t="s">
        <v>1201</v>
      </c>
      <c r="D326" s="21" t="s">
        <v>1209</v>
      </c>
      <c r="E326" s="33" t="n">
        <v>45210</v>
      </c>
      <c r="F326" s="21" t="s">
        <v>1197</v>
      </c>
      <c r="G326" s="32"/>
      <c r="H326" s="21"/>
      <c r="I326" s="33"/>
      <c r="J326" s="21" t="str">
        <f aca="false">INDEX(Students!$C$2:$C$601,MATCH(B326,Students!$A$2:$A$601,0))</f>
        <v>Batch 2024</v>
      </c>
      <c r="K326" s="21" t="str">
        <f aca="false">INDEX(Students!$D$2:$D$601,MATCH(B326,Students!$A$2:$A$601,0))</f>
        <v>Data Analytics</v>
      </c>
      <c r="L326" s="21" t="str">
        <f aca="false">INDEX(Companies!$C$2:$C$31,MATCH(C326,Companies!$A$2:$A$31,0))</f>
        <v>IT Services</v>
      </c>
      <c r="M326" s="21" t="str">
        <f aca="false">INDEX(Companies!$D$2:$D$31,MATCH(C326,Companies!$A$2:$A$31,0))</f>
        <v>Tier 3</v>
      </c>
      <c r="N326" s="34" t="n">
        <f aca="false">MATCH(F326,Assumptions!$K$4:$K$8,0)</f>
        <v>3</v>
      </c>
      <c r="O326" s="21" t="str">
        <f aca="false">IF(H326="Yes",MONTH(I326),"")</f>
        <v/>
      </c>
      <c r="P326" s="21" t="str">
        <f aca="false">IF(H326="Yes",B326,"")</f>
        <v/>
      </c>
    </row>
    <row r="327" customFormat="false" ht="15" hidden="false" customHeight="false" outlineLevel="0" collapsed="false">
      <c r="A327" s="21" t="s">
        <v>1542</v>
      </c>
      <c r="B327" s="21" t="s">
        <v>440</v>
      </c>
      <c r="C327" s="21" t="s">
        <v>1234</v>
      </c>
      <c r="D327" s="21" t="s">
        <v>1174</v>
      </c>
      <c r="E327" s="33" t="n">
        <v>45210</v>
      </c>
      <c r="F327" s="21" t="s">
        <v>1185</v>
      </c>
      <c r="G327" s="32" t="n">
        <v>5.2</v>
      </c>
      <c r="H327" s="21" t="s">
        <v>113</v>
      </c>
      <c r="I327" s="33" t="n">
        <v>45259</v>
      </c>
      <c r="J327" s="21" t="str">
        <f aca="false">INDEX(Students!$C$2:$C$601,MATCH(B327,Students!$A$2:$A$601,0))</f>
        <v>Batch 2024</v>
      </c>
      <c r="K327" s="21" t="str">
        <f aca="false">INDEX(Students!$D$2:$D$601,MATCH(B327,Students!$A$2:$A$601,0))</f>
        <v>Full Stack Development</v>
      </c>
      <c r="L327" s="21" t="str">
        <f aca="false">INDEX(Companies!$C$2:$C$31,MATCH(C327,Companies!$A$2:$A$31,0))</f>
        <v>EdTech</v>
      </c>
      <c r="M327" s="21" t="str">
        <f aca="false">INDEX(Companies!$D$2:$D$31,MATCH(C327,Companies!$A$2:$A$31,0))</f>
        <v>Tier 3</v>
      </c>
      <c r="N327" s="34" t="n">
        <f aca="false">MATCH(F327,Assumptions!$K$4:$K$8,0)</f>
        <v>5</v>
      </c>
      <c r="O327" s="21" t="str">
        <f aca="false">IF(H327="Yes",MONTH(I327),"")</f>
        <v/>
      </c>
      <c r="P327" s="21" t="str">
        <f aca="false">IF(H327="Yes",B327,"")</f>
        <v/>
      </c>
    </row>
    <row r="328" customFormat="false" ht="15" hidden="false" customHeight="false" outlineLevel="0" collapsed="false">
      <c r="A328" s="21" t="s">
        <v>1543</v>
      </c>
      <c r="B328" s="21" t="s">
        <v>264</v>
      </c>
      <c r="C328" s="21" t="s">
        <v>1298</v>
      </c>
      <c r="D328" s="21" t="s">
        <v>1243</v>
      </c>
      <c r="E328" s="33" t="n">
        <v>45211</v>
      </c>
      <c r="F328" s="21" t="s">
        <v>1175</v>
      </c>
      <c r="G328" s="32"/>
      <c r="H328" s="21"/>
      <c r="I328" s="33"/>
      <c r="J328" s="21" t="str">
        <f aca="false">INDEX(Students!$C$2:$C$601,MATCH(B328,Students!$A$2:$A$601,0))</f>
        <v>Batch 2024</v>
      </c>
      <c r="K328" s="21" t="str">
        <f aca="false">INDEX(Students!$D$2:$D$601,MATCH(B328,Students!$A$2:$A$601,0))</f>
        <v>Data Science &amp; ML</v>
      </c>
      <c r="L328" s="21" t="str">
        <f aca="false">INDEX(Companies!$C$2:$C$31,MATCH(C328,Companies!$A$2:$A$31,0))</f>
        <v>Fintech</v>
      </c>
      <c r="M328" s="21" t="str">
        <f aca="false">INDEX(Companies!$D$2:$D$31,MATCH(C328,Companies!$A$2:$A$31,0))</f>
        <v>Tier 2</v>
      </c>
      <c r="N328" s="34" t="n">
        <f aca="false">MATCH(F328,Assumptions!$K$4:$K$8,0)</f>
        <v>1</v>
      </c>
      <c r="O328" s="21" t="str">
        <f aca="false">IF(H328="Yes",MONTH(I328),"")</f>
        <v/>
      </c>
      <c r="P328" s="21" t="str">
        <f aca="false">IF(H328="Yes",B328,"")</f>
        <v/>
      </c>
    </row>
    <row r="329" customFormat="false" ht="15" hidden="false" customHeight="false" outlineLevel="0" collapsed="false">
      <c r="A329" s="21" t="s">
        <v>1544</v>
      </c>
      <c r="B329" s="21" t="s">
        <v>203</v>
      </c>
      <c r="C329" s="21" t="s">
        <v>1298</v>
      </c>
      <c r="D329" s="21" t="s">
        <v>1191</v>
      </c>
      <c r="E329" s="33" t="n">
        <v>45211</v>
      </c>
      <c r="F329" s="21" t="s">
        <v>1185</v>
      </c>
      <c r="G329" s="32" t="n">
        <v>11.1</v>
      </c>
      <c r="H329" s="21" t="s">
        <v>113</v>
      </c>
      <c r="I329" s="33" t="n">
        <v>45264</v>
      </c>
      <c r="J329" s="21" t="str">
        <f aca="false">INDEX(Students!$C$2:$C$601,MATCH(B329,Students!$A$2:$A$601,0))</f>
        <v>Batch 2024</v>
      </c>
      <c r="K329" s="21" t="str">
        <f aca="false">INDEX(Students!$D$2:$D$601,MATCH(B329,Students!$A$2:$A$601,0))</f>
        <v>DSA with Java</v>
      </c>
      <c r="L329" s="21" t="str">
        <f aca="false">INDEX(Companies!$C$2:$C$31,MATCH(C329,Companies!$A$2:$A$31,0))</f>
        <v>Fintech</v>
      </c>
      <c r="M329" s="21" t="str">
        <f aca="false">INDEX(Companies!$D$2:$D$31,MATCH(C329,Companies!$A$2:$A$31,0))</f>
        <v>Tier 2</v>
      </c>
      <c r="N329" s="34" t="n">
        <f aca="false">MATCH(F329,Assumptions!$K$4:$K$8,0)</f>
        <v>5</v>
      </c>
      <c r="O329" s="21" t="str">
        <f aca="false">IF(H329="Yes",MONTH(I329),"")</f>
        <v/>
      </c>
      <c r="P329" s="21" t="str">
        <f aca="false">IF(H329="Yes",B329,"")</f>
        <v/>
      </c>
    </row>
    <row r="330" customFormat="false" ht="15" hidden="false" customHeight="false" outlineLevel="0" collapsed="false">
      <c r="A330" s="21" t="s">
        <v>1545</v>
      </c>
      <c r="B330" s="21" t="s">
        <v>153</v>
      </c>
      <c r="C330" s="21" t="s">
        <v>1266</v>
      </c>
      <c r="D330" s="21" t="s">
        <v>1184</v>
      </c>
      <c r="E330" s="33" t="n">
        <v>45211</v>
      </c>
      <c r="F330" s="21" t="s">
        <v>1185</v>
      </c>
      <c r="G330" s="32" t="n">
        <v>5</v>
      </c>
      <c r="H330" s="21" t="s">
        <v>113</v>
      </c>
      <c r="I330" s="33" t="n">
        <v>45247</v>
      </c>
      <c r="J330" s="21" t="str">
        <f aca="false">INDEX(Students!$C$2:$C$601,MATCH(B330,Students!$A$2:$A$601,0))</f>
        <v>Batch 2024</v>
      </c>
      <c r="K330" s="21" t="str">
        <f aca="false">INDEX(Students!$D$2:$D$601,MATCH(B330,Students!$A$2:$A$601,0))</f>
        <v>DSA with Java</v>
      </c>
      <c r="L330" s="21" t="str">
        <f aca="false">INDEX(Companies!$C$2:$C$31,MATCH(C330,Companies!$A$2:$A$31,0))</f>
        <v>IT Services</v>
      </c>
      <c r="M330" s="21" t="str">
        <f aca="false">INDEX(Companies!$D$2:$D$31,MATCH(C330,Companies!$A$2:$A$31,0))</f>
        <v>Tier 3</v>
      </c>
      <c r="N330" s="34" t="n">
        <f aca="false">MATCH(F330,Assumptions!$K$4:$K$8,0)</f>
        <v>5</v>
      </c>
      <c r="O330" s="21" t="str">
        <f aca="false">IF(H330="Yes",MONTH(I330),"")</f>
        <v/>
      </c>
      <c r="P330" s="21" t="str">
        <f aca="false">IF(H330="Yes",B330,"")</f>
        <v/>
      </c>
    </row>
    <row r="331" customFormat="false" ht="15" hidden="false" customHeight="false" outlineLevel="0" collapsed="false">
      <c r="A331" s="21" t="s">
        <v>1546</v>
      </c>
      <c r="B331" s="21" t="s">
        <v>408</v>
      </c>
      <c r="C331" s="21" t="s">
        <v>1187</v>
      </c>
      <c r="D331" s="21" t="s">
        <v>1243</v>
      </c>
      <c r="E331" s="33" t="n">
        <v>45212</v>
      </c>
      <c r="F331" s="21" t="s">
        <v>1178</v>
      </c>
      <c r="G331" s="32"/>
      <c r="H331" s="21"/>
      <c r="I331" s="33"/>
      <c r="J331" s="21" t="str">
        <f aca="false">INDEX(Students!$C$2:$C$601,MATCH(B331,Students!$A$2:$A$601,0))</f>
        <v>Batch 2024</v>
      </c>
      <c r="K331" s="21" t="str">
        <f aca="false">INDEX(Students!$D$2:$D$601,MATCH(B331,Students!$A$2:$A$601,0))</f>
        <v>Data Science &amp; ML</v>
      </c>
      <c r="L331" s="21" t="str">
        <f aca="false">INDEX(Companies!$C$2:$C$31,MATCH(C331,Companies!$A$2:$A$31,0))</f>
        <v>Product</v>
      </c>
      <c r="M331" s="21" t="str">
        <f aca="false">INDEX(Companies!$D$2:$D$31,MATCH(C331,Companies!$A$2:$A$31,0))</f>
        <v>Tier 1</v>
      </c>
      <c r="N331" s="34" t="n">
        <f aca="false">MATCH(F331,Assumptions!$K$4:$K$8,0)</f>
        <v>2</v>
      </c>
      <c r="O331" s="21" t="str">
        <f aca="false">IF(H331="Yes",MONTH(I331),"")</f>
        <v/>
      </c>
      <c r="P331" s="21" t="str">
        <f aca="false">IF(H331="Yes",B331,"")</f>
        <v/>
      </c>
    </row>
    <row r="332" customFormat="false" ht="15" hidden="false" customHeight="false" outlineLevel="0" collapsed="false">
      <c r="A332" s="21" t="s">
        <v>1547</v>
      </c>
      <c r="B332" s="21" t="s">
        <v>339</v>
      </c>
      <c r="C332" s="21" t="s">
        <v>1205</v>
      </c>
      <c r="D332" s="21" t="s">
        <v>1226</v>
      </c>
      <c r="E332" s="33" t="n">
        <v>45212</v>
      </c>
      <c r="F332" s="21" t="s">
        <v>1197</v>
      </c>
      <c r="G332" s="32"/>
      <c r="H332" s="21"/>
      <c r="I332" s="33"/>
      <c r="J332" s="21" t="str">
        <f aca="false">INDEX(Students!$C$2:$C$601,MATCH(B332,Students!$A$2:$A$601,0))</f>
        <v>Batch 2024</v>
      </c>
      <c r="K332" s="21" t="str">
        <f aca="false">INDEX(Students!$D$2:$D$601,MATCH(B332,Students!$A$2:$A$601,0))</f>
        <v>Cybersecurity</v>
      </c>
      <c r="L332" s="21" t="str">
        <f aca="false">INDEX(Companies!$C$2:$C$31,MATCH(C332,Companies!$A$2:$A$31,0))</f>
        <v>Healthtech</v>
      </c>
      <c r="M332" s="21" t="str">
        <f aca="false">INDEX(Companies!$D$2:$D$31,MATCH(C332,Companies!$A$2:$A$31,0))</f>
        <v>Tier 3</v>
      </c>
      <c r="N332" s="34" t="n">
        <f aca="false">MATCH(F332,Assumptions!$K$4:$K$8,0)</f>
        <v>3</v>
      </c>
      <c r="O332" s="21" t="str">
        <f aca="false">IF(H332="Yes",MONTH(I332),"")</f>
        <v/>
      </c>
      <c r="P332" s="21" t="str">
        <f aca="false">IF(H332="Yes",B332,"")</f>
        <v/>
      </c>
    </row>
    <row r="333" customFormat="false" ht="15" hidden="false" customHeight="false" outlineLevel="0" collapsed="false">
      <c r="A333" s="21" t="s">
        <v>1548</v>
      </c>
      <c r="B333" s="21" t="s">
        <v>424</v>
      </c>
      <c r="C333" s="21" t="s">
        <v>1266</v>
      </c>
      <c r="D333" s="21" t="s">
        <v>1243</v>
      </c>
      <c r="E333" s="33" t="n">
        <v>45212</v>
      </c>
      <c r="F333" s="21" t="s">
        <v>1218</v>
      </c>
      <c r="G333" s="32"/>
      <c r="H333" s="21"/>
      <c r="I333" s="33"/>
      <c r="J333" s="21" t="str">
        <f aca="false">INDEX(Students!$C$2:$C$601,MATCH(B333,Students!$A$2:$A$601,0))</f>
        <v>Batch 2024</v>
      </c>
      <c r="K333" s="21" t="str">
        <f aca="false">INDEX(Students!$D$2:$D$601,MATCH(B333,Students!$A$2:$A$601,0))</f>
        <v>Data Science &amp; ML</v>
      </c>
      <c r="L333" s="21" t="str">
        <f aca="false">INDEX(Companies!$C$2:$C$31,MATCH(C333,Companies!$A$2:$A$31,0))</f>
        <v>IT Services</v>
      </c>
      <c r="M333" s="21" t="str">
        <f aca="false">INDEX(Companies!$D$2:$D$31,MATCH(C333,Companies!$A$2:$A$31,0))</f>
        <v>Tier 3</v>
      </c>
      <c r="N333" s="34" t="n">
        <f aca="false">MATCH(F333,Assumptions!$K$4:$K$8,0)</f>
        <v>4</v>
      </c>
      <c r="O333" s="21" t="str">
        <f aca="false">IF(H333="Yes",MONTH(I333),"")</f>
        <v/>
      </c>
      <c r="P333" s="21" t="str">
        <f aca="false">IF(H333="Yes",B333,"")</f>
        <v/>
      </c>
    </row>
    <row r="334" customFormat="false" ht="15" hidden="false" customHeight="false" outlineLevel="0" collapsed="false">
      <c r="A334" s="21" t="s">
        <v>1549</v>
      </c>
      <c r="B334" s="21" t="s">
        <v>133</v>
      </c>
      <c r="C334" s="21" t="s">
        <v>1225</v>
      </c>
      <c r="D334" s="21" t="s">
        <v>1188</v>
      </c>
      <c r="E334" s="33" t="n">
        <v>45213</v>
      </c>
      <c r="F334" s="21" t="s">
        <v>1178</v>
      </c>
      <c r="G334" s="32"/>
      <c r="H334" s="21"/>
      <c r="I334" s="33"/>
      <c r="J334" s="21" t="str">
        <f aca="false">INDEX(Students!$C$2:$C$601,MATCH(B334,Students!$A$2:$A$601,0))</f>
        <v>Batch 2024</v>
      </c>
      <c r="K334" s="21" t="str">
        <f aca="false">INDEX(Students!$D$2:$D$601,MATCH(B334,Students!$A$2:$A$601,0))</f>
        <v>Data Analytics</v>
      </c>
      <c r="L334" s="21" t="str">
        <f aca="false">INDEX(Companies!$C$2:$C$31,MATCH(C334,Companies!$A$2:$A$31,0))</f>
        <v>EdTech</v>
      </c>
      <c r="M334" s="21" t="str">
        <f aca="false">INDEX(Companies!$D$2:$D$31,MATCH(C334,Companies!$A$2:$A$31,0))</f>
        <v>Tier 2</v>
      </c>
      <c r="N334" s="34" t="n">
        <f aca="false">MATCH(F334,Assumptions!$K$4:$K$8,0)</f>
        <v>2</v>
      </c>
      <c r="O334" s="21" t="str">
        <f aca="false">IF(H334="Yes",MONTH(I334),"")</f>
        <v/>
      </c>
      <c r="P334" s="21" t="str">
        <f aca="false">IF(H334="Yes",B334,"")</f>
        <v/>
      </c>
    </row>
    <row r="335" customFormat="false" ht="15" hidden="false" customHeight="false" outlineLevel="0" collapsed="false">
      <c r="A335" s="21" t="s">
        <v>1550</v>
      </c>
      <c r="B335" s="21" t="s">
        <v>264</v>
      </c>
      <c r="C335" s="21" t="s">
        <v>1222</v>
      </c>
      <c r="D335" s="21" t="s">
        <v>1243</v>
      </c>
      <c r="E335" s="33" t="n">
        <v>45213</v>
      </c>
      <c r="F335" s="21" t="s">
        <v>1185</v>
      </c>
      <c r="G335" s="32" t="n">
        <v>9.7</v>
      </c>
      <c r="H335" s="21" t="s">
        <v>120</v>
      </c>
      <c r="I335" s="33" t="n">
        <v>45264</v>
      </c>
      <c r="J335" s="21" t="str">
        <f aca="false">INDEX(Students!$C$2:$C$601,MATCH(B335,Students!$A$2:$A$601,0))</f>
        <v>Batch 2024</v>
      </c>
      <c r="K335" s="21" t="str">
        <f aca="false">INDEX(Students!$D$2:$D$601,MATCH(B335,Students!$A$2:$A$601,0))</f>
        <v>Data Science &amp; ML</v>
      </c>
      <c r="L335" s="21" t="str">
        <f aca="false">INDEX(Companies!$C$2:$C$31,MATCH(C335,Companies!$A$2:$A$31,0))</f>
        <v>Product</v>
      </c>
      <c r="M335" s="21" t="str">
        <f aca="false">INDEX(Companies!$D$2:$D$31,MATCH(C335,Companies!$A$2:$A$31,0))</f>
        <v>Tier 2</v>
      </c>
      <c r="N335" s="34" t="n">
        <f aca="false">MATCH(F335,Assumptions!$K$4:$K$8,0)</f>
        <v>5</v>
      </c>
      <c r="O335" s="21" t="n">
        <f aca="false">IF(H335="Yes",MONTH(I335),"")</f>
        <v>12</v>
      </c>
      <c r="P335" s="21" t="str">
        <f aca="false">IF(H335="Yes",B335,"")</f>
        <v>S0078</v>
      </c>
    </row>
    <row r="336" customFormat="false" ht="15" hidden="false" customHeight="false" outlineLevel="0" collapsed="false">
      <c r="A336" s="21" t="s">
        <v>1551</v>
      </c>
      <c r="B336" s="21" t="s">
        <v>321</v>
      </c>
      <c r="C336" s="21" t="s">
        <v>1228</v>
      </c>
      <c r="D336" s="21" t="s">
        <v>1191</v>
      </c>
      <c r="E336" s="33" t="n">
        <v>45213</v>
      </c>
      <c r="F336" s="21" t="s">
        <v>1197</v>
      </c>
      <c r="G336" s="32"/>
      <c r="H336" s="21"/>
      <c r="I336" s="33"/>
      <c r="J336" s="21" t="str">
        <f aca="false">INDEX(Students!$C$2:$C$601,MATCH(B336,Students!$A$2:$A$601,0))</f>
        <v>Batch 2024</v>
      </c>
      <c r="K336" s="21" t="str">
        <f aca="false">INDEX(Students!$D$2:$D$601,MATCH(B336,Students!$A$2:$A$601,0))</f>
        <v>DSA with Java</v>
      </c>
      <c r="L336" s="21" t="str">
        <f aca="false">INDEX(Companies!$C$2:$C$31,MATCH(C336,Companies!$A$2:$A$31,0))</f>
        <v>Fintech</v>
      </c>
      <c r="M336" s="21" t="str">
        <f aca="false">INDEX(Companies!$D$2:$D$31,MATCH(C336,Companies!$A$2:$A$31,0))</f>
        <v>Tier 1</v>
      </c>
      <c r="N336" s="34" t="n">
        <f aca="false">MATCH(F336,Assumptions!$K$4:$K$8,0)</f>
        <v>3</v>
      </c>
      <c r="O336" s="21" t="str">
        <f aca="false">IF(H336="Yes",MONTH(I336),"")</f>
        <v/>
      </c>
      <c r="P336" s="21" t="str">
        <f aca="false">IF(H336="Yes",B336,"")</f>
        <v/>
      </c>
    </row>
    <row r="337" customFormat="false" ht="15" hidden="false" customHeight="false" outlineLevel="0" collapsed="false">
      <c r="A337" s="21" t="s">
        <v>1552</v>
      </c>
      <c r="B337" s="21" t="s">
        <v>241</v>
      </c>
      <c r="C337" s="21" t="s">
        <v>1211</v>
      </c>
      <c r="D337" s="21" t="s">
        <v>1194</v>
      </c>
      <c r="E337" s="33" t="n">
        <v>45213</v>
      </c>
      <c r="F337" s="21" t="s">
        <v>1185</v>
      </c>
      <c r="G337" s="32" t="n">
        <v>6.1</v>
      </c>
      <c r="H337" s="21" t="s">
        <v>113</v>
      </c>
      <c r="I337" s="33" t="n">
        <v>45268</v>
      </c>
      <c r="J337" s="21" t="str">
        <f aca="false">INDEX(Students!$C$2:$C$601,MATCH(B337,Students!$A$2:$A$601,0))</f>
        <v>Batch 2024</v>
      </c>
      <c r="K337" s="21" t="str">
        <f aca="false">INDEX(Students!$D$2:$D$601,MATCH(B337,Students!$A$2:$A$601,0))</f>
        <v>Data Science &amp; ML</v>
      </c>
      <c r="L337" s="21" t="str">
        <f aca="false">INDEX(Companies!$C$2:$C$31,MATCH(C337,Companies!$A$2:$A$31,0))</f>
        <v>Analytics &amp; Consulting</v>
      </c>
      <c r="M337" s="21" t="str">
        <f aca="false">INDEX(Companies!$D$2:$D$31,MATCH(C337,Companies!$A$2:$A$31,0))</f>
        <v>Tier 3</v>
      </c>
      <c r="N337" s="34" t="n">
        <f aca="false">MATCH(F337,Assumptions!$K$4:$K$8,0)</f>
        <v>5</v>
      </c>
      <c r="O337" s="21" t="str">
        <f aca="false">IF(H337="Yes",MONTH(I337),"")</f>
        <v/>
      </c>
      <c r="P337" s="21" t="str">
        <f aca="false">IF(H337="Yes",B337,"")</f>
        <v/>
      </c>
    </row>
    <row r="338" customFormat="false" ht="15" hidden="false" customHeight="false" outlineLevel="0" collapsed="false">
      <c r="A338" s="21" t="s">
        <v>1553</v>
      </c>
      <c r="B338" s="21" t="s">
        <v>364</v>
      </c>
      <c r="C338" s="21" t="s">
        <v>1205</v>
      </c>
      <c r="D338" s="21" t="s">
        <v>1191</v>
      </c>
      <c r="E338" s="33" t="n">
        <v>45213</v>
      </c>
      <c r="F338" s="21" t="s">
        <v>1185</v>
      </c>
      <c r="G338" s="32" t="n">
        <v>7.5</v>
      </c>
      <c r="H338" s="21" t="s">
        <v>113</v>
      </c>
      <c r="I338" s="33" t="n">
        <v>45252</v>
      </c>
      <c r="J338" s="21" t="str">
        <f aca="false">INDEX(Students!$C$2:$C$601,MATCH(B338,Students!$A$2:$A$601,0))</f>
        <v>Batch 2024</v>
      </c>
      <c r="K338" s="21" t="str">
        <f aca="false">INDEX(Students!$D$2:$D$601,MATCH(B338,Students!$A$2:$A$601,0))</f>
        <v>DSA with Java</v>
      </c>
      <c r="L338" s="21" t="str">
        <f aca="false">INDEX(Companies!$C$2:$C$31,MATCH(C338,Companies!$A$2:$A$31,0))</f>
        <v>Healthtech</v>
      </c>
      <c r="M338" s="21" t="str">
        <f aca="false">INDEX(Companies!$D$2:$D$31,MATCH(C338,Companies!$A$2:$A$31,0))</f>
        <v>Tier 3</v>
      </c>
      <c r="N338" s="34" t="n">
        <f aca="false">MATCH(F338,Assumptions!$K$4:$K$8,0)</f>
        <v>5</v>
      </c>
      <c r="O338" s="21" t="str">
        <f aca="false">IF(H338="Yes",MONTH(I338),"")</f>
        <v/>
      </c>
      <c r="P338" s="21" t="str">
        <f aca="false">IF(H338="Yes",B338,"")</f>
        <v/>
      </c>
    </row>
    <row r="339" customFormat="false" ht="15" hidden="false" customHeight="false" outlineLevel="0" collapsed="false">
      <c r="A339" s="21" t="s">
        <v>1554</v>
      </c>
      <c r="B339" s="21" t="s">
        <v>173</v>
      </c>
      <c r="C339" s="21" t="s">
        <v>1290</v>
      </c>
      <c r="D339" s="21" t="s">
        <v>1181</v>
      </c>
      <c r="E339" s="33" t="n">
        <v>45214</v>
      </c>
      <c r="F339" s="21" t="s">
        <v>1185</v>
      </c>
      <c r="G339" s="32" t="n">
        <v>15.3</v>
      </c>
      <c r="H339" s="21" t="s">
        <v>113</v>
      </c>
      <c r="I339" s="33" t="n">
        <v>45246</v>
      </c>
      <c r="J339" s="21" t="str">
        <f aca="false">INDEX(Students!$C$2:$C$601,MATCH(B339,Students!$A$2:$A$601,0))</f>
        <v>Batch 2024</v>
      </c>
      <c r="K339" s="21" t="str">
        <f aca="false">INDEX(Students!$D$2:$D$601,MATCH(B339,Students!$A$2:$A$601,0))</f>
        <v>Full Stack Development</v>
      </c>
      <c r="L339" s="21" t="str">
        <f aca="false">INDEX(Companies!$C$2:$C$31,MATCH(C339,Companies!$A$2:$A$31,0))</f>
        <v>Fintech</v>
      </c>
      <c r="M339" s="21" t="str">
        <f aca="false">INDEX(Companies!$D$2:$D$31,MATCH(C339,Companies!$A$2:$A$31,0))</f>
        <v>Tier 2</v>
      </c>
      <c r="N339" s="34" t="n">
        <f aca="false">MATCH(F339,Assumptions!$K$4:$K$8,0)</f>
        <v>5</v>
      </c>
      <c r="O339" s="21" t="str">
        <f aca="false">IF(H339="Yes",MONTH(I339),"")</f>
        <v/>
      </c>
      <c r="P339" s="21" t="str">
        <f aca="false">IF(H339="Yes",B339,"")</f>
        <v/>
      </c>
    </row>
    <row r="340" customFormat="false" ht="15" hidden="false" customHeight="false" outlineLevel="0" collapsed="false">
      <c r="A340" s="21" t="s">
        <v>1555</v>
      </c>
      <c r="B340" s="21" t="s">
        <v>151</v>
      </c>
      <c r="C340" s="21" t="s">
        <v>1203</v>
      </c>
      <c r="D340" s="21" t="s">
        <v>1191</v>
      </c>
      <c r="E340" s="33" t="n">
        <v>45214</v>
      </c>
      <c r="F340" s="21" t="s">
        <v>1178</v>
      </c>
      <c r="G340" s="32"/>
      <c r="H340" s="21"/>
      <c r="I340" s="33"/>
      <c r="J340" s="21" t="str">
        <f aca="false">INDEX(Students!$C$2:$C$601,MATCH(B340,Students!$A$2:$A$601,0))</f>
        <v>Batch 2024</v>
      </c>
      <c r="K340" s="21" t="str">
        <f aca="false">INDEX(Students!$D$2:$D$601,MATCH(B340,Students!$A$2:$A$601,0))</f>
        <v>DSA with Java</v>
      </c>
      <c r="L340" s="21" t="str">
        <f aca="false">INDEX(Companies!$C$2:$C$31,MATCH(C340,Companies!$A$2:$A$31,0))</f>
        <v>Healthtech</v>
      </c>
      <c r="M340" s="21" t="str">
        <f aca="false">INDEX(Companies!$D$2:$D$31,MATCH(C340,Companies!$A$2:$A$31,0))</f>
        <v>Tier 2</v>
      </c>
      <c r="N340" s="34" t="n">
        <f aca="false">MATCH(F340,Assumptions!$K$4:$K$8,0)</f>
        <v>2</v>
      </c>
      <c r="O340" s="21" t="str">
        <f aca="false">IF(H340="Yes",MONTH(I340),"")</f>
        <v/>
      </c>
      <c r="P340" s="21" t="str">
        <f aca="false">IF(H340="Yes",B340,"")</f>
        <v/>
      </c>
    </row>
    <row r="341" customFormat="false" ht="15" hidden="false" customHeight="false" outlineLevel="0" collapsed="false">
      <c r="A341" s="21" t="s">
        <v>1556</v>
      </c>
      <c r="B341" s="21" t="s">
        <v>223</v>
      </c>
      <c r="C341" s="21" t="s">
        <v>1255</v>
      </c>
      <c r="D341" s="21" t="s">
        <v>1191</v>
      </c>
      <c r="E341" s="33" t="n">
        <v>45215</v>
      </c>
      <c r="F341" s="21" t="s">
        <v>1185</v>
      </c>
      <c r="G341" s="32" t="n">
        <v>5.5</v>
      </c>
      <c r="H341" s="21" t="s">
        <v>113</v>
      </c>
      <c r="I341" s="33" t="n">
        <v>45240</v>
      </c>
      <c r="J341" s="21" t="str">
        <f aca="false">INDEX(Students!$C$2:$C$601,MATCH(B341,Students!$A$2:$A$601,0))</f>
        <v>Batch 2024</v>
      </c>
      <c r="K341" s="21" t="str">
        <f aca="false">INDEX(Students!$D$2:$D$601,MATCH(B341,Students!$A$2:$A$601,0))</f>
        <v>DSA with Java</v>
      </c>
      <c r="L341" s="21" t="str">
        <f aca="false">INDEX(Companies!$C$2:$C$31,MATCH(C341,Companies!$A$2:$A$31,0))</f>
        <v>IT Services</v>
      </c>
      <c r="M341" s="21" t="str">
        <f aca="false">INDEX(Companies!$D$2:$D$31,MATCH(C341,Companies!$A$2:$A$31,0))</f>
        <v>Tier 3</v>
      </c>
      <c r="N341" s="34" t="n">
        <f aca="false">MATCH(F341,Assumptions!$K$4:$K$8,0)</f>
        <v>5</v>
      </c>
      <c r="O341" s="21" t="str">
        <f aca="false">IF(H341="Yes",MONTH(I341),"")</f>
        <v/>
      </c>
      <c r="P341" s="21" t="str">
        <f aca="false">IF(H341="Yes",B341,"")</f>
        <v/>
      </c>
    </row>
    <row r="342" customFormat="false" ht="15" hidden="false" customHeight="false" outlineLevel="0" collapsed="false">
      <c r="A342" s="21" t="s">
        <v>1557</v>
      </c>
      <c r="B342" s="21" t="s">
        <v>264</v>
      </c>
      <c r="C342" s="21" t="s">
        <v>1234</v>
      </c>
      <c r="D342" s="21" t="s">
        <v>1243</v>
      </c>
      <c r="E342" s="33" t="n">
        <v>45215</v>
      </c>
      <c r="F342" s="21" t="s">
        <v>1178</v>
      </c>
      <c r="G342" s="32"/>
      <c r="H342" s="21"/>
      <c r="I342" s="33"/>
      <c r="J342" s="21" t="str">
        <f aca="false">INDEX(Students!$C$2:$C$601,MATCH(B342,Students!$A$2:$A$601,0))</f>
        <v>Batch 2024</v>
      </c>
      <c r="K342" s="21" t="str">
        <f aca="false">INDEX(Students!$D$2:$D$601,MATCH(B342,Students!$A$2:$A$601,0))</f>
        <v>Data Science &amp; ML</v>
      </c>
      <c r="L342" s="21" t="str">
        <f aca="false">INDEX(Companies!$C$2:$C$31,MATCH(C342,Companies!$A$2:$A$31,0))</f>
        <v>EdTech</v>
      </c>
      <c r="M342" s="21" t="str">
        <f aca="false">INDEX(Companies!$D$2:$D$31,MATCH(C342,Companies!$A$2:$A$31,0))</f>
        <v>Tier 3</v>
      </c>
      <c r="N342" s="34" t="n">
        <f aca="false">MATCH(F342,Assumptions!$K$4:$K$8,0)</f>
        <v>2</v>
      </c>
      <c r="O342" s="21" t="str">
        <f aca="false">IF(H342="Yes",MONTH(I342),"")</f>
        <v/>
      </c>
      <c r="P342" s="21" t="str">
        <f aca="false">IF(H342="Yes",B342,"")</f>
        <v/>
      </c>
    </row>
    <row r="343" customFormat="false" ht="15" hidden="false" customHeight="false" outlineLevel="0" collapsed="false">
      <c r="A343" s="21" t="s">
        <v>1558</v>
      </c>
      <c r="B343" s="21" t="s">
        <v>390</v>
      </c>
      <c r="C343" s="21" t="s">
        <v>1201</v>
      </c>
      <c r="D343" s="21" t="s">
        <v>1184</v>
      </c>
      <c r="E343" s="33" t="n">
        <v>45215</v>
      </c>
      <c r="F343" s="21" t="s">
        <v>1175</v>
      </c>
      <c r="G343" s="32"/>
      <c r="H343" s="21"/>
      <c r="I343" s="33"/>
      <c r="J343" s="21" t="str">
        <f aca="false">INDEX(Students!$C$2:$C$601,MATCH(B343,Students!$A$2:$A$601,0))</f>
        <v>Batch 2024</v>
      </c>
      <c r="K343" s="21" t="str">
        <f aca="false">INDEX(Students!$D$2:$D$601,MATCH(B343,Students!$A$2:$A$601,0))</f>
        <v>DSA with Java</v>
      </c>
      <c r="L343" s="21" t="str">
        <f aca="false">INDEX(Companies!$C$2:$C$31,MATCH(C343,Companies!$A$2:$A$31,0))</f>
        <v>IT Services</v>
      </c>
      <c r="M343" s="21" t="str">
        <f aca="false">INDEX(Companies!$D$2:$D$31,MATCH(C343,Companies!$A$2:$A$31,0))</f>
        <v>Tier 3</v>
      </c>
      <c r="N343" s="34" t="n">
        <f aca="false">MATCH(F343,Assumptions!$K$4:$K$8,0)</f>
        <v>1</v>
      </c>
      <c r="O343" s="21" t="str">
        <f aca="false">IF(H343="Yes",MONTH(I343),"")</f>
        <v/>
      </c>
      <c r="P343" s="21" t="str">
        <f aca="false">IF(H343="Yes",B343,"")</f>
        <v/>
      </c>
    </row>
    <row r="344" customFormat="false" ht="15" hidden="false" customHeight="false" outlineLevel="0" collapsed="false">
      <c r="A344" s="21" t="s">
        <v>1559</v>
      </c>
      <c r="B344" s="21" t="s">
        <v>133</v>
      </c>
      <c r="C344" s="21" t="s">
        <v>1255</v>
      </c>
      <c r="D344" s="21" t="s">
        <v>1209</v>
      </c>
      <c r="E344" s="33" t="n">
        <v>45215</v>
      </c>
      <c r="F344" s="21" t="s">
        <v>1218</v>
      </c>
      <c r="G344" s="32"/>
      <c r="H344" s="21"/>
      <c r="I344" s="33"/>
      <c r="J344" s="21" t="str">
        <f aca="false">INDEX(Students!$C$2:$C$601,MATCH(B344,Students!$A$2:$A$601,0))</f>
        <v>Batch 2024</v>
      </c>
      <c r="K344" s="21" t="str">
        <f aca="false">INDEX(Students!$D$2:$D$601,MATCH(B344,Students!$A$2:$A$601,0))</f>
        <v>Data Analytics</v>
      </c>
      <c r="L344" s="21" t="str">
        <f aca="false">INDEX(Companies!$C$2:$C$31,MATCH(C344,Companies!$A$2:$A$31,0))</f>
        <v>IT Services</v>
      </c>
      <c r="M344" s="21" t="str">
        <f aca="false">INDEX(Companies!$D$2:$D$31,MATCH(C344,Companies!$A$2:$A$31,0))</f>
        <v>Tier 3</v>
      </c>
      <c r="N344" s="34" t="n">
        <f aca="false">MATCH(F344,Assumptions!$K$4:$K$8,0)</f>
        <v>4</v>
      </c>
      <c r="O344" s="21" t="str">
        <f aca="false">IF(H344="Yes",MONTH(I344),"")</f>
        <v/>
      </c>
      <c r="P344" s="21" t="str">
        <f aca="false">IF(H344="Yes",B344,"")</f>
        <v/>
      </c>
    </row>
    <row r="345" customFormat="false" ht="15" hidden="false" customHeight="false" outlineLevel="0" collapsed="false">
      <c r="A345" s="21" t="s">
        <v>1560</v>
      </c>
      <c r="B345" s="21" t="s">
        <v>203</v>
      </c>
      <c r="C345" s="21" t="s">
        <v>1214</v>
      </c>
      <c r="D345" s="21" t="s">
        <v>1191</v>
      </c>
      <c r="E345" s="33" t="n">
        <v>45215</v>
      </c>
      <c r="F345" s="21" t="s">
        <v>1197</v>
      </c>
      <c r="G345" s="32"/>
      <c r="H345" s="21"/>
      <c r="I345" s="33"/>
      <c r="J345" s="21" t="str">
        <f aca="false">INDEX(Students!$C$2:$C$601,MATCH(B345,Students!$A$2:$A$601,0))</f>
        <v>Batch 2024</v>
      </c>
      <c r="K345" s="21" t="str">
        <f aca="false">INDEX(Students!$D$2:$D$601,MATCH(B345,Students!$A$2:$A$601,0))</f>
        <v>DSA with Java</v>
      </c>
      <c r="L345" s="21" t="str">
        <f aca="false">INDEX(Companies!$C$2:$C$31,MATCH(C345,Companies!$A$2:$A$31,0))</f>
        <v>Product</v>
      </c>
      <c r="M345" s="21" t="str">
        <f aca="false">INDEX(Companies!$D$2:$D$31,MATCH(C345,Companies!$A$2:$A$31,0))</f>
        <v>Tier 1</v>
      </c>
      <c r="N345" s="34" t="n">
        <f aca="false">MATCH(F345,Assumptions!$K$4:$K$8,0)</f>
        <v>3</v>
      </c>
      <c r="O345" s="21" t="str">
        <f aca="false">IF(H345="Yes",MONTH(I345),"")</f>
        <v/>
      </c>
      <c r="P345" s="21" t="str">
        <f aca="false">IF(H345="Yes",B345,"")</f>
        <v/>
      </c>
    </row>
    <row r="346" customFormat="false" ht="15" hidden="false" customHeight="false" outlineLevel="0" collapsed="false">
      <c r="A346" s="21" t="s">
        <v>1561</v>
      </c>
      <c r="B346" s="21" t="s">
        <v>356</v>
      </c>
      <c r="C346" s="21" t="s">
        <v>1211</v>
      </c>
      <c r="D346" s="21" t="s">
        <v>1240</v>
      </c>
      <c r="E346" s="33" t="n">
        <v>45215</v>
      </c>
      <c r="F346" s="21" t="s">
        <v>1185</v>
      </c>
      <c r="G346" s="32" t="n">
        <v>6.7</v>
      </c>
      <c r="H346" s="21" t="s">
        <v>120</v>
      </c>
      <c r="I346" s="33" t="n">
        <v>45266</v>
      </c>
      <c r="J346" s="21" t="str">
        <f aca="false">INDEX(Students!$C$2:$C$601,MATCH(B346,Students!$A$2:$A$601,0))</f>
        <v>Batch 2024</v>
      </c>
      <c r="K346" s="21" t="str">
        <f aca="false">INDEX(Students!$D$2:$D$601,MATCH(B346,Students!$A$2:$A$601,0))</f>
        <v>Cybersecurity</v>
      </c>
      <c r="L346" s="21" t="str">
        <f aca="false">INDEX(Companies!$C$2:$C$31,MATCH(C346,Companies!$A$2:$A$31,0))</f>
        <v>Analytics &amp; Consulting</v>
      </c>
      <c r="M346" s="21" t="str">
        <f aca="false">INDEX(Companies!$D$2:$D$31,MATCH(C346,Companies!$A$2:$A$31,0))</f>
        <v>Tier 3</v>
      </c>
      <c r="N346" s="34" t="n">
        <f aca="false">MATCH(F346,Assumptions!$K$4:$K$8,0)</f>
        <v>5</v>
      </c>
      <c r="O346" s="21" t="n">
        <f aca="false">IF(H346="Yes",MONTH(I346),"")</f>
        <v>12</v>
      </c>
      <c r="P346" s="21" t="str">
        <f aca="false">IF(H346="Yes",B346,"")</f>
        <v>S0127</v>
      </c>
    </row>
    <row r="347" customFormat="false" ht="15" hidden="false" customHeight="false" outlineLevel="0" collapsed="false">
      <c r="A347" s="21" t="s">
        <v>1562</v>
      </c>
      <c r="B347" s="21" t="s">
        <v>451</v>
      </c>
      <c r="C347" s="21" t="s">
        <v>1266</v>
      </c>
      <c r="D347" s="21" t="s">
        <v>1181</v>
      </c>
      <c r="E347" s="33" t="n">
        <v>45215</v>
      </c>
      <c r="F347" s="21" t="s">
        <v>1185</v>
      </c>
      <c r="G347" s="32" t="n">
        <v>5.6</v>
      </c>
      <c r="H347" s="21" t="s">
        <v>113</v>
      </c>
      <c r="I347" s="33" t="n">
        <v>45268</v>
      </c>
      <c r="J347" s="21" t="str">
        <f aca="false">INDEX(Students!$C$2:$C$601,MATCH(B347,Students!$A$2:$A$601,0))</f>
        <v>Batch 2024</v>
      </c>
      <c r="K347" s="21" t="str">
        <f aca="false">INDEX(Students!$D$2:$D$601,MATCH(B347,Students!$A$2:$A$601,0))</f>
        <v>Full Stack Development</v>
      </c>
      <c r="L347" s="21" t="str">
        <f aca="false">INDEX(Companies!$C$2:$C$31,MATCH(C347,Companies!$A$2:$A$31,0))</f>
        <v>IT Services</v>
      </c>
      <c r="M347" s="21" t="str">
        <f aca="false">INDEX(Companies!$D$2:$D$31,MATCH(C347,Companies!$A$2:$A$31,0))</f>
        <v>Tier 3</v>
      </c>
      <c r="N347" s="34" t="n">
        <f aca="false">MATCH(F347,Assumptions!$K$4:$K$8,0)</f>
        <v>5</v>
      </c>
      <c r="O347" s="21" t="str">
        <f aca="false">IF(H347="Yes",MONTH(I347),"")</f>
        <v/>
      </c>
      <c r="P347" s="21" t="str">
        <f aca="false">IF(H347="Yes",B347,"")</f>
        <v/>
      </c>
    </row>
    <row r="348" customFormat="false" ht="15" hidden="false" customHeight="false" outlineLevel="0" collapsed="false">
      <c r="A348" s="21" t="s">
        <v>1563</v>
      </c>
      <c r="B348" s="21" t="s">
        <v>391</v>
      </c>
      <c r="C348" s="21" t="s">
        <v>1266</v>
      </c>
      <c r="D348" s="21" t="s">
        <v>1188</v>
      </c>
      <c r="E348" s="33" t="n">
        <v>45215</v>
      </c>
      <c r="F348" s="21" t="s">
        <v>1175</v>
      </c>
      <c r="G348" s="32"/>
      <c r="H348" s="21"/>
      <c r="I348" s="33"/>
      <c r="J348" s="21" t="str">
        <f aca="false">INDEX(Students!$C$2:$C$601,MATCH(B348,Students!$A$2:$A$601,0))</f>
        <v>Batch 2024</v>
      </c>
      <c r="K348" s="21" t="str">
        <f aca="false">INDEX(Students!$D$2:$D$601,MATCH(B348,Students!$A$2:$A$601,0))</f>
        <v>Data Analytics</v>
      </c>
      <c r="L348" s="21" t="str">
        <f aca="false">INDEX(Companies!$C$2:$C$31,MATCH(C348,Companies!$A$2:$A$31,0))</f>
        <v>IT Services</v>
      </c>
      <c r="M348" s="21" t="str">
        <f aca="false">INDEX(Companies!$D$2:$D$31,MATCH(C348,Companies!$A$2:$A$31,0))</f>
        <v>Tier 3</v>
      </c>
      <c r="N348" s="34" t="n">
        <f aca="false">MATCH(F348,Assumptions!$K$4:$K$8,0)</f>
        <v>1</v>
      </c>
      <c r="O348" s="21" t="str">
        <f aca="false">IF(H348="Yes",MONTH(I348),"")</f>
        <v/>
      </c>
      <c r="P348" s="21" t="str">
        <f aca="false">IF(H348="Yes",B348,"")</f>
        <v/>
      </c>
    </row>
    <row r="349" customFormat="false" ht="15" hidden="false" customHeight="false" outlineLevel="0" collapsed="false">
      <c r="A349" s="21" t="s">
        <v>1564</v>
      </c>
      <c r="B349" s="21" t="s">
        <v>167</v>
      </c>
      <c r="C349" s="21" t="s">
        <v>1183</v>
      </c>
      <c r="D349" s="21" t="s">
        <v>1209</v>
      </c>
      <c r="E349" s="33" t="n">
        <v>45215</v>
      </c>
      <c r="F349" s="21" t="s">
        <v>1185</v>
      </c>
      <c r="G349" s="32" t="n">
        <v>11.7</v>
      </c>
      <c r="H349" s="21" t="s">
        <v>120</v>
      </c>
      <c r="I349" s="33" t="n">
        <v>45248</v>
      </c>
      <c r="J349" s="21" t="str">
        <f aca="false">INDEX(Students!$C$2:$C$601,MATCH(B349,Students!$A$2:$A$601,0))</f>
        <v>Batch 2024</v>
      </c>
      <c r="K349" s="21" t="str">
        <f aca="false">INDEX(Students!$D$2:$D$601,MATCH(B349,Students!$A$2:$A$601,0))</f>
        <v>Data Analytics</v>
      </c>
      <c r="L349" s="21" t="str">
        <f aca="false">INDEX(Companies!$C$2:$C$31,MATCH(C349,Companies!$A$2:$A$31,0))</f>
        <v>E-commerce</v>
      </c>
      <c r="M349" s="21" t="str">
        <f aca="false">INDEX(Companies!$D$2:$D$31,MATCH(C349,Companies!$A$2:$A$31,0))</f>
        <v>Tier 2</v>
      </c>
      <c r="N349" s="34" t="n">
        <f aca="false">MATCH(F349,Assumptions!$K$4:$K$8,0)</f>
        <v>5</v>
      </c>
      <c r="O349" s="21" t="n">
        <f aca="false">IF(H349="Yes",MONTH(I349),"")</f>
        <v>11</v>
      </c>
      <c r="P349" s="21" t="str">
        <f aca="false">IF(H349="Yes",B349,"")</f>
        <v>S0028</v>
      </c>
    </row>
    <row r="350" customFormat="false" ht="15" hidden="false" customHeight="false" outlineLevel="0" collapsed="false">
      <c r="A350" s="21" t="s">
        <v>1565</v>
      </c>
      <c r="B350" s="21" t="s">
        <v>417</v>
      </c>
      <c r="C350" s="21" t="s">
        <v>1222</v>
      </c>
      <c r="D350" s="21" t="s">
        <v>1174</v>
      </c>
      <c r="E350" s="33" t="n">
        <v>45216</v>
      </c>
      <c r="F350" s="21" t="s">
        <v>1175</v>
      </c>
      <c r="G350" s="32"/>
      <c r="H350" s="21"/>
      <c r="I350" s="33"/>
      <c r="J350" s="21" t="str">
        <f aca="false">INDEX(Students!$C$2:$C$601,MATCH(B350,Students!$A$2:$A$601,0))</f>
        <v>Batch 2024</v>
      </c>
      <c r="K350" s="21" t="str">
        <f aca="false">INDEX(Students!$D$2:$D$601,MATCH(B350,Students!$A$2:$A$601,0))</f>
        <v>Full Stack Development</v>
      </c>
      <c r="L350" s="21" t="str">
        <f aca="false">INDEX(Companies!$C$2:$C$31,MATCH(C350,Companies!$A$2:$A$31,0))</f>
        <v>Product</v>
      </c>
      <c r="M350" s="21" t="str">
        <f aca="false">INDEX(Companies!$D$2:$D$31,MATCH(C350,Companies!$A$2:$A$31,0))</f>
        <v>Tier 2</v>
      </c>
      <c r="N350" s="34" t="n">
        <f aca="false">MATCH(F350,Assumptions!$K$4:$K$8,0)</f>
        <v>1</v>
      </c>
      <c r="O350" s="21" t="str">
        <f aca="false">IF(H350="Yes",MONTH(I350),"")</f>
        <v/>
      </c>
      <c r="P350" s="21" t="str">
        <f aca="false">IF(H350="Yes",B350,"")</f>
        <v/>
      </c>
    </row>
    <row r="351" customFormat="false" ht="15" hidden="false" customHeight="false" outlineLevel="0" collapsed="false">
      <c r="A351" s="21" t="s">
        <v>1566</v>
      </c>
      <c r="B351" s="21" t="s">
        <v>328</v>
      </c>
      <c r="C351" s="21" t="s">
        <v>1196</v>
      </c>
      <c r="D351" s="21" t="s">
        <v>1240</v>
      </c>
      <c r="E351" s="33" t="n">
        <v>45216</v>
      </c>
      <c r="F351" s="21" t="s">
        <v>1185</v>
      </c>
      <c r="G351" s="32" t="n">
        <v>4.7</v>
      </c>
      <c r="H351" s="21" t="s">
        <v>120</v>
      </c>
      <c r="I351" s="33" t="n">
        <v>45236</v>
      </c>
      <c r="J351" s="21" t="str">
        <f aca="false">INDEX(Students!$C$2:$C$601,MATCH(B351,Students!$A$2:$A$601,0))</f>
        <v>Batch 2024</v>
      </c>
      <c r="K351" s="21" t="str">
        <f aca="false">INDEX(Students!$D$2:$D$601,MATCH(B351,Students!$A$2:$A$601,0))</f>
        <v>Cybersecurity</v>
      </c>
      <c r="L351" s="21" t="str">
        <f aca="false">INDEX(Companies!$C$2:$C$31,MATCH(C351,Companies!$A$2:$A$31,0))</f>
        <v>IT Services</v>
      </c>
      <c r="M351" s="21" t="str">
        <f aca="false">INDEX(Companies!$D$2:$D$31,MATCH(C351,Companies!$A$2:$A$31,0))</f>
        <v>Tier 3</v>
      </c>
      <c r="N351" s="34" t="n">
        <f aca="false">MATCH(F351,Assumptions!$K$4:$K$8,0)</f>
        <v>5</v>
      </c>
      <c r="O351" s="21" t="n">
        <f aca="false">IF(H351="Yes",MONTH(I351),"")</f>
        <v>11</v>
      </c>
      <c r="P351" s="21" t="str">
        <f aca="false">IF(H351="Yes",B351,"")</f>
        <v>S0111</v>
      </c>
    </row>
    <row r="352" customFormat="false" ht="15" hidden="false" customHeight="false" outlineLevel="0" collapsed="false">
      <c r="A352" s="21" t="s">
        <v>1567</v>
      </c>
      <c r="B352" s="21" t="s">
        <v>293</v>
      </c>
      <c r="C352" s="21" t="s">
        <v>1234</v>
      </c>
      <c r="D352" s="21" t="s">
        <v>1209</v>
      </c>
      <c r="E352" s="33" t="n">
        <v>45216</v>
      </c>
      <c r="F352" s="21" t="s">
        <v>1185</v>
      </c>
      <c r="G352" s="32" t="n">
        <v>4.4</v>
      </c>
      <c r="H352" s="21" t="s">
        <v>113</v>
      </c>
      <c r="I352" s="33" t="n">
        <v>45253</v>
      </c>
      <c r="J352" s="21" t="str">
        <f aca="false">INDEX(Students!$C$2:$C$601,MATCH(B352,Students!$A$2:$A$601,0))</f>
        <v>Batch 2024</v>
      </c>
      <c r="K352" s="21" t="str">
        <f aca="false">INDEX(Students!$D$2:$D$601,MATCH(B352,Students!$A$2:$A$601,0))</f>
        <v>Data Analytics</v>
      </c>
      <c r="L352" s="21" t="str">
        <f aca="false">INDEX(Companies!$C$2:$C$31,MATCH(C352,Companies!$A$2:$A$31,0))</f>
        <v>EdTech</v>
      </c>
      <c r="M352" s="21" t="str">
        <f aca="false">INDEX(Companies!$D$2:$D$31,MATCH(C352,Companies!$A$2:$A$31,0))</f>
        <v>Tier 3</v>
      </c>
      <c r="N352" s="34" t="n">
        <f aca="false">MATCH(F352,Assumptions!$K$4:$K$8,0)</f>
        <v>5</v>
      </c>
      <c r="O352" s="21" t="str">
        <f aca="false">IF(H352="Yes",MONTH(I352),"")</f>
        <v/>
      </c>
      <c r="P352" s="21" t="str">
        <f aca="false">IF(H352="Yes",B352,"")</f>
        <v/>
      </c>
    </row>
    <row r="353" customFormat="false" ht="15" hidden="false" customHeight="false" outlineLevel="0" collapsed="false">
      <c r="A353" s="21" t="s">
        <v>1568</v>
      </c>
      <c r="B353" s="21" t="s">
        <v>264</v>
      </c>
      <c r="C353" s="21" t="s">
        <v>1275</v>
      </c>
      <c r="D353" s="21" t="s">
        <v>1243</v>
      </c>
      <c r="E353" s="33" t="n">
        <v>45216</v>
      </c>
      <c r="F353" s="21" t="s">
        <v>1178</v>
      </c>
      <c r="G353" s="32"/>
      <c r="H353" s="21"/>
      <c r="I353" s="33"/>
      <c r="J353" s="21" t="str">
        <f aca="false">INDEX(Students!$C$2:$C$601,MATCH(B353,Students!$A$2:$A$601,0))</f>
        <v>Batch 2024</v>
      </c>
      <c r="K353" s="21" t="str">
        <f aca="false">INDEX(Students!$D$2:$D$601,MATCH(B353,Students!$A$2:$A$601,0))</f>
        <v>Data Science &amp; ML</v>
      </c>
      <c r="L353" s="21" t="str">
        <f aca="false">INDEX(Companies!$C$2:$C$31,MATCH(C353,Companies!$A$2:$A$31,0))</f>
        <v>Cybersecurity</v>
      </c>
      <c r="M353" s="21" t="str">
        <f aca="false">INDEX(Companies!$D$2:$D$31,MATCH(C353,Companies!$A$2:$A$31,0))</f>
        <v>Tier 2</v>
      </c>
      <c r="N353" s="34" t="n">
        <f aca="false">MATCH(F353,Assumptions!$K$4:$K$8,0)</f>
        <v>2</v>
      </c>
      <c r="O353" s="21" t="str">
        <f aca="false">IF(H353="Yes",MONTH(I353),"")</f>
        <v/>
      </c>
      <c r="P353" s="21" t="str">
        <f aca="false">IF(H353="Yes",B353,"")</f>
        <v/>
      </c>
    </row>
    <row r="354" customFormat="false" ht="15" hidden="false" customHeight="false" outlineLevel="0" collapsed="false">
      <c r="A354" s="21" t="s">
        <v>1569</v>
      </c>
      <c r="B354" s="21" t="s">
        <v>297</v>
      </c>
      <c r="C354" s="21" t="s">
        <v>1216</v>
      </c>
      <c r="D354" s="21" t="s">
        <v>1191</v>
      </c>
      <c r="E354" s="33" t="n">
        <v>45216</v>
      </c>
      <c r="F354" s="21" t="s">
        <v>1185</v>
      </c>
      <c r="G354" s="32" t="n">
        <v>5.3</v>
      </c>
      <c r="H354" s="21" t="s">
        <v>113</v>
      </c>
      <c r="I354" s="33" t="n">
        <v>45261</v>
      </c>
      <c r="J354" s="21" t="str">
        <f aca="false">INDEX(Students!$C$2:$C$601,MATCH(B354,Students!$A$2:$A$601,0))</f>
        <v>Batch 2024</v>
      </c>
      <c r="K354" s="21" t="str">
        <f aca="false">INDEX(Students!$D$2:$D$601,MATCH(B354,Students!$A$2:$A$601,0))</f>
        <v>DSA with Java</v>
      </c>
      <c r="L354" s="21" t="str">
        <f aca="false">INDEX(Companies!$C$2:$C$31,MATCH(C354,Companies!$A$2:$A$31,0))</f>
        <v>IT Services</v>
      </c>
      <c r="M354" s="21" t="str">
        <f aca="false">INDEX(Companies!$D$2:$D$31,MATCH(C354,Companies!$A$2:$A$31,0))</f>
        <v>Tier 3</v>
      </c>
      <c r="N354" s="34" t="n">
        <f aca="false">MATCH(F354,Assumptions!$K$4:$K$8,0)</f>
        <v>5</v>
      </c>
      <c r="O354" s="21" t="str">
        <f aca="false">IF(H354="Yes",MONTH(I354),"")</f>
        <v/>
      </c>
      <c r="P354" s="21" t="str">
        <f aca="false">IF(H354="Yes",B354,"")</f>
        <v/>
      </c>
    </row>
    <row r="355" customFormat="false" ht="15" hidden="false" customHeight="false" outlineLevel="0" collapsed="false">
      <c r="A355" s="21" t="s">
        <v>1570</v>
      </c>
      <c r="B355" s="21" t="s">
        <v>274</v>
      </c>
      <c r="C355" s="21" t="s">
        <v>1205</v>
      </c>
      <c r="D355" s="21" t="s">
        <v>1184</v>
      </c>
      <c r="E355" s="33" t="n">
        <v>45216</v>
      </c>
      <c r="F355" s="21" t="s">
        <v>1185</v>
      </c>
      <c r="G355" s="32" t="n">
        <v>6.5</v>
      </c>
      <c r="H355" s="21" t="s">
        <v>113</v>
      </c>
      <c r="I355" s="33" t="n">
        <v>45256</v>
      </c>
      <c r="J355" s="21" t="str">
        <f aca="false">INDEX(Students!$C$2:$C$601,MATCH(B355,Students!$A$2:$A$601,0))</f>
        <v>Batch 2024</v>
      </c>
      <c r="K355" s="21" t="str">
        <f aca="false">INDEX(Students!$D$2:$D$601,MATCH(B355,Students!$A$2:$A$601,0))</f>
        <v>DSA with Java</v>
      </c>
      <c r="L355" s="21" t="str">
        <f aca="false">INDEX(Companies!$C$2:$C$31,MATCH(C355,Companies!$A$2:$A$31,0))</f>
        <v>Healthtech</v>
      </c>
      <c r="M355" s="21" t="str">
        <f aca="false">INDEX(Companies!$D$2:$D$31,MATCH(C355,Companies!$A$2:$A$31,0))</f>
        <v>Tier 3</v>
      </c>
      <c r="N355" s="34" t="n">
        <f aca="false">MATCH(F355,Assumptions!$K$4:$K$8,0)</f>
        <v>5</v>
      </c>
      <c r="O355" s="21" t="str">
        <f aca="false">IF(H355="Yes",MONTH(I355),"")</f>
        <v/>
      </c>
      <c r="P355" s="21" t="str">
        <f aca="false">IF(H355="Yes",B355,"")</f>
        <v/>
      </c>
    </row>
    <row r="356" customFormat="false" ht="15" hidden="false" customHeight="false" outlineLevel="0" collapsed="false">
      <c r="A356" s="21" t="s">
        <v>1571</v>
      </c>
      <c r="B356" s="21" t="s">
        <v>400</v>
      </c>
      <c r="C356" s="21" t="s">
        <v>1193</v>
      </c>
      <c r="D356" s="21" t="s">
        <v>1194</v>
      </c>
      <c r="E356" s="33" t="n">
        <v>45217</v>
      </c>
      <c r="F356" s="21" t="s">
        <v>1175</v>
      </c>
      <c r="G356" s="32"/>
      <c r="H356" s="21"/>
      <c r="I356" s="33"/>
      <c r="J356" s="21" t="str">
        <f aca="false">INDEX(Students!$C$2:$C$601,MATCH(B356,Students!$A$2:$A$601,0))</f>
        <v>Batch 2024</v>
      </c>
      <c r="K356" s="21" t="str">
        <f aca="false">INDEX(Students!$D$2:$D$601,MATCH(B356,Students!$A$2:$A$601,0))</f>
        <v>Data Science &amp; ML</v>
      </c>
      <c r="L356" s="21" t="str">
        <f aca="false">INDEX(Companies!$C$2:$C$31,MATCH(C356,Companies!$A$2:$A$31,0))</f>
        <v>Analytics &amp; Consulting</v>
      </c>
      <c r="M356" s="21" t="str">
        <f aca="false">INDEX(Companies!$D$2:$D$31,MATCH(C356,Companies!$A$2:$A$31,0))</f>
        <v>Tier 2</v>
      </c>
      <c r="N356" s="34" t="n">
        <f aca="false">MATCH(F356,Assumptions!$K$4:$K$8,0)</f>
        <v>1</v>
      </c>
      <c r="O356" s="21" t="str">
        <f aca="false">IF(H356="Yes",MONTH(I356),"")</f>
        <v/>
      </c>
      <c r="P356" s="21" t="str">
        <f aca="false">IF(H356="Yes",B356,"")</f>
        <v/>
      </c>
    </row>
    <row r="357" customFormat="false" ht="15" hidden="false" customHeight="false" outlineLevel="0" collapsed="false">
      <c r="A357" s="21" t="s">
        <v>1572</v>
      </c>
      <c r="B357" s="21" t="s">
        <v>364</v>
      </c>
      <c r="C357" s="21" t="s">
        <v>1225</v>
      </c>
      <c r="D357" s="21" t="s">
        <v>1184</v>
      </c>
      <c r="E357" s="33" t="n">
        <v>45217</v>
      </c>
      <c r="F357" s="21" t="s">
        <v>1185</v>
      </c>
      <c r="G357" s="32" t="n">
        <v>13.2</v>
      </c>
      <c r="H357" s="21" t="s">
        <v>120</v>
      </c>
      <c r="I357" s="33" t="n">
        <v>45262</v>
      </c>
      <c r="J357" s="21" t="str">
        <f aca="false">INDEX(Students!$C$2:$C$601,MATCH(B357,Students!$A$2:$A$601,0))</f>
        <v>Batch 2024</v>
      </c>
      <c r="K357" s="21" t="str">
        <f aca="false">INDEX(Students!$D$2:$D$601,MATCH(B357,Students!$A$2:$A$601,0))</f>
        <v>DSA with Java</v>
      </c>
      <c r="L357" s="21" t="str">
        <f aca="false">INDEX(Companies!$C$2:$C$31,MATCH(C357,Companies!$A$2:$A$31,0))</f>
        <v>EdTech</v>
      </c>
      <c r="M357" s="21" t="str">
        <f aca="false">INDEX(Companies!$D$2:$D$31,MATCH(C357,Companies!$A$2:$A$31,0))</f>
        <v>Tier 2</v>
      </c>
      <c r="N357" s="34" t="n">
        <f aca="false">MATCH(F357,Assumptions!$K$4:$K$8,0)</f>
        <v>5</v>
      </c>
      <c r="O357" s="21" t="n">
        <f aca="false">IF(H357="Yes",MONTH(I357),"")</f>
        <v>12</v>
      </c>
      <c r="P357" s="21" t="str">
        <f aca="false">IF(H357="Yes",B357,"")</f>
        <v>S0131</v>
      </c>
    </row>
    <row r="358" customFormat="false" ht="15" hidden="false" customHeight="false" outlineLevel="0" collapsed="false">
      <c r="A358" s="21" t="s">
        <v>1573</v>
      </c>
      <c r="B358" s="21" t="s">
        <v>309</v>
      </c>
      <c r="C358" s="21" t="s">
        <v>1180</v>
      </c>
      <c r="D358" s="21" t="s">
        <v>1188</v>
      </c>
      <c r="E358" s="33" t="n">
        <v>45217</v>
      </c>
      <c r="F358" s="21" t="s">
        <v>1185</v>
      </c>
      <c r="G358" s="32" t="n">
        <v>5.5</v>
      </c>
      <c r="H358" s="21" t="s">
        <v>120</v>
      </c>
      <c r="I358" s="33" t="n">
        <v>45267</v>
      </c>
      <c r="J358" s="21" t="str">
        <f aca="false">INDEX(Students!$C$2:$C$601,MATCH(B358,Students!$A$2:$A$601,0))</f>
        <v>Batch 2024</v>
      </c>
      <c r="K358" s="21" t="str">
        <f aca="false">INDEX(Students!$D$2:$D$601,MATCH(B358,Students!$A$2:$A$601,0))</f>
        <v>Data Analytics</v>
      </c>
      <c r="L358" s="21" t="str">
        <f aca="false">INDEX(Companies!$C$2:$C$31,MATCH(C358,Companies!$A$2:$A$31,0))</f>
        <v>IT Services</v>
      </c>
      <c r="M358" s="21" t="str">
        <f aca="false">INDEX(Companies!$D$2:$D$31,MATCH(C358,Companies!$A$2:$A$31,0))</f>
        <v>Tier 3</v>
      </c>
      <c r="N358" s="34" t="n">
        <f aca="false">MATCH(F358,Assumptions!$K$4:$K$8,0)</f>
        <v>5</v>
      </c>
      <c r="O358" s="21" t="n">
        <f aca="false">IF(H358="Yes",MONTH(I358),"")</f>
        <v>12</v>
      </c>
      <c r="P358" s="21" t="str">
        <f aca="false">IF(H358="Yes",B358,"")</f>
        <v>S0101</v>
      </c>
    </row>
    <row r="359" customFormat="false" ht="15" hidden="false" customHeight="false" outlineLevel="0" collapsed="false">
      <c r="A359" s="21" t="s">
        <v>1574</v>
      </c>
      <c r="B359" s="21" t="s">
        <v>293</v>
      </c>
      <c r="C359" s="21" t="s">
        <v>1180</v>
      </c>
      <c r="D359" s="21" t="s">
        <v>1209</v>
      </c>
      <c r="E359" s="33" t="n">
        <v>45218</v>
      </c>
      <c r="F359" s="21" t="s">
        <v>1185</v>
      </c>
      <c r="G359" s="32" t="n">
        <v>6.5</v>
      </c>
      <c r="H359" s="21" t="s">
        <v>120</v>
      </c>
      <c r="I359" s="33" t="n">
        <v>45266</v>
      </c>
      <c r="J359" s="21" t="str">
        <f aca="false">INDEX(Students!$C$2:$C$601,MATCH(B359,Students!$A$2:$A$601,0))</f>
        <v>Batch 2024</v>
      </c>
      <c r="K359" s="21" t="str">
        <f aca="false">INDEX(Students!$D$2:$D$601,MATCH(B359,Students!$A$2:$A$601,0))</f>
        <v>Data Analytics</v>
      </c>
      <c r="L359" s="21" t="str">
        <f aca="false">INDEX(Companies!$C$2:$C$31,MATCH(C359,Companies!$A$2:$A$31,0))</f>
        <v>IT Services</v>
      </c>
      <c r="M359" s="21" t="str">
        <f aca="false">INDEX(Companies!$D$2:$D$31,MATCH(C359,Companies!$A$2:$A$31,0))</f>
        <v>Tier 3</v>
      </c>
      <c r="N359" s="34" t="n">
        <f aca="false">MATCH(F359,Assumptions!$K$4:$K$8,0)</f>
        <v>5</v>
      </c>
      <c r="O359" s="21" t="n">
        <f aca="false">IF(H359="Yes",MONTH(I359),"")</f>
        <v>12</v>
      </c>
      <c r="P359" s="21" t="str">
        <f aca="false">IF(H359="Yes",B359,"")</f>
        <v>S0093</v>
      </c>
    </row>
    <row r="360" customFormat="false" ht="15" hidden="false" customHeight="false" outlineLevel="0" collapsed="false">
      <c r="A360" s="21" t="s">
        <v>1575</v>
      </c>
      <c r="B360" s="21" t="s">
        <v>187</v>
      </c>
      <c r="C360" s="21" t="s">
        <v>1275</v>
      </c>
      <c r="D360" s="21" t="s">
        <v>1194</v>
      </c>
      <c r="E360" s="33" t="n">
        <v>45218</v>
      </c>
      <c r="F360" s="21" t="s">
        <v>1218</v>
      </c>
      <c r="G360" s="32"/>
      <c r="H360" s="21"/>
      <c r="I360" s="33"/>
      <c r="J360" s="21" t="str">
        <f aca="false">INDEX(Students!$C$2:$C$601,MATCH(B360,Students!$A$2:$A$601,0))</f>
        <v>Batch 2024</v>
      </c>
      <c r="K360" s="21" t="str">
        <f aca="false">INDEX(Students!$D$2:$D$601,MATCH(B360,Students!$A$2:$A$601,0))</f>
        <v>Data Science &amp; ML</v>
      </c>
      <c r="L360" s="21" t="str">
        <f aca="false">INDEX(Companies!$C$2:$C$31,MATCH(C360,Companies!$A$2:$A$31,0))</f>
        <v>Cybersecurity</v>
      </c>
      <c r="M360" s="21" t="str">
        <f aca="false">INDEX(Companies!$D$2:$D$31,MATCH(C360,Companies!$A$2:$A$31,0))</f>
        <v>Tier 2</v>
      </c>
      <c r="N360" s="34" t="n">
        <f aca="false">MATCH(F360,Assumptions!$K$4:$K$8,0)</f>
        <v>4</v>
      </c>
      <c r="O360" s="21" t="str">
        <f aca="false">IF(H360="Yes",MONTH(I360),"")</f>
        <v/>
      </c>
      <c r="P360" s="21" t="str">
        <f aca="false">IF(H360="Yes",B360,"")</f>
        <v/>
      </c>
    </row>
    <row r="361" customFormat="false" ht="15" hidden="false" customHeight="false" outlineLevel="0" collapsed="false">
      <c r="A361" s="21" t="s">
        <v>1576</v>
      </c>
      <c r="B361" s="21" t="s">
        <v>440</v>
      </c>
      <c r="C361" s="21" t="s">
        <v>1205</v>
      </c>
      <c r="D361" s="21" t="s">
        <v>1174</v>
      </c>
      <c r="E361" s="33" t="n">
        <v>45218</v>
      </c>
      <c r="F361" s="21" t="s">
        <v>1175</v>
      </c>
      <c r="G361" s="32"/>
      <c r="H361" s="21"/>
      <c r="I361" s="33"/>
      <c r="J361" s="21" t="str">
        <f aca="false">INDEX(Students!$C$2:$C$601,MATCH(B361,Students!$A$2:$A$601,0))</f>
        <v>Batch 2024</v>
      </c>
      <c r="K361" s="21" t="str">
        <f aca="false">INDEX(Students!$D$2:$D$601,MATCH(B361,Students!$A$2:$A$601,0))</f>
        <v>Full Stack Development</v>
      </c>
      <c r="L361" s="21" t="str">
        <f aca="false">INDEX(Companies!$C$2:$C$31,MATCH(C361,Companies!$A$2:$A$31,0))</f>
        <v>Healthtech</v>
      </c>
      <c r="M361" s="21" t="str">
        <f aca="false">INDEX(Companies!$D$2:$D$31,MATCH(C361,Companies!$A$2:$A$31,0))</f>
        <v>Tier 3</v>
      </c>
      <c r="N361" s="34" t="n">
        <f aca="false">MATCH(F361,Assumptions!$K$4:$K$8,0)</f>
        <v>1</v>
      </c>
      <c r="O361" s="21" t="str">
        <f aca="false">IF(H361="Yes",MONTH(I361),"")</f>
        <v/>
      </c>
      <c r="P361" s="21" t="str">
        <f aca="false">IF(H361="Yes",B361,"")</f>
        <v/>
      </c>
    </row>
    <row r="362" customFormat="false" ht="15" hidden="false" customHeight="false" outlineLevel="0" collapsed="false">
      <c r="A362" s="21" t="s">
        <v>1577</v>
      </c>
      <c r="B362" s="21" t="s">
        <v>334</v>
      </c>
      <c r="C362" s="21" t="s">
        <v>1234</v>
      </c>
      <c r="D362" s="21" t="s">
        <v>1194</v>
      </c>
      <c r="E362" s="33" t="n">
        <v>45218</v>
      </c>
      <c r="F362" s="21" t="s">
        <v>1197</v>
      </c>
      <c r="G362" s="32"/>
      <c r="H362" s="21"/>
      <c r="I362" s="33"/>
      <c r="J362" s="21" t="str">
        <f aca="false">INDEX(Students!$C$2:$C$601,MATCH(B362,Students!$A$2:$A$601,0))</f>
        <v>Batch 2024</v>
      </c>
      <c r="K362" s="21" t="str">
        <f aca="false">INDEX(Students!$D$2:$D$601,MATCH(B362,Students!$A$2:$A$601,0))</f>
        <v>Data Science &amp; ML</v>
      </c>
      <c r="L362" s="21" t="str">
        <f aca="false">INDEX(Companies!$C$2:$C$31,MATCH(C362,Companies!$A$2:$A$31,0))</f>
        <v>EdTech</v>
      </c>
      <c r="M362" s="21" t="str">
        <f aca="false">INDEX(Companies!$D$2:$D$31,MATCH(C362,Companies!$A$2:$A$31,0))</f>
        <v>Tier 3</v>
      </c>
      <c r="N362" s="34" t="n">
        <f aca="false">MATCH(F362,Assumptions!$K$4:$K$8,0)</f>
        <v>3</v>
      </c>
      <c r="O362" s="21" t="str">
        <f aca="false">IF(H362="Yes",MONTH(I362),"")</f>
        <v/>
      </c>
      <c r="P362" s="21" t="str">
        <f aca="false">IF(H362="Yes",B362,"")</f>
        <v/>
      </c>
    </row>
    <row r="363" customFormat="false" ht="15" hidden="false" customHeight="false" outlineLevel="0" collapsed="false">
      <c r="A363" s="21" t="s">
        <v>1578</v>
      </c>
      <c r="B363" s="21" t="s">
        <v>110</v>
      </c>
      <c r="C363" s="21" t="s">
        <v>1193</v>
      </c>
      <c r="D363" s="21" t="s">
        <v>1184</v>
      </c>
      <c r="E363" s="33" t="n">
        <v>45218</v>
      </c>
      <c r="F363" s="21" t="s">
        <v>1175</v>
      </c>
      <c r="G363" s="32"/>
      <c r="H363" s="21"/>
      <c r="I363" s="33"/>
      <c r="J363" s="21" t="str">
        <f aca="false">INDEX(Students!$C$2:$C$601,MATCH(B363,Students!$A$2:$A$601,0))</f>
        <v>Batch 2024</v>
      </c>
      <c r="K363" s="21" t="str">
        <f aca="false">INDEX(Students!$D$2:$D$601,MATCH(B363,Students!$A$2:$A$601,0))</f>
        <v>DSA with Java</v>
      </c>
      <c r="L363" s="21" t="str">
        <f aca="false">INDEX(Companies!$C$2:$C$31,MATCH(C363,Companies!$A$2:$A$31,0))</f>
        <v>Analytics &amp; Consulting</v>
      </c>
      <c r="M363" s="21" t="str">
        <f aca="false">INDEX(Companies!$D$2:$D$31,MATCH(C363,Companies!$A$2:$A$31,0))</f>
        <v>Tier 2</v>
      </c>
      <c r="N363" s="34" t="n">
        <f aca="false">MATCH(F363,Assumptions!$K$4:$K$8,0)</f>
        <v>1</v>
      </c>
      <c r="O363" s="21" t="str">
        <f aca="false">IF(H363="Yes",MONTH(I363),"")</f>
        <v/>
      </c>
      <c r="P363" s="21" t="str">
        <f aca="false">IF(H363="Yes",B363,"")</f>
        <v/>
      </c>
    </row>
    <row r="364" customFormat="false" ht="15" hidden="false" customHeight="false" outlineLevel="0" collapsed="false">
      <c r="A364" s="21" t="s">
        <v>1579</v>
      </c>
      <c r="B364" s="21" t="s">
        <v>345</v>
      </c>
      <c r="C364" s="21" t="s">
        <v>1173</v>
      </c>
      <c r="D364" s="21" t="s">
        <v>1209</v>
      </c>
      <c r="E364" s="33" t="n">
        <v>45218</v>
      </c>
      <c r="F364" s="21" t="s">
        <v>1175</v>
      </c>
      <c r="G364" s="32"/>
      <c r="H364" s="21"/>
      <c r="I364" s="33"/>
      <c r="J364" s="21" t="str">
        <f aca="false">INDEX(Students!$C$2:$C$601,MATCH(B364,Students!$A$2:$A$601,0))</f>
        <v>Batch 2024</v>
      </c>
      <c r="K364" s="21" t="str">
        <f aca="false">INDEX(Students!$D$2:$D$601,MATCH(B364,Students!$A$2:$A$601,0))</f>
        <v>Data Analytics</v>
      </c>
      <c r="L364" s="21" t="str">
        <f aca="false">INDEX(Companies!$C$2:$C$31,MATCH(C364,Companies!$A$2:$A$31,0))</f>
        <v>Cybersecurity</v>
      </c>
      <c r="M364" s="21" t="str">
        <f aca="false">INDEX(Companies!$D$2:$D$31,MATCH(C364,Companies!$A$2:$A$31,0))</f>
        <v>Tier 1</v>
      </c>
      <c r="N364" s="34" t="n">
        <f aca="false">MATCH(F364,Assumptions!$K$4:$K$8,0)</f>
        <v>1</v>
      </c>
      <c r="O364" s="21" t="str">
        <f aca="false">IF(H364="Yes",MONTH(I364),"")</f>
        <v/>
      </c>
      <c r="P364" s="21" t="str">
        <f aca="false">IF(H364="Yes",B364,"")</f>
        <v/>
      </c>
    </row>
    <row r="365" customFormat="false" ht="15" hidden="false" customHeight="false" outlineLevel="0" collapsed="false">
      <c r="A365" s="21" t="s">
        <v>1580</v>
      </c>
      <c r="B365" s="21" t="s">
        <v>447</v>
      </c>
      <c r="C365" s="21" t="s">
        <v>1275</v>
      </c>
      <c r="D365" s="21" t="s">
        <v>1184</v>
      </c>
      <c r="E365" s="33" t="n">
        <v>45218</v>
      </c>
      <c r="F365" s="21" t="s">
        <v>1175</v>
      </c>
      <c r="G365" s="32"/>
      <c r="H365" s="21"/>
      <c r="I365" s="33"/>
      <c r="J365" s="21" t="str">
        <f aca="false">INDEX(Students!$C$2:$C$601,MATCH(B365,Students!$A$2:$A$601,0))</f>
        <v>Batch 2024</v>
      </c>
      <c r="K365" s="21" t="str">
        <f aca="false">INDEX(Students!$D$2:$D$601,MATCH(B365,Students!$A$2:$A$601,0))</f>
        <v>DSA with Java</v>
      </c>
      <c r="L365" s="21" t="str">
        <f aca="false">INDEX(Companies!$C$2:$C$31,MATCH(C365,Companies!$A$2:$A$31,0))</f>
        <v>Cybersecurity</v>
      </c>
      <c r="M365" s="21" t="str">
        <f aca="false">INDEX(Companies!$D$2:$D$31,MATCH(C365,Companies!$A$2:$A$31,0))</f>
        <v>Tier 2</v>
      </c>
      <c r="N365" s="34" t="n">
        <f aca="false">MATCH(F365,Assumptions!$K$4:$K$8,0)</f>
        <v>1</v>
      </c>
      <c r="O365" s="21" t="str">
        <f aca="false">IF(H365="Yes",MONTH(I365),"")</f>
        <v/>
      </c>
      <c r="P365" s="21" t="str">
        <f aca="false">IF(H365="Yes",B365,"")</f>
        <v/>
      </c>
    </row>
    <row r="366" customFormat="false" ht="15" hidden="false" customHeight="false" outlineLevel="0" collapsed="false">
      <c r="A366" s="21" t="s">
        <v>1581</v>
      </c>
      <c r="B366" s="21" t="s">
        <v>205</v>
      </c>
      <c r="C366" s="21" t="s">
        <v>1255</v>
      </c>
      <c r="D366" s="21" t="s">
        <v>1188</v>
      </c>
      <c r="E366" s="33" t="n">
        <v>45219</v>
      </c>
      <c r="F366" s="21" t="s">
        <v>1185</v>
      </c>
      <c r="G366" s="32" t="n">
        <v>5.7</v>
      </c>
      <c r="H366" s="21" t="s">
        <v>120</v>
      </c>
      <c r="I366" s="33" t="n">
        <v>45251</v>
      </c>
      <c r="J366" s="21" t="str">
        <f aca="false">INDEX(Students!$C$2:$C$601,MATCH(B366,Students!$A$2:$A$601,0))</f>
        <v>Batch 2024</v>
      </c>
      <c r="K366" s="21" t="str">
        <f aca="false">INDEX(Students!$D$2:$D$601,MATCH(B366,Students!$A$2:$A$601,0))</f>
        <v>Data Analytics</v>
      </c>
      <c r="L366" s="21" t="str">
        <f aca="false">INDEX(Companies!$C$2:$C$31,MATCH(C366,Companies!$A$2:$A$31,0))</f>
        <v>IT Services</v>
      </c>
      <c r="M366" s="21" t="str">
        <f aca="false">INDEX(Companies!$D$2:$D$31,MATCH(C366,Companies!$A$2:$A$31,0))</f>
        <v>Tier 3</v>
      </c>
      <c r="N366" s="34" t="n">
        <f aca="false">MATCH(F366,Assumptions!$K$4:$K$8,0)</f>
        <v>5</v>
      </c>
      <c r="O366" s="21" t="n">
        <f aca="false">IF(H366="Yes",MONTH(I366),"")</f>
        <v>11</v>
      </c>
      <c r="P366" s="21" t="str">
        <f aca="false">IF(H366="Yes",B366,"")</f>
        <v>S0047</v>
      </c>
    </row>
    <row r="367" customFormat="false" ht="15" hidden="false" customHeight="false" outlineLevel="0" collapsed="false">
      <c r="A367" s="21" t="s">
        <v>1582</v>
      </c>
      <c r="B367" s="21" t="s">
        <v>330</v>
      </c>
      <c r="C367" s="21" t="s">
        <v>1230</v>
      </c>
      <c r="D367" s="21" t="s">
        <v>1226</v>
      </c>
      <c r="E367" s="33" t="n">
        <v>45219</v>
      </c>
      <c r="F367" s="21" t="s">
        <v>1175</v>
      </c>
      <c r="G367" s="32"/>
      <c r="H367" s="21"/>
      <c r="I367" s="33"/>
      <c r="J367" s="21" t="str">
        <f aca="false">INDEX(Students!$C$2:$C$601,MATCH(B367,Students!$A$2:$A$601,0))</f>
        <v>Batch 2024</v>
      </c>
      <c r="K367" s="21" t="str">
        <f aca="false">INDEX(Students!$D$2:$D$601,MATCH(B367,Students!$A$2:$A$601,0))</f>
        <v>Cybersecurity</v>
      </c>
      <c r="L367" s="21" t="str">
        <f aca="false">INDEX(Companies!$C$2:$C$31,MATCH(C367,Companies!$A$2:$A$31,0))</f>
        <v>IT Services</v>
      </c>
      <c r="M367" s="21" t="str">
        <f aca="false">INDEX(Companies!$D$2:$D$31,MATCH(C367,Companies!$A$2:$A$31,0))</f>
        <v>Tier 3</v>
      </c>
      <c r="N367" s="34" t="n">
        <f aca="false">MATCH(F367,Assumptions!$K$4:$K$8,0)</f>
        <v>1</v>
      </c>
      <c r="O367" s="21" t="str">
        <f aca="false">IF(H367="Yes",MONTH(I367),"")</f>
        <v/>
      </c>
      <c r="P367" s="21" t="str">
        <f aca="false">IF(H367="Yes",B367,"")</f>
        <v/>
      </c>
    </row>
    <row r="368" customFormat="false" ht="15" hidden="false" customHeight="false" outlineLevel="0" collapsed="false">
      <c r="A368" s="21" t="s">
        <v>1583</v>
      </c>
      <c r="B368" s="21" t="s">
        <v>400</v>
      </c>
      <c r="C368" s="21" t="s">
        <v>1230</v>
      </c>
      <c r="D368" s="21" t="s">
        <v>1243</v>
      </c>
      <c r="E368" s="33" t="n">
        <v>45219</v>
      </c>
      <c r="F368" s="21" t="s">
        <v>1185</v>
      </c>
      <c r="G368" s="32" t="n">
        <v>8.5</v>
      </c>
      <c r="H368" s="21" t="s">
        <v>120</v>
      </c>
      <c r="I368" s="33" t="n">
        <v>45254</v>
      </c>
      <c r="J368" s="21" t="str">
        <f aca="false">INDEX(Students!$C$2:$C$601,MATCH(B368,Students!$A$2:$A$601,0))</f>
        <v>Batch 2024</v>
      </c>
      <c r="K368" s="21" t="str">
        <f aca="false">INDEX(Students!$D$2:$D$601,MATCH(B368,Students!$A$2:$A$601,0))</f>
        <v>Data Science &amp; ML</v>
      </c>
      <c r="L368" s="21" t="str">
        <f aca="false">INDEX(Companies!$C$2:$C$31,MATCH(C368,Companies!$A$2:$A$31,0))</f>
        <v>IT Services</v>
      </c>
      <c r="M368" s="21" t="str">
        <f aca="false">INDEX(Companies!$D$2:$D$31,MATCH(C368,Companies!$A$2:$A$31,0))</f>
        <v>Tier 3</v>
      </c>
      <c r="N368" s="34" t="n">
        <f aca="false">MATCH(F368,Assumptions!$K$4:$K$8,0)</f>
        <v>5</v>
      </c>
      <c r="O368" s="21" t="n">
        <f aca="false">IF(H368="Yes",MONTH(I368),"")</f>
        <v>11</v>
      </c>
      <c r="P368" s="21" t="str">
        <f aca="false">IF(H368="Yes",B368,"")</f>
        <v>S0150</v>
      </c>
    </row>
    <row r="369" customFormat="false" ht="15" hidden="false" customHeight="false" outlineLevel="0" collapsed="false">
      <c r="A369" s="21" t="s">
        <v>1584</v>
      </c>
      <c r="B369" s="21" t="s">
        <v>205</v>
      </c>
      <c r="C369" s="21" t="s">
        <v>1214</v>
      </c>
      <c r="D369" s="21" t="s">
        <v>1209</v>
      </c>
      <c r="E369" s="33" t="n">
        <v>45220</v>
      </c>
      <c r="F369" s="21" t="s">
        <v>1175</v>
      </c>
      <c r="G369" s="32"/>
      <c r="H369" s="21"/>
      <c r="I369" s="33"/>
      <c r="J369" s="21" t="str">
        <f aca="false">INDEX(Students!$C$2:$C$601,MATCH(B369,Students!$A$2:$A$601,0))</f>
        <v>Batch 2024</v>
      </c>
      <c r="K369" s="21" t="str">
        <f aca="false">INDEX(Students!$D$2:$D$601,MATCH(B369,Students!$A$2:$A$601,0))</f>
        <v>Data Analytics</v>
      </c>
      <c r="L369" s="21" t="str">
        <f aca="false">INDEX(Companies!$C$2:$C$31,MATCH(C369,Companies!$A$2:$A$31,0))</f>
        <v>Product</v>
      </c>
      <c r="M369" s="21" t="str">
        <f aca="false">INDEX(Companies!$D$2:$D$31,MATCH(C369,Companies!$A$2:$A$31,0))</f>
        <v>Tier 1</v>
      </c>
      <c r="N369" s="34" t="n">
        <f aca="false">MATCH(F369,Assumptions!$K$4:$K$8,0)</f>
        <v>1</v>
      </c>
      <c r="O369" s="21" t="str">
        <f aca="false">IF(H369="Yes",MONTH(I369),"")</f>
        <v/>
      </c>
      <c r="P369" s="21" t="str">
        <f aca="false">IF(H369="Yes",B369,"")</f>
        <v/>
      </c>
    </row>
    <row r="370" customFormat="false" ht="15" hidden="false" customHeight="false" outlineLevel="0" collapsed="false">
      <c r="A370" s="21" t="s">
        <v>1585</v>
      </c>
      <c r="B370" s="21" t="s">
        <v>345</v>
      </c>
      <c r="C370" s="21" t="s">
        <v>1183</v>
      </c>
      <c r="D370" s="21" t="s">
        <v>1188</v>
      </c>
      <c r="E370" s="33" t="n">
        <v>45220</v>
      </c>
      <c r="F370" s="21" t="s">
        <v>1178</v>
      </c>
      <c r="G370" s="32"/>
      <c r="H370" s="21"/>
      <c r="I370" s="33"/>
      <c r="J370" s="21" t="str">
        <f aca="false">INDEX(Students!$C$2:$C$601,MATCH(B370,Students!$A$2:$A$601,0))</f>
        <v>Batch 2024</v>
      </c>
      <c r="K370" s="21" t="str">
        <f aca="false">INDEX(Students!$D$2:$D$601,MATCH(B370,Students!$A$2:$A$601,0))</f>
        <v>Data Analytics</v>
      </c>
      <c r="L370" s="21" t="str">
        <f aca="false">INDEX(Companies!$C$2:$C$31,MATCH(C370,Companies!$A$2:$A$31,0))</f>
        <v>E-commerce</v>
      </c>
      <c r="M370" s="21" t="str">
        <f aca="false">INDEX(Companies!$D$2:$D$31,MATCH(C370,Companies!$A$2:$A$31,0))</f>
        <v>Tier 2</v>
      </c>
      <c r="N370" s="34" t="n">
        <f aca="false">MATCH(F370,Assumptions!$K$4:$K$8,0)</f>
        <v>2</v>
      </c>
      <c r="O370" s="21" t="str">
        <f aca="false">IF(H370="Yes",MONTH(I370),"")</f>
        <v/>
      </c>
      <c r="P370" s="21" t="str">
        <f aca="false">IF(H370="Yes",B370,"")</f>
        <v/>
      </c>
    </row>
    <row r="371" customFormat="false" ht="15" hidden="false" customHeight="false" outlineLevel="0" collapsed="false">
      <c r="A371" s="21" t="s">
        <v>1586</v>
      </c>
      <c r="B371" s="21" t="s">
        <v>203</v>
      </c>
      <c r="C371" s="21" t="s">
        <v>1183</v>
      </c>
      <c r="D371" s="21" t="s">
        <v>1191</v>
      </c>
      <c r="E371" s="33" t="n">
        <v>45220</v>
      </c>
      <c r="F371" s="21" t="s">
        <v>1175</v>
      </c>
      <c r="G371" s="32"/>
      <c r="H371" s="21"/>
      <c r="I371" s="33"/>
      <c r="J371" s="21" t="str">
        <f aca="false">INDEX(Students!$C$2:$C$601,MATCH(B371,Students!$A$2:$A$601,0))</f>
        <v>Batch 2024</v>
      </c>
      <c r="K371" s="21" t="str">
        <f aca="false">INDEX(Students!$D$2:$D$601,MATCH(B371,Students!$A$2:$A$601,0))</f>
        <v>DSA with Java</v>
      </c>
      <c r="L371" s="21" t="str">
        <f aca="false">INDEX(Companies!$C$2:$C$31,MATCH(C371,Companies!$A$2:$A$31,0))</f>
        <v>E-commerce</v>
      </c>
      <c r="M371" s="21" t="str">
        <f aca="false">INDEX(Companies!$D$2:$D$31,MATCH(C371,Companies!$A$2:$A$31,0))</f>
        <v>Tier 2</v>
      </c>
      <c r="N371" s="34" t="n">
        <f aca="false">MATCH(F371,Assumptions!$K$4:$K$8,0)</f>
        <v>1</v>
      </c>
      <c r="O371" s="21" t="str">
        <f aca="false">IF(H371="Yes",MONTH(I371),"")</f>
        <v/>
      </c>
      <c r="P371" s="21" t="str">
        <f aca="false">IF(H371="Yes",B371,"")</f>
        <v/>
      </c>
    </row>
    <row r="372" customFormat="false" ht="15" hidden="false" customHeight="false" outlineLevel="0" collapsed="false">
      <c r="A372" s="21" t="s">
        <v>1587</v>
      </c>
      <c r="B372" s="21" t="s">
        <v>257</v>
      </c>
      <c r="C372" s="21" t="s">
        <v>1190</v>
      </c>
      <c r="D372" s="21" t="s">
        <v>1194</v>
      </c>
      <c r="E372" s="33" t="n">
        <v>45221</v>
      </c>
      <c r="F372" s="21" t="s">
        <v>1218</v>
      </c>
      <c r="G372" s="32"/>
      <c r="H372" s="21"/>
      <c r="I372" s="33"/>
      <c r="J372" s="21" t="str">
        <f aca="false">INDEX(Students!$C$2:$C$601,MATCH(B372,Students!$A$2:$A$601,0))</f>
        <v>Batch 2024</v>
      </c>
      <c r="K372" s="21" t="str">
        <f aca="false">INDEX(Students!$D$2:$D$601,MATCH(B372,Students!$A$2:$A$601,0))</f>
        <v>Data Science &amp; ML</v>
      </c>
      <c r="L372" s="21" t="str">
        <f aca="false">INDEX(Companies!$C$2:$C$31,MATCH(C372,Companies!$A$2:$A$31,0))</f>
        <v>Analytics &amp; Consulting</v>
      </c>
      <c r="M372" s="21" t="str">
        <f aca="false">INDEX(Companies!$D$2:$D$31,MATCH(C372,Companies!$A$2:$A$31,0))</f>
        <v>Tier 1</v>
      </c>
      <c r="N372" s="34" t="n">
        <f aca="false">MATCH(F372,Assumptions!$K$4:$K$8,0)</f>
        <v>4</v>
      </c>
      <c r="O372" s="21" t="str">
        <f aca="false">IF(H372="Yes",MONTH(I372),"")</f>
        <v/>
      </c>
      <c r="P372" s="21" t="str">
        <f aca="false">IF(H372="Yes",B372,"")</f>
        <v/>
      </c>
    </row>
    <row r="373" customFormat="false" ht="15" hidden="false" customHeight="false" outlineLevel="0" collapsed="false">
      <c r="A373" s="21" t="s">
        <v>1588</v>
      </c>
      <c r="B373" s="21" t="s">
        <v>291</v>
      </c>
      <c r="C373" s="21" t="s">
        <v>1230</v>
      </c>
      <c r="D373" s="21" t="s">
        <v>1174</v>
      </c>
      <c r="E373" s="33" t="n">
        <v>45221</v>
      </c>
      <c r="F373" s="21" t="s">
        <v>1185</v>
      </c>
      <c r="G373" s="32" t="n">
        <v>5.9</v>
      </c>
      <c r="H373" s="21" t="s">
        <v>120</v>
      </c>
      <c r="I373" s="33" t="n">
        <v>45244</v>
      </c>
      <c r="J373" s="21" t="str">
        <f aca="false">INDEX(Students!$C$2:$C$601,MATCH(B373,Students!$A$2:$A$601,0))</f>
        <v>Batch 2024</v>
      </c>
      <c r="K373" s="21" t="str">
        <f aca="false">INDEX(Students!$D$2:$D$601,MATCH(B373,Students!$A$2:$A$601,0))</f>
        <v>Full Stack Development</v>
      </c>
      <c r="L373" s="21" t="str">
        <f aca="false">INDEX(Companies!$C$2:$C$31,MATCH(C373,Companies!$A$2:$A$31,0))</f>
        <v>IT Services</v>
      </c>
      <c r="M373" s="21" t="str">
        <f aca="false">INDEX(Companies!$D$2:$D$31,MATCH(C373,Companies!$A$2:$A$31,0))</f>
        <v>Tier 3</v>
      </c>
      <c r="N373" s="34" t="n">
        <f aca="false">MATCH(F373,Assumptions!$K$4:$K$8,0)</f>
        <v>5</v>
      </c>
      <c r="O373" s="21" t="n">
        <f aca="false">IF(H373="Yes",MONTH(I373),"")</f>
        <v>11</v>
      </c>
      <c r="P373" s="21" t="str">
        <f aca="false">IF(H373="Yes",B373,"")</f>
        <v>S0092</v>
      </c>
    </row>
    <row r="374" customFormat="false" ht="15" hidden="false" customHeight="false" outlineLevel="0" collapsed="false">
      <c r="A374" s="21" t="s">
        <v>1589</v>
      </c>
      <c r="B374" s="21" t="s">
        <v>424</v>
      </c>
      <c r="C374" s="21" t="s">
        <v>1275</v>
      </c>
      <c r="D374" s="21" t="s">
        <v>1243</v>
      </c>
      <c r="E374" s="33" t="n">
        <v>45221</v>
      </c>
      <c r="F374" s="21" t="s">
        <v>1175</v>
      </c>
      <c r="G374" s="32"/>
      <c r="H374" s="21"/>
      <c r="I374" s="33"/>
      <c r="J374" s="21" t="str">
        <f aca="false">INDEX(Students!$C$2:$C$601,MATCH(B374,Students!$A$2:$A$601,0))</f>
        <v>Batch 2024</v>
      </c>
      <c r="K374" s="21" t="str">
        <f aca="false">INDEX(Students!$D$2:$D$601,MATCH(B374,Students!$A$2:$A$601,0))</f>
        <v>Data Science &amp; ML</v>
      </c>
      <c r="L374" s="21" t="str">
        <f aca="false">INDEX(Companies!$C$2:$C$31,MATCH(C374,Companies!$A$2:$A$31,0))</f>
        <v>Cybersecurity</v>
      </c>
      <c r="M374" s="21" t="str">
        <f aca="false">INDEX(Companies!$D$2:$D$31,MATCH(C374,Companies!$A$2:$A$31,0))</f>
        <v>Tier 2</v>
      </c>
      <c r="N374" s="34" t="n">
        <f aca="false">MATCH(F374,Assumptions!$K$4:$K$8,0)</f>
        <v>1</v>
      </c>
      <c r="O374" s="21" t="str">
        <f aca="false">IF(H374="Yes",MONTH(I374),"")</f>
        <v/>
      </c>
      <c r="P374" s="21" t="str">
        <f aca="false">IF(H374="Yes",B374,"")</f>
        <v/>
      </c>
    </row>
    <row r="375" customFormat="false" ht="15" hidden="false" customHeight="false" outlineLevel="0" collapsed="false">
      <c r="A375" s="21" t="s">
        <v>1590</v>
      </c>
      <c r="B375" s="21" t="s">
        <v>449</v>
      </c>
      <c r="C375" s="21" t="s">
        <v>1201</v>
      </c>
      <c r="D375" s="21" t="s">
        <v>1188</v>
      </c>
      <c r="E375" s="33" t="n">
        <v>45221</v>
      </c>
      <c r="F375" s="21" t="s">
        <v>1185</v>
      </c>
      <c r="G375" s="32" t="n">
        <v>5</v>
      </c>
      <c r="H375" s="21" t="s">
        <v>120</v>
      </c>
      <c r="I375" s="33" t="n">
        <v>45269</v>
      </c>
      <c r="J375" s="21" t="str">
        <f aca="false">INDEX(Students!$C$2:$C$601,MATCH(B375,Students!$A$2:$A$601,0))</f>
        <v>Batch 2024</v>
      </c>
      <c r="K375" s="21" t="str">
        <f aca="false">INDEX(Students!$D$2:$D$601,MATCH(B375,Students!$A$2:$A$601,0))</f>
        <v>Data Analytics</v>
      </c>
      <c r="L375" s="21" t="str">
        <f aca="false">INDEX(Companies!$C$2:$C$31,MATCH(C375,Companies!$A$2:$A$31,0))</f>
        <v>IT Services</v>
      </c>
      <c r="M375" s="21" t="str">
        <f aca="false">INDEX(Companies!$D$2:$D$31,MATCH(C375,Companies!$A$2:$A$31,0))</f>
        <v>Tier 3</v>
      </c>
      <c r="N375" s="34" t="n">
        <f aca="false">MATCH(F375,Assumptions!$K$4:$K$8,0)</f>
        <v>5</v>
      </c>
      <c r="O375" s="21" t="n">
        <f aca="false">IF(H375="Yes",MONTH(I375),"")</f>
        <v>12</v>
      </c>
      <c r="P375" s="21" t="str">
        <f aca="false">IF(H375="Yes",B375,"")</f>
        <v>S0177</v>
      </c>
    </row>
    <row r="376" customFormat="false" ht="15" hidden="false" customHeight="false" outlineLevel="0" collapsed="false">
      <c r="A376" s="21" t="s">
        <v>1591</v>
      </c>
      <c r="B376" s="21" t="s">
        <v>420</v>
      </c>
      <c r="C376" s="21" t="s">
        <v>1183</v>
      </c>
      <c r="D376" s="21" t="s">
        <v>1243</v>
      </c>
      <c r="E376" s="33" t="n">
        <v>45222</v>
      </c>
      <c r="F376" s="21" t="s">
        <v>1197</v>
      </c>
      <c r="G376" s="32"/>
      <c r="H376" s="21"/>
      <c r="I376" s="33"/>
      <c r="J376" s="21" t="str">
        <f aca="false">INDEX(Students!$C$2:$C$601,MATCH(B376,Students!$A$2:$A$601,0))</f>
        <v>Batch 2024</v>
      </c>
      <c r="K376" s="21" t="str">
        <f aca="false">INDEX(Students!$D$2:$D$601,MATCH(B376,Students!$A$2:$A$601,0))</f>
        <v>Data Science &amp; ML</v>
      </c>
      <c r="L376" s="21" t="str">
        <f aca="false">INDEX(Companies!$C$2:$C$31,MATCH(C376,Companies!$A$2:$A$31,0))</f>
        <v>E-commerce</v>
      </c>
      <c r="M376" s="21" t="str">
        <f aca="false">INDEX(Companies!$D$2:$D$31,MATCH(C376,Companies!$A$2:$A$31,0))</f>
        <v>Tier 2</v>
      </c>
      <c r="N376" s="34" t="n">
        <f aca="false">MATCH(F376,Assumptions!$K$4:$K$8,0)</f>
        <v>3</v>
      </c>
      <c r="O376" s="21" t="str">
        <f aca="false">IF(H376="Yes",MONTH(I376),"")</f>
        <v/>
      </c>
      <c r="P376" s="21" t="str">
        <f aca="false">IF(H376="Yes",B376,"")</f>
        <v/>
      </c>
    </row>
    <row r="377" customFormat="false" ht="15" hidden="false" customHeight="false" outlineLevel="0" collapsed="false">
      <c r="A377" s="21" t="s">
        <v>1592</v>
      </c>
      <c r="B377" s="21" t="s">
        <v>177</v>
      </c>
      <c r="C377" s="21" t="s">
        <v>1266</v>
      </c>
      <c r="D377" s="21" t="s">
        <v>1174</v>
      </c>
      <c r="E377" s="33" t="n">
        <v>45222</v>
      </c>
      <c r="F377" s="21" t="s">
        <v>1175</v>
      </c>
      <c r="G377" s="32"/>
      <c r="H377" s="21"/>
      <c r="I377" s="33"/>
      <c r="J377" s="21" t="str">
        <f aca="false">INDEX(Students!$C$2:$C$601,MATCH(B377,Students!$A$2:$A$601,0))</f>
        <v>Batch 2024</v>
      </c>
      <c r="K377" s="21" t="str">
        <f aca="false">INDEX(Students!$D$2:$D$601,MATCH(B377,Students!$A$2:$A$601,0))</f>
        <v>Full Stack Development</v>
      </c>
      <c r="L377" s="21" t="str">
        <f aca="false">INDEX(Companies!$C$2:$C$31,MATCH(C377,Companies!$A$2:$A$31,0))</f>
        <v>IT Services</v>
      </c>
      <c r="M377" s="21" t="str">
        <f aca="false">INDEX(Companies!$D$2:$D$31,MATCH(C377,Companies!$A$2:$A$31,0))</f>
        <v>Tier 3</v>
      </c>
      <c r="N377" s="34" t="n">
        <f aca="false">MATCH(F377,Assumptions!$K$4:$K$8,0)</f>
        <v>1</v>
      </c>
      <c r="O377" s="21" t="str">
        <f aca="false">IF(H377="Yes",MONTH(I377),"")</f>
        <v/>
      </c>
      <c r="P377" s="21" t="str">
        <f aca="false">IF(H377="Yes",B377,"")</f>
        <v/>
      </c>
    </row>
    <row r="378" customFormat="false" ht="15" hidden="false" customHeight="false" outlineLevel="0" collapsed="false">
      <c r="A378" s="21" t="s">
        <v>1593</v>
      </c>
      <c r="B378" s="21" t="s">
        <v>438</v>
      </c>
      <c r="C378" s="21" t="s">
        <v>1266</v>
      </c>
      <c r="D378" s="21" t="s">
        <v>1240</v>
      </c>
      <c r="E378" s="33" t="n">
        <v>45222</v>
      </c>
      <c r="F378" s="21" t="s">
        <v>1178</v>
      </c>
      <c r="G378" s="32"/>
      <c r="H378" s="21"/>
      <c r="I378" s="33"/>
      <c r="J378" s="21" t="str">
        <f aca="false">INDEX(Students!$C$2:$C$601,MATCH(B378,Students!$A$2:$A$601,0))</f>
        <v>Batch 2024</v>
      </c>
      <c r="K378" s="21" t="str">
        <f aca="false">INDEX(Students!$D$2:$D$601,MATCH(B378,Students!$A$2:$A$601,0))</f>
        <v>Cybersecurity</v>
      </c>
      <c r="L378" s="21" t="str">
        <f aca="false">INDEX(Companies!$C$2:$C$31,MATCH(C378,Companies!$A$2:$A$31,0))</f>
        <v>IT Services</v>
      </c>
      <c r="M378" s="21" t="str">
        <f aca="false">INDEX(Companies!$D$2:$D$31,MATCH(C378,Companies!$A$2:$A$31,0))</f>
        <v>Tier 3</v>
      </c>
      <c r="N378" s="34" t="n">
        <f aca="false">MATCH(F378,Assumptions!$K$4:$K$8,0)</f>
        <v>2</v>
      </c>
      <c r="O378" s="21" t="str">
        <f aca="false">IF(H378="Yes",MONTH(I378),"")</f>
        <v/>
      </c>
      <c r="P378" s="21" t="str">
        <f aca="false">IF(H378="Yes",B378,"")</f>
        <v/>
      </c>
    </row>
    <row r="379" customFormat="false" ht="15" hidden="false" customHeight="false" outlineLevel="0" collapsed="false">
      <c r="A379" s="21" t="s">
        <v>1594</v>
      </c>
      <c r="B379" s="21" t="s">
        <v>358</v>
      </c>
      <c r="C379" s="21" t="s">
        <v>1228</v>
      </c>
      <c r="D379" s="21" t="s">
        <v>1194</v>
      </c>
      <c r="E379" s="33" t="n">
        <v>45222</v>
      </c>
      <c r="F379" s="21" t="s">
        <v>1197</v>
      </c>
      <c r="G379" s="32"/>
      <c r="H379" s="21"/>
      <c r="I379" s="33"/>
      <c r="J379" s="21" t="str">
        <f aca="false">INDEX(Students!$C$2:$C$601,MATCH(B379,Students!$A$2:$A$601,0))</f>
        <v>Batch 2024</v>
      </c>
      <c r="K379" s="21" t="str">
        <f aca="false">INDEX(Students!$D$2:$D$601,MATCH(B379,Students!$A$2:$A$601,0))</f>
        <v>Data Science &amp; ML</v>
      </c>
      <c r="L379" s="21" t="str">
        <f aca="false">INDEX(Companies!$C$2:$C$31,MATCH(C379,Companies!$A$2:$A$31,0))</f>
        <v>Fintech</v>
      </c>
      <c r="M379" s="21" t="str">
        <f aca="false">INDEX(Companies!$D$2:$D$31,MATCH(C379,Companies!$A$2:$A$31,0))</f>
        <v>Tier 1</v>
      </c>
      <c r="N379" s="34" t="n">
        <f aca="false">MATCH(F379,Assumptions!$K$4:$K$8,0)</f>
        <v>3</v>
      </c>
      <c r="O379" s="21" t="str">
        <f aca="false">IF(H379="Yes",MONTH(I379),"")</f>
        <v/>
      </c>
      <c r="P379" s="21" t="str">
        <f aca="false">IF(H379="Yes",B379,"")</f>
        <v/>
      </c>
    </row>
    <row r="380" customFormat="false" ht="15" hidden="false" customHeight="false" outlineLevel="0" collapsed="false">
      <c r="A380" s="21" t="s">
        <v>1595</v>
      </c>
      <c r="B380" s="21" t="s">
        <v>163</v>
      </c>
      <c r="C380" s="21" t="s">
        <v>1322</v>
      </c>
      <c r="D380" s="21" t="s">
        <v>1191</v>
      </c>
      <c r="E380" s="33" t="n">
        <v>45223</v>
      </c>
      <c r="F380" s="21" t="s">
        <v>1218</v>
      </c>
      <c r="G380" s="32"/>
      <c r="H380" s="21"/>
      <c r="I380" s="33"/>
      <c r="J380" s="21" t="str">
        <f aca="false">INDEX(Students!$C$2:$C$601,MATCH(B380,Students!$A$2:$A$601,0))</f>
        <v>Batch 2024</v>
      </c>
      <c r="K380" s="21" t="str">
        <f aca="false">INDEX(Students!$D$2:$D$601,MATCH(B380,Students!$A$2:$A$601,0))</f>
        <v>DSA with Java</v>
      </c>
      <c r="L380" s="21" t="str">
        <f aca="false">INDEX(Companies!$C$2:$C$31,MATCH(C380,Companies!$A$2:$A$31,0))</f>
        <v>Healthtech</v>
      </c>
      <c r="M380" s="21" t="str">
        <f aca="false">INDEX(Companies!$D$2:$D$31,MATCH(C380,Companies!$A$2:$A$31,0))</f>
        <v>Tier 2</v>
      </c>
      <c r="N380" s="34" t="n">
        <f aca="false">MATCH(F380,Assumptions!$K$4:$K$8,0)</f>
        <v>4</v>
      </c>
      <c r="O380" s="21" t="str">
        <f aca="false">IF(H380="Yes",MONTH(I380),"")</f>
        <v/>
      </c>
      <c r="P380" s="21" t="str">
        <f aca="false">IF(H380="Yes",B380,"")</f>
        <v/>
      </c>
    </row>
    <row r="381" customFormat="false" ht="15" hidden="false" customHeight="false" outlineLevel="0" collapsed="false">
      <c r="A381" s="21" t="s">
        <v>1596</v>
      </c>
      <c r="B381" s="21" t="s">
        <v>388</v>
      </c>
      <c r="C381" s="21" t="s">
        <v>1290</v>
      </c>
      <c r="D381" s="21" t="s">
        <v>1191</v>
      </c>
      <c r="E381" s="33" t="n">
        <v>45223</v>
      </c>
      <c r="F381" s="21" t="s">
        <v>1178</v>
      </c>
      <c r="G381" s="32"/>
      <c r="H381" s="21"/>
      <c r="I381" s="33"/>
      <c r="J381" s="21" t="str">
        <f aca="false">INDEX(Students!$C$2:$C$601,MATCH(B381,Students!$A$2:$A$601,0))</f>
        <v>Batch 2024</v>
      </c>
      <c r="K381" s="21" t="str">
        <f aca="false">INDEX(Students!$D$2:$D$601,MATCH(B381,Students!$A$2:$A$601,0))</f>
        <v>DSA with Java</v>
      </c>
      <c r="L381" s="21" t="str">
        <f aca="false">INDEX(Companies!$C$2:$C$31,MATCH(C381,Companies!$A$2:$A$31,0))</f>
        <v>Fintech</v>
      </c>
      <c r="M381" s="21" t="str">
        <f aca="false">INDEX(Companies!$D$2:$D$31,MATCH(C381,Companies!$A$2:$A$31,0))</f>
        <v>Tier 2</v>
      </c>
      <c r="N381" s="34" t="n">
        <f aca="false">MATCH(F381,Assumptions!$K$4:$K$8,0)</f>
        <v>2</v>
      </c>
      <c r="O381" s="21" t="str">
        <f aca="false">IF(H381="Yes",MONTH(I381),"")</f>
        <v/>
      </c>
      <c r="P381" s="21" t="str">
        <f aca="false">IF(H381="Yes",B381,"")</f>
        <v/>
      </c>
    </row>
    <row r="382" customFormat="false" ht="15" hidden="false" customHeight="false" outlineLevel="0" collapsed="false">
      <c r="A382" s="21" t="s">
        <v>1597</v>
      </c>
      <c r="B382" s="21" t="s">
        <v>376</v>
      </c>
      <c r="C382" s="21" t="s">
        <v>1234</v>
      </c>
      <c r="D382" s="21" t="s">
        <v>1209</v>
      </c>
      <c r="E382" s="33" t="n">
        <v>45223</v>
      </c>
      <c r="F382" s="21" t="s">
        <v>1175</v>
      </c>
      <c r="G382" s="32"/>
      <c r="H382" s="21"/>
      <c r="I382" s="33"/>
      <c r="J382" s="21" t="str">
        <f aca="false">INDEX(Students!$C$2:$C$601,MATCH(B382,Students!$A$2:$A$601,0))</f>
        <v>Batch 2024</v>
      </c>
      <c r="K382" s="21" t="str">
        <f aca="false">INDEX(Students!$D$2:$D$601,MATCH(B382,Students!$A$2:$A$601,0))</f>
        <v>Data Analytics</v>
      </c>
      <c r="L382" s="21" t="str">
        <f aca="false">INDEX(Companies!$C$2:$C$31,MATCH(C382,Companies!$A$2:$A$31,0))</f>
        <v>EdTech</v>
      </c>
      <c r="M382" s="21" t="str">
        <f aca="false">INDEX(Companies!$D$2:$D$31,MATCH(C382,Companies!$A$2:$A$31,0))</f>
        <v>Tier 3</v>
      </c>
      <c r="N382" s="34" t="n">
        <f aca="false">MATCH(F382,Assumptions!$K$4:$K$8,0)</f>
        <v>1</v>
      </c>
      <c r="O382" s="21" t="str">
        <f aca="false">IF(H382="Yes",MONTH(I382),"")</f>
        <v/>
      </c>
      <c r="P382" s="21" t="str">
        <f aca="false">IF(H382="Yes",B382,"")</f>
        <v/>
      </c>
    </row>
    <row r="383" customFormat="false" ht="15" hidden="false" customHeight="false" outlineLevel="0" collapsed="false">
      <c r="A383" s="21" t="s">
        <v>1598</v>
      </c>
      <c r="B383" s="21" t="s">
        <v>239</v>
      </c>
      <c r="C383" s="21" t="s">
        <v>1298</v>
      </c>
      <c r="D383" s="21" t="s">
        <v>1181</v>
      </c>
      <c r="E383" s="33" t="n">
        <v>45223</v>
      </c>
      <c r="F383" s="21" t="s">
        <v>1178</v>
      </c>
      <c r="G383" s="32"/>
      <c r="H383" s="21"/>
      <c r="I383" s="33"/>
      <c r="J383" s="21" t="str">
        <f aca="false">INDEX(Students!$C$2:$C$601,MATCH(B383,Students!$A$2:$A$601,0))</f>
        <v>Batch 2024</v>
      </c>
      <c r="K383" s="21" t="str">
        <f aca="false">INDEX(Students!$D$2:$D$601,MATCH(B383,Students!$A$2:$A$601,0))</f>
        <v>Full Stack Development</v>
      </c>
      <c r="L383" s="21" t="str">
        <f aca="false">INDEX(Companies!$C$2:$C$31,MATCH(C383,Companies!$A$2:$A$31,0))</f>
        <v>Fintech</v>
      </c>
      <c r="M383" s="21" t="str">
        <f aca="false">INDEX(Companies!$D$2:$D$31,MATCH(C383,Companies!$A$2:$A$31,0))</f>
        <v>Tier 2</v>
      </c>
      <c r="N383" s="34" t="n">
        <f aca="false">MATCH(F383,Assumptions!$K$4:$K$8,0)</f>
        <v>2</v>
      </c>
      <c r="O383" s="21" t="str">
        <f aca="false">IF(H383="Yes",MONTH(I383),"")</f>
        <v/>
      </c>
      <c r="P383" s="21" t="str">
        <f aca="false">IF(H383="Yes",B383,"")</f>
        <v/>
      </c>
    </row>
    <row r="384" customFormat="false" ht="15" hidden="false" customHeight="false" outlineLevel="0" collapsed="false">
      <c r="A384" s="21" t="s">
        <v>1599</v>
      </c>
      <c r="B384" s="21" t="s">
        <v>299</v>
      </c>
      <c r="C384" s="21" t="s">
        <v>1290</v>
      </c>
      <c r="D384" s="21" t="s">
        <v>1188</v>
      </c>
      <c r="E384" s="33" t="n">
        <v>45223</v>
      </c>
      <c r="F384" s="21" t="s">
        <v>1197</v>
      </c>
      <c r="G384" s="32"/>
      <c r="H384" s="21"/>
      <c r="I384" s="33"/>
      <c r="J384" s="21" t="str">
        <f aca="false">INDEX(Students!$C$2:$C$601,MATCH(B384,Students!$A$2:$A$601,0))</f>
        <v>Batch 2024</v>
      </c>
      <c r="K384" s="21" t="str">
        <f aca="false">INDEX(Students!$D$2:$D$601,MATCH(B384,Students!$A$2:$A$601,0))</f>
        <v>Data Analytics</v>
      </c>
      <c r="L384" s="21" t="str">
        <f aca="false">INDEX(Companies!$C$2:$C$31,MATCH(C384,Companies!$A$2:$A$31,0))</f>
        <v>Fintech</v>
      </c>
      <c r="M384" s="21" t="str">
        <f aca="false">INDEX(Companies!$D$2:$D$31,MATCH(C384,Companies!$A$2:$A$31,0))</f>
        <v>Tier 2</v>
      </c>
      <c r="N384" s="34" t="n">
        <f aca="false">MATCH(F384,Assumptions!$K$4:$K$8,0)</f>
        <v>3</v>
      </c>
      <c r="O384" s="21" t="str">
        <f aca="false">IF(H384="Yes",MONTH(I384),"")</f>
        <v/>
      </c>
      <c r="P384" s="21" t="str">
        <f aca="false">IF(H384="Yes",B384,"")</f>
        <v/>
      </c>
    </row>
    <row r="385" customFormat="false" ht="15" hidden="false" customHeight="false" outlineLevel="0" collapsed="false">
      <c r="A385" s="21" t="s">
        <v>1600</v>
      </c>
      <c r="B385" s="21" t="s">
        <v>374</v>
      </c>
      <c r="C385" s="21" t="s">
        <v>1263</v>
      </c>
      <c r="D385" s="21" t="s">
        <v>1243</v>
      </c>
      <c r="E385" s="33" t="n">
        <v>45223</v>
      </c>
      <c r="F385" s="21" t="s">
        <v>1218</v>
      </c>
      <c r="G385" s="32"/>
      <c r="H385" s="21"/>
      <c r="I385" s="33"/>
      <c r="J385" s="21" t="str">
        <f aca="false">INDEX(Students!$C$2:$C$601,MATCH(B385,Students!$A$2:$A$601,0))</f>
        <v>Batch 2024</v>
      </c>
      <c r="K385" s="21" t="str">
        <f aca="false">INDEX(Students!$D$2:$D$601,MATCH(B385,Students!$A$2:$A$601,0))</f>
        <v>Data Science &amp; ML</v>
      </c>
      <c r="L385" s="21" t="str">
        <f aca="false">INDEX(Companies!$C$2:$C$31,MATCH(C385,Companies!$A$2:$A$31,0))</f>
        <v>Analytics &amp; Consulting</v>
      </c>
      <c r="M385" s="21" t="str">
        <f aca="false">INDEX(Companies!$D$2:$D$31,MATCH(C385,Companies!$A$2:$A$31,0))</f>
        <v>Tier 2</v>
      </c>
      <c r="N385" s="34" t="n">
        <f aca="false">MATCH(F385,Assumptions!$K$4:$K$8,0)</f>
        <v>4</v>
      </c>
      <c r="O385" s="21" t="str">
        <f aca="false">IF(H385="Yes",MONTH(I385),"")</f>
        <v/>
      </c>
      <c r="P385" s="21" t="str">
        <f aca="false">IF(H385="Yes",B385,"")</f>
        <v/>
      </c>
    </row>
    <row r="386" customFormat="false" ht="15" hidden="false" customHeight="false" outlineLevel="0" collapsed="false">
      <c r="A386" s="21" t="s">
        <v>1601</v>
      </c>
      <c r="B386" s="21" t="s">
        <v>325</v>
      </c>
      <c r="C386" s="21" t="s">
        <v>1255</v>
      </c>
      <c r="D386" s="21" t="s">
        <v>1243</v>
      </c>
      <c r="E386" s="33" t="n">
        <v>45223</v>
      </c>
      <c r="F386" s="21" t="s">
        <v>1185</v>
      </c>
      <c r="G386" s="32" t="n">
        <v>4.5</v>
      </c>
      <c r="H386" s="21" t="s">
        <v>120</v>
      </c>
      <c r="I386" s="33" t="n">
        <v>45252</v>
      </c>
      <c r="J386" s="21" t="str">
        <f aca="false">INDEX(Students!$C$2:$C$601,MATCH(B386,Students!$A$2:$A$601,0))</f>
        <v>Batch 2024</v>
      </c>
      <c r="K386" s="21" t="str">
        <f aca="false">INDEX(Students!$D$2:$D$601,MATCH(B386,Students!$A$2:$A$601,0))</f>
        <v>Data Science &amp; ML</v>
      </c>
      <c r="L386" s="21" t="str">
        <f aca="false">INDEX(Companies!$C$2:$C$31,MATCH(C386,Companies!$A$2:$A$31,0))</f>
        <v>IT Services</v>
      </c>
      <c r="M386" s="21" t="str">
        <f aca="false">INDEX(Companies!$D$2:$D$31,MATCH(C386,Companies!$A$2:$A$31,0))</f>
        <v>Tier 3</v>
      </c>
      <c r="N386" s="34" t="n">
        <f aca="false">MATCH(F386,Assumptions!$K$4:$K$8,0)</f>
        <v>5</v>
      </c>
      <c r="O386" s="21" t="n">
        <f aca="false">IF(H386="Yes",MONTH(I386),"")</f>
        <v>11</v>
      </c>
      <c r="P386" s="21" t="str">
        <f aca="false">IF(H386="Yes",B386,"")</f>
        <v>S0109</v>
      </c>
    </row>
    <row r="387" customFormat="false" ht="15" hidden="false" customHeight="false" outlineLevel="0" collapsed="false">
      <c r="A387" s="21" t="s">
        <v>1602</v>
      </c>
      <c r="B387" s="21" t="s">
        <v>332</v>
      </c>
      <c r="C387" s="21" t="s">
        <v>1177</v>
      </c>
      <c r="D387" s="21" t="s">
        <v>1240</v>
      </c>
      <c r="E387" s="33" t="n">
        <v>45224</v>
      </c>
      <c r="F387" s="21" t="s">
        <v>1185</v>
      </c>
      <c r="G387" s="32" t="n">
        <v>5.5</v>
      </c>
      <c r="H387" s="21" t="s">
        <v>120</v>
      </c>
      <c r="I387" s="33" t="n">
        <v>45271</v>
      </c>
      <c r="J387" s="21" t="str">
        <f aca="false">INDEX(Students!$C$2:$C$601,MATCH(B387,Students!$A$2:$A$601,0))</f>
        <v>Batch 2024</v>
      </c>
      <c r="K387" s="21" t="str">
        <f aca="false">INDEX(Students!$D$2:$D$601,MATCH(B387,Students!$A$2:$A$601,0))</f>
        <v>Cybersecurity</v>
      </c>
      <c r="L387" s="21" t="str">
        <f aca="false">INDEX(Companies!$C$2:$C$31,MATCH(C387,Companies!$A$2:$A$31,0))</f>
        <v>IT Services</v>
      </c>
      <c r="M387" s="21" t="str">
        <f aca="false">INDEX(Companies!$D$2:$D$31,MATCH(C387,Companies!$A$2:$A$31,0))</f>
        <v>Tier 3</v>
      </c>
      <c r="N387" s="34" t="n">
        <f aca="false">MATCH(F387,Assumptions!$K$4:$K$8,0)</f>
        <v>5</v>
      </c>
      <c r="O387" s="21" t="n">
        <f aca="false">IF(H387="Yes",MONTH(I387),"")</f>
        <v>12</v>
      </c>
      <c r="P387" s="21" t="str">
        <f aca="false">IF(H387="Yes",B387,"")</f>
        <v>S0113</v>
      </c>
    </row>
    <row r="388" customFormat="false" ht="15" hidden="false" customHeight="false" outlineLevel="0" collapsed="false">
      <c r="A388" s="21" t="s">
        <v>1603</v>
      </c>
      <c r="B388" s="21" t="s">
        <v>255</v>
      </c>
      <c r="C388" s="21" t="s">
        <v>1230</v>
      </c>
      <c r="D388" s="21" t="s">
        <v>1188</v>
      </c>
      <c r="E388" s="33" t="n">
        <v>45224</v>
      </c>
      <c r="F388" s="21" t="s">
        <v>1178</v>
      </c>
      <c r="G388" s="32"/>
      <c r="H388" s="21"/>
      <c r="I388" s="33"/>
      <c r="J388" s="21" t="str">
        <f aca="false">INDEX(Students!$C$2:$C$601,MATCH(B388,Students!$A$2:$A$601,0))</f>
        <v>Batch 2024</v>
      </c>
      <c r="K388" s="21" t="str">
        <f aca="false">INDEX(Students!$D$2:$D$601,MATCH(B388,Students!$A$2:$A$601,0))</f>
        <v>Data Analytics</v>
      </c>
      <c r="L388" s="21" t="str">
        <f aca="false">INDEX(Companies!$C$2:$C$31,MATCH(C388,Companies!$A$2:$A$31,0))</f>
        <v>IT Services</v>
      </c>
      <c r="M388" s="21" t="str">
        <f aca="false">INDEX(Companies!$D$2:$D$31,MATCH(C388,Companies!$A$2:$A$31,0))</f>
        <v>Tier 3</v>
      </c>
      <c r="N388" s="34" t="n">
        <f aca="false">MATCH(F388,Assumptions!$K$4:$K$8,0)</f>
        <v>2</v>
      </c>
      <c r="O388" s="21" t="str">
        <f aca="false">IF(H388="Yes",MONTH(I388),"")</f>
        <v/>
      </c>
      <c r="P388" s="21" t="str">
        <f aca="false">IF(H388="Yes",B388,"")</f>
        <v/>
      </c>
    </row>
    <row r="389" customFormat="false" ht="15" hidden="false" customHeight="false" outlineLevel="0" collapsed="false">
      <c r="A389" s="21" t="s">
        <v>1604</v>
      </c>
      <c r="B389" s="21" t="s">
        <v>433</v>
      </c>
      <c r="C389" s="21" t="s">
        <v>1225</v>
      </c>
      <c r="D389" s="21" t="s">
        <v>1181</v>
      </c>
      <c r="E389" s="33" t="n">
        <v>45224</v>
      </c>
      <c r="F389" s="21" t="s">
        <v>1178</v>
      </c>
      <c r="G389" s="32"/>
      <c r="H389" s="21"/>
      <c r="I389" s="33"/>
      <c r="J389" s="21" t="str">
        <f aca="false">INDEX(Students!$C$2:$C$601,MATCH(B389,Students!$A$2:$A$601,0))</f>
        <v>Batch 2024</v>
      </c>
      <c r="K389" s="21" t="str">
        <f aca="false">INDEX(Students!$D$2:$D$601,MATCH(B389,Students!$A$2:$A$601,0))</f>
        <v>Full Stack Development</v>
      </c>
      <c r="L389" s="21" t="str">
        <f aca="false">INDEX(Companies!$C$2:$C$31,MATCH(C389,Companies!$A$2:$A$31,0))</f>
        <v>EdTech</v>
      </c>
      <c r="M389" s="21" t="str">
        <f aca="false">INDEX(Companies!$D$2:$D$31,MATCH(C389,Companies!$A$2:$A$31,0))</f>
        <v>Tier 2</v>
      </c>
      <c r="N389" s="34" t="n">
        <f aca="false">MATCH(F389,Assumptions!$K$4:$K$8,0)</f>
        <v>2</v>
      </c>
      <c r="O389" s="21" t="str">
        <f aca="false">IF(H389="Yes",MONTH(I389),"")</f>
        <v/>
      </c>
      <c r="P389" s="21" t="str">
        <f aca="false">IF(H389="Yes",B389,"")</f>
        <v/>
      </c>
    </row>
    <row r="390" customFormat="false" ht="15" hidden="false" customHeight="false" outlineLevel="0" collapsed="false">
      <c r="A390" s="21" t="s">
        <v>1605</v>
      </c>
      <c r="B390" s="21" t="s">
        <v>336</v>
      </c>
      <c r="C390" s="21" t="s">
        <v>1187</v>
      </c>
      <c r="D390" s="21" t="s">
        <v>1174</v>
      </c>
      <c r="E390" s="33" t="n">
        <v>45224</v>
      </c>
      <c r="F390" s="21" t="s">
        <v>1185</v>
      </c>
      <c r="G390" s="32" t="n">
        <v>26.1</v>
      </c>
      <c r="H390" s="21" t="s">
        <v>120</v>
      </c>
      <c r="I390" s="33" t="n">
        <v>45269</v>
      </c>
      <c r="J390" s="21" t="str">
        <f aca="false">INDEX(Students!$C$2:$C$601,MATCH(B390,Students!$A$2:$A$601,0))</f>
        <v>Batch 2024</v>
      </c>
      <c r="K390" s="21" t="str">
        <f aca="false">INDEX(Students!$D$2:$D$601,MATCH(B390,Students!$A$2:$A$601,0))</f>
        <v>Full Stack Development</v>
      </c>
      <c r="L390" s="21" t="str">
        <f aca="false">INDEX(Companies!$C$2:$C$31,MATCH(C390,Companies!$A$2:$A$31,0))</f>
        <v>Product</v>
      </c>
      <c r="M390" s="21" t="str">
        <f aca="false">INDEX(Companies!$D$2:$D$31,MATCH(C390,Companies!$A$2:$A$31,0))</f>
        <v>Tier 1</v>
      </c>
      <c r="N390" s="34" t="n">
        <f aca="false">MATCH(F390,Assumptions!$K$4:$K$8,0)</f>
        <v>5</v>
      </c>
      <c r="O390" s="21" t="n">
        <f aca="false">IF(H390="Yes",MONTH(I390),"")</f>
        <v>12</v>
      </c>
      <c r="P390" s="21" t="str">
        <f aca="false">IF(H390="Yes",B390,"")</f>
        <v>S0115</v>
      </c>
    </row>
    <row r="391" customFormat="false" ht="15" hidden="false" customHeight="false" outlineLevel="0" collapsed="false">
      <c r="A391" s="21" t="s">
        <v>1606</v>
      </c>
      <c r="B391" s="21" t="s">
        <v>438</v>
      </c>
      <c r="C391" s="21" t="s">
        <v>1183</v>
      </c>
      <c r="D391" s="21" t="s">
        <v>1240</v>
      </c>
      <c r="E391" s="33" t="n">
        <v>45224</v>
      </c>
      <c r="F391" s="21" t="s">
        <v>1178</v>
      </c>
      <c r="G391" s="32"/>
      <c r="H391" s="21"/>
      <c r="I391" s="33"/>
      <c r="J391" s="21" t="str">
        <f aca="false">INDEX(Students!$C$2:$C$601,MATCH(B391,Students!$A$2:$A$601,0))</f>
        <v>Batch 2024</v>
      </c>
      <c r="K391" s="21" t="str">
        <f aca="false">INDEX(Students!$D$2:$D$601,MATCH(B391,Students!$A$2:$A$601,0))</f>
        <v>Cybersecurity</v>
      </c>
      <c r="L391" s="21" t="str">
        <f aca="false">INDEX(Companies!$C$2:$C$31,MATCH(C391,Companies!$A$2:$A$31,0))</f>
        <v>E-commerce</v>
      </c>
      <c r="M391" s="21" t="str">
        <f aca="false">INDEX(Companies!$D$2:$D$31,MATCH(C391,Companies!$A$2:$A$31,0))</f>
        <v>Tier 2</v>
      </c>
      <c r="N391" s="34" t="n">
        <f aca="false">MATCH(F391,Assumptions!$K$4:$K$8,0)</f>
        <v>2</v>
      </c>
      <c r="O391" s="21" t="str">
        <f aca="false">IF(H391="Yes",MONTH(I391),"")</f>
        <v/>
      </c>
      <c r="P391" s="21" t="str">
        <f aca="false">IF(H391="Yes",B391,"")</f>
        <v/>
      </c>
    </row>
    <row r="392" customFormat="false" ht="15" hidden="false" customHeight="false" outlineLevel="0" collapsed="false">
      <c r="A392" s="21" t="s">
        <v>1607</v>
      </c>
      <c r="B392" s="21" t="s">
        <v>167</v>
      </c>
      <c r="C392" s="21" t="s">
        <v>1322</v>
      </c>
      <c r="D392" s="21" t="s">
        <v>1188</v>
      </c>
      <c r="E392" s="33" t="n">
        <v>45225</v>
      </c>
      <c r="F392" s="21" t="s">
        <v>1197</v>
      </c>
      <c r="G392" s="32"/>
      <c r="H392" s="21"/>
      <c r="I392" s="33"/>
      <c r="J392" s="21" t="str">
        <f aca="false">INDEX(Students!$C$2:$C$601,MATCH(B392,Students!$A$2:$A$601,0))</f>
        <v>Batch 2024</v>
      </c>
      <c r="K392" s="21" t="str">
        <f aca="false">INDEX(Students!$D$2:$D$601,MATCH(B392,Students!$A$2:$A$601,0))</f>
        <v>Data Analytics</v>
      </c>
      <c r="L392" s="21" t="str">
        <f aca="false">INDEX(Companies!$C$2:$C$31,MATCH(C392,Companies!$A$2:$A$31,0))</f>
        <v>Healthtech</v>
      </c>
      <c r="M392" s="21" t="str">
        <f aca="false">INDEX(Companies!$D$2:$D$31,MATCH(C392,Companies!$A$2:$A$31,0))</f>
        <v>Tier 2</v>
      </c>
      <c r="N392" s="34" t="n">
        <f aca="false">MATCH(F392,Assumptions!$K$4:$K$8,0)</f>
        <v>3</v>
      </c>
      <c r="O392" s="21" t="str">
        <f aca="false">IF(H392="Yes",MONTH(I392),"")</f>
        <v/>
      </c>
      <c r="P392" s="21" t="str">
        <f aca="false">IF(H392="Yes",B392,"")</f>
        <v/>
      </c>
    </row>
    <row r="393" customFormat="false" ht="15" hidden="false" customHeight="false" outlineLevel="0" collapsed="false">
      <c r="A393" s="21" t="s">
        <v>1608</v>
      </c>
      <c r="B393" s="21" t="s">
        <v>433</v>
      </c>
      <c r="C393" s="21" t="s">
        <v>1298</v>
      </c>
      <c r="D393" s="21" t="s">
        <v>1174</v>
      </c>
      <c r="E393" s="33" t="n">
        <v>45225</v>
      </c>
      <c r="F393" s="21" t="s">
        <v>1178</v>
      </c>
      <c r="G393" s="32"/>
      <c r="H393" s="21"/>
      <c r="I393" s="33"/>
      <c r="J393" s="21" t="str">
        <f aca="false">INDEX(Students!$C$2:$C$601,MATCH(B393,Students!$A$2:$A$601,0))</f>
        <v>Batch 2024</v>
      </c>
      <c r="K393" s="21" t="str">
        <f aca="false">INDEX(Students!$D$2:$D$601,MATCH(B393,Students!$A$2:$A$601,0))</f>
        <v>Full Stack Development</v>
      </c>
      <c r="L393" s="21" t="str">
        <f aca="false">INDEX(Companies!$C$2:$C$31,MATCH(C393,Companies!$A$2:$A$31,0))</f>
        <v>Fintech</v>
      </c>
      <c r="M393" s="21" t="str">
        <f aca="false">INDEX(Companies!$D$2:$D$31,MATCH(C393,Companies!$A$2:$A$31,0))</f>
        <v>Tier 2</v>
      </c>
      <c r="N393" s="34" t="n">
        <f aca="false">MATCH(F393,Assumptions!$K$4:$K$8,0)</f>
        <v>2</v>
      </c>
      <c r="O393" s="21" t="str">
        <f aca="false">IF(H393="Yes",MONTH(I393),"")</f>
        <v/>
      </c>
      <c r="P393" s="21" t="str">
        <f aca="false">IF(H393="Yes",B393,"")</f>
        <v/>
      </c>
    </row>
    <row r="394" customFormat="false" ht="15" hidden="false" customHeight="false" outlineLevel="0" collapsed="false">
      <c r="A394" s="21" t="s">
        <v>1609</v>
      </c>
      <c r="B394" s="21" t="s">
        <v>139</v>
      </c>
      <c r="C394" s="21" t="s">
        <v>1309</v>
      </c>
      <c r="D394" s="21" t="s">
        <v>1174</v>
      </c>
      <c r="E394" s="33" t="n">
        <v>45225</v>
      </c>
      <c r="F394" s="21" t="s">
        <v>1175</v>
      </c>
      <c r="G394" s="32"/>
      <c r="H394" s="21"/>
      <c r="I394" s="33"/>
      <c r="J394" s="21" t="str">
        <f aca="false">INDEX(Students!$C$2:$C$601,MATCH(B394,Students!$A$2:$A$601,0))</f>
        <v>Batch 2024</v>
      </c>
      <c r="K394" s="21" t="str">
        <f aca="false">INDEX(Students!$D$2:$D$601,MATCH(B394,Students!$A$2:$A$601,0))</f>
        <v>Full Stack Development</v>
      </c>
      <c r="L394" s="21" t="str">
        <f aca="false">INDEX(Companies!$C$2:$C$31,MATCH(C394,Companies!$A$2:$A$31,0))</f>
        <v>EdTech</v>
      </c>
      <c r="M394" s="21" t="str">
        <f aca="false">INDEX(Companies!$D$2:$D$31,MATCH(C394,Companies!$A$2:$A$31,0))</f>
        <v>Tier 2</v>
      </c>
      <c r="N394" s="34" t="n">
        <f aca="false">MATCH(F394,Assumptions!$K$4:$K$8,0)</f>
        <v>1</v>
      </c>
      <c r="O394" s="21" t="str">
        <f aca="false">IF(H394="Yes",MONTH(I394),"")</f>
        <v/>
      </c>
      <c r="P394" s="21" t="str">
        <f aca="false">IF(H394="Yes",B394,"")</f>
        <v/>
      </c>
    </row>
    <row r="395" customFormat="false" ht="15" hidden="false" customHeight="false" outlineLevel="0" collapsed="false">
      <c r="A395" s="21" t="s">
        <v>1610</v>
      </c>
      <c r="B395" s="21" t="s">
        <v>350</v>
      </c>
      <c r="C395" s="21" t="s">
        <v>1298</v>
      </c>
      <c r="D395" s="21" t="s">
        <v>1188</v>
      </c>
      <c r="E395" s="33" t="n">
        <v>45226</v>
      </c>
      <c r="F395" s="21" t="s">
        <v>1175</v>
      </c>
      <c r="G395" s="32"/>
      <c r="H395" s="21"/>
      <c r="I395" s="33"/>
      <c r="J395" s="21" t="str">
        <f aca="false">INDEX(Students!$C$2:$C$601,MATCH(B395,Students!$A$2:$A$601,0))</f>
        <v>Batch 2024</v>
      </c>
      <c r="K395" s="21" t="str">
        <f aca="false">INDEX(Students!$D$2:$D$601,MATCH(B395,Students!$A$2:$A$601,0))</f>
        <v>Data Analytics</v>
      </c>
      <c r="L395" s="21" t="str">
        <f aca="false">INDEX(Companies!$C$2:$C$31,MATCH(C395,Companies!$A$2:$A$31,0))</f>
        <v>Fintech</v>
      </c>
      <c r="M395" s="21" t="str">
        <f aca="false">INDEX(Companies!$D$2:$D$31,MATCH(C395,Companies!$A$2:$A$31,0))</f>
        <v>Tier 2</v>
      </c>
      <c r="N395" s="34" t="n">
        <f aca="false">MATCH(F395,Assumptions!$K$4:$K$8,0)</f>
        <v>1</v>
      </c>
      <c r="O395" s="21" t="str">
        <f aca="false">IF(H395="Yes",MONTH(I395),"")</f>
        <v/>
      </c>
      <c r="P395" s="21" t="str">
        <f aca="false">IF(H395="Yes",B395,"")</f>
        <v/>
      </c>
    </row>
    <row r="396" customFormat="false" ht="15" hidden="false" customHeight="false" outlineLevel="0" collapsed="false">
      <c r="A396" s="21" t="s">
        <v>1611</v>
      </c>
      <c r="B396" s="21" t="s">
        <v>237</v>
      </c>
      <c r="C396" s="21" t="s">
        <v>1216</v>
      </c>
      <c r="D396" s="21" t="s">
        <v>1174</v>
      </c>
      <c r="E396" s="33" t="n">
        <v>45226</v>
      </c>
      <c r="F396" s="21" t="s">
        <v>1175</v>
      </c>
      <c r="G396" s="32"/>
      <c r="H396" s="21"/>
      <c r="I396" s="33"/>
      <c r="J396" s="21" t="str">
        <f aca="false">INDEX(Students!$C$2:$C$601,MATCH(B396,Students!$A$2:$A$601,0))</f>
        <v>Batch 2024</v>
      </c>
      <c r="K396" s="21" t="str">
        <f aca="false">INDEX(Students!$D$2:$D$601,MATCH(B396,Students!$A$2:$A$601,0))</f>
        <v>Full Stack Development</v>
      </c>
      <c r="L396" s="21" t="str">
        <f aca="false">INDEX(Companies!$C$2:$C$31,MATCH(C396,Companies!$A$2:$A$31,0))</f>
        <v>IT Services</v>
      </c>
      <c r="M396" s="21" t="str">
        <f aca="false">INDEX(Companies!$D$2:$D$31,MATCH(C396,Companies!$A$2:$A$31,0))</f>
        <v>Tier 3</v>
      </c>
      <c r="N396" s="34" t="n">
        <f aca="false">MATCH(F396,Assumptions!$K$4:$K$8,0)</f>
        <v>1</v>
      </c>
      <c r="O396" s="21" t="str">
        <f aca="false">IF(H396="Yes",MONTH(I396),"")</f>
        <v/>
      </c>
      <c r="P396" s="21" t="str">
        <f aca="false">IF(H396="Yes",B396,"")</f>
        <v/>
      </c>
    </row>
    <row r="397" customFormat="false" ht="15" hidden="false" customHeight="false" outlineLevel="0" collapsed="false">
      <c r="A397" s="21" t="s">
        <v>1612</v>
      </c>
      <c r="B397" s="21" t="s">
        <v>358</v>
      </c>
      <c r="C397" s="21" t="s">
        <v>1180</v>
      </c>
      <c r="D397" s="21" t="s">
        <v>1243</v>
      </c>
      <c r="E397" s="33" t="n">
        <v>45226</v>
      </c>
      <c r="F397" s="21" t="s">
        <v>1185</v>
      </c>
      <c r="G397" s="32" t="n">
        <v>5.8</v>
      </c>
      <c r="H397" s="21" t="s">
        <v>120</v>
      </c>
      <c r="I397" s="33" t="n">
        <v>45271</v>
      </c>
      <c r="J397" s="21" t="str">
        <f aca="false">INDEX(Students!$C$2:$C$601,MATCH(B397,Students!$A$2:$A$601,0))</f>
        <v>Batch 2024</v>
      </c>
      <c r="K397" s="21" t="str">
        <f aca="false">INDEX(Students!$D$2:$D$601,MATCH(B397,Students!$A$2:$A$601,0))</f>
        <v>Data Science &amp; ML</v>
      </c>
      <c r="L397" s="21" t="str">
        <f aca="false">INDEX(Companies!$C$2:$C$31,MATCH(C397,Companies!$A$2:$A$31,0))</f>
        <v>IT Services</v>
      </c>
      <c r="M397" s="21" t="str">
        <f aca="false">INDEX(Companies!$D$2:$D$31,MATCH(C397,Companies!$A$2:$A$31,0))</f>
        <v>Tier 3</v>
      </c>
      <c r="N397" s="34" t="n">
        <f aca="false">MATCH(F397,Assumptions!$K$4:$K$8,0)</f>
        <v>5</v>
      </c>
      <c r="O397" s="21" t="n">
        <f aca="false">IF(H397="Yes",MONTH(I397),"")</f>
        <v>12</v>
      </c>
      <c r="P397" s="21" t="str">
        <f aca="false">IF(H397="Yes",B397,"")</f>
        <v>S0128</v>
      </c>
    </row>
    <row r="398" customFormat="false" ht="15" hidden="false" customHeight="false" outlineLevel="0" collapsed="false">
      <c r="A398" s="21" t="s">
        <v>1613</v>
      </c>
      <c r="B398" s="21" t="s">
        <v>414</v>
      </c>
      <c r="C398" s="21" t="s">
        <v>1239</v>
      </c>
      <c r="D398" s="21" t="s">
        <v>1181</v>
      </c>
      <c r="E398" s="33" t="n">
        <v>45226</v>
      </c>
      <c r="F398" s="21" t="s">
        <v>1185</v>
      </c>
      <c r="G398" s="32" t="n">
        <v>5.3</v>
      </c>
      <c r="H398" s="21" t="s">
        <v>113</v>
      </c>
      <c r="I398" s="33" t="n">
        <v>45262</v>
      </c>
      <c r="J398" s="21" t="str">
        <f aca="false">INDEX(Students!$C$2:$C$601,MATCH(B398,Students!$A$2:$A$601,0))</f>
        <v>Batch 2024</v>
      </c>
      <c r="K398" s="21" t="str">
        <f aca="false">INDEX(Students!$D$2:$D$601,MATCH(B398,Students!$A$2:$A$601,0))</f>
        <v>Full Stack Development</v>
      </c>
      <c r="L398" s="21" t="str">
        <f aca="false">INDEX(Companies!$C$2:$C$31,MATCH(C398,Companies!$A$2:$A$31,0))</f>
        <v>E-commerce</v>
      </c>
      <c r="M398" s="21" t="str">
        <f aca="false">INDEX(Companies!$D$2:$D$31,MATCH(C398,Companies!$A$2:$A$31,0))</f>
        <v>Tier 3</v>
      </c>
      <c r="N398" s="34" t="n">
        <f aca="false">MATCH(F398,Assumptions!$K$4:$K$8,0)</f>
        <v>5</v>
      </c>
      <c r="O398" s="21" t="str">
        <f aca="false">IF(H398="Yes",MONTH(I398),"")</f>
        <v/>
      </c>
      <c r="P398" s="21" t="str">
        <f aca="false">IF(H398="Yes",B398,"")</f>
        <v/>
      </c>
    </row>
    <row r="399" customFormat="false" ht="15" hidden="false" customHeight="false" outlineLevel="0" collapsed="false">
      <c r="A399" s="21" t="s">
        <v>1614</v>
      </c>
      <c r="B399" s="21" t="s">
        <v>227</v>
      </c>
      <c r="C399" s="21" t="s">
        <v>1290</v>
      </c>
      <c r="D399" s="21" t="s">
        <v>1191</v>
      </c>
      <c r="E399" s="33" t="n">
        <v>45227</v>
      </c>
      <c r="F399" s="21" t="s">
        <v>1185</v>
      </c>
      <c r="G399" s="32" t="n">
        <v>12.3</v>
      </c>
      <c r="H399" s="21" t="s">
        <v>120</v>
      </c>
      <c r="I399" s="33" t="n">
        <v>45273</v>
      </c>
      <c r="J399" s="21" t="str">
        <f aca="false">INDEX(Students!$C$2:$C$601,MATCH(B399,Students!$A$2:$A$601,0))</f>
        <v>Batch 2024</v>
      </c>
      <c r="K399" s="21" t="str">
        <f aca="false">INDEX(Students!$D$2:$D$601,MATCH(B399,Students!$A$2:$A$601,0))</f>
        <v>DSA with Java</v>
      </c>
      <c r="L399" s="21" t="str">
        <f aca="false">INDEX(Companies!$C$2:$C$31,MATCH(C399,Companies!$A$2:$A$31,0))</f>
        <v>Fintech</v>
      </c>
      <c r="M399" s="21" t="str">
        <f aca="false">INDEX(Companies!$D$2:$D$31,MATCH(C399,Companies!$A$2:$A$31,0))</f>
        <v>Tier 2</v>
      </c>
      <c r="N399" s="34" t="n">
        <f aca="false">MATCH(F399,Assumptions!$K$4:$K$8,0)</f>
        <v>5</v>
      </c>
      <c r="O399" s="21" t="n">
        <f aca="false">IF(H399="Yes",MONTH(I399),"")</f>
        <v>12</v>
      </c>
      <c r="P399" s="21" t="str">
        <f aca="false">IF(H399="Yes",B399,"")</f>
        <v>S0058</v>
      </c>
    </row>
    <row r="400" customFormat="false" ht="15" hidden="false" customHeight="false" outlineLevel="0" collapsed="false">
      <c r="A400" s="21" t="s">
        <v>1615</v>
      </c>
      <c r="B400" s="21" t="s">
        <v>259</v>
      </c>
      <c r="C400" s="21" t="s">
        <v>1275</v>
      </c>
      <c r="D400" s="21" t="s">
        <v>1174</v>
      </c>
      <c r="E400" s="33" t="n">
        <v>45227</v>
      </c>
      <c r="F400" s="21" t="s">
        <v>1218</v>
      </c>
      <c r="G400" s="32"/>
      <c r="H400" s="21"/>
      <c r="I400" s="33"/>
      <c r="J400" s="21" t="str">
        <f aca="false">INDEX(Students!$C$2:$C$601,MATCH(B400,Students!$A$2:$A$601,0))</f>
        <v>Batch 2024</v>
      </c>
      <c r="K400" s="21" t="str">
        <f aca="false">INDEX(Students!$D$2:$D$601,MATCH(B400,Students!$A$2:$A$601,0))</f>
        <v>Full Stack Development</v>
      </c>
      <c r="L400" s="21" t="str">
        <f aca="false">INDEX(Companies!$C$2:$C$31,MATCH(C400,Companies!$A$2:$A$31,0))</f>
        <v>Cybersecurity</v>
      </c>
      <c r="M400" s="21" t="str">
        <f aca="false">INDEX(Companies!$D$2:$D$31,MATCH(C400,Companies!$A$2:$A$31,0))</f>
        <v>Tier 2</v>
      </c>
      <c r="N400" s="34" t="n">
        <f aca="false">MATCH(F400,Assumptions!$K$4:$K$8,0)</f>
        <v>4</v>
      </c>
      <c r="O400" s="21" t="str">
        <f aca="false">IF(H400="Yes",MONTH(I400),"")</f>
        <v/>
      </c>
      <c r="P400" s="21" t="str">
        <f aca="false">IF(H400="Yes",B400,"")</f>
        <v/>
      </c>
    </row>
    <row r="401" customFormat="false" ht="15" hidden="false" customHeight="false" outlineLevel="0" collapsed="false">
      <c r="A401" s="21" t="s">
        <v>1616</v>
      </c>
      <c r="B401" s="21" t="s">
        <v>110</v>
      </c>
      <c r="C401" s="21" t="s">
        <v>1196</v>
      </c>
      <c r="D401" s="21" t="s">
        <v>1191</v>
      </c>
      <c r="E401" s="33" t="n">
        <v>45228</v>
      </c>
      <c r="F401" s="21" t="s">
        <v>1178</v>
      </c>
      <c r="G401" s="32"/>
      <c r="H401" s="21"/>
      <c r="I401" s="33"/>
      <c r="J401" s="21" t="str">
        <f aca="false">INDEX(Students!$C$2:$C$601,MATCH(B401,Students!$A$2:$A$601,0))</f>
        <v>Batch 2024</v>
      </c>
      <c r="K401" s="21" t="str">
        <f aca="false">INDEX(Students!$D$2:$D$601,MATCH(B401,Students!$A$2:$A$601,0))</f>
        <v>DSA with Java</v>
      </c>
      <c r="L401" s="21" t="str">
        <f aca="false">INDEX(Companies!$C$2:$C$31,MATCH(C401,Companies!$A$2:$A$31,0))</f>
        <v>IT Services</v>
      </c>
      <c r="M401" s="21" t="str">
        <f aca="false">INDEX(Companies!$D$2:$D$31,MATCH(C401,Companies!$A$2:$A$31,0))</f>
        <v>Tier 3</v>
      </c>
      <c r="N401" s="34" t="n">
        <f aca="false">MATCH(F401,Assumptions!$K$4:$K$8,0)</f>
        <v>2</v>
      </c>
      <c r="O401" s="21" t="str">
        <f aca="false">IF(H401="Yes",MONTH(I401),"")</f>
        <v/>
      </c>
      <c r="P401" s="21" t="str">
        <f aca="false">IF(H401="Yes",B401,"")</f>
        <v/>
      </c>
    </row>
    <row r="402" customFormat="false" ht="15" hidden="false" customHeight="false" outlineLevel="0" collapsed="false">
      <c r="A402" s="21" t="s">
        <v>1617</v>
      </c>
      <c r="B402" s="21" t="s">
        <v>141</v>
      </c>
      <c r="C402" s="21" t="s">
        <v>1180</v>
      </c>
      <c r="D402" s="21" t="s">
        <v>1181</v>
      </c>
      <c r="E402" s="33" t="n">
        <v>45228</v>
      </c>
      <c r="F402" s="21" t="s">
        <v>1197</v>
      </c>
      <c r="G402" s="32"/>
      <c r="H402" s="21"/>
      <c r="I402" s="33"/>
      <c r="J402" s="21" t="str">
        <f aca="false">INDEX(Students!$C$2:$C$601,MATCH(B402,Students!$A$2:$A$601,0))</f>
        <v>Batch 2024</v>
      </c>
      <c r="K402" s="21" t="str">
        <f aca="false">INDEX(Students!$D$2:$D$601,MATCH(B402,Students!$A$2:$A$601,0))</f>
        <v>Full Stack Development</v>
      </c>
      <c r="L402" s="21" t="str">
        <f aca="false">INDEX(Companies!$C$2:$C$31,MATCH(C402,Companies!$A$2:$A$31,0))</f>
        <v>IT Services</v>
      </c>
      <c r="M402" s="21" t="str">
        <f aca="false">INDEX(Companies!$D$2:$D$31,MATCH(C402,Companies!$A$2:$A$31,0))</f>
        <v>Tier 3</v>
      </c>
      <c r="N402" s="34" t="n">
        <f aca="false">MATCH(F402,Assumptions!$K$4:$K$8,0)</f>
        <v>3</v>
      </c>
      <c r="O402" s="21" t="str">
        <f aca="false">IF(H402="Yes",MONTH(I402),"")</f>
        <v/>
      </c>
      <c r="P402" s="21" t="str">
        <f aca="false">IF(H402="Yes",B402,"")</f>
        <v/>
      </c>
    </row>
    <row r="403" customFormat="false" ht="15" hidden="false" customHeight="false" outlineLevel="0" collapsed="false">
      <c r="A403" s="21" t="s">
        <v>1618</v>
      </c>
      <c r="B403" s="21" t="s">
        <v>227</v>
      </c>
      <c r="C403" s="21" t="s">
        <v>1255</v>
      </c>
      <c r="D403" s="21" t="s">
        <v>1184</v>
      </c>
      <c r="E403" s="33" t="n">
        <v>45228</v>
      </c>
      <c r="F403" s="21" t="s">
        <v>1175</v>
      </c>
      <c r="G403" s="32"/>
      <c r="H403" s="21"/>
      <c r="I403" s="33"/>
      <c r="J403" s="21" t="str">
        <f aca="false">INDEX(Students!$C$2:$C$601,MATCH(B403,Students!$A$2:$A$601,0))</f>
        <v>Batch 2024</v>
      </c>
      <c r="K403" s="21" t="str">
        <f aca="false">INDEX(Students!$D$2:$D$601,MATCH(B403,Students!$A$2:$A$601,0))</f>
        <v>DSA with Java</v>
      </c>
      <c r="L403" s="21" t="str">
        <f aca="false">INDEX(Companies!$C$2:$C$31,MATCH(C403,Companies!$A$2:$A$31,0))</f>
        <v>IT Services</v>
      </c>
      <c r="M403" s="21" t="str">
        <f aca="false">INDEX(Companies!$D$2:$D$31,MATCH(C403,Companies!$A$2:$A$31,0))</f>
        <v>Tier 3</v>
      </c>
      <c r="N403" s="34" t="n">
        <f aca="false">MATCH(F403,Assumptions!$K$4:$K$8,0)</f>
        <v>1</v>
      </c>
      <c r="O403" s="21" t="str">
        <f aca="false">IF(H403="Yes",MONTH(I403),"")</f>
        <v/>
      </c>
      <c r="P403" s="21" t="str">
        <f aca="false">IF(H403="Yes",B403,"")</f>
        <v/>
      </c>
    </row>
    <row r="404" customFormat="false" ht="15" hidden="false" customHeight="false" outlineLevel="0" collapsed="false">
      <c r="A404" s="21" t="s">
        <v>1619</v>
      </c>
      <c r="B404" s="21" t="s">
        <v>129</v>
      </c>
      <c r="C404" s="21" t="s">
        <v>1234</v>
      </c>
      <c r="D404" s="21" t="s">
        <v>1174</v>
      </c>
      <c r="E404" s="33" t="n">
        <v>45228</v>
      </c>
      <c r="F404" s="21" t="s">
        <v>1185</v>
      </c>
      <c r="G404" s="32" t="n">
        <v>4.6</v>
      </c>
      <c r="H404" s="21" t="s">
        <v>113</v>
      </c>
      <c r="I404" s="33" t="n">
        <v>45270</v>
      </c>
      <c r="J404" s="21" t="str">
        <f aca="false">INDEX(Students!$C$2:$C$601,MATCH(B404,Students!$A$2:$A$601,0))</f>
        <v>Batch 2024</v>
      </c>
      <c r="K404" s="21" t="str">
        <f aca="false">INDEX(Students!$D$2:$D$601,MATCH(B404,Students!$A$2:$A$601,0))</f>
        <v>Full Stack Development</v>
      </c>
      <c r="L404" s="21" t="str">
        <f aca="false">INDEX(Companies!$C$2:$C$31,MATCH(C404,Companies!$A$2:$A$31,0))</f>
        <v>EdTech</v>
      </c>
      <c r="M404" s="21" t="str">
        <f aca="false">INDEX(Companies!$D$2:$D$31,MATCH(C404,Companies!$A$2:$A$31,0))</f>
        <v>Tier 3</v>
      </c>
      <c r="N404" s="34" t="n">
        <f aca="false">MATCH(F404,Assumptions!$K$4:$K$8,0)</f>
        <v>5</v>
      </c>
      <c r="O404" s="21" t="str">
        <f aca="false">IF(H404="Yes",MONTH(I404),"")</f>
        <v/>
      </c>
      <c r="P404" s="21" t="str">
        <f aca="false">IF(H404="Yes",B404,"")</f>
        <v/>
      </c>
    </row>
    <row r="405" customFormat="false" ht="15" hidden="false" customHeight="false" outlineLevel="0" collapsed="false">
      <c r="A405" s="21" t="s">
        <v>1620</v>
      </c>
      <c r="B405" s="21" t="s">
        <v>327</v>
      </c>
      <c r="C405" s="21" t="s">
        <v>1177</v>
      </c>
      <c r="D405" s="21" t="s">
        <v>1191</v>
      </c>
      <c r="E405" s="33" t="n">
        <v>45229</v>
      </c>
      <c r="F405" s="21" t="s">
        <v>1185</v>
      </c>
      <c r="G405" s="32" t="n">
        <v>5.9</v>
      </c>
      <c r="H405" s="21" t="s">
        <v>113</v>
      </c>
      <c r="I405" s="33" t="n">
        <v>45255</v>
      </c>
      <c r="J405" s="21" t="str">
        <f aca="false">INDEX(Students!$C$2:$C$601,MATCH(B405,Students!$A$2:$A$601,0))</f>
        <v>Batch 2024</v>
      </c>
      <c r="K405" s="21" t="str">
        <f aca="false">INDEX(Students!$D$2:$D$601,MATCH(B405,Students!$A$2:$A$601,0))</f>
        <v>DSA with Java</v>
      </c>
      <c r="L405" s="21" t="str">
        <f aca="false">INDEX(Companies!$C$2:$C$31,MATCH(C405,Companies!$A$2:$A$31,0))</f>
        <v>IT Services</v>
      </c>
      <c r="M405" s="21" t="str">
        <f aca="false">INDEX(Companies!$D$2:$D$31,MATCH(C405,Companies!$A$2:$A$31,0))</f>
        <v>Tier 3</v>
      </c>
      <c r="N405" s="34" t="n">
        <f aca="false">MATCH(F405,Assumptions!$K$4:$K$8,0)</f>
        <v>5</v>
      </c>
      <c r="O405" s="21" t="str">
        <f aca="false">IF(H405="Yes",MONTH(I405),"")</f>
        <v/>
      </c>
      <c r="P405" s="21" t="str">
        <f aca="false">IF(H405="Yes",B405,"")</f>
        <v/>
      </c>
    </row>
    <row r="406" customFormat="false" ht="15" hidden="false" customHeight="false" outlineLevel="0" collapsed="false">
      <c r="A406" s="21" t="s">
        <v>1621</v>
      </c>
      <c r="B406" s="21" t="s">
        <v>235</v>
      </c>
      <c r="C406" s="21" t="s">
        <v>1199</v>
      </c>
      <c r="D406" s="21" t="s">
        <v>1194</v>
      </c>
      <c r="E406" s="33" t="n">
        <v>45229</v>
      </c>
      <c r="F406" s="21" t="s">
        <v>1185</v>
      </c>
      <c r="G406" s="32" t="n">
        <v>12.7</v>
      </c>
      <c r="H406" s="21" t="s">
        <v>120</v>
      </c>
      <c r="I406" s="33" t="n">
        <v>45261</v>
      </c>
      <c r="J406" s="21" t="str">
        <f aca="false">INDEX(Students!$C$2:$C$601,MATCH(B406,Students!$A$2:$A$601,0))</f>
        <v>Batch 2024</v>
      </c>
      <c r="K406" s="21" t="str">
        <f aca="false">INDEX(Students!$D$2:$D$601,MATCH(B406,Students!$A$2:$A$601,0))</f>
        <v>Data Science &amp; ML</v>
      </c>
      <c r="L406" s="21" t="str">
        <f aca="false">INDEX(Companies!$C$2:$C$31,MATCH(C406,Companies!$A$2:$A$31,0))</f>
        <v>E-commerce</v>
      </c>
      <c r="M406" s="21" t="str">
        <f aca="false">INDEX(Companies!$D$2:$D$31,MATCH(C406,Companies!$A$2:$A$31,0))</f>
        <v>Tier 2</v>
      </c>
      <c r="N406" s="34" t="n">
        <f aca="false">MATCH(F406,Assumptions!$K$4:$K$8,0)</f>
        <v>5</v>
      </c>
      <c r="O406" s="21" t="n">
        <f aca="false">IF(H406="Yes",MONTH(I406),"")</f>
        <v>12</v>
      </c>
      <c r="P406" s="21" t="str">
        <f aca="false">IF(H406="Yes",B406,"")</f>
        <v>S0063</v>
      </c>
    </row>
    <row r="407" customFormat="false" ht="15" hidden="false" customHeight="false" outlineLevel="0" collapsed="false">
      <c r="A407" s="21" t="s">
        <v>1622</v>
      </c>
      <c r="B407" s="21" t="s">
        <v>228</v>
      </c>
      <c r="C407" s="21" t="s">
        <v>1263</v>
      </c>
      <c r="D407" s="21" t="s">
        <v>1243</v>
      </c>
      <c r="E407" s="33" t="n">
        <v>45230</v>
      </c>
      <c r="F407" s="21" t="s">
        <v>1175</v>
      </c>
      <c r="G407" s="32"/>
      <c r="H407" s="21"/>
      <c r="I407" s="33"/>
      <c r="J407" s="21" t="str">
        <f aca="false">INDEX(Students!$C$2:$C$601,MATCH(B407,Students!$A$2:$A$601,0))</f>
        <v>Batch 2024</v>
      </c>
      <c r="K407" s="21" t="str">
        <f aca="false">INDEX(Students!$D$2:$D$601,MATCH(B407,Students!$A$2:$A$601,0))</f>
        <v>Data Science &amp; ML</v>
      </c>
      <c r="L407" s="21" t="str">
        <f aca="false">INDEX(Companies!$C$2:$C$31,MATCH(C407,Companies!$A$2:$A$31,0))</f>
        <v>Analytics &amp; Consulting</v>
      </c>
      <c r="M407" s="21" t="str">
        <f aca="false">INDEX(Companies!$D$2:$D$31,MATCH(C407,Companies!$A$2:$A$31,0))</f>
        <v>Tier 2</v>
      </c>
      <c r="N407" s="34" t="n">
        <f aca="false">MATCH(F407,Assumptions!$K$4:$K$8,0)</f>
        <v>1</v>
      </c>
      <c r="O407" s="21" t="str">
        <f aca="false">IF(H407="Yes",MONTH(I407),"")</f>
        <v/>
      </c>
      <c r="P407" s="21" t="str">
        <f aca="false">IF(H407="Yes",B407,"")</f>
        <v/>
      </c>
    </row>
    <row r="408" customFormat="false" ht="15" hidden="false" customHeight="false" outlineLevel="0" collapsed="false">
      <c r="A408" s="21" t="s">
        <v>1623</v>
      </c>
      <c r="B408" s="21" t="s">
        <v>264</v>
      </c>
      <c r="C408" s="21" t="s">
        <v>1255</v>
      </c>
      <c r="D408" s="21" t="s">
        <v>1194</v>
      </c>
      <c r="E408" s="33" t="n">
        <v>45230</v>
      </c>
      <c r="F408" s="21" t="s">
        <v>1185</v>
      </c>
      <c r="G408" s="32" t="n">
        <v>5.1</v>
      </c>
      <c r="H408" s="21" t="s">
        <v>113</v>
      </c>
      <c r="I408" s="33" t="n">
        <v>45267</v>
      </c>
      <c r="J408" s="21" t="str">
        <f aca="false">INDEX(Students!$C$2:$C$601,MATCH(B408,Students!$A$2:$A$601,0))</f>
        <v>Batch 2024</v>
      </c>
      <c r="K408" s="21" t="str">
        <f aca="false">INDEX(Students!$D$2:$D$601,MATCH(B408,Students!$A$2:$A$601,0))</f>
        <v>Data Science &amp; ML</v>
      </c>
      <c r="L408" s="21" t="str">
        <f aca="false">INDEX(Companies!$C$2:$C$31,MATCH(C408,Companies!$A$2:$A$31,0))</f>
        <v>IT Services</v>
      </c>
      <c r="M408" s="21" t="str">
        <f aca="false">INDEX(Companies!$D$2:$D$31,MATCH(C408,Companies!$A$2:$A$31,0))</f>
        <v>Tier 3</v>
      </c>
      <c r="N408" s="34" t="n">
        <f aca="false">MATCH(F408,Assumptions!$K$4:$K$8,0)</f>
        <v>5</v>
      </c>
      <c r="O408" s="21" t="str">
        <f aca="false">IF(H408="Yes",MONTH(I408),"")</f>
        <v/>
      </c>
      <c r="P408" s="21" t="str">
        <f aca="false">IF(H408="Yes",B408,"")</f>
        <v/>
      </c>
    </row>
    <row r="409" customFormat="false" ht="15" hidden="false" customHeight="false" outlineLevel="0" collapsed="false">
      <c r="A409" s="21" t="s">
        <v>1624</v>
      </c>
      <c r="B409" s="21" t="s">
        <v>145</v>
      </c>
      <c r="C409" s="21" t="s">
        <v>1230</v>
      </c>
      <c r="D409" s="21" t="s">
        <v>1226</v>
      </c>
      <c r="E409" s="33" t="n">
        <v>45231</v>
      </c>
      <c r="F409" s="21" t="s">
        <v>1197</v>
      </c>
      <c r="G409" s="32"/>
      <c r="H409" s="21"/>
      <c r="I409" s="33"/>
      <c r="J409" s="21" t="str">
        <f aca="false">INDEX(Students!$C$2:$C$601,MATCH(B409,Students!$A$2:$A$601,0))</f>
        <v>Batch 2024</v>
      </c>
      <c r="K409" s="21" t="str">
        <f aca="false">INDEX(Students!$D$2:$D$601,MATCH(B409,Students!$A$2:$A$601,0))</f>
        <v>Cybersecurity</v>
      </c>
      <c r="L409" s="21" t="str">
        <f aca="false">INDEX(Companies!$C$2:$C$31,MATCH(C409,Companies!$A$2:$A$31,0))</f>
        <v>IT Services</v>
      </c>
      <c r="M409" s="21" t="str">
        <f aca="false">INDEX(Companies!$D$2:$D$31,MATCH(C409,Companies!$A$2:$A$31,0))</f>
        <v>Tier 3</v>
      </c>
      <c r="N409" s="34" t="n">
        <f aca="false">MATCH(F409,Assumptions!$K$4:$K$8,0)</f>
        <v>3</v>
      </c>
      <c r="O409" s="21" t="str">
        <f aca="false">IF(H409="Yes",MONTH(I409),"")</f>
        <v/>
      </c>
      <c r="P409" s="21" t="str">
        <f aca="false">IF(H409="Yes",B409,"")</f>
        <v/>
      </c>
    </row>
    <row r="410" customFormat="false" ht="15" hidden="false" customHeight="false" outlineLevel="0" collapsed="false">
      <c r="A410" s="21" t="s">
        <v>1625</v>
      </c>
      <c r="B410" s="21" t="s">
        <v>231</v>
      </c>
      <c r="C410" s="21" t="s">
        <v>1201</v>
      </c>
      <c r="D410" s="21" t="s">
        <v>1181</v>
      </c>
      <c r="E410" s="33" t="n">
        <v>45231</v>
      </c>
      <c r="F410" s="21" t="s">
        <v>1178</v>
      </c>
      <c r="G410" s="32"/>
      <c r="H410" s="21"/>
      <c r="I410" s="33"/>
      <c r="J410" s="21" t="str">
        <f aca="false">INDEX(Students!$C$2:$C$601,MATCH(B410,Students!$A$2:$A$601,0))</f>
        <v>Batch 2024</v>
      </c>
      <c r="K410" s="21" t="str">
        <f aca="false">INDEX(Students!$D$2:$D$601,MATCH(B410,Students!$A$2:$A$601,0))</f>
        <v>Full Stack Development</v>
      </c>
      <c r="L410" s="21" t="str">
        <f aca="false">INDEX(Companies!$C$2:$C$31,MATCH(C410,Companies!$A$2:$A$31,0))</f>
        <v>IT Services</v>
      </c>
      <c r="M410" s="21" t="str">
        <f aca="false">INDEX(Companies!$D$2:$D$31,MATCH(C410,Companies!$A$2:$A$31,0))</f>
        <v>Tier 3</v>
      </c>
      <c r="N410" s="34" t="n">
        <f aca="false">MATCH(F410,Assumptions!$K$4:$K$8,0)</f>
        <v>2</v>
      </c>
      <c r="O410" s="21" t="str">
        <f aca="false">IF(H410="Yes",MONTH(I410),"")</f>
        <v/>
      </c>
      <c r="P410" s="21" t="str">
        <f aca="false">IF(H410="Yes",B410,"")</f>
        <v/>
      </c>
    </row>
    <row r="411" customFormat="false" ht="15" hidden="false" customHeight="false" outlineLevel="0" collapsed="false">
      <c r="A411" s="21" t="s">
        <v>1626</v>
      </c>
      <c r="B411" s="21" t="s">
        <v>270</v>
      </c>
      <c r="C411" s="21" t="s">
        <v>1183</v>
      </c>
      <c r="D411" s="21" t="s">
        <v>1181</v>
      </c>
      <c r="E411" s="33" t="n">
        <v>45231</v>
      </c>
      <c r="F411" s="21" t="s">
        <v>1218</v>
      </c>
      <c r="G411" s="32"/>
      <c r="H411" s="21"/>
      <c r="I411" s="33"/>
      <c r="J411" s="21" t="str">
        <f aca="false">INDEX(Students!$C$2:$C$601,MATCH(B411,Students!$A$2:$A$601,0))</f>
        <v>Batch 2024</v>
      </c>
      <c r="K411" s="21" t="str">
        <f aca="false">INDEX(Students!$D$2:$D$601,MATCH(B411,Students!$A$2:$A$601,0))</f>
        <v>Full Stack Development</v>
      </c>
      <c r="L411" s="21" t="str">
        <f aca="false">INDEX(Companies!$C$2:$C$31,MATCH(C411,Companies!$A$2:$A$31,0))</f>
        <v>E-commerce</v>
      </c>
      <c r="M411" s="21" t="str">
        <f aca="false">INDEX(Companies!$D$2:$D$31,MATCH(C411,Companies!$A$2:$A$31,0))</f>
        <v>Tier 2</v>
      </c>
      <c r="N411" s="34" t="n">
        <f aca="false">MATCH(F411,Assumptions!$K$4:$K$8,0)</f>
        <v>4</v>
      </c>
      <c r="O411" s="21" t="str">
        <f aca="false">IF(H411="Yes",MONTH(I411),"")</f>
        <v/>
      </c>
      <c r="P411" s="21" t="str">
        <f aca="false">IF(H411="Yes",B411,"")</f>
        <v/>
      </c>
    </row>
    <row r="412" customFormat="false" ht="15" hidden="false" customHeight="false" outlineLevel="0" collapsed="false">
      <c r="A412" s="21" t="s">
        <v>1627</v>
      </c>
      <c r="B412" s="21" t="s">
        <v>391</v>
      </c>
      <c r="C412" s="21" t="s">
        <v>1199</v>
      </c>
      <c r="D412" s="21" t="s">
        <v>1188</v>
      </c>
      <c r="E412" s="33" t="n">
        <v>45231</v>
      </c>
      <c r="F412" s="21" t="s">
        <v>1197</v>
      </c>
      <c r="G412" s="32"/>
      <c r="H412" s="21"/>
      <c r="I412" s="33"/>
      <c r="J412" s="21" t="str">
        <f aca="false">INDEX(Students!$C$2:$C$601,MATCH(B412,Students!$A$2:$A$601,0))</f>
        <v>Batch 2024</v>
      </c>
      <c r="K412" s="21" t="str">
        <f aca="false">INDEX(Students!$D$2:$D$601,MATCH(B412,Students!$A$2:$A$601,0))</f>
        <v>Data Analytics</v>
      </c>
      <c r="L412" s="21" t="str">
        <f aca="false">INDEX(Companies!$C$2:$C$31,MATCH(C412,Companies!$A$2:$A$31,0))</f>
        <v>E-commerce</v>
      </c>
      <c r="M412" s="21" t="str">
        <f aca="false">INDEX(Companies!$D$2:$D$31,MATCH(C412,Companies!$A$2:$A$31,0))</f>
        <v>Tier 2</v>
      </c>
      <c r="N412" s="34" t="n">
        <f aca="false">MATCH(F412,Assumptions!$K$4:$K$8,0)</f>
        <v>3</v>
      </c>
      <c r="O412" s="21" t="str">
        <f aca="false">IF(H412="Yes",MONTH(I412),"")</f>
        <v/>
      </c>
      <c r="P412" s="21" t="str">
        <f aca="false">IF(H412="Yes",B412,"")</f>
        <v/>
      </c>
    </row>
    <row r="413" customFormat="false" ht="15" hidden="false" customHeight="false" outlineLevel="0" collapsed="false">
      <c r="A413" s="21" t="s">
        <v>1628</v>
      </c>
      <c r="B413" s="21" t="s">
        <v>281</v>
      </c>
      <c r="C413" s="21" t="s">
        <v>1222</v>
      </c>
      <c r="D413" s="21" t="s">
        <v>1188</v>
      </c>
      <c r="E413" s="33" t="n">
        <v>45231</v>
      </c>
      <c r="F413" s="21" t="s">
        <v>1175</v>
      </c>
      <c r="G413" s="32"/>
      <c r="H413" s="21"/>
      <c r="I413" s="33"/>
      <c r="J413" s="21" t="str">
        <f aca="false">INDEX(Students!$C$2:$C$601,MATCH(B413,Students!$A$2:$A$601,0))</f>
        <v>Batch 2024</v>
      </c>
      <c r="K413" s="21" t="str">
        <f aca="false">INDEX(Students!$D$2:$D$601,MATCH(B413,Students!$A$2:$A$601,0))</f>
        <v>Data Analytics</v>
      </c>
      <c r="L413" s="21" t="str">
        <f aca="false">INDEX(Companies!$C$2:$C$31,MATCH(C413,Companies!$A$2:$A$31,0))</f>
        <v>Product</v>
      </c>
      <c r="M413" s="21" t="str">
        <f aca="false">INDEX(Companies!$D$2:$D$31,MATCH(C413,Companies!$A$2:$A$31,0))</f>
        <v>Tier 2</v>
      </c>
      <c r="N413" s="34" t="n">
        <f aca="false">MATCH(F413,Assumptions!$K$4:$K$8,0)</f>
        <v>1</v>
      </c>
      <c r="O413" s="21" t="str">
        <f aca="false">IF(H413="Yes",MONTH(I413),"")</f>
        <v/>
      </c>
      <c r="P413" s="21" t="str">
        <f aca="false">IF(H413="Yes",B413,"")</f>
        <v/>
      </c>
    </row>
    <row r="414" customFormat="false" ht="15" hidden="false" customHeight="false" outlineLevel="0" collapsed="false">
      <c r="A414" s="21" t="s">
        <v>1629</v>
      </c>
      <c r="B414" s="21" t="s">
        <v>327</v>
      </c>
      <c r="C414" s="21" t="s">
        <v>1201</v>
      </c>
      <c r="D414" s="21" t="s">
        <v>1191</v>
      </c>
      <c r="E414" s="33" t="n">
        <v>45231</v>
      </c>
      <c r="F414" s="21" t="s">
        <v>1178</v>
      </c>
      <c r="G414" s="32"/>
      <c r="H414" s="21"/>
      <c r="I414" s="33"/>
      <c r="J414" s="21" t="str">
        <f aca="false">INDEX(Students!$C$2:$C$601,MATCH(B414,Students!$A$2:$A$601,0))</f>
        <v>Batch 2024</v>
      </c>
      <c r="K414" s="21" t="str">
        <f aca="false">INDEX(Students!$D$2:$D$601,MATCH(B414,Students!$A$2:$A$601,0))</f>
        <v>DSA with Java</v>
      </c>
      <c r="L414" s="21" t="str">
        <f aca="false">INDEX(Companies!$C$2:$C$31,MATCH(C414,Companies!$A$2:$A$31,0))</f>
        <v>IT Services</v>
      </c>
      <c r="M414" s="21" t="str">
        <f aca="false">INDEX(Companies!$D$2:$D$31,MATCH(C414,Companies!$A$2:$A$31,0))</f>
        <v>Tier 3</v>
      </c>
      <c r="N414" s="34" t="n">
        <f aca="false">MATCH(F414,Assumptions!$K$4:$K$8,0)</f>
        <v>2</v>
      </c>
      <c r="O414" s="21" t="str">
        <f aca="false">IF(H414="Yes",MONTH(I414),"")</f>
        <v/>
      </c>
      <c r="P414" s="21" t="str">
        <f aca="false">IF(H414="Yes",B414,"")</f>
        <v/>
      </c>
    </row>
    <row r="415" customFormat="false" ht="15" hidden="false" customHeight="false" outlineLevel="0" collapsed="false">
      <c r="A415" s="21" t="s">
        <v>1630</v>
      </c>
      <c r="B415" s="21" t="s">
        <v>161</v>
      </c>
      <c r="C415" s="21" t="s">
        <v>1193</v>
      </c>
      <c r="D415" s="21" t="s">
        <v>1188</v>
      </c>
      <c r="E415" s="33" t="n">
        <v>45232</v>
      </c>
      <c r="F415" s="21" t="s">
        <v>1197</v>
      </c>
      <c r="G415" s="32"/>
      <c r="H415" s="21"/>
      <c r="I415" s="33"/>
      <c r="J415" s="21" t="str">
        <f aca="false">INDEX(Students!$C$2:$C$601,MATCH(B415,Students!$A$2:$A$601,0))</f>
        <v>Batch 2024</v>
      </c>
      <c r="K415" s="21" t="str">
        <f aca="false">INDEX(Students!$D$2:$D$601,MATCH(B415,Students!$A$2:$A$601,0))</f>
        <v>Data Analytics</v>
      </c>
      <c r="L415" s="21" t="str">
        <f aca="false">INDEX(Companies!$C$2:$C$31,MATCH(C415,Companies!$A$2:$A$31,0))</f>
        <v>Analytics &amp; Consulting</v>
      </c>
      <c r="M415" s="21" t="str">
        <f aca="false">INDEX(Companies!$D$2:$D$31,MATCH(C415,Companies!$A$2:$A$31,0))</f>
        <v>Tier 2</v>
      </c>
      <c r="N415" s="34" t="n">
        <f aca="false">MATCH(F415,Assumptions!$K$4:$K$8,0)</f>
        <v>3</v>
      </c>
      <c r="O415" s="21" t="str">
        <f aca="false">IF(H415="Yes",MONTH(I415),"")</f>
        <v/>
      </c>
      <c r="P415" s="21" t="str">
        <f aca="false">IF(H415="Yes",B415,"")</f>
        <v/>
      </c>
    </row>
    <row r="416" customFormat="false" ht="15" hidden="false" customHeight="false" outlineLevel="0" collapsed="false">
      <c r="A416" s="21" t="s">
        <v>1631</v>
      </c>
      <c r="B416" s="21" t="s">
        <v>358</v>
      </c>
      <c r="C416" s="21" t="s">
        <v>1205</v>
      </c>
      <c r="D416" s="21" t="s">
        <v>1243</v>
      </c>
      <c r="E416" s="33" t="n">
        <v>45232</v>
      </c>
      <c r="F416" s="21" t="s">
        <v>1185</v>
      </c>
      <c r="G416" s="32" t="n">
        <v>4.9</v>
      </c>
      <c r="H416" s="21" t="s">
        <v>113</v>
      </c>
      <c r="I416" s="33" t="n">
        <v>45276</v>
      </c>
      <c r="J416" s="21" t="str">
        <f aca="false">INDEX(Students!$C$2:$C$601,MATCH(B416,Students!$A$2:$A$601,0))</f>
        <v>Batch 2024</v>
      </c>
      <c r="K416" s="21" t="str">
        <f aca="false">INDEX(Students!$D$2:$D$601,MATCH(B416,Students!$A$2:$A$601,0))</f>
        <v>Data Science &amp; ML</v>
      </c>
      <c r="L416" s="21" t="str">
        <f aca="false">INDEX(Companies!$C$2:$C$31,MATCH(C416,Companies!$A$2:$A$31,0))</f>
        <v>Healthtech</v>
      </c>
      <c r="M416" s="21" t="str">
        <f aca="false">INDEX(Companies!$D$2:$D$31,MATCH(C416,Companies!$A$2:$A$31,0))</f>
        <v>Tier 3</v>
      </c>
      <c r="N416" s="34" t="n">
        <f aca="false">MATCH(F416,Assumptions!$K$4:$K$8,0)</f>
        <v>5</v>
      </c>
      <c r="O416" s="21" t="str">
        <f aca="false">IF(H416="Yes",MONTH(I416),"")</f>
        <v/>
      </c>
      <c r="P416" s="21" t="str">
        <f aca="false">IF(H416="Yes",B416,"")</f>
        <v/>
      </c>
    </row>
    <row r="417" customFormat="false" ht="15" hidden="false" customHeight="false" outlineLevel="0" collapsed="false">
      <c r="A417" s="21" t="s">
        <v>1632</v>
      </c>
      <c r="B417" s="21" t="s">
        <v>313</v>
      </c>
      <c r="C417" s="21" t="s">
        <v>1193</v>
      </c>
      <c r="D417" s="21" t="s">
        <v>1191</v>
      </c>
      <c r="E417" s="33" t="n">
        <v>45232</v>
      </c>
      <c r="F417" s="21" t="s">
        <v>1185</v>
      </c>
      <c r="G417" s="32" t="n">
        <v>13.7</v>
      </c>
      <c r="H417" s="21" t="s">
        <v>120</v>
      </c>
      <c r="I417" s="33" t="n">
        <v>45258</v>
      </c>
      <c r="J417" s="21" t="str">
        <f aca="false">INDEX(Students!$C$2:$C$601,MATCH(B417,Students!$A$2:$A$601,0))</f>
        <v>Batch 2024</v>
      </c>
      <c r="K417" s="21" t="str">
        <f aca="false">INDEX(Students!$D$2:$D$601,MATCH(B417,Students!$A$2:$A$601,0))</f>
        <v>DSA with Java</v>
      </c>
      <c r="L417" s="21" t="str">
        <f aca="false">INDEX(Companies!$C$2:$C$31,MATCH(C417,Companies!$A$2:$A$31,0))</f>
        <v>Analytics &amp; Consulting</v>
      </c>
      <c r="M417" s="21" t="str">
        <f aca="false">INDEX(Companies!$D$2:$D$31,MATCH(C417,Companies!$A$2:$A$31,0))</f>
        <v>Tier 2</v>
      </c>
      <c r="N417" s="34" t="n">
        <f aca="false">MATCH(F417,Assumptions!$K$4:$K$8,0)</f>
        <v>5</v>
      </c>
      <c r="O417" s="21" t="n">
        <f aca="false">IF(H417="Yes",MONTH(I417),"")</f>
        <v>11</v>
      </c>
      <c r="P417" s="21" t="str">
        <f aca="false">IF(H417="Yes",B417,"")</f>
        <v>S0103</v>
      </c>
    </row>
    <row r="418" customFormat="false" ht="15" hidden="false" customHeight="false" outlineLevel="0" collapsed="false">
      <c r="A418" s="21" t="s">
        <v>1633</v>
      </c>
      <c r="B418" s="21" t="s">
        <v>445</v>
      </c>
      <c r="C418" s="21" t="s">
        <v>1214</v>
      </c>
      <c r="D418" s="21" t="s">
        <v>1174</v>
      </c>
      <c r="E418" s="33" t="n">
        <v>45232</v>
      </c>
      <c r="F418" s="21" t="s">
        <v>1175</v>
      </c>
      <c r="G418" s="32"/>
      <c r="H418" s="21"/>
      <c r="I418" s="33"/>
      <c r="J418" s="21" t="str">
        <f aca="false">INDEX(Students!$C$2:$C$601,MATCH(B418,Students!$A$2:$A$601,0))</f>
        <v>Batch 2024</v>
      </c>
      <c r="K418" s="21" t="str">
        <f aca="false">INDEX(Students!$D$2:$D$601,MATCH(B418,Students!$A$2:$A$601,0))</f>
        <v>Full Stack Development</v>
      </c>
      <c r="L418" s="21" t="str">
        <f aca="false">INDEX(Companies!$C$2:$C$31,MATCH(C418,Companies!$A$2:$A$31,0))</f>
        <v>Product</v>
      </c>
      <c r="M418" s="21" t="str">
        <f aca="false">INDEX(Companies!$D$2:$D$31,MATCH(C418,Companies!$A$2:$A$31,0))</f>
        <v>Tier 1</v>
      </c>
      <c r="N418" s="34" t="n">
        <f aca="false">MATCH(F418,Assumptions!$K$4:$K$8,0)</f>
        <v>1</v>
      </c>
      <c r="O418" s="21" t="str">
        <f aca="false">IF(H418="Yes",MONTH(I418),"")</f>
        <v/>
      </c>
      <c r="P418" s="21" t="str">
        <f aca="false">IF(H418="Yes",B418,"")</f>
        <v/>
      </c>
    </row>
    <row r="419" customFormat="false" ht="15" hidden="false" customHeight="false" outlineLevel="0" collapsed="false">
      <c r="A419" s="21" t="s">
        <v>1634</v>
      </c>
      <c r="B419" s="21" t="s">
        <v>341</v>
      </c>
      <c r="C419" s="21" t="s">
        <v>1290</v>
      </c>
      <c r="D419" s="21" t="s">
        <v>1188</v>
      </c>
      <c r="E419" s="33" t="n">
        <v>45232</v>
      </c>
      <c r="F419" s="21" t="s">
        <v>1175</v>
      </c>
      <c r="G419" s="32"/>
      <c r="H419" s="21"/>
      <c r="I419" s="33"/>
      <c r="J419" s="21" t="str">
        <f aca="false">INDEX(Students!$C$2:$C$601,MATCH(B419,Students!$A$2:$A$601,0))</f>
        <v>Batch 2024</v>
      </c>
      <c r="K419" s="21" t="str">
        <f aca="false">INDEX(Students!$D$2:$D$601,MATCH(B419,Students!$A$2:$A$601,0))</f>
        <v>Data Analytics</v>
      </c>
      <c r="L419" s="21" t="str">
        <f aca="false">INDEX(Companies!$C$2:$C$31,MATCH(C419,Companies!$A$2:$A$31,0))</f>
        <v>Fintech</v>
      </c>
      <c r="M419" s="21" t="str">
        <f aca="false">INDEX(Companies!$D$2:$D$31,MATCH(C419,Companies!$A$2:$A$31,0))</f>
        <v>Tier 2</v>
      </c>
      <c r="N419" s="34" t="n">
        <f aca="false">MATCH(F419,Assumptions!$K$4:$K$8,0)</f>
        <v>1</v>
      </c>
      <c r="O419" s="21" t="str">
        <f aca="false">IF(H419="Yes",MONTH(I419),"")</f>
        <v/>
      </c>
      <c r="P419" s="21" t="str">
        <f aca="false">IF(H419="Yes",B419,"")</f>
        <v/>
      </c>
    </row>
    <row r="420" customFormat="false" ht="15" hidden="false" customHeight="false" outlineLevel="0" collapsed="false">
      <c r="A420" s="21" t="s">
        <v>1635</v>
      </c>
      <c r="B420" s="21" t="s">
        <v>362</v>
      </c>
      <c r="C420" s="21" t="s">
        <v>1199</v>
      </c>
      <c r="D420" s="21" t="s">
        <v>1174</v>
      </c>
      <c r="E420" s="33" t="n">
        <v>45233</v>
      </c>
      <c r="F420" s="21" t="s">
        <v>1178</v>
      </c>
      <c r="G420" s="32"/>
      <c r="H420" s="21"/>
      <c r="I420" s="33"/>
      <c r="J420" s="21" t="str">
        <f aca="false">INDEX(Students!$C$2:$C$601,MATCH(B420,Students!$A$2:$A$601,0))</f>
        <v>Batch 2024</v>
      </c>
      <c r="K420" s="21" t="str">
        <f aca="false">INDEX(Students!$D$2:$D$601,MATCH(B420,Students!$A$2:$A$601,0))</f>
        <v>Full Stack Development</v>
      </c>
      <c r="L420" s="21" t="str">
        <f aca="false">INDEX(Companies!$C$2:$C$31,MATCH(C420,Companies!$A$2:$A$31,0))</f>
        <v>E-commerce</v>
      </c>
      <c r="M420" s="21" t="str">
        <f aca="false">INDEX(Companies!$D$2:$D$31,MATCH(C420,Companies!$A$2:$A$31,0))</f>
        <v>Tier 2</v>
      </c>
      <c r="N420" s="34" t="n">
        <f aca="false">MATCH(F420,Assumptions!$K$4:$K$8,0)</f>
        <v>2</v>
      </c>
      <c r="O420" s="21" t="str">
        <f aca="false">IF(H420="Yes",MONTH(I420),"")</f>
        <v/>
      </c>
      <c r="P420" s="21" t="str">
        <f aca="false">IF(H420="Yes",B420,"")</f>
        <v/>
      </c>
    </row>
    <row r="421" customFormat="false" ht="15" hidden="false" customHeight="false" outlineLevel="0" collapsed="false">
      <c r="A421" s="21" t="s">
        <v>1636</v>
      </c>
      <c r="B421" s="21" t="s">
        <v>397</v>
      </c>
      <c r="C421" s="21" t="s">
        <v>1216</v>
      </c>
      <c r="D421" s="21" t="s">
        <v>1191</v>
      </c>
      <c r="E421" s="33" t="n">
        <v>45234</v>
      </c>
      <c r="F421" s="21" t="s">
        <v>1175</v>
      </c>
      <c r="G421" s="32"/>
      <c r="H421" s="21"/>
      <c r="I421" s="33"/>
      <c r="J421" s="21" t="str">
        <f aca="false">INDEX(Students!$C$2:$C$601,MATCH(B421,Students!$A$2:$A$601,0))</f>
        <v>Batch 2024</v>
      </c>
      <c r="K421" s="21" t="str">
        <f aca="false">INDEX(Students!$D$2:$D$601,MATCH(B421,Students!$A$2:$A$601,0))</f>
        <v>DSA with Java</v>
      </c>
      <c r="L421" s="21" t="str">
        <f aca="false">INDEX(Companies!$C$2:$C$31,MATCH(C421,Companies!$A$2:$A$31,0))</f>
        <v>IT Services</v>
      </c>
      <c r="M421" s="21" t="str">
        <f aca="false">INDEX(Companies!$D$2:$D$31,MATCH(C421,Companies!$A$2:$A$31,0))</f>
        <v>Tier 3</v>
      </c>
      <c r="N421" s="34" t="n">
        <f aca="false">MATCH(F421,Assumptions!$K$4:$K$8,0)</f>
        <v>1</v>
      </c>
      <c r="O421" s="21" t="str">
        <f aca="false">IF(H421="Yes",MONTH(I421),"")</f>
        <v/>
      </c>
      <c r="P421" s="21" t="str">
        <f aca="false">IF(H421="Yes",B421,"")</f>
        <v/>
      </c>
    </row>
    <row r="422" customFormat="false" ht="15" hidden="false" customHeight="false" outlineLevel="0" collapsed="false">
      <c r="A422" s="21" t="s">
        <v>1637</v>
      </c>
      <c r="B422" s="21" t="s">
        <v>390</v>
      </c>
      <c r="C422" s="21" t="s">
        <v>1234</v>
      </c>
      <c r="D422" s="21" t="s">
        <v>1191</v>
      </c>
      <c r="E422" s="33" t="n">
        <v>45234</v>
      </c>
      <c r="F422" s="21" t="s">
        <v>1175</v>
      </c>
      <c r="G422" s="32"/>
      <c r="H422" s="21"/>
      <c r="I422" s="33"/>
      <c r="J422" s="21" t="str">
        <f aca="false">INDEX(Students!$C$2:$C$601,MATCH(B422,Students!$A$2:$A$601,0))</f>
        <v>Batch 2024</v>
      </c>
      <c r="K422" s="21" t="str">
        <f aca="false">INDEX(Students!$D$2:$D$601,MATCH(B422,Students!$A$2:$A$601,0))</f>
        <v>DSA with Java</v>
      </c>
      <c r="L422" s="21" t="str">
        <f aca="false">INDEX(Companies!$C$2:$C$31,MATCH(C422,Companies!$A$2:$A$31,0))</f>
        <v>EdTech</v>
      </c>
      <c r="M422" s="21" t="str">
        <f aca="false">INDEX(Companies!$D$2:$D$31,MATCH(C422,Companies!$A$2:$A$31,0))</f>
        <v>Tier 3</v>
      </c>
      <c r="N422" s="34" t="n">
        <f aca="false">MATCH(F422,Assumptions!$K$4:$K$8,0)</f>
        <v>1</v>
      </c>
      <c r="O422" s="21" t="str">
        <f aca="false">IF(H422="Yes",MONTH(I422),"")</f>
        <v/>
      </c>
      <c r="P422" s="21" t="str">
        <f aca="false">IF(H422="Yes",B422,"")</f>
        <v/>
      </c>
    </row>
    <row r="423" customFormat="false" ht="15" hidden="false" customHeight="false" outlineLevel="0" collapsed="false">
      <c r="A423" s="21" t="s">
        <v>1638</v>
      </c>
      <c r="B423" s="21" t="s">
        <v>167</v>
      </c>
      <c r="C423" s="21" t="s">
        <v>1290</v>
      </c>
      <c r="D423" s="21" t="s">
        <v>1209</v>
      </c>
      <c r="E423" s="33" t="n">
        <v>45234</v>
      </c>
      <c r="F423" s="21" t="s">
        <v>1185</v>
      </c>
      <c r="G423" s="32" t="n">
        <v>8.1</v>
      </c>
      <c r="H423" s="21" t="s">
        <v>113</v>
      </c>
      <c r="I423" s="33" t="n">
        <v>45275</v>
      </c>
      <c r="J423" s="21" t="str">
        <f aca="false">INDEX(Students!$C$2:$C$601,MATCH(B423,Students!$A$2:$A$601,0))</f>
        <v>Batch 2024</v>
      </c>
      <c r="K423" s="21" t="str">
        <f aca="false">INDEX(Students!$D$2:$D$601,MATCH(B423,Students!$A$2:$A$601,0))</f>
        <v>Data Analytics</v>
      </c>
      <c r="L423" s="21" t="str">
        <f aca="false">INDEX(Companies!$C$2:$C$31,MATCH(C423,Companies!$A$2:$A$31,0))</f>
        <v>Fintech</v>
      </c>
      <c r="M423" s="21" t="str">
        <f aca="false">INDEX(Companies!$D$2:$D$31,MATCH(C423,Companies!$A$2:$A$31,0))</f>
        <v>Tier 2</v>
      </c>
      <c r="N423" s="34" t="n">
        <f aca="false">MATCH(F423,Assumptions!$K$4:$K$8,0)</f>
        <v>5</v>
      </c>
      <c r="O423" s="21" t="str">
        <f aca="false">IF(H423="Yes",MONTH(I423),"")</f>
        <v/>
      </c>
      <c r="P423" s="21" t="str">
        <f aca="false">IF(H423="Yes",B423,"")</f>
        <v/>
      </c>
    </row>
    <row r="424" customFormat="false" ht="15" hidden="false" customHeight="false" outlineLevel="0" collapsed="false">
      <c r="A424" s="21" t="s">
        <v>1639</v>
      </c>
      <c r="B424" s="21" t="s">
        <v>431</v>
      </c>
      <c r="C424" s="21" t="s">
        <v>1201</v>
      </c>
      <c r="D424" s="21" t="s">
        <v>1194</v>
      </c>
      <c r="E424" s="33" t="n">
        <v>45234</v>
      </c>
      <c r="F424" s="21" t="s">
        <v>1175</v>
      </c>
      <c r="G424" s="32"/>
      <c r="H424" s="21"/>
      <c r="I424" s="33"/>
      <c r="J424" s="21" t="str">
        <f aca="false">INDEX(Students!$C$2:$C$601,MATCH(B424,Students!$A$2:$A$601,0))</f>
        <v>Batch 2024</v>
      </c>
      <c r="K424" s="21" t="str">
        <f aca="false">INDEX(Students!$D$2:$D$601,MATCH(B424,Students!$A$2:$A$601,0))</f>
        <v>Data Science &amp; ML</v>
      </c>
      <c r="L424" s="21" t="str">
        <f aca="false">INDEX(Companies!$C$2:$C$31,MATCH(C424,Companies!$A$2:$A$31,0))</f>
        <v>IT Services</v>
      </c>
      <c r="M424" s="21" t="str">
        <f aca="false">INDEX(Companies!$D$2:$D$31,MATCH(C424,Companies!$A$2:$A$31,0))</f>
        <v>Tier 3</v>
      </c>
      <c r="N424" s="34" t="n">
        <f aca="false">MATCH(F424,Assumptions!$K$4:$K$8,0)</f>
        <v>1</v>
      </c>
      <c r="O424" s="21" t="str">
        <f aca="false">IF(H424="Yes",MONTH(I424),"")</f>
        <v/>
      </c>
      <c r="P424" s="21" t="str">
        <f aca="false">IF(H424="Yes",B424,"")</f>
        <v/>
      </c>
    </row>
    <row r="425" customFormat="false" ht="15" hidden="false" customHeight="false" outlineLevel="0" collapsed="false">
      <c r="A425" s="21" t="s">
        <v>1640</v>
      </c>
      <c r="B425" s="21" t="s">
        <v>452</v>
      </c>
      <c r="C425" s="21" t="s">
        <v>1180</v>
      </c>
      <c r="D425" s="21" t="s">
        <v>1209</v>
      </c>
      <c r="E425" s="33" t="n">
        <v>45235</v>
      </c>
      <c r="F425" s="21" t="s">
        <v>1178</v>
      </c>
      <c r="G425" s="32"/>
      <c r="H425" s="21"/>
      <c r="I425" s="33"/>
      <c r="J425" s="21" t="str">
        <f aca="false">INDEX(Students!$C$2:$C$601,MATCH(B425,Students!$A$2:$A$601,0))</f>
        <v>Batch 2024</v>
      </c>
      <c r="K425" s="21" t="str">
        <f aca="false">INDEX(Students!$D$2:$D$601,MATCH(B425,Students!$A$2:$A$601,0))</f>
        <v>Data Analytics</v>
      </c>
      <c r="L425" s="21" t="str">
        <f aca="false">INDEX(Companies!$C$2:$C$31,MATCH(C425,Companies!$A$2:$A$31,0))</f>
        <v>IT Services</v>
      </c>
      <c r="M425" s="21" t="str">
        <f aca="false">INDEX(Companies!$D$2:$D$31,MATCH(C425,Companies!$A$2:$A$31,0))</f>
        <v>Tier 3</v>
      </c>
      <c r="N425" s="34" t="n">
        <f aca="false">MATCH(F425,Assumptions!$K$4:$K$8,0)</f>
        <v>2</v>
      </c>
      <c r="O425" s="21" t="str">
        <f aca="false">IF(H425="Yes",MONTH(I425),"")</f>
        <v/>
      </c>
      <c r="P425" s="21" t="str">
        <f aca="false">IF(H425="Yes",B425,"")</f>
        <v/>
      </c>
    </row>
    <row r="426" customFormat="false" ht="15" hidden="false" customHeight="false" outlineLevel="0" collapsed="false">
      <c r="A426" s="21" t="s">
        <v>1641</v>
      </c>
      <c r="B426" s="21" t="s">
        <v>268</v>
      </c>
      <c r="C426" s="21" t="s">
        <v>1230</v>
      </c>
      <c r="D426" s="21" t="s">
        <v>1181</v>
      </c>
      <c r="E426" s="33" t="n">
        <v>45235</v>
      </c>
      <c r="F426" s="21" t="s">
        <v>1185</v>
      </c>
      <c r="G426" s="32" t="n">
        <v>6.4</v>
      </c>
      <c r="H426" s="21" t="s">
        <v>120</v>
      </c>
      <c r="I426" s="33" t="n">
        <v>45279</v>
      </c>
      <c r="J426" s="21" t="str">
        <f aca="false">INDEX(Students!$C$2:$C$601,MATCH(B426,Students!$A$2:$A$601,0))</f>
        <v>Batch 2024</v>
      </c>
      <c r="K426" s="21" t="str">
        <f aca="false">INDEX(Students!$D$2:$D$601,MATCH(B426,Students!$A$2:$A$601,0))</f>
        <v>Full Stack Development</v>
      </c>
      <c r="L426" s="21" t="str">
        <f aca="false">INDEX(Companies!$C$2:$C$31,MATCH(C426,Companies!$A$2:$A$31,0))</f>
        <v>IT Services</v>
      </c>
      <c r="M426" s="21" t="str">
        <f aca="false">INDEX(Companies!$D$2:$D$31,MATCH(C426,Companies!$A$2:$A$31,0))</f>
        <v>Tier 3</v>
      </c>
      <c r="N426" s="34" t="n">
        <f aca="false">MATCH(F426,Assumptions!$K$4:$K$8,0)</f>
        <v>5</v>
      </c>
      <c r="O426" s="21" t="n">
        <f aca="false">IF(H426="Yes",MONTH(I426),"")</f>
        <v>12</v>
      </c>
      <c r="P426" s="21" t="str">
        <f aca="false">IF(H426="Yes",B426,"")</f>
        <v>S0080</v>
      </c>
    </row>
    <row r="427" customFormat="false" ht="15" hidden="false" customHeight="false" outlineLevel="0" collapsed="false">
      <c r="A427" s="21" t="s">
        <v>1642</v>
      </c>
      <c r="B427" s="21" t="s">
        <v>205</v>
      </c>
      <c r="C427" s="21" t="s">
        <v>1177</v>
      </c>
      <c r="D427" s="21" t="s">
        <v>1188</v>
      </c>
      <c r="E427" s="33" t="n">
        <v>45235</v>
      </c>
      <c r="F427" s="21" t="s">
        <v>1218</v>
      </c>
      <c r="G427" s="32"/>
      <c r="H427" s="21"/>
      <c r="I427" s="33"/>
      <c r="J427" s="21" t="str">
        <f aca="false">INDEX(Students!$C$2:$C$601,MATCH(B427,Students!$A$2:$A$601,0))</f>
        <v>Batch 2024</v>
      </c>
      <c r="K427" s="21" t="str">
        <f aca="false">INDEX(Students!$D$2:$D$601,MATCH(B427,Students!$A$2:$A$601,0))</f>
        <v>Data Analytics</v>
      </c>
      <c r="L427" s="21" t="str">
        <f aca="false">INDEX(Companies!$C$2:$C$31,MATCH(C427,Companies!$A$2:$A$31,0))</f>
        <v>IT Services</v>
      </c>
      <c r="M427" s="21" t="str">
        <f aca="false">INDEX(Companies!$D$2:$D$31,MATCH(C427,Companies!$A$2:$A$31,0))</f>
        <v>Tier 3</v>
      </c>
      <c r="N427" s="34" t="n">
        <f aca="false">MATCH(F427,Assumptions!$K$4:$K$8,0)</f>
        <v>4</v>
      </c>
      <c r="O427" s="21" t="str">
        <f aca="false">IF(H427="Yes",MONTH(I427),"")</f>
        <v/>
      </c>
      <c r="P427" s="21" t="str">
        <f aca="false">IF(H427="Yes",B427,"")</f>
        <v/>
      </c>
    </row>
    <row r="428" customFormat="false" ht="15" hidden="false" customHeight="false" outlineLevel="0" collapsed="false">
      <c r="A428" s="21" t="s">
        <v>1643</v>
      </c>
      <c r="B428" s="21" t="s">
        <v>153</v>
      </c>
      <c r="C428" s="21" t="s">
        <v>1225</v>
      </c>
      <c r="D428" s="21" t="s">
        <v>1184</v>
      </c>
      <c r="E428" s="33" t="n">
        <v>45235</v>
      </c>
      <c r="F428" s="21" t="s">
        <v>1185</v>
      </c>
      <c r="G428" s="32" t="n">
        <v>12.4</v>
      </c>
      <c r="H428" s="21" t="s">
        <v>120</v>
      </c>
      <c r="I428" s="33" t="n">
        <v>45258</v>
      </c>
      <c r="J428" s="21" t="str">
        <f aca="false">INDEX(Students!$C$2:$C$601,MATCH(B428,Students!$A$2:$A$601,0))</f>
        <v>Batch 2024</v>
      </c>
      <c r="K428" s="21" t="str">
        <f aca="false">INDEX(Students!$D$2:$D$601,MATCH(B428,Students!$A$2:$A$601,0))</f>
        <v>DSA with Java</v>
      </c>
      <c r="L428" s="21" t="str">
        <f aca="false">INDEX(Companies!$C$2:$C$31,MATCH(C428,Companies!$A$2:$A$31,0))</f>
        <v>EdTech</v>
      </c>
      <c r="M428" s="21" t="str">
        <f aca="false">INDEX(Companies!$D$2:$D$31,MATCH(C428,Companies!$A$2:$A$31,0))</f>
        <v>Tier 2</v>
      </c>
      <c r="N428" s="34" t="n">
        <f aca="false">MATCH(F428,Assumptions!$K$4:$K$8,0)</f>
        <v>5</v>
      </c>
      <c r="O428" s="21" t="n">
        <f aca="false">IF(H428="Yes",MONTH(I428),"")</f>
        <v>11</v>
      </c>
      <c r="P428" s="21" t="str">
        <f aca="false">IF(H428="Yes",B428,"")</f>
        <v>S0021</v>
      </c>
    </row>
    <row r="429" customFormat="false" ht="15" hidden="false" customHeight="false" outlineLevel="0" collapsed="false">
      <c r="A429" s="21" t="s">
        <v>1644</v>
      </c>
      <c r="B429" s="21" t="s">
        <v>425</v>
      </c>
      <c r="C429" s="21" t="s">
        <v>1290</v>
      </c>
      <c r="D429" s="21" t="s">
        <v>1181</v>
      </c>
      <c r="E429" s="33" t="n">
        <v>45235</v>
      </c>
      <c r="F429" s="21" t="s">
        <v>1175</v>
      </c>
      <c r="G429" s="32"/>
      <c r="H429" s="21"/>
      <c r="I429" s="33"/>
      <c r="J429" s="21" t="str">
        <f aca="false">INDEX(Students!$C$2:$C$601,MATCH(B429,Students!$A$2:$A$601,0))</f>
        <v>Batch 2024</v>
      </c>
      <c r="K429" s="21" t="str">
        <f aca="false">INDEX(Students!$D$2:$D$601,MATCH(B429,Students!$A$2:$A$601,0))</f>
        <v>Full Stack Development</v>
      </c>
      <c r="L429" s="21" t="str">
        <f aca="false">INDEX(Companies!$C$2:$C$31,MATCH(C429,Companies!$A$2:$A$31,0))</f>
        <v>Fintech</v>
      </c>
      <c r="M429" s="21" t="str">
        <f aca="false">INDEX(Companies!$D$2:$D$31,MATCH(C429,Companies!$A$2:$A$31,0))</f>
        <v>Tier 2</v>
      </c>
      <c r="N429" s="34" t="n">
        <f aca="false">MATCH(F429,Assumptions!$K$4:$K$8,0)</f>
        <v>1</v>
      </c>
      <c r="O429" s="21" t="str">
        <f aca="false">IF(H429="Yes",MONTH(I429),"")</f>
        <v/>
      </c>
      <c r="P429" s="21" t="str">
        <f aca="false">IF(H429="Yes",B429,"")</f>
        <v/>
      </c>
    </row>
    <row r="430" customFormat="false" ht="15" hidden="false" customHeight="false" outlineLevel="0" collapsed="false">
      <c r="A430" s="21" t="s">
        <v>1645</v>
      </c>
      <c r="B430" s="21" t="s">
        <v>217</v>
      </c>
      <c r="C430" s="21" t="s">
        <v>1239</v>
      </c>
      <c r="D430" s="21" t="s">
        <v>1243</v>
      </c>
      <c r="E430" s="33" t="n">
        <v>45236</v>
      </c>
      <c r="F430" s="21" t="s">
        <v>1175</v>
      </c>
      <c r="G430" s="32"/>
      <c r="H430" s="21"/>
      <c r="I430" s="33"/>
      <c r="J430" s="21" t="str">
        <f aca="false">INDEX(Students!$C$2:$C$601,MATCH(B430,Students!$A$2:$A$601,0))</f>
        <v>Batch 2024</v>
      </c>
      <c r="K430" s="21" t="str">
        <f aca="false">INDEX(Students!$D$2:$D$601,MATCH(B430,Students!$A$2:$A$601,0))</f>
        <v>Data Science &amp; ML</v>
      </c>
      <c r="L430" s="21" t="str">
        <f aca="false">INDEX(Companies!$C$2:$C$31,MATCH(C430,Companies!$A$2:$A$31,0))</f>
        <v>E-commerce</v>
      </c>
      <c r="M430" s="21" t="str">
        <f aca="false">INDEX(Companies!$D$2:$D$31,MATCH(C430,Companies!$A$2:$A$31,0))</f>
        <v>Tier 3</v>
      </c>
      <c r="N430" s="34" t="n">
        <f aca="false">MATCH(F430,Assumptions!$K$4:$K$8,0)</f>
        <v>1</v>
      </c>
      <c r="O430" s="21" t="str">
        <f aca="false">IF(H430="Yes",MONTH(I430),"")</f>
        <v/>
      </c>
      <c r="P430" s="21" t="str">
        <f aca="false">IF(H430="Yes",B430,"")</f>
        <v/>
      </c>
    </row>
    <row r="431" customFormat="false" ht="15" hidden="false" customHeight="false" outlineLevel="0" collapsed="false">
      <c r="A431" s="21" t="s">
        <v>1646</v>
      </c>
      <c r="B431" s="21" t="s">
        <v>406</v>
      </c>
      <c r="C431" s="21" t="s">
        <v>1290</v>
      </c>
      <c r="D431" s="21" t="s">
        <v>1209</v>
      </c>
      <c r="E431" s="33" t="n">
        <v>45236</v>
      </c>
      <c r="F431" s="21" t="s">
        <v>1185</v>
      </c>
      <c r="G431" s="32" t="n">
        <v>10.6</v>
      </c>
      <c r="H431" s="21" t="s">
        <v>113</v>
      </c>
      <c r="I431" s="33" t="n">
        <v>45283</v>
      </c>
      <c r="J431" s="21" t="str">
        <f aca="false">INDEX(Students!$C$2:$C$601,MATCH(B431,Students!$A$2:$A$601,0))</f>
        <v>Batch 2024</v>
      </c>
      <c r="K431" s="21" t="str">
        <f aca="false">INDEX(Students!$D$2:$D$601,MATCH(B431,Students!$A$2:$A$601,0))</f>
        <v>Data Analytics</v>
      </c>
      <c r="L431" s="21" t="str">
        <f aca="false">INDEX(Companies!$C$2:$C$31,MATCH(C431,Companies!$A$2:$A$31,0))</f>
        <v>Fintech</v>
      </c>
      <c r="M431" s="21" t="str">
        <f aca="false">INDEX(Companies!$D$2:$D$31,MATCH(C431,Companies!$A$2:$A$31,0))</f>
        <v>Tier 2</v>
      </c>
      <c r="N431" s="34" t="n">
        <f aca="false">MATCH(F431,Assumptions!$K$4:$K$8,0)</f>
        <v>5</v>
      </c>
      <c r="O431" s="21" t="str">
        <f aca="false">IF(H431="Yes",MONTH(I431),"")</f>
        <v/>
      </c>
      <c r="P431" s="21" t="str">
        <f aca="false">IF(H431="Yes",B431,"")</f>
        <v/>
      </c>
    </row>
    <row r="432" customFormat="false" ht="15" hidden="false" customHeight="false" outlineLevel="0" collapsed="false">
      <c r="A432" s="21" t="s">
        <v>1647</v>
      </c>
      <c r="B432" s="21" t="s">
        <v>211</v>
      </c>
      <c r="C432" s="21" t="s">
        <v>1214</v>
      </c>
      <c r="D432" s="21" t="s">
        <v>1240</v>
      </c>
      <c r="E432" s="33" t="n">
        <v>45236</v>
      </c>
      <c r="F432" s="21" t="s">
        <v>1175</v>
      </c>
      <c r="G432" s="32"/>
      <c r="H432" s="21"/>
      <c r="I432" s="33"/>
      <c r="J432" s="21" t="str">
        <f aca="false">INDEX(Students!$C$2:$C$601,MATCH(B432,Students!$A$2:$A$601,0))</f>
        <v>Batch 2024</v>
      </c>
      <c r="K432" s="21" t="str">
        <f aca="false">INDEX(Students!$D$2:$D$601,MATCH(B432,Students!$A$2:$A$601,0))</f>
        <v>Cybersecurity</v>
      </c>
      <c r="L432" s="21" t="str">
        <f aca="false">INDEX(Companies!$C$2:$C$31,MATCH(C432,Companies!$A$2:$A$31,0))</f>
        <v>Product</v>
      </c>
      <c r="M432" s="21" t="str">
        <f aca="false">INDEX(Companies!$D$2:$D$31,MATCH(C432,Companies!$A$2:$A$31,0))</f>
        <v>Tier 1</v>
      </c>
      <c r="N432" s="34" t="n">
        <f aca="false">MATCH(F432,Assumptions!$K$4:$K$8,0)</f>
        <v>1</v>
      </c>
      <c r="O432" s="21" t="str">
        <f aca="false">IF(H432="Yes",MONTH(I432),"")</f>
        <v/>
      </c>
      <c r="P432" s="21" t="str">
        <f aca="false">IF(H432="Yes",B432,"")</f>
        <v/>
      </c>
    </row>
    <row r="433" customFormat="false" ht="15" hidden="false" customHeight="false" outlineLevel="0" collapsed="false">
      <c r="A433" s="21" t="s">
        <v>1648</v>
      </c>
      <c r="B433" s="21" t="s">
        <v>374</v>
      </c>
      <c r="C433" s="21" t="s">
        <v>1266</v>
      </c>
      <c r="D433" s="21" t="s">
        <v>1194</v>
      </c>
      <c r="E433" s="33" t="n">
        <v>45236</v>
      </c>
      <c r="F433" s="21" t="s">
        <v>1175</v>
      </c>
      <c r="G433" s="32"/>
      <c r="H433" s="21"/>
      <c r="I433" s="33"/>
      <c r="J433" s="21" t="str">
        <f aca="false">INDEX(Students!$C$2:$C$601,MATCH(B433,Students!$A$2:$A$601,0))</f>
        <v>Batch 2024</v>
      </c>
      <c r="K433" s="21" t="str">
        <f aca="false">INDEX(Students!$D$2:$D$601,MATCH(B433,Students!$A$2:$A$601,0))</f>
        <v>Data Science &amp; ML</v>
      </c>
      <c r="L433" s="21" t="str">
        <f aca="false">INDEX(Companies!$C$2:$C$31,MATCH(C433,Companies!$A$2:$A$31,0))</f>
        <v>IT Services</v>
      </c>
      <c r="M433" s="21" t="str">
        <f aca="false">INDEX(Companies!$D$2:$D$31,MATCH(C433,Companies!$A$2:$A$31,0))</f>
        <v>Tier 3</v>
      </c>
      <c r="N433" s="34" t="n">
        <f aca="false">MATCH(F433,Assumptions!$K$4:$K$8,0)</f>
        <v>1</v>
      </c>
      <c r="O433" s="21" t="str">
        <f aca="false">IF(H433="Yes",MONTH(I433),"")</f>
        <v/>
      </c>
      <c r="P433" s="21" t="str">
        <f aca="false">IF(H433="Yes",B433,"")</f>
        <v/>
      </c>
    </row>
    <row r="434" customFormat="false" ht="15" hidden="false" customHeight="false" outlineLevel="0" collapsed="false">
      <c r="A434" s="21" t="s">
        <v>1649</v>
      </c>
      <c r="B434" s="21" t="s">
        <v>137</v>
      </c>
      <c r="C434" s="21" t="s">
        <v>1201</v>
      </c>
      <c r="D434" s="21" t="s">
        <v>1191</v>
      </c>
      <c r="E434" s="33" t="n">
        <v>45236</v>
      </c>
      <c r="F434" s="21" t="s">
        <v>1197</v>
      </c>
      <c r="G434" s="32"/>
      <c r="H434" s="21"/>
      <c r="I434" s="33"/>
      <c r="J434" s="21" t="str">
        <f aca="false">INDEX(Students!$C$2:$C$601,MATCH(B434,Students!$A$2:$A$601,0))</f>
        <v>Batch 2024</v>
      </c>
      <c r="K434" s="21" t="str">
        <f aca="false">INDEX(Students!$D$2:$D$601,MATCH(B434,Students!$A$2:$A$601,0))</f>
        <v>DSA with Java</v>
      </c>
      <c r="L434" s="21" t="str">
        <f aca="false">INDEX(Companies!$C$2:$C$31,MATCH(C434,Companies!$A$2:$A$31,0))</f>
        <v>IT Services</v>
      </c>
      <c r="M434" s="21" t="str">
        <f aca="false">INDEX(Companies!$D$2:$D$31,MATCH(C434,Companies!$A$2:$A$31,0))</f>
        <v>Tier 3</v>
      </c>
      <c r="N434" s="34" t="n">
        <f aca="false">MATCH(F434,Assumptions!$K$4:$K$8,0)</f>
        <v>3</v>
      </c>
      <c r="O434" s="21" t="str">
        <f aca="false">IF(H434="Yes",MONTH(I434),"")</f>
        <v/>
      </c>
      <c r="P434" s="21" t="str">
        <f aca="false">IF(H434="Yes",B434,"")</f>
        <v/>
      </c>
    </row>
    <row r="435" customFormat="false" ht="15" hidden="false" customHeight="false" outlineLevel="0" collapsed="false">
      <c r="A435" s="21" t="s">
        <v>1650</v>
      </c>
      <c r="B435" s="21" t="s">
        <v>279</v>
      </c>
      <c r="C435" s="21" t="s">
        <v>1275</v>
      </c>
      <c r="D435" s="21" t="s">
        <v>1240</v>
      </c>
      <c r="E435" s="33" t="n">
        <v>45237</v>
      </c>
      <c r="F435" s="21" t="s">
        <v>1197</v>
      </c>
      <c r="G435" s="32"/>
      <c r="H435" s="21"/>
      <c r="I435" s="33"/>
      <c r="J435" s="21" t="str">
        <f aca="false">INDEX(Students!$C$2:$C$601,MATCH(B435,Students!$A$2:$A$601,0))</f>
        <v>Batch 2024</v>
      </c>
      <c r="K435" s="21" t="str">
        <f aca="false">INDEX(Students!$D$2:$D$601,MATCH(B435,Students!$A$2:$A$601,0))</f>
        <v>Cybersecurity</v>
      </c>
      <c r="L435" s="21" t="str">
        <f aca="false">INDEX(Companies!$C$2:$C$31,MATCH(C435,Companies!$A$2:$A$31,0))</f>
        <v>Cybersecurity</v>
      </c>
      <c r="M435" s="21" t="str">
        <f aca="false">INDEX(Companies!$D$2:$D$31,MATCH(C435,Companies!$A$2:$A$31,0))</f>
        <v>Tier 2</v>
      </c>
      <c r="N435" s="34" t="n">
        <f aca="false">MATCH(F435,Assumptions!$K$4:$K$8,0)</f>
        <v>3</v>
      </c>
      <c r="O435" s="21" t="str">
        <f aca="false">IF(H435="Yes",MONTH(I435),"")</f>
        <v/>
      </c>
      <c r="P435" s="21" t="str">
        <f aca="false">IF(H435="Yes",B435,"")</f>
        <v/>
      </c>
    </row>
    <row r="436" customFormat="false" ht="15" hidden="false" customHeight="false" outlineLevel="0" collapsed="false">
      <c r="A436" s="21" t="s">
        <v>1651</v>
      </c>
      <c r="B436" s="21" t="s">
        <v>406</v>
      </c>
      <c r="C436" s="21" t="s">
        <v>1322</v>
      </c>
      <c r="D436" s="21" t="s">
        <v>1188</v>
      </c>
      <c r="E436" s="33" t="n">
        <v>45237</v>
      </c>
      <c r="F436" s="21" t="s">
        <v>1185</v>
      </c>
      <c r="G436" s="32" t="n">
        <v>11.6</v>
      </c>
      <c r="H436" s="21" t="s">
        <v>120</v>
      </c>
      <c r="I436" s="33" t="n">
        <v>45280</v>
      </c>
      <c r="J436" s="21" t="str">
        <f aca="false">INDEX(Students!$C$2:$C$601,MATCH(B436,Students!$A$2:$A$601,0))</f>
        <v>Batch 2024</v>
      </c>
      <c r="K436" s="21" t="str">
        <f aca="false">INDEX(Students!$D$2:$D$601,MATCH(B436,Students!$A$2:$A$601,0))</f>
        <v>Data Analytics</v>
      </c>
      <c r="L436" s="21" t="str">
        <f aca="false">INDEX(Companies!$C$2:$C$31,MATCH(C436,Companies!$A$2:$A$31,0))</f>
        <v>Healthtech</v>
      </c>
      <c r="M436" s="21" t="str">
        <f aca="false">INDEX(Companies!$D$2:$D$31,MATCH(C436,Companies!$A$2:$A$31,0))</f>
        <v>Tier 2</v>
      </c>
      <c r="N436" s="34" t="n">
        <f aca="false">MATCH(F436,Assumptions!$K$4:$K$8,0)</f>
        <v>5</v>
      </c>
      <c r="O436" s="21" t="n">
        <f aca="false">IF(H436="Yes",MONTH(I436),"")</f>
        <v>12</v>
      </c>
      <c r="P436" s="21" t="str">
        <f aca="false">IF(H436="Yes",B436,"")</f>
        <v>S0153</v>
      </c>
    </row>
    <row r="437" customFormat="false" ht="15" hidden="false" customHeight="false" outlineLevel="0" collapsed="false">
      <c r="A437" s="21" t="s">
        <v>1652</v>
      </c>
      <c r="B437" s="21" t="s">
        <v>137</v>
      </c>
      <c r="C437" s="21" t="s">
        <v>1214</v>
      </c>
      <c r="D437" s="21" t="s">
        <v>1191</v>
      </c>
      <c r="E437" s="33" t="n">
        <v>45237</v>
      </c>
      <c r="F437" s="21" t="s">
        <v>1178</v>
      </c>
      <c r="G437" s="32"/>
      <c r="H437" s="21"/>
      <c r="I437" s="33"/>
      <c r="J437" s="21" t="str">
        <f aca="false">INDEX(Students!$C$2:$C$601,MATCH(B437,Students!$A$2:$A$601,0))</f>
        <v>Batch 2024</v>
      </c>
      <c r="K437" s="21" t="str">
        <f aca="false">INDEX(Students!$D$2:$D$601,MATCH(B437,Students!$A$2:$A$601,0))</f>
        <v>DSA with Java</v>
      </c>
      <c r="L437" s="21" t="str">
        <f aca="false">INDEX(Companies!$C$2:$C$31,MATCH(C437,Companies!$A$2:$A$31,0))</f>
        <v>Product</v>
      </c>
      <c r="M437" s="21" t="str">
        <f aca="false">INDEX(Companies!$D$2:$D$31,MATCH(C437,Companies!$A$2:$A$31,0))</f>
        <v>Tier 1</v>
      </c>
      <c r="N437" s="34" t="n">
        <f aca="false">MATCH(F437,Assumptions!$K$4:$K$8,0)</f>
        <v>2</v>
      </c>
      <c r="O437" s="21" t="str">
        <f aca="false">IF(H437="Yes",MONTH(I437),"")</f>
        <v/>
      </c>
      <c r="P437" s="21" t="str">
        <f aca="false">IF(H437="Yes",B437,"")</f>
        <v/>
      </c>
    </row>
    <row r="438" customFormat="false" ht="15" hidden="false" customHeight="false" outlineLevel="0" collapsed="false">
      <c r="A438" s="21" t="s">
        <v>1653</v>
      </c>
      <c r="B438" s="21" t="s">
        <v>419</v>
      </c>
      <c r="C438" s="21" t="s">
        <v>1193</v>
      </c>
      <c r="D438" s="21" t="s">
        <v>1240</v>
      </c>
      <c r="E438" s="33" t="n">
        <v>45237</v>
      </c>
      <c r="F438" s="21" t="s">
        <v>1218</v>
      </c>
      <c r="G438" s="32"/>
      <c r="H438" s="21"/>
      <c r="I438" s="33"/>
      <c r="J438" s="21" t="str">
        <f aca="false">INDEX(Students!$C$2:$C$601,MATCH(B438,Students!$A$2:$A$601,0))</f>
        <v>Batch 2024</v>
      </c>
      <c r="K438" s="21" t="str">
        <f aca="false">INDEX(Students!$D$2:$D$601,MATCH(B438,Students!$A$2:$A$601,0))</f>
        <v>Cybersecurity</v>
      </c>
      <c r="L438" s="21" t="str">
        <f aca="false">INDEX(Companies!$C$2:$C$31,MATCH(C438,Companies!$A$2:$A$31,0))</f>
        <v>Analytics &amp; Consulting</v>
      </c>
      <c r="M438" s="21" t="str">
        <f aca="false">INDEX(Companies!$D$2:$D$31,MATCH(C438,Companies!$A$2:$A$31,0))</f>
        <v>Tier 2</v>
      </c>
      <c r="N438" s="34" t="n">
        <f aca="false">MATCH(F438,Assumptions!$K$4:$K$8,0)</f>
        <v>4</v>
      </c>
      <c r="O438" s="21" t="str">
        <f aca="false">IF(H438="Yes",MONTH(I438),"")</f>
        <v/>
      </c>
      <c r="P438" s="21" t="str">
        <f aca="false">IF(H438="Yes",B438,"")</f>
        <v/>
      </c>
    </row>
    <row r="439" customFormat="false" ht="15" hidden="false" customHeight="false" outlineLevel="0" collapsed="false">
      <c r="A439" s="21" t="s">
        <v>1654</v>
      </c>
      <c r="B439" s="21" t="s">
        <v>264</v>
      </c>
      <c r="C439" s="21" t="s">
        <v>1173</v>
      </c>
      <c r="D439" s="21" t="s">
        <v>1194</v>
      </c>
      <c r="E439" s="33" t="n">
        <v>45237</v>
      </c>
      <c r="F439" s="21" t="s">
        <v>1175</v>
      </c>
      <c r="G439" s="32"/>
      <c r="H439" s="21"/>
      <c r="I439" s="33"/>
      <c r="J439" s="21" t="str">
        <f aca="false">INDEX(Students!$C$2:$C$601,MATCH(B439,Students!$A$2:$A$601,0))</f>
        <v>Batch 2024</v>
      </c>
      <c r="K439" s="21" t="str">
        <f aca="false">INDEX(Students!$D$2:$D$601,MATCH(B439,Students!$A$2:$A$601,0))</f>
        <v>Data Science &amp; ML</v>
      </c>
      <c r="L439" s="21" t="str">
        <f aca="false">INDEX(Companies!$C$2:$C$31,MATCH(C439,Companies!$A$2:$A$31,0))</f>
        <v>Cybersecurity</v>
      </c>
      <c r="M439" s="21" t="str">
        <f aca="false">INDEX(Companies!$D$2:$D$31,MATCH(C439,Companies!$A$2:$A$31,0))</f>
        <v>Tier 1</v>
      </c>
      <c r="N439" s="34" t="n">
        <f aca="false">MATCH(F439,Assumptions!$K$4:$K$8,0)</f>
        <v>1</v>
      </c>
      <c r="O439" s="21" t="str">
        <f aca="false">IF(H439="Yes",MONTH(I439),"")</f>
        <v/>
      </c>
      <c r="P439" s="21" t="str">
        <f aca="false">IF(H439="Yes",B439,"")</f>
        <v/>
      </c>
    </row>
    <row r="440" customFormat="false" ht="15" hidden="false" customHeight="false" outlineLevel="0" collapsed="false">
      <c r="A440" s="21" t="s">
        <v>1655</v>
      </c>
      <c r="B440" s="21" t="s">
        <v>183</v>
      </c>
      <c r="C440" s="21" t="s">
        <v>1239</v>
      </c>
      <c r="D440" s="21" t="s">
        <v>1191</v>
      </c>
      <c r="E440" s="33" t="n">
        <v>45237</v>
      </c>
      <c r="F440" s="21" t="s">
        <v>1185</v>
      </c>
      <c r="G440" s="32" t="n">
        <v>6.4</v>
      </c>
      <c r="H440" s="21" t="s">
        <v>120</v>
      </c>
      <c r="I440" s="33" t="n">
        <v>45271</v>
      </c>
      <c r="J440" s="21" t="str">
        <f aca="false">INDEX(Students!$C$2:$C$601,MATCH(B440,Students!$A$2:$A$601,0))</f>
        <v>Batch 2024</v>
      </c>
      <c r="K440" s="21" t="str">
        <f aca="false">INDEX(Students!$D$2:$D$601,MATCH(B440,Students!$A$2:$A$601,0))</f>
        <v>DSA with Java</v>
      </c>
      <c r="L440" s="21" t="str">
        <f aca="false">INDEX(Companies!$C$2:$C$31,MATCH(C440,Companies!$A$2:$A$31,0))</f>
        <v>E-commerce</v>
      </c>
      <c r="M440" s="21" t="str">
        <f aca="false">INDEX(Companies!$D$2:$D$31,MATCH(C440,Companies!$A$2:$A$31,0))</f>
        <v>Tier 3</v>
      </c>
      <c r="N440" s="34" t="n">
        <f aca="false">MATCH(F440,Assumptions!$K$4:$K$8,0)</f>
        <v>5</v>
      </c>
      <c r="O440" s="21" t="n">
        <f aca="false">IF(H440="Yes",MONTH(I440),"")</f>
        <v>12</v>
      </c>
      <c r="P440" s="21" t="str">
        <f aca="false">IF(H440="Yes",B440,"")</f>
        <v>S0036</v>
      </c>
    </row>
    <row r="441" customFormat="false" ht="15" hidden="false" customHeight="false" outlineLevel="0" collapsed="false">
      <c r="A441" s="21" t="s">
        <v>1656</v>
      </c>
      <c r="B441" s="21" t="s">
        <v>268</v>
      </c>
      <c r="C441" s="21" t="s">
        <v>1309</v>
      </c>
      <c r="D441" s="21" t="s">
        <v>1174</v>
      </c>
      <c r="E441" s="33" t="n">
        <v>45238</v>
      </c>
      <c r="F441" s="21" t="s">
        <v>1178</v>
      </c>
      <c r="G441" s="32"/>
      <c r="H441" s="21"/>
      <c r="I441" s="33"/>
      <c r="J441" s="21" t="str">
        <f aca="false">INDEX(Students!$C$2:$C$601,MATCH(B441,Students!$A$2:$A$601,0))</f>
        <v>Batch 2024</v>
      </c>
      <c r="K441" s="21" t="str">
        <f aca="false">INDEX(Students!$D$2:$D$601,MATCH(B441,Students!$A$2:$A$601,0))</f>
        <v>Full Stack Development</v>
      </c>
      <c r="L441" s="21" t="str">
        <f aca="false">INDEX(Companies!$C$2:$C$31,MATCH(C441,Companies!$A$2:$A$31,0))</f>
        <v>EdTech</v>
      </c>
      <c r="M441" s="21" t="str">
        <f aca="false">INDEX(Companies!$D$2:$D$31,MATCH(C441,Companies!$A$2:$A$31,0))</f>
        <v>Tier 2</v>
      </c>
      <c r="N441" s="34" t="n">
        <f aca="false">MATCH(F441,Assumptions!$K$4:$K$8,0)</f>
        <v>2</v>
      </c>
      <c r="O441" s="21" t="str">
        <f aca="false">IF(H441="Yes",MONTH(I441),"")</f>
        <v/>
      </c>
      <c r="P441" s="21" t="str">
        <f aca="false">IF(H441="Yes",B441,"")</f>
        <v/>
      </c>
    </row>
    <row r="442" customFormat="false" ht="15" hidden="false" customHeight="false" outlineLevel="0" collapsed="false">
      <c r="A442" s="21" t="s">
        <v>1657</v>
      </c>
      <c r="B442" s="21" t="s">
        <v>161</v>
      </c>
      <c r="C442" s="21" t="s">
        <v>1290</v>
      </c>
      <c r="D442" s="21" t="s">
        <v>1188</v>
      </c>
      <c r="E442" s="33" t="n">
        <v>45238</v>
      </c>
      <c r="F442" s="21" t="s">
        <v>1197</v>
      </c>
      <c r="G442" s="32"/>
      <c r="H442" s="21"/>
      <c r="I442" s="33"/>
      <c r="J442" s="21" t="str">
        <f aca="false">INDEX(Students!$C$2:$C$601,MATCH(B442,Students!$A$2:$A$601,0))</f>
        <v>Batch 2024</v>
      </c>
      <c r="K442" s="21" t="str">
        <f aca="false">INDEX(Students!$D$2:$D$601,MATCH(B442,Students!$A$2:$A$601,0))</f>
        <v>Data Analytics</v>
      </c>
      <c r="L442" s="21" t="str">
        <f aca="false">INDEX(Companies!$C$2:$C$31,MATCH(C442,Companies!$A$2:$A$31,0))</f>
        <v>Fintech</v>
      </c>
      <c r="M442" s="21" t="str">
        <f aca="false">INDEX(Companies!$D$2:$D$31,MATCH(C442,Companies!$A$2:$A$31,0))</f>
        <v>Tier 2</v>
      </c>
      <c r="N442" s="34" t="n">
        <f aca="false">MATCH(F442,Assumptions!$K$4:$K$8,0)</f>
        <v>3</v>
      </c>
      <c r="O442" s="21" t="str">
        <f aca="false">IF(H442="Yes",MONTH(I442),"")</f>
        <v/>
      </c>
      <c r="P442" s="21" t="str">
        <f aca="false">IF(H442="Yes",B442,"")</f>
        <v/>
      </c>
    </row>
    <row r="443" customFormat="false" ht="15" hidden="false" customHeight="false" outlineLevel="0" collapsed="false">
      <c r="A443" s="21" t="s">
        <v>1658</v>
      </c>
      <c r="B443" s="21" t="s">
        <v>393</v>
      </c>
      <c r="C443" s="21" t="s">
        <v>1201</v>
      </c>
      <c r="D443" s="21" t="s">
        <v>1209</v>
      </c>
      <c r="E443" s="33" t="n">
        <v>45238</v>
      </c>
      <c r="F443" s="21" t="s">
        <v>1185</v>
      </c>
      <c r="G443" s="32" t="n">
        <v>5.2</v>
      </c>
      <c r="H443" s="21" t="s">
        <v>120</v>
      </c>
      <c r="I443" s="33" t="n">
        <v>45273</v>
      </c>
      <c r="J443" s="21" t="str">
        <f aca="false">INDEX(Students!$C$2:$C$601,MATCH(B443,Students!$A$2:$A$601,0))</f>
        <v>Batch 2024</v>
      </c>
      <c r="K443" s="21" t="str">
        <f aca="false">INDEX(Students!$D$2:$D$601,MATCH(B443,Students!$A$2:$A$601,0))</f>
        <v>Data Analytics</v>
      </c>
      <c r="L443" s="21" t="str">
        <f aca="false">INDEX(Companies!$C$2:$C$31,MATCH(C443,Companies!$A$2:$A$31,0))</f>
        <v>IT Services</v>
      </c>
      <c r="M443" s="21" t="str">
        <f aca="false">INDEX(Companies!$D$2:$D$31,MATCH(C443,Companies!$A$2:$A$31,0))</f>
        <v>Tier 3</v>
      </c>
      <c r="N443" s="34" t="n">
        <f aca="false">MATCH(F443,Assumptions!$K$4:$K$8,0)</f>
        <v>5</v>
      </c>
      <c r="O443" s="21" t="n">
        <f aca="false">IF(H443="Yes",MONTH(I443),"")</f>
        <v>12</v>
      </c>
      <c r="P443" s="21" t="str">
        <f aca="false">IF(H443="Yes",B443,"")</f>
        <v>S0146</v>
      </c>
    </row>
    <row r="444" customFormat="false" ht="15" hidden="false" customHeight="false" outlineLevel="0" collapsed="false">
      <c r="A444" s="21" t="s">
        <v>1659</v>
      </c>
      <c r="B444" s="21" t="s">
        <v>118</v>
      </c>
      <c r="C444" s="21" t="s">
        <v>1228</v>
      </c>
      <c r="D444" s="21" t="s">
        <v>1191</v>
      </c>
      <c r="E444" s="33" t="n">
        <v>45239</v>
      </c>
      <c r="F444" s="21" t="s">
        <v>1178</v>
      </c>
      <c r="G444" s="32"/>
      <c r="H444" s="21"/>
      <c r="I444" s="33"/>
      <c r="J444" s="21" t="str">
        <f aca="false">INDEX(Students!$C$2:$C$601,MATCH(B444,Students!$A$2:$A$601,0))</f>
        <v>Batch 2024</v>
      </c>
      <c r="K444" s="21" t="str">
        <f aca="false">INDEX(Students!$D$2:$D$601,MATCH(B444,Students!$A$2:$A$601,0))</f>
        <v>DSA with Java</v>
      </c>
      <c r="L444" s="21" t="str">
        <f aca="false">INDEX(Companies!$C$2:$C$31,MATCH(C444,Companies!$A$2:$A$31,0))</f>
        <v>Fintech</v>
      </c>
      <c r="M444" s="21" t="str">
        <f aca="false">INDEX(Companies!$D$2:$D$31,MATCH(C444,Companies!$A$2:$A$31,0))</f>
        <v>Tier 1</v>
      </c>
      <c r="N444" s="34" t="n">
        <f aca="false">MATCH(F444,Assumptions!$K$4:$K$8,0)</f>
        <v>2</v>
      </c>
      <c r="O444" s="21" t="str">
        <f aca="false">IF(H444="Yes",MONTH(I444),"")</f>
        <v/>
      </c>
      <c r="P444" s="21" t="str">
        <f aca="false">IF(H444="Yes",B444,"")</f>
        <v/>
      </c>
    </row>
    <row r="445" customFormat="false" ht="15" hidden="false" customHeight="false" outlineLevel="0" collapsed="false">
      <c r="A445" s="21" t="s">
        <v>1660</v>
      </c>
      <c r="B445" s="21" t="s">
        <v>173</v>
      </c>
      <c r="C445" s="21" t="s">
        <v>1214</v>
      </c>
      <c r="D445" s="21" t="s">
        <v>1174</v>
      </c>
      <c r="E445" s="33" t="n">
        <v>45239</v>
      </c>
      <c r="F445" s="21" t="s">
        <v>1185</v>
      </c>
      <c r="G445" s="32" t="n">
        <v>19.9</v>
      </c>
      <c r="H445" s="21" t="s">
        <v>120</v>
      </c>
      <c r="I445" s="33" t="n">
        <v>45275</v>
      </c>
      <c r="J445" s="21" t="str">
        <f aca="false">INDEX(Students!$C$2:$C$601,MATCH(B445,Students!$A$2:$A$601,0))</f>
        <v>Batch 2024</v>
      </c>
      <c r="K445" s="21" t="str">
        <f aca="false">INDEX(Students!$D$2:$D$601,MATCH(B445,Students!$A$2:$A$601,0))</f>
        <v>Full Stack Development</v>
      </c>
      <c r="L445" s="21" t="str">
        <f aca="false">INDEX(Companies!$C$2:$C$31,MATCH(C445,Companies!$A$2:$A$31,0))</f>
        <v>Product</v>
      </c>
      <c r="M445" s="21" t="str">
        <f aca="false">INDEX(Companies!$D$2:$D$31,MATCH(C445,Companies!$A$2:$A$31,0))</f>
        <v>Tier 1</v>
      </c>
      <c r="N445" s="34" t="n">
        <f aca="false">MATCH(F445,Assumptions!$K$4:$K$8,0)</f>
        <v>5</v>
      </c>
      <c r="O445" s="21" t="n">
        <f aca="false">IF(H445="Yes",MONTH(I445),"")</f>
        <v>12</v>
      </c>
      <c r="P445" s="21" t="str">
        <f aca="false">IF(H445="Yes",B445,"")</f>
        <v>S0031</v>
      </c>
    </row>
    <row r="446" customFormat="false" ht="15" hidden="false" customHeight="false" outlineLevel="0" collapsed="false">
      <c r="A446" s="21" t="s">
        <v>1661</v>
      </c>
      <c r="B446" s="21" t="s">
        <v>209</v>
      </c>
      <c r="C446" s="21" t="s">
        <v>1201</v>
      </c>
      <c r="D446" s="21" t="s">
        <v>1226</v>
      </c>
      <c r="E446" s="33" t="n">
        <v>45239</v>
      </c>
      <c r="F446" s="21" t="s">
        <v>1185</v>
      </c>
      <c r="G446" s="32" t="n">
        <v>6.2</v>
      </c>
      <c r="H446" s="21" t="s">
        <v>120</v>
      </c>
      <c r="I446" s="33" t="n">
        <v>45275</v>
      </c>
      <c r="J446" s="21" t="str">
        <f aca="false">INDEX(Students!$C$2:$C$601,MATCH(B446,Students!$A$2:$A$601,0))</f>
        <v>Batch 2024</v>
      </c>
      <c r="K446" s="21" t="str">
        <f aca="false">INDEX(Students!$D$2:$D$601,MATCH(B446,Students!$A$2:$A$601,0))</f>
        <v>Cybersecurity</v>
      </c>
      <c r="L446" s="21" t="str">
        <f aca="false">INDEX(Companies!$C$2:$C$31,MATCH(C446,Companies!$A$2:$A$31,0))</f>
        <v>IT Services</v>
      </c>
      <c r="M446" s="21" t="str">
        <f aca="false">INDEX(Companies!$D$2:$D$31,MATCH(C446,Companies!$A$2:$A$31,0))</f>
        <v>Tier 3</v>
      </c>
      <c r="N446" s="34" t="n">
        <f aca="false">MATCH(F446,Assumptions!$K$4:$K$8,0)</f>
        <v>5</v>
      </c>
      <c r="O446" s="21" t="n">
        <f aca="false">IF(H446="Yes",MONTH(I446),"")</f>
        <v>12</v>
      </c>
      <c r="P446" s="21" t="str">
        <f aca="false">IF(H446="Yes",B446,"")</f>
        <v>S0049</v>
      </c>
    </row>
    <row r="447" customFormat="false" ht="15" hidden="false" customHeight="false" outlineLevel="0" collapsed="false">
      <c r="A447" s="21" t="s">
        <v>1662</v>
      </c>
      <c r="B447" s="21" t="s">
        <v>201</v>
      </c>
      <c r="C447" s="21" t="s">
        <v>1230</v>
      </c>
      <c r="D447" s="21" t="s">
        <v>1181</v>
      </c>
      <c r="E447" s="33" t="n">
        <v>45239</v>
      </c>
      <c r="F447" s="21" t="s">
        <v>1185</v>
      </c>
      <c r="G447" s="32" t="n">
        <v>5.2</v>
      </c>
      <c r="H447" s="21" t="s">
        <v>120</v>
      </c>
      <c r="I447" s="33" t="n">
        <v>45264</v>
      </c>
      <c r="J447" s="21" t="str">
        <f aca="false">INDEX(Students!$C$2:$C$601,MATCH(B447,Students!$A$2:$A$601,0))</f>
        <v>Batch 2024</v>
      </c>
      <c r="K447" s="21" t="str">
        <f aca="false">INDEX(Students!$D$2:$D$601,MATCH(B447,Students!$A$2:$A$601,0))</f>
        <v>Full Stack Development</v>
      </c>
      <c r="L447" s="21" t="str">
        <f aca="false">INDEX(Companies!$C$2:$C$31,MATCH(C447,Companies!$A$2:$A$31,0))</f>
        <v>IT Services</v>
      </c>
      <c r="M447" s="21" t="str">
        <f aca="false">INDEX(Companies!$D$2:$D$31,MATCH(C447,Companies!$A$2:$A$31,0))</f>
        <v>Tier 3</v>
      </c>
      <c r="N447" s="34" t="n">
        <f aca="false">MATCH(F447,Assumptions!$K$4:$K$8,0)</f>
        <v>5</v>
      </c>
      <c r="O447" s="21" t="n">
        <f aca="false">IF(H447="Yes",MONTH(I447),"")</f>
        <v>12</v>
      </c>
      <c r="P447" s="21" t="str">
        <f aca="false">IF(H447="Yes",B447,"")</f>
        <v>S0045</v>
      </c>
    </row>
    <row r="448" customFormat="false" ht="15" hidden="false" customHeight="false" outlineLevel="0" collapsed="false">
      <c r="A448" s="21" t="s">
        <v>1663</v>
      </c>
      <c r="B448" s="21" t="s">
        <v>449</v>
      </c>
      <c r="C448" s="21" t="s">
        <v>1193</v>
      </c>
      <c r="D448" s="21" t="s">
        <v>1188</v>
      </c>
      <c r="E448" s="33" t="n">
        <v>45240</v>
      </c>
      <c r="F448" s="21" t="s">
        <v>1218</v>
      </c>
      <c r="G448" s="32"/>
      <c r="H448" s="21"/>
      <c r="I448" s="33"/>
      <c r="J448" s="21" t="str">
        <f aca="false">INDEX(Students!$C$2:$C$601,MATCH(B448,Students!$A$2:$A$601,0))</f>
        <v>Batch 2024</v>
      </c>
      <c r="K448" s="21" t="str">
        <f aca="false">INDEX(Students!$D$2:$D$601,MATCH(B448,Students!$A$2:$A$601,0))</f>
        <v>Data Analytics</v>
      </c>
      <c r="L448" s="21" t="str">
        <f aca="false">INDEX(Companies!$C$2:$C$31,MATCH(C448,Companies!$A$2:$A$31,0))</f>
        <v>Analytics &amp; Consulting</v>
      </c>
      <c r="M448" s="21" t="str">
        <f aca="false">INDEX(Companies!$D$2:$D$31,MATCH(C448,Companies!$A$2:$A$31,0))</f>
        <v>Tier 2</v>
      </c>
      <c r="N448" s="34" t="n">
        <f aca="false">MATCH(F448,Assumptions!$K$4:$K$8,0)</f>
        <v>4</v>
      </c>
      <c r="O448" s="21" t="str">
        <f aca="false">IF(H448="Yes",MONTH(I448),"")</f>
        <v/>
      </c>
      <c r="P448" s="21" t="str">
        <f aca="false">IF(H448="Yes",B448,"")</f>
        <v/>
      </c>
    </row>
    <row r="449" customFormat="false" ht="15" hidden="false" customHeight="false" outlineLevel="0" collapsed="false">
      <c r="A449" s="21" t="s">
        <v>1664</v>
      </c>
      <c r="B449" s="21" t="s">
        <v>420</v>
      </c>
      <c r="C449" s="21" t="s">
        <v>1309</v>
      </c>
      <c r="D449" s="21" t="s">
        <v>1194</v>
      </c>
      <c r="E449" s="33" t="n">
        <v>45240</v>
      </c>
      <c r="F449" s="21" t="s">
        <v>1175</v>
      </c>
      <c r="G449" s="32"/>
      <c r="H449" s="21"/>
      <c r="I449" s="33"/>
      <c r="J449" s="21" t="str">
        <f aca="false">INDEX(Students!$C$2:$C$601,MATCH(B449,Students!$A$2:$A$601,0))</f>
        <v>Batch 2024</v>
      </c>
      <c r="K449" s="21" t="str">
        <f aca="false">INDEX(Students!$D$2:$D$601,MATCH(B449,Students!$A$2:$A$601,0))</f>
        <v>Data Science &amp; ML</v>
      </c>
      <c r="L449" s="21" t="str">
        <f aca="false">INDEX(Companies!$C$2:$C$31,MATCH(C449,Companies!$A$2:$A$31,0))</f>
        <v>EdTech</v>
      </c>
      <c r="M449" s="21" t="str">
        <f aca="false">INDEX(Companies!$D$2:$D$31,MATCH(C449,Companies!$A$2:$A$31,0))</f>
        <v>Tier 2</v>
      </c>
      <c r="N449" s="34" t="n">
        <f aca="false">MATCH(F449,Assumptions!$K$4:$K$8,0)</f>
        <v>1</v>
      </c>
      <c r="O449" s="21" t="str">
        <f aca="false">IF(H449="Yes",MONTH(I449),"")</f>
        <v/>
      </c>
      <c r="P449" s="21" t="str">
        <f aca="false">IF(H449="Yes",B449,"")</f>
        <v/>
      </c>
    </row>
    <row r="450" customFormat="false" ht="15" hidden="false" customHeight="false" outlineLevel="0" collapsed="false">
      <c r="A450" s="21" t="s">
        <v>1665</v>
      </c>
      <c r="B450" s="21" t="s">
        <v>272</v>
      </c>
      <c r="C450" s="21" t="s">
        <v>1266</v>
      </c>
      <c r="D450" s="21" t="s">
        <v>1209</v>
      </c>
      <c r="E450" s="33" t="n">
        <v>45240</v>
      </c>
      <c r="F450" s="21" t="s">
        <v>1197</v>
      </c>
      <c r="G450" s="32"/>
      <c r="H450" s="21"/>
      <c r="I450" s="33"/>
      <c r="J450" s="21" t="str">
        <f aca="false">INDEX(Students!$C$2:$C$601,MATCH(B450,Students!$A$2:$A$601,0))</f>
        <v>Batch 2024</v>
      </c>
      <c r="K450" s="21" t="str">
        <f aca="false">INDEX(Students!$D$2:$D$601,MATCH(B450,Students!$A$2:$A$601,0))</f>
        <v>Data Analytics</v>
      </c>
      <c r="L450" s="21" t="str">
        <f aca="false">INDEX(Companies!$C$2:$C$31,MATCH(C450,Companies!$A$2:$A$31,0))</f>
        <v>IT Services</v>
      </c>
      <c r="M450" s="21" t="str">
        <f aca="false">INDEX(Companies!$D$2:$D$31,MATCH(C450,Companies!$A$2:$A$31,0))</f>
        <v>Tier 3</v>
      </c>
      <c r="N450" s="34" t="n">
        <f aca="false">MATCH(F450,Assumptions!$K$4:$K$8,0)</f>
        <v>3</v>
      </c>
      <c r="O450" s="21" t="str">
        <f aca="false">IF(H450="Yes",MONTH(I450),"")</f>
        <v/>
      </c>
      <c r="P450" s="21" t="str">
        <f aca="false">IF(H450="Yes",B450,"")</f>
        <v/>
      </c>
    </row>
    <row r="451" customFormat="false" ht="15" hidden="false" customHeight="false" outlineLevel="0" collapsed="false">
      <c r="A451" s="21" t="s">
        <v>1666</v>
      </c>
      <c r="B451" s="21" t="s">
        <v>354</v>
      </c>
      <c r="C451" s="21" t="s">
        <v>1216</v>
      </c>
      <c r="D451" s="21" t="s">
        <v>1194</v>
      </c>
      <c r="E451" s="33" t="n">
        <v>45240</v>
      </c>
      <c r="F451" s="21" t="s">
        <v>1185</v>
      </c>
      <c r="G451" s="32" t="n">
        <v>5.4</v>
      </c>
      <c r="H451" s="21" t="s">
        <v>120</v>
      </c>
      <c r="I451" s="33" t="n">
        <v>45271</v>
      </c>
      <c r="J451" s="21" t="str">
        <f aca="false">INDEX(Students!$C$2:$C$601,MATCH(B451,Students!$A$2:$A$601,0))</f>
        <v>Batch 2024</v>
      </c>
      <c r="K451" s="21" t="str">
        <f aca="false">INDEX(Students!$D$2:$D$601,MATCH(B451,Students!$A$2:$A$601,0))</f>
        <v>Data Science &amp; ML</v>
      </c>
      <c r="L451" s="21" t="str">
        <f aca="false">INDEX(Companies!$C$2:$C$31,MATCH(C451,Companies!$A$2:$A$31,0))</f>
        <v>IT Services</v>
      </c>
      <c r="M451" s="21" t="str">
        <f aca="false">INDEX(Companies!$D$2:$D$31,MATCH(C451,Companies!$A$2:$A$31,0))</f>
        <v>Tier 3</v>
      </c>
      <c r="N451" s="34" t="n">
        <f aca="false">MATCH(F451,Assumptions!$K$4:$K$8,0)</f>
        <v>5</v>
      </c>
      <c r="O451" s="21" t="n">
        <f aca="false">IF(H451="Yes",MONTH(I451),"")</f>
        <v>12</v>
      </c>
      <c r="P451" s="21" t="str">
        <f aca="false">IF(H451="Yes",B451,"")</f>
        <v>S0126</v>
      </c>
    </row>
    <row r="452" customFormat="false" ht="15" hidden="false" customHeight="false" outlineLevel="0" collapsed="false">
      <c r="A452" s="21" t="s">
        <v>1667</v>
      </c>
      <c r="B452" s="21" t="s">
        <v>315</v>
      </c>
      <c r="C452" s="21" t="s">
        <v>1266</v>
      </c>
      <c r="D452" s="21" t="s">
        <v>1174</v>
      </c>
      <c r="E452" s="33" t="n">
        <v>45241</v>
      </c>
      <c r="F452" s="21" t="s">
        <v>1178</v>
      </c>
      <c r="G452" s="32"/>
      <c r="H452" s="21"/>
      <c r="I452" s="33"/>
      <c r="J452" s="21" t="str">
        <f aca="false">INDEX(Students!$C$2:$C$601,MATCH(B452,Students!$A$2:$A$601,0))</f>
        <v>Batch 2024</v>
      </c>
      <c r="K452" s="21" t="str">
        <f aca="false">INDEX(Students!$D$2:$D$601,MATCH(B452,Students!$A$2:$A$601,0))</f>
        <v>Full Stack Development</v>
      </c>
      <c r="L452" s="21" t="str">
        <f aca="false">INDEX(Companies!$C$2:$C$31,MATCH(C452,Companies!$A$2:$A$31,0))</f>
        <v>IT Services</v>
      </c>
      <c r="M452" s="21" t="str">
        <f aca="false">INDEX(Companies!$D$2:$D$31,MATCH(C452,Companies!$A$2:$A$31,0))</f>
        <v>Tier 3</v>
      </c>
      <c r="N452" s="34" t="n">
        <f aca="false">MATCH(F452,Assumptions!$K$4:$K$8,0)</f>
        <v>2</v>
      </c>
      <c r="O452" s="21" t="str">
        <f aca="false">IF(H452="Yes",MONTH(I452),"")</f>
        <v/>
      </c>
      <c r="P452" s="21" t="str">
        <f aca="false">IF(H452="Yes",B452,"")</f>
        <v/>
      </c>
    </row>
    <row r="453" customFormat="false" ht="15" hidden="false" customHeight="false" outlineLevel="0" collapsed="false">
      <c r="A453" s="21" t="s">
        <v>1668</v>
      </c>
      <c r="B453" s="21" t="s">
        <v>378</v>
      </c>
      <c r="C453" s="21" t="s">
        <v>1196</v>
      </c>
      <c r="D453" s="21" t="s">
        <v>1184</v>
      </c>
      <c r="E453" s="33" t="n">
        <v>45241</v>
      </c>
      <c r="F453" s="21" t="s">
        <v>1185</v>
      </c>
      <c r="G453" s="32" t="n">
        <v>6.4</v>
      </c>
      <c r="H453" s="21" t="s">
        <v>113</v>
      </c>
      <c r="I453" s="33" t="n">
        <v>45295</v>
      </c>
      <c r="J453" s="21" t="str">
        <f aca="false">INDEX(Students!$C$2:$C$601,MATCH(B453,Students!$A$2:$A$601,0))</f>
        <v>Batch 2024</v>
      </c>
      <c r="K453" s="21" t="str">
        <f aca="false">INDEX(Students!$D$2:$D$601,MATCH(B453,Students!$A$2:$A$601,0))</f>
        <v>DSA with Java</v>
      </c>
      <c r="L453" s="21" t="str">
        <f aca="false">INDEX(Companies!$C$2:$C$31,MATCH(C453,Companies!$A$2:$A$31,0))</f>
        <v>IT Services</v>
      </c>
      <c r="M453" s="21" t="str">
        <f aca="false">INDEX(Companies!$D$2:$D$31,MATCH(C453,Companies!$A$2:$A$31,0))</f>
        <v>Tier 3</v>
      </c>
      <c r="N453" s="34" t="n">
        <f aca="false">MATCH(F453,Assumptions!$K$4:$K$8,0)</f>
        <v>5</v>
      </c>
      <c r="O453" s="21" t="str">
        <f aca="false">IF(H453="Yes",MONTH(I453),"")</f>
        <v/>
      </c>
      <c r="P453" s="21" t="str">
        <f aca="false">IF(H453="Yes",B453,"")</f>
        <v/>
      </c>
    </row>
    <row r="454" customFormat="false" ht="15" hidden="false" customHeight="false" outlineLevel="0" collapsed="false">
      <c r="A454" s="21" t="s">
        <v>1669</v>
      </c>
      <c r="B454" s="21" t="s">
        <v>352</v>
      </c>
      <c r="C454" s="21" t="s">
        <v>1234</v>
      </c>
      <c r="D454" s="21" t="s">
        <v>1194</v>
      </c>
      <c r="E454" s="33" t="n">
        <v>45241</v>
      </c>
      <c r="F454" s="21" t="s">
        <v>1185</v>
      </c>
      <c r="G454" s="32" t="n">
        <v>7.3</v>
      </c>
      <c r="H454" s="21" t="s">
        <v>113</v>
      </c>
      <c r="I454" s="33" t="n">
        <v>45263</v>
      </c>
      <c r="J454" s="21" t="str">
        <f aca="false">INDEX(Students!$C$2:$C$601,MATCH(B454,Students!$A$2:$A$601,0))</f>
        <v>Batch 2024</v>
      </c>
      <c r="K454" s="21" t="str">
        <f aca="false">INDEX(Students!$D$2:$D$601,MATCH(B454,Students!$A$2:$A$601,0))</f>
        <v>Data Science &amp; ML</v>
      </c>
      <c r="L454" s="21" t="str">
        <f aca="false">INDEX(Companies!$C$2:$C$31,MATCH(C454,Companies!$A$2:$A$31,0))</f>
        <v>EdTech</v>
      </c>
      <c r="M454" s="21" t="str">
        <f aca="false">INDEX(Companies!$D$2:$D$31,MATCH(C454,Companies!$A$2:$A$31,0))</f>
        <v>Tier 3</v>
      </c>
      <c r="N454" s="34" t="n">
        <f aca="false">MATCH(F454,Assumptions!$K$4:$K$8,0)</f>
        <v>5</v>
      </c>
      <c r="O454" s="21" t="str">
        <f aca="false">IF(H454="Yes",MONTH(I454),"")</f>
        <v/>
      </c>
      <c r="P454" s="21" t="str">
        <f aca="false">IF(H454="Yes",B454,"")</f>
        <v/>
      </c>
    </row>
    <row r="455" customFormat="false" ht="15" hidden="false" customHeight="false" outlineLevel="0" collapsed="false">
      <c r="A455" s="21" t="s">
        <v>1670</v>
      </c>
      <c r="B455" s="21" t="s">
        <v>431</v>
      </c>
      <c r="C455" s="21" t="s">
        <v>1266</v>
      </c>
      <c r="D455" s="21" t="s">
        <v>1243</v>
      </c>
      <c r="E455" s="33" t="n">
        <v>45241</v>
      </c>
      <c r="F455" s="21" t="s">
        <v>1178</v>
      </c>
      <c r="G455" s="32"/>
      <c r="H455" s="21"/>
      <c r="I455" s="33"/>
      <c r="J455" s="21" t="str">
        <f aca="false">INDEX(Students!$C$2:$C$601,MATCH(B455,Students!$A$2:$A$601,0))</f>
        <v>Batch 2024</v>
      </c>
      <c r="K455" s="21" t="str">
        <f aca="false">INDEX(Students!$D$2:$D$601,MATCH(B455,Students!$A$2:$A$601,0))</f>
        <v>Data Science &amp; ML</v>
      </c>
      <c r="L455" s="21" t="str">
        <f aca="false">INDEX(Companies!$C$2:$C$31,MATCH(C455,Companies!$A$2:$A$31,0))</f>
        <v>IT Services</v>
      </c>
      <c r="M455" s="21" t="str">
        <f aca="false">INDEX(Companies!$D$2:$D$31,MATCH(C455,Companies!$A$2:$A$31,0))</f>
        <v>Tier 3</v>
      </c>
      <c r="N455" s="34" t="n">
        <f aca="false">MATCH(F455,Assumptions!$K$4:$K$8,0)</f>
        <v>2</v>
      </c>
      <c r="O455" s="21" t="str">
        <f aca="false">IF(H455="Yes",MONTH(I455),"")</f>
        <v/>
      </c>
      <c r="P455" s="21" t="str">
        <f aca="false">IF(H455="Yes",B455,"")</f>
        <v/>
      </c>
    </row>
    <row r="456" customFormat="false" ht="15" hidden="false" customHeight="false" outlineLevel="0" collapsed="false">
      <c r="A456" s="21" t="s">
        <v>1671</v>
      </c>
      <c r="B456" s="21" t="s">
        <v>241</v>
      </c>
      <c r="C456" s="21" t="s">
        <v>1230</v>
      </c>
      <c r="D456" s="21" t="s">
        <v>1243</v>
      </c>
      <c r="E456" s="33" t="n">
        <v>45241</v>
      </c>
      <c r="F456" s="21" t="s">
        <v>1178</v>
      </c>
      <c r="G456" s="32"/>
      <c r="H456" s="21"/>
      <c r="I456" s="33"/>
      <c r="J456" s="21" t="str">
        <f aca="false">INDEX(Students!$C$2:$C$601,MATCH(B456,Students!$A$2:$A$601,0))</f>
        <v>Batch 2024</v>
      </c>
      <c r="K456" s="21" t="str">
        <f aca="false">INDEX(Students!$D$2:$D$601,MATCH(B456,Students!$A$2:$A$601,0))</f>
        <v>Data Science &amp; ML</v>
      </c>
      <c r="L456" s="21" t="str">
        <f aca="false">INDEX(Companies!$C$2:$C$31,MATCH(C456,Companies!$A$2:$A$31,0))</f>
        <v>IT Services</v>
      </c>
      <c r="M456" s="21" t="str">
        <f aca="false">INDEX(Companies!$D$2:$D$31,MATCH(C456,Companies!$A$2:$A$31,0))</f>
        <v>Tier 3</v>
      </c>
      <c r="N456" s="34" t="n">
        <f aca="false">MATCH(F456,Assumptions!$K$4:$K$8,0)</f>
        <v>2</v>
      </c>
      <c r="O456" s="21" t="str">
        <f aca="false">IF(H456="Yes",MONTH(I456),"")</f>
        <v/>
      </c>
      <c r="P456" s="21" t="str">
        <f aca="false">IF(H456="Yes",B456,"")</f>
        <v/>
      </c>
    </row>
    <row r="457" customFormat="false" ht="15" hidden="false" customHeight="false" outlineLevel="0" collapsed="false">
      <c r="A457" s="21" t="s">
        <v>1672</v>
      </c>
      <c r="B457" s="21" t="s">
        <v>276</v>
      </c>
      <c r="C457" s="21" t="s">
        <v>1180</v>
      </c>
      <c r="D457" s="21" t="s">
        <v>1243</v>
      </c>
      <c r="E457" s="33" t="n">
        <v>45241</v>
      </c>
      <c r="F457" s="21" t="s">
        <v>1185</v>
      </c>
      <c r="G457" s="32" t="n">
        <v>5.5</v>
      </c>
      <c r="H457" s="21" t="s">
        <v>113</v>
      </c>
      <c r="I457" s="33" t="n">
        <v>45294</v>
      </c>
      <c r="J457" s="21" t="str">
        <f aca="false">INDEX(Students!$C$2:$C$601,MATCH(B457,Students!$A$2:$A$601,0))</f>
        <v>Batch 2024</v>
      </c>
      <c r="K457" s="21" t="str">
        <f aca="false">INDEX(Students!$D$2:$D$601,MATCH(B457,Students!$A$2:$A$601,0))</f>
        <v>Data Science &amp; ML</v>
      </c>
      <c r="L457" s="21" t="str">
        <f aca="false">INDEX(Companies!$C$2:$C$31,MATCH(C457,Companies!$A$2:$A$31,0))</f>
        <v>IT Services</v>
      </c>
      <c r="M457" s="21" t="str">
        <f aca="false">INDEX(Companies!$D$2:$D$31,MATCH(C457,Companies!$A$2:$A$31,0))</f>
        <v>Tier 3</v>
      </c>
      <c r="N457" s="34" t="n">
        <f aca="false">MATCH(F457,Assumptions!$K$4:$K$8,0)</f>
        <v>5</v>
      </c>
      <c r="O457" s="21" t="str">
        <f aca="false">IF(H457="Yes",MONTH(I457),"")</f>
        <v/>
      </c>
      <c r="P457" s="21" t="str">
        <f aca="false">IF(H457="Yes",B457,"")</f>
        <v/>
      </c>
    </row>
    <row r="458" customFormat="false" ht="15" hidden="false" customHeight="false" outlineLevel="0" collapsed="false">
      <c r="A458" s="21" t="s">
        <v>1673</v>
      </c>
      <c r="B458" s="21" t="s">
        <v>205</v>
      </c>
      <c r="C458" s="21" t="s">
        <v>1201</v>
      </c>
      <c r="D458" s="21" t="s">
        <v>1209</v>
      </c>
      <c r="E458" s="33" t="n">
        <v>45242</v>
      </c>
      <c r="F458" s="21" t="s">
        <v>1185</v>
      </c>
      <c r="G458" s="32" t="n">
        <v>5.6</v>
      </c>
      <c r="H458" s="21" t="s">
        <v>113</v>
      </c>
      <c r="I458" s="33" t="n">
        <v>45275</v>
      </c>
      <c r="J458" s="21" t="str">
        <f aca="false">INDEX(Students!$C$2:$C$601,MATCH(B458,Students!$A$2:$A$601,0))</f>
        <v>Batch 2024</v>
      </c>
      <c r="K458" s="21" t="str">
        <f aca="false">INDEX(Students!$D$2:$D$601,MATCH(B458,Students!$A$2:$A$601,0))</f>
        <v>Data Analytics</v>
      </c>
      <c r="L458" s="21" t="str">
        <f aca="false">INDEX(Companies!$C$2:$C$31,MATCH(C458,Companies!$A$2:$A$31,0))</f>
        <v>IT Services</v>
      </c>
      <c r="M458" s="21" t="str">
        <f aca="false">INDEX(Companies!$D$2:$D$31,MATCH(C458,Companies!$A$2:$A$31,0))</f>
        <v>Tier 3</v>
      </c>
      <c r="N458" s="34" t="n">
        <f aca="false">MATCH(F458,Assumptions!$K$4:$K$8,0)</f>
        <v>5</v>
      </c>
      <c r="O458" s="21" t="str">
        <f aca="false">IF(H458="Yes",MONTH(I458),"")</f>
        <v/>
      </c>
      <c r="P458" s="21" t="str">
        <f aca="false">IF(H458="Yes",B458,"")</f>
        <v/>
      </c>
    </row>
    <row r="459" customFormat="false" ht="15" hidden="false" customHeight="false" outlineLevel="0" collapsed="false">
      <c r="A459" s="21" t="s">
        <v>1674</v>
      </c>
      <c r="B459" s="21" t="s">
        <v>219</v>
      </c>
      <c r="C459" s="21" t="s">
        <v>1203</v>
      </c>
      <c r="D459" s="21" t="s">
        <v>1243</v>
      </c>
      <c r="E459" s="33" t="n">
        <v>45242</v>
      </c>
      <c r="F459" s="21" t="s">
        <v>1178</v>
      </c>
      <c r="G459" s="32"/>
      <c r="H459" s="21"/>
      <c r="I459" s="33"/>
      <c r="J459" s="21" t="str">
        <f aca="false">INDEX(Students!$C$2:$C$601,MATCH(B459,Students!$A$2:$A$601,0))</f>
        <v>Batch 2024</v>
      </c>
      <c r="K459" s="21" t="str">
        <f aca="false">INDEX(Students!$D$2:$D$601,MATCH(B459,Students!$A$2:$A$601,0))</f>
        <v>Data Science &amp; ML</v>
      </c>
      <c r="L459" s="21" t="str">
        <f aca="false">INDEX(Companies!$C$2:$C$31,MATCH(C459,Companies!$A$2:$A$31,0))</f>
        <v>Healthtech</v>
      </c>
      <c r="M459" s="21" t="str">
        <f aca="false">INDEX(Companies!$D$2:$D$31,MATCH(C459,Companies!$A$2:$A$31,0))</f>
        <v>Tier 2</v>
      </c>
      <c r="N459" s="34" t="n">
        <f aca="false">MATCH(F459,Assumptions!$K$4:$K$8,0)</f>
        <v>2</v>
      </c>
      <c r="O459" s="21" t="str">
        <f aca="false">IF(H459="Yes",MONTH(I459),"")</f>
        <v/>
      </c>
      <c r="P459" s="21" t="str">
        <f aca="false">IF(H459="Yes",B459,"")</f>
        <v/>
      </c>
    </row>
    <row r="460" customFormat="false" ht="15" hidden="false" customHeight="false" outlineLevel="0" collapsed="false">
      <c r="A460" s="21" t="s">
        <v>1675</v>
      </c>
      <c r="B460" s="21" t="s">
        <v>239</v>
      </c>
      <c r="C460" s="21" t="s">
        <v>1190</v>
      </c>
      <c r="D460" s="21" t="s">
        <v>1181</v>
      </c>
      <c r="E460" s="33" t="n">
        <v>45242</v>
      </c>
      <c r="F460" s="21" t="s">
        <v>1178</v>
      </c>
      <c r="G460" s="32"/>
      <c r="H460" s="21"/>
      <c r="I460" s="33"/>
      <c r="J460" s="21" t="str">
        <f aca="false">INDEX(Students!$C$2:$C$601,MATCH(B460,Students!$A$2:$A$601,0))</f>
        <v>Batch 2024</v>
      </c>
      <c r="K460" s="21" t="str">
        <f aca="false">INDEX(Students!$D$2:$D$601,MATCH(B460,Students!$A$2:$A$601,0))</f>
        <v>Full Stack Development</v>
      </c>
      <c r="L460" s="21" t="str">
        <f aca="false">INDEX(Companies!$C$2:$C$31,MATCH(C460,Companies!$A$2:$A$31,0))</f>
        <v>Analytics &amp; Consulting</v>
      </c>
      <c r="M460" s="21" t="str">
        <f aca="false">INDEX(Companies!$D$2:$D$31,MATCH(C460,Companies!$A$2:$A$31,0))</f>
        <v>Tier 1</v>
      </c>
      <c r="N460" s="34" t="n">
        <f aca="false">MATCH(F460,Assumptions!$K$4:$K$8,0)</f>
        <v>2</v>
      </c>
      <c r="O460" s="21" t="str">
        <f aca="false">IF(H460="Yes",MONTH(I460),"")</f>
        <v/>
      </c>
      <c r="P460" s="21" t="str">
        <f aca="false">IF(H460="Yes",B460,"")</f>
        <v/>
      </c>
    </row>
    <row r="461" customFormat="false" ht="15" hidden="false" customHeight="false" outlineLevel="0" collapsed="false">
      <c r="A461" s="21" t="s">
        <v>1676</v>
      </c>
      <c r="B461" s="21" t="s">
        <v>301</v>
      </c>
      <c r="C461" s="21" t="s">
        <v>1290</v>
      </c>
      <c r="D461" s="21" t="s">
        <v>1181</v>
      </c>
      <c r="E461" s="33" t="n">
        <v>45242</v>
      </c>
      <c r="F461" s="21" t="s">
        <v>1197</v>
      </c>
      <c r="G461" s="32"/>
      <c r="H461" s="21"/>
      <c r="I461" s="33"/>
      <c r="J461" s="21" t="str">
        <f aca="false">INDEX(Students!$C$2:$C$601,MATCH(B461,Students!$A$2:$A$601,0))</f>
        <v>Batch 2024</v>
      </c>
      <c r="K461" s="21" t="str">
        <f aca="false">INDEX(Students!$D$2:$D$601,MATCH(B461,Students!$A$2:$A$601,0))</f>
        <v>Full Stack Development</v>
      </c>
      <c r="L461" s="21" t="str">
        <f aca="false">INDEX(Companies!$C$2:$C$31,MATCH(C461,Companies!$A$2:$A$31,0))</f>
        <v>Fintech</v>
      </c>
      <c r="M461" s="21" t="str">
        <f aca="false">INDEX(Companies!$D$2:$D$31,MATCH(C461,Companies!$A$2:$A$31,0))</f>
        <v>Tier 2</v>
      </c>
      <c r="N461" s="34" t="n">
        <f aca="false">MATCH(F461,Assumptions!$K$4:$K$8,0)</f>
        <v>3</v>
      </c>
      <c r="O461" s="21" t="str">
        <f aca="false">IF(H461="Yes",MONTH(I461),"")</f>
        <v/>
      </c>
      <c r="P461" s="21" t="str">
        <f aca="false">IF(H461="Yes",B461,"")</f>
        <v/>
      </c>
    </row>
    <row r="462" customFormat="false" ht="15" hidden="false" customHeight="false" outlineLevel="0" collapsed="false">
      <c r="A462" s="21" t="s">
        <v>1677</v>
      </c>
      <c r="B462" s="21" t="s">
        <v>230</v>
      </c>
      <c r="C462" s="21" t="s">
        <v>1208</v>
      </c>
      <c r="D462" s="21" t="s">
        <v>1174</v>
      </c>
      <c r="E462" s="33" t="n">
        <v>45242</v>
      </c>
      <c r="F462" s="21" t="s">
        <v>1197</v>
      </c>
      <c r="G462" s="32"/>
      <c r="H462" s="21"/>
      <c r="I462" s="33"/>
      <c r="J462" s="21" t="str">
        <f aca="false">INDEX(Students!$C$2:$C$601,MATCH(B462,Students!$A$2:$A$601,0))</f>
        <v>Batch 2024</v>
      </c>
      <c r="K462" s="21" t="str">
        <f aca="false">INDEX(Students!$D$2:$D$601,MATCH(B462,Students!$A$2:$A$601,0))</f>
        <v>Full Stack Development</v>
      </c>
      <c r="L462" s="21" t="str">
        <f aca="false">INDEX(Companies!$C$2:$C$31,MATCH(C462,Companies!$A$2:$A$31,0))</f>
        <v>E-commerce</v>
      </c>
      <c r="M462" s="21" t="str">
        <f aca="false">INDEX(Companies!$D$2:$D$31,MATCH(C462,Companies!$A$2:$A$31,0))</f>
        <v>Tier 1</v>
      </c>
      <c r="N462" s="34" t="n">
        <f aca="false">MATCH(F462,Assumptions!$K$4:$K$8,0)</f>
        <v>3</v>
      </c>
      <c r="O462" s="21" t="str">
        <f aca="false">IF(H462="Yes",MONTH(I462),"")</f>
        <v/>
      </c>
      <c r="P462" s="21" t="str">
        <f aca="false">IF(H462="Yes",B462,"")</f>
        <v/>
      </c>
    </row>
    <row r="463" customFormat="false" ht="15" hidden="false" customHeight="false" outlineLevel="0" collapsed="false">
      <c r="A463" s="21" t="s">
        <v>1678</v>
      </c>
      <c r="B463" s="21" t="s">
        <v>201</v>
      </c>
      <c r="C463" s="21" t="s">
        <v>1180</v>
      </c>
      <c r="D463" s="21" t="s">
        <v>1174</v>
      </c>
      <c r="E463" s="33" t="n">
        <v>45242</v>
      </c>
      <c r="F463" s="21" t="s">
        <v>1175</v>
      </c>
      <c r="G463" s="32"/>
      <c r="H463" s="21"/>
      <c r="I463" s="33"/>
      <c r="J463" s="21" t="str">
        <f aca="false">INDEX(Students!$C$2:$C$601,MATCH(B463,Students!$A$2:$A$601,0))</f>
        <v>Batch 2024</v>
      </c>
      <c r="K463" s="21" t="str">
        <f aca="false">INDEX(Students!$D$2:$D$601,MATCH(B463,Students!$A$2:$A$601,0))</f>
        <v>Full Stack Development</v>
      </c>
      <c r="L463" s="21" t="str">
        <f aca="false">INDEX(Companies!$C$2:$C$31,MATCH(C463,Companies!$A$2:$A$31,0))</f>
        <v>IT Services</v>
      </c>
      <c r="M463" s="21" t="str">
        <f aca="false">INDEX(Companies!$D$2:$D$31,MATCH(C463,Companies!$A$2:$A$31,0))</f>
        <v>Tier 3</v>
      </c>
      <c r="N463" s="34" t="n">
        <f aca="false">MATCH(F463,Assumptions!$K$4:$K$8,0)</f>
        <v>1</v>
      </c>
      <c r="O463" s="21" t="str">
        <f aca="false">IF(H463="Yes",MONTH(I463),"")</f>
        <v/>
      </c>
      <c r="P463" s="21" t="str">
        <f aca="false">IF(H463="Yes",B463,"")</f>
        <v/>
      </c>
    </row>
    <row r="464" customFormat="false" ht="15" hidden="false" customHeight="false" outlineLevel="0" collapsed="false">
      <c r="A464" s="21" t="s">
        <v>1679</v>
      </c>
      <c r="B464" s="21" t="s">
        <v>360</v>
      </c>
      <c r="C464" s="21" t="s">
        <v>1205</v>
      </c>
      <c r="D464" s="21" t="s">
        <v>1181</v>
      </c>
      <c r="E464" s="33" t="n">
        <v>45243</v>
      </c>
      <c r="F464" s="21" t="s">
        <v>1218</v>
      </c>
      <c r="G464" s="32"/>
      <c r="H464" s="21"/>
      <c r="I464" s="33"/>
      <c r="J464" s="21" t="str">
        <f aca="false">INDEX(Students!$C$2:$C$601,MATCH(B464,Students!$A$2:$A$601,0))</f>
        <v>Batch 2024</v>
      </c>
      <c r="K464" s="21" t="str">
        <f aca="false">INDEX(Students!$D$2:$D$601,MATCH(B464,Students!$A$2:$A$601,0))</f>
        <v>Full Stack Development</v>
      </c>
      <c r="L464" s="21" t="str">
        <f aca="false">INDEX(Companies!$C$2:$C$31,MATCH(C464,Companies!$A$2:$A$31,0))</f>
        <v>Healthtech</v>
      </c>
      <c r="M464" s="21" t="str">
        <f aca="false">INDEX(Companies!$D$2:$D$31,MATCH(C464,Companies!$A$2:$A$31,0))</f>
        <v>Tier 3</v>
      </c>
      <c r="N464" s="34" t="n">
        <f aca="false">MATCH(F464,Assumptions!$K$4:$K$8,0)</f>
        <v>4</v>
      </c>
      <c r="O464" s="21" t="str">
        <f aca="false">IF(H464="Yes",MONTH(I464),"")</f>
        <v/>
      </c>
      <c r="P464" s="21" t="str">
        <f aca="false">IF(H464="Yes",B464,"")</f>
        <v/>
      </c>
    </row>
    <row r="465" customFormat="false" ht="15" hidden="false" customHeight="false" outlineLevel="0" collapsed="false">
      <c r="A465" s="21" t="s">
        <v>1680</v>
      </c>
      <c r="B465" s="21" t="s">
        <v>443</v>
      </c>
      <c r="C465" s="21" t="s">
        <v>1239</v>
      </c>
      <c r="D465" s="21" t="s">
        <v>1181</v>
      </c>
      <c r="E465" s="33" t="n">
        <v>45243</v>
      </c>
      <c r="F465" s="21" t="s">
        <v>1197</v>
      </c>
      <c r="G465" s="32"/>
      <c r="H465" s="21"/>
      <c r="I465" s="33"/>
      <c r="J465" s="21" t="str">
        <f aca="false">INDEX(Students!$C$2:$C$601,MATCH(B465,Students!$A$2:$A$601,0))</f>
        <v>Batch 2024</v>
      </c>
      <c r="K465" s="21" t="str">
        <f aca="false">INDEX(Students!$D$2:$D$601,MATCH(B465,Students!$A$2:$A$601,0))</f>
        <v>Full Stack Development</v>
      </c>
      <c r="L465" s="21" t="str">
        <f aca="false">INDEX(Companies!$C$2:$C$31,MATCH(C465,Companies!$A$2:$A$31,0))</f>
        <v>E-commerce</v>
      </c>
      <c r="M465" s="21" t="str">
        <f aca="false">INDEX(Companies!$D$2:$D$31,MATCH(C465,Companies!$A$2:$A$31,0))</f>
        <v>Tier 3</v>
      </c>
      <c r="N465" s="34" t="n">
        <f aca="false">MATCH(F465,Assumptions!$K$4:$K$8,0)</f>
        <v>3</v>
      </c>
      <c r="O465" s="21" t="str">
        <f aca="false">IF(H465="Yes",MONTH(I465),"")</f>
        <v/>
      </c>
      <c r="P465" s="21" t="str">
        <f aca="false">IF(H465="Yes",B465,"")</f>
        <v/>
      </c>
    </row>
    <row r="466" customFormat="false" ht="15" hidden="false" customHeight="false" outlineLevel="0" collapsed="false">
      <c r="A466" s="21" t="s">
        <v>1681</v>
      </c>
      <c r="B466" s="21" t="s">
        <v>239</v>
      </c>
      <c r="C466" s="21" t="s">
        <v>1222</v>
      </c>
      <c r="D466" s="21" t="s">
        <v>1181</v>
      </c>
      <c r="E466" s="33" t="n">
        <v>45243</v>
      </c>
      <c r="F466" s="21" t="s">
        <v>1175</v>
      </c>
      <c r="G466" s="32"/>
      <c r="H466" s="21"/>
      <c r="I466" s="33"/>
      <c r="J466" s="21" t="str">
        <f aca="false">INDEX(Students!$C$2:$C$601,MATCH(B466,Students!$A$2:$A$601,0))</f>
        <v>Batch 2024</v>
      </c>
      <c r="K466" s="21" t="str">
        <f aca="false">INDEX(Students!$D$2:$D$601,MATCH(B466,Students!$A$2:$A$601,0))</f>
        <v>Full Stack Development</v>
      </c>
      <c r="L466" s="21" t="str">
        <f aca="false">INDEX(Companies!$C$2:$C$31,MATCH(C466,Companies!$A$2:$A$31,0))</f>
        <v>Product</v>
      </c>
      <c r="M466" s="21" t="str">
        <f aca="false">INDEX(Companies!$D$2:$D$31,MATCH(C466,Companies!$A$2:$A$31,0))</f>
        <v>Tier 2</v>
      </c>
      <c r="N466" s="34" t="n">
        <f aca="false">MATCH(F466,Assumptions!$K$4:$K$8,0)</f>
        <v>1</v>
      </c>
      <c r="O466" s="21" t="str">
        <f aca="false">IF(H466="Yes",MONTH(I466),"")</f>
        <v/>
      </c>
      <c r="P466" s="21" t="str">
        <f aca="false">IF(H466="Yes",B466,"")</f>
        <v/>
      </c>
    </row>
    <row r="467" customFormat="false" ht="15" hidden="false" customHeight="false" outlineLevel="0" collapsed="false">
      <c r="A467" s="21" t="s">
        <v>1682</v>
      </c>
      <c r="B467" s="21" t="s">
        <v>217</v>
      </c>
      <c r="C467" s="21" t="s">
        <v>1177</v>
      </c>
      <c r="D467" s="21" t="s">
        <v>1243</v>
      </c>
      <c r="E467" s="33" t="n">
        <v>45243</v>
      </c>
      <c r="F467" s="21" t="s">
        <v>1218</v>
      </c>
      <c r="G467" s="32"/>
      <c r="H467" s="21"/>
      <c r="I467" s="33"/>
      <c r="J467" s="21" t="str">
        <f aca="false">INDEX(Students!$C$2:$C$601,MATCH(B467,Students!$A$2:$A$601,0))</f>
        <v>Batch 2024</v>
      </c>
      <c r="K467" s="21" t="str">
        <f aca="false">INDEX(Students!$D$2:$D$601,MATCH(B467,Students!$A$2:$A$601,0))</f>
        <v>Data Science &amp; ML</v>
      </c>
      <c r="L467" s="21" t="str">
        <f aca="false">INDEX(Companies!$C$2:$C$31,MATCH(C467,Companies!$A$2:$A$31,0))</f>
        <v>IT Services</v>
      </c>
      <c r="M467" s="21" t="str">
        <f aca="false">INDEX(Companies!$D$2:$D$31,MATCH(C467,Companies!$A$2:$A$31,0))</f>
        <v>Tier 3</v>
      </c>
      <c r="N467" s="34" t="n">
        <f aca="false">MATCH(F467,Assumptions!$K$4:$K$8,0)</f>
        <v>4</v>
      </c>
      <c r="O467" s="21" t="str">
        <f aca="false">IF(H467="Yes",MONTH(I467),"")</f>
        <v/>
      </c>
      <c r="P467" s="21" t="str">
        <f aca="false">IF(H467="Yes",B467,"")</f>
        <v/>
      </c>
    </row>
    <row r="468" customFormat="false" ht="15" hidden="false" customHeight="false" outlineLevel="0" collapsed="false">
      <c r="A468" s="21" t="s">
        <v>1683</v>
      </c>
      <c r="B468" s="21" t="s">
        <v>420</v>
      </c>
      <c r="C468" s="21" t="s">
        <v>1211</v>
      </c>
      <c r="D468" s="21" t="s">
        <v>1194</v>
      </c>
      <c r="E468" s="33" t="n">
        <v>45243</v>
      </c>
      <c r="F468" s="21" t="s">
        <v>1185</v>
      </c>
      <c r="G468" s="32" t="n">
        <v>6.6</v>
      </c>
      <c r="H468" s="21" t="s">
        <v>120</v>
      </c>
      <c r="I468" s="33" t="n">
        <v>45272</v>
      </c>
      <c r="J468" s="21" t="str">
        <f aca="false">INDEX(Students!$C$2:$C$601,MATCH(B468,Students!$A$2:$A$601,0))</f>
        <v>Batch 2024</v>
      </c>
      <c r="K468" s="21" t="str">
        <f aca="false">INDEX(Students!$D$2:$D$601,MATCH(B468,Students!$A$2:$A$601,0))</f>
        <v>Data Science &amp; ML</v>
      </c>
      <c r="L468" s="21" t="str">
        <f aca="false">INDEX(Companies!$C$2:$C$31,MATCH(C468,Companies!$A$2:$A$31,0))</f>
        <v>Analytics &amp; Consulting</v>
      </c>
      <c r="M468" s="21" t="str">
        <f aca="false">INDEX(Companies!$D$2:$D$31,MATCH(C468,Companies!$A$2:$A$31,0))</f>
        <v>Tier 3</v>
      </c>
      <c r="N468" s="34" t="n">
        <f aca="false">MATCH(F468,Assumptions!$K$4:$K$8,0)</f>
        <v>5</v>
      </c>
      <c r="O468" s="21" t="n">
        <f aca="false">IF(H468="Yes",MONTH(I468),"")</f>
        <v>12</v>
      </c>
      <c r="P468" s="21" t="str">
        <f aca="false">IF(H468="Yes",B468,"")</f>
        <v>S0161</v>
      </c>
    </row>
    <row r="469" customFormat="false" ht="15" hidden="false" customHeight="false" outlineLevel="0" collapsed="false">
      <c r="A469" s="21" t="s">
        <v>1684</v>
      </c>
      <c r="B469" s="21" t="s">
        <v>425</v>
      </c>
      <c r="C469" s="21" t="s">
        <v>1177</v>
      </c>
      <c r="D469" s="21" t="s">
        <v>1181</v>
      </c>
      <c r="E469" s="33" t="n">
        <v>45244</v>
      </c>
      <c r="F469" s="21" t="s">
        <v>1185</v>
      </c>
      <c r="G469" s="32" t="n">
        <v>4.7</v>
      </c>
      <c r="H469" s="21" t="s">
        <v>113</v>
      </c>
      <c r="I469" s="33" t="n">
        <v>45267</v>
      </c>
      <c r="J469" s="21" t="str">
        <f aca="false">INDEX(Students!$C$2:$C$601,MATCH(B469,Students!$A$2:$A$601,0))</f>
        <v>Batch 2024</v>
      </c>
      <c r="K469" s="21" t="str">
        <f aca="false">INDEX(Students!$D$2:$D$601,MATCH(B469,Students!$A$2:$A$601,0))</f>
        <v>Full Stack Development</v>
      </c>
      <c r="L469" s="21" t="str">
        <f aca="false">INDEX(Companies!$C$2:$C$31,MATCH(C469,Companies!$A$2:$A$31,0))</f>
        <v>IT Services</v>
      </c>
      <c r="M469" s="21" t="str">
        <f aca="false">INDEX(Companies!$D$2:$D$31,MATCH(C469,Companies!$A$2:$A$31,0))</f>
        <v>Tier 3</v>
      </c>
      <c r="N469" s="34" t="n">
        <f aca="false">MATCH(F469,Assumptions!$K$4:$K$8,0)</f>
        <v>5</v>
      </c>
      <c r="O469" s="21" t="str">
        <f aca="false">IF(H469="Yes",MONTH(I469),"")</f>
        <v/>
      </c>
      <c r="P469" s="21" t="str">
        <f aca="false">IF(H469="Yes",B469,"")</f>
        <v/>
      </c>
    </row>
    <row r="470" customFormat="false" ht="15" hidden="false" customHeight="false" outlineLevel="0" collapsed="false">
      <c r="A470" s="21" t="s">
        <v>1685</v>
      </c>
      <c r="B470" s="21" t="s">
        <v>368</v>
      </c>
      <c r="C470" s="21" t="s">
        <v>1216</v>
      </c>
      <c r="D470" s="21" t="s">
        <v>1209</v>
      </c>
      <c r="E470" s="33" t="n">
        <v>45244</v>
      </c>
      <c r="F470" s="21" t="s">
        <v>1185</v>
      </c>
      <c r="G470" s="32" t="n">
        <v>5.2</v>
      </c>
      <c r="H470" s="21" t="s">
        <v>113</v>
      </c>
      <c r="I470" s="33" t="n">
        <v>45288</v>
      </c>
      <c r="J470" s="21" t="str">
        <f aca="false">INDEX(Students!$C$2:$C$601,MATCH(B470,Students!$A$2:$A$601,0))</f>
        <v>Batch 2024</v>
      </c>
      <c r="K470" s="21" t="str">
        <f aca="false">INDEX(Students!$D$2:$D$601,MATCH(B470,Students!$A$2:$A$601,0))</f>
        <v>Data Analytics</v>
      </c>
      <c r="L470" s="21" t="str">
        <f aca="false">INDEX(Companies!$C$2:$C$31,MATCH(C470,Companies!$A$2:$A$31,0))</f>
        <v>IT Services</v>
      </c>
      <c r="M470" s="21" t="str">
        <f aca="false">INDEX(Companies!$D$2:$D$31,MATCH(C470,Companies!$A$2:$A$31,0))</f>
        <v>Tier 3</v>
      </c>
      <c r="N470" s="34" t="n">
        <f aca="false">MATCH(F470,Assumptions!$K$4:$K$8,0)</f>
        <v>5</v>
      </c>
      <c r="O470" s="21" t="str">
        <f aca="false">IF(H470="Yes",MONTH(I470),"")</f>
        <v/>
      </c>
      <c r="P470" s="21" t="str">
        <f aca="false">IF(H470="Yes",B470,"")</f>
        <v/>
      </c>
    </row>
    <row r="471" customFormat="false" ht="15" hidden="false" customHeight="false" outlineLevel="0" collapsed="false">
      <c r="A471" s="21" t="s">
        <v>1686</v>
      </c>
      <c r="B471" s="21" t="s">
        <v>345</v>
      </c>
      <c r="C471" s="21" t="s">
        <v>1201</v>
      </c>
      <c r="D471" s="21" t="s">
        <v>1209</v>
      </c>
      <c r="E471" s="33" t="n">
        <v>45244</v>
      </c>
      <c r="F471" s="21" t="s">
        <v>1197</v>
      </c>
      <c r="G471" s="32"/>
      <c r="H471" s="21"/>
      <c r="I471" s="33"/>
      <c r="J471" s="21" t="str">
        <f aca="false">INDEX(Students!$C$2:$C$601,MATCH(B471,Students!$A$2:$A$601,0))</f>
        <v>Batch 2024</v>
      </c>
      <c r="K471" s="21" t="str">
        <f aca="false">INDEX(Students!$D$2:$D$601,MATCH(B471,Students!$A$2:$A$601,0))</f>
        <v>Data Analytics</v>
      </c>
      <c r="L471" s="21" t="str">
        <f aca="false">INDEX(Companies!$C$2:$C$31,MATCH(C471,Companies!$A$2:$A$31,0))</f>
        <v>IT Services</v>
      </c>
      <c r="M471" s="21" t="str">
        <f aca="false">INDEX(Companies!$D$2:$D$31,MATCH(C471,Companies!$A$2:$A$31,0))</f>
        <v>Tier 3</v>
      </c>
      <c r="N471" s="34" t="n">
        <f aca="false">MATCH(F471,Assumptions!$K$4:$K$8,0)</f>
        <v>3</v>
      </c>
      <c r="O471" s="21" t="str">
        <f aca="false">IF(H471="Yes",MONTH(I471),"")</f>
        <v/>
      </c>
      <c r="P471" s="21" t="str">
        <f aca="false">IF(H471="Yes",B471,"")</f>
        <v/>
      </c>
    </row>
    <row r="472" customFormat="false" ht="15" hidden="false" customHeight="false" outlineLevel="0" collapsed="false">
      <c r="A472" s="21" t="s">
        <v>1687</v>
      </c>
      <c r="B472" s="21" t="s">
        <v>161</v>
      </c>
      <c r="C472" s="21" t="s">
        <v>1239</v>
      </c>
      <c r="D472" s="21" t="s">
        <v>1209</v>
      </c>
      <c r="E472" s="33" t="n">
        <v>45244</v>
      </c>
      <c r="F472" s="21" t="s">
        <v>1175</v>
      </c>
      <c r="G472" s="32"/>
      <c r="H472" s="21"/>
      <c r="I472" s="33"/>
      <c r="J472" s="21" t="str">
        <f aca="false">INDEX(Students!$C$2:$C$601,MATCH(B472,Students!$A$2:$A$601,0))</f>
        <v>Batch 2024</v>
      </c>
      <c r="K472" s="21" t="str">
        <f aca="false">INDEX(Students!$D$2:$D$601,MATCH(B472,Students!$A$2:$A$601,0))</f>
        <v>Data Analytics</v>
      </c>
      <c r="L472" s="21" t="str">
        <f aca="false">INDEX(Companies!$C$2:$C$31,MATCH(C472,Companies!$A$2:$A$31,0))</f>
        <v>E-commerce</v>
      </c>
      <c r="M472" s="21" t="str">
        <f aca="false">INDEX(Companies!$D$2:$D$31,MATCH(C472,Companies!$A$2:$A$31,0))</f>
        <v>Tier 3</v>
      </c>
      <c r="N472" s="34" t="n">
        <f aca="false">MATCH(F472,Assumptions!$K$4:$K$8,0)</f>
        <v>1</v>
      </c>
      <c r="O472" s="21" t="str">
        <f aca="false">IF(H472="Yes",MONTH(I472),"")</f>
        <v/>
      </c>
      <c r="P472" s="21" t="str">
        <f aca="false">IF(H472="Yes",B472,"")</f>
        <v/>
      </c>
    </row>
    <row r="473" customFormat="false" ht="15" hidden="false" customHeight="false" outlineLevel="0" collapsed="false">
      <c r="A473" s="21" t="s">
        <v>1688</v>
      </c>
      <c r="B473" s="21" t="s">
        <v>191</v>
      </c>
      <c r="C473" s="21" t="s">
        <v>1228</v>
      </c>
      <c r="D473" s="21" t="s">
        <v>1184</v>
      </c>
      <c r="E473" s="33" t="n">
        <v>45244</v>
      </c>
      <c r="F473" s="21" t="s">
        <v>1175</v>
      </c>
      <c r="G473" s="32"/>
      <c r="H473" s="21"/>
      <c r="I473" s="33"/>
      <c r="J473" s="21" t="str">
        <f aca="false">INDEX(Students!$C$2:$C$601,MATCH(B473,Students!$A$2:$A$601,0))</f>
        <v>Batch 2024</v>
      </c>
      <c r="K473" s="21" t="str">
        <f aca="false">INDEX(Students!$D$2:$D$601,MATCH(B473,Students!$A$2:$A$601,0))</f>
        <v>DSA with Java</v>
      </c>
      <c r="L473" s="21" t="str">
        <f aca="false">INDEX(Companies!$C$2:$C$31,MATCH(C473,Companies!$A$2:$A$31,0))</f>
        <v>Fintech</v>
      </c>
      <c r="M473" s="21" t="str">
        <f aca="false">INDEX(Companies!$D$2:$D$31,MATCH(C473,Companies!$A$2:$A$31,0))</f>
        <v>Tier 1</v>
      </c>
      <c r="N473" s="34" t="n">
        <f aca="false">MATCH(F473,Assumptions!$K$4:$K$8,0)</f>
        <v>1</v>
      </c>
      <c r="O473" s="21" t="str">
        <f aca="false">IF(H473="Yes",MONTH(I473),"")</f>
        <v/>
      </c>
      <c r="P473" s="21" t="str">
        <f aca="false">IF(H473="Yes",B473,"")</f>
        <v/>
      </c>
    </row>
    <row r="474" customFormat="false" ht="15" hidden="false" customHeight="false" outlineLevel="0" collapsed="false">
      <c r="A474" s="21" t="s">
        <v>1689</v>
      </c>
      <c r="B474" s="21" t="s">
        <v>219</v>
      </c>
      <c r="C474" s="21" t="s">
        <v>1190</v>
      </c>
      <c r="D474" s="21" t="s">
        <v>1243</v>
      </c>
      <c r="E474" s="33" t="n">
        <v>45245</v>
      </c>
      <c r="F474" s="21" t="s">
        <v>1175</v>
      </c>
      <c r="G474" s="32"/>
      <c r="H474" s="21"/>
      <c r="I474" s="33"/>
      <c r="J474" s="21" t="str">
        <f aca="false">INDEX(Students!$C$2:$C$601,MATCH(B474,Students!$A$2:$A$601,0))</f>
        <v>Batch 2024</v>
      </c>
      <c r="K474" s="21" t="str">
        <f aca="false">INDEX(Students!$D$2:$D$601,MATCH(B474,Students!$A$2:$A$601,0))</f>
        <v>Data Science &amp; ML</v>
      </c>
      <c r="L474" s="21" t="str">
        <f aca="false">INDEX(Companies!$C$2:$C$31,MATCH(C474,Companies!$A$2:$A$31,0))</f>
        <v>Analytics &amp; Consulting</v>
      </c>
      <c r="M474" s="21" t="str">
        <f aca="false">INDEX(Companies!$D$2:$D$31,MATCH(C474,Companies!$A$2:$A$31,0))</f>
        <v>Tier 1</v>
      </c>
      <c r="N474" s="34" t="n">
        <f aca="false">MATCH(F474,Assumptions!$K$4:$K$8,0)</f>
        <v>1</v>
      </c>
      <c r="O474" s="21" t="str">
        <f aca="false">IF(H474="Yes",MONTH(I474),"")</f>
        <v/>
      </c>
      <c r="P474" s="21" t="str">
        <f aca="false">IF(H474="Yes",B474,"")</f>
        <v/>
      </c>
    </row>
    <row r="475" customFormat="false" ht="15" hidden="false" customHeight="false" outlineLevel="0" collapsed="false">
      <c r="A475" s="21" t="s">
        <v>1690</v>
      </c>
      <c r="B475" s="21" t="s">
        <v>175</v>
      </c>
      <c r="C475" s="21" t="s">
        <v>1183</v>
      </c>
      <c r="D475" s="21" t="s">
        <v>1174</v>
      </c>
      <c r="E475" s="33" t="n">
        <v>45245</v>
      </c>
      <c r="F475" s="21" t="s">
        <v>1197</v>
      </c>
      <c r="G475" s="32"/>
      <c r="H475" s="21"/>
      <c r="I475" s="33"/>
      <c r="J475" s="21" t="str">
        <f aca="false">INDEX(Students!$C$2:$C$601,MATCH(B475,Students!$A$2:$A$601,0))</f>
        <v>Batch 2024</v>
      </c>
      <c r="K475" s="21" t="str">
        <f aca="false">INDEX(Students!$D$2:$D$601,MATCH(B475,Students!$A$2:$A$601,0))</f>
        <v>Full Stack Development</v>
      </c>
      <c r="L475" s="21" t="str">
        <f aca="false">INDEX(Companies!$C$2:$C$31,MATCH(C475,Companies!$A$2:$A$31,0))</f>
        <v>E-commerce</v>
      </c>
      <c r="M475" s="21" t="str">
        <f aca="false">INDEX(Companies!$D$2:$D$31,MATCH(C475,Companies!$A$2:$A$31,0))</f>
        <v>Tier 2</v>
      </c>
      <c r="N475" s="34" t="n">
        <f aca="false">MATCH(F475,Assumptions!$K$4:$K$8,0)</f>
        <v>3</v>
      </c>
      <c r="O475" s="21" t="str">
        <f aca="false">IF(H475="Yes",MONTH(I475),"")</f>
        <v/>
      </c>
      <c r="P475" s="21" t="str">
        <f aca="false">IF(H475="Yes",B475,"")</f>
        <v/>
      </c>
    </row>
    <row r="476" customFormat="false" ht="15" hidden="false" customHeight="false" outlineLevel="0" collapsed="false">
      <c r="A476" s="21" t="s">
        <v>1691</v>
      </c>
      <c r="B476" s="21" t="s">
        <v>127</v>
      </c>
      <c r="C476" s="21" t="s">
        <v>1222</v>
      </c>
      <c r="D476" s="21" t="s">
        <v>1191</v>
      </c>
      <c r="E476" s="33" t="n">
        <v>45245</v>
      </c>
      <c r="F476" s="21" t="s">
        <v>1185</v>
      </c>
      <c r="G476" s="32" t="n">
        <v>12.3</v>
      </c>
      <c r="H476" s="21" t="s">
        <v>120</v>
      </c>
      <c r="I476" s="33" t="n">
        <v>45291</v>
      </c>
      <c r="J476" s="21" t="str">
        <f aca="false">INDEX(Students!$C$2:$C$601,MATCH(B476,Students!$A$2:$A$601,0))</f>
        <v>Batch 2024</v>
      </c>
      <c r="K476" s="21" t="str">
        <f aca="false">INDEX(Students!$D$2:$D$601,MATCH(B476,Students!$A$2:$A$601,0))</f>
        <v>DSA with Java</v>
      </c>
      <c r="L476" s="21" t="str">
        <f aca="false">INDEX(Companies!$C$2:$C$31,MATCH(C476,Companies!$A$2:$A$31,0))</f>
        <v>Product</v>
      </c>
      <c r="M476" s="21" t="str">
        <f aca="false">INDEX(Companies!$D$2:$D$31,MATCH(C476,Companies!$A$2:$A$31,0))</f>
        <v>Tier 2</v>
      </c>
      <c r="N476" s="34" t="n">
        <f aca="false">MATCH(F476,Assumptions!$K$4:$K$8,0)</f>
        <v>5</v>
      </c>
      <c r="O476" s="21" t="n">
        <f aca="false">IF(H476="Yes",MONTH(I476),"")</f>
        <v>12</v>
      </c>
      <c r="P476" s="21" t="str">
        <f aca="false">IF(H476="Yes",B476,"")</f>
        <v>S0008</v>
      </c>
    </row>
    <row r="477" customFormat="false" ht="15" hidden="false" customHeight="false" outlineLevel="0" collapsed="false">
      <c r="A477" s="21" t="s">
        <v>1692</v>
      </c>
      <c r="B477" s="21" t="s">
        <v>400</v>
      </c>
      <c r="C477" s="21" t="s">
        <v>1201</v>
      </c>
      <c r="D477" s="21" t="s">
        <v>1243</v>
      </c>
      <c r="E477" s="33" t="n">
        <v>45245</v>
      </c>
      <c r="F477" s="21" t="s">
        <v>1185</v>
      </c>
      <c r="G477" s="32" t="n">
        <v>5.3</v>
      </c>
      <c r="H477" s="21" t="s">
        <v>113</v>
      </c>
      <c r="I477" s="33" t="n">
        <v>45268</v>
      </c>
      <c r="J477" s="21" t="str">
        <f aca="false">INDEX(Students!$C$2:$C$601,MATCH(B477,Students!$A$2:$A$601,0))</f>
        <v>Batch 2024</v>
      </c>
      <c r="K477" s="21" t="str">
        <f aca="false">INDEX(Students!$D$2:$D$601,MATCH(B477,Students!$A$2:$A$601,0))</f>
        <v>Data Science &amp; ML</v>
      </c>
      <c r="L477" s="21" t="str">
        <f aca="false">INDEX(Companies!$C$2:$C$31,MATCH(C477,Companies!$A$2:$A$31,0))</f>
        <v>IT Services</v>
      </c>
      <c r="M477" s="21" t="str">
        <f aca="false">INDEX(Companies!$D$2:$D$31,MATCH(C477,Companies!$A$2:$A$31,0))</f>
        <v>Tier 3</v>
      </c>
      <c r="N477" s="34" t="n">
        <f aca="false">MATCH(F477,Assumptions!$K$4:$K$8,0)</f>
        <v>5</v>
      </c>
      <c r="O477" s="21" t="str">
        <f aca="false">IF(H477="Yes",MONTH(I477),"")</f>
        <v/>
      </c>
      <c r="P477" s="21" t="str">
        <f aca="false">IF(H477="Yes",B477,"")</f>
        <v/>
      </c>
    </row>
    <row r="478" customFormat="false" ht="15" hidden="false" customHeight="false" outlineLevel="0" collapsed="false">
      <c r="A478" s="21" t="s">
        <v>1693</v>
      </c>
      <c r="B478" s="21" t="s">
        <v>372</v>
      </c>
      <c r="C478" s="21" t="s">
        <v>1290</v>
      </c>
      <c r="D478" s="21" t="s">
        <v>1184</v>
      </c>
      <c r="E478" s="33" t="n">
        <v>45246</v>
      </c>
      <c r="F478" s="21" t="s">
        <v>1185</v>
      </c>
      <c r="G478" s="32" t="n">
        <v>14</v>
      </c>
      <c r="H478" s="21" t="s">
        <v>120</v>
      </c>
      <c r="I478" s="33" t="n">
        <v>45290</v>
      </c>
      <c r="J478" s="21" t="str">
        <f aca="false">INDEX(Students!$C$2:$C$601,MATCH(B478,Students!$A$2:$A$601,0))</f>
        <v>Batch 2024</v>
      </c>
      <c r="K478" s="21" t="str">
        <f aca="false">INDEX(Students!$D$2:$D$601,MATCH(B478,Students!$A$2:$A$601,0))</f>
        <v>DSA with Java</v>
      </c>
      <c r="L478" s="21" t="str">
        <f aca="false">INDEX(Companies!$C$2:$C$31,MATCH(C478,Companies!$A$2:$A$31,0))</f>
        <v>Fintech</v>
      </c>
      <c r="M478" s="21" t="str">
        <f aca="false">INDEX(Companies!$D$2:$D$31,MATCH(C478,Companies!$A$2:$A$31,0))</f>
        <v>Tier 2</v>
      </c>
      <c r="N478" s="34" t="n">
        <f aca="false">MATCH(F478,Assumptions!$K$4:$K$8,0)</f>
        <v>5</v>
      </c>
      <c r="O478" s="21" t="n">
        <f aca="false">IF(H478="Yes",MONTH(I478),"")</f>
        <v>12</v>
      </c>
      <c r="P478" s="21" t="str">
        <f aca="false">IF(H478="Yes",B478,"")</f>
        <v>S0135</v>
      </c>
    </row>
    <row r="479" customFormat="false" ht="15" hidden="false" customHeight="false" outlineLevel="0" collapsed="false">
      <c r="A479" s="21" t="s">
        <v>1694</v>
      </c>
      <c r="B479" s="21" t="s">
        <v>438</v>
      </c>
      <c r="C479" s="21" t="s">
        <v>1190</v>
      </c>
      <c r="D479" s="21" t="s">
        <v>1240</v>
      </c>
      <c r="E479" s="33" t="n">
        <v>45246</v>
      </c>
      <c r="F479" s="21" t="s">
        <v>1178</v>
      </c>
      <c r="G479" s="32"/>
      <c r="H479" s="21"/>
      <c r="I479" s="33"/>
      <c r="J479" s="21" t="str">
        <f aca="false">INDEX(Students!$C$2:$C$601,MATCH(B479,Students!$A$2:$A$601,0))</f>
        <v>Batch 2024</v>
      </c>
      <c r="K479" s="21" t="str">
        <f aca="false">INDEX(Students!$D$2:$D$601,MATCH(B479,Students!$A$2:$A$601,0))</f>
        <v>Cybersecurity</v>
      </c>
      <c r="L479" s="21" t="str">
        <f aca="false">INDEX(Companies!$C$2:$C$31,MATCH(C479,Companies!$A$2:$A$31,0))</f>
        <v>Analytics &amp; Consulting</v>
      </c>
      <c r="M479" s="21" t="str">
        <f aca="false">INDEX(Companies!$D$2:$D$31,MATCH(C479,Companies!$A$2:$A$31,0))</f>
        <v>Tier 1</v>
      </c>
      <c r="N479" s="34" t="n">
        <f aca="false">MATCH(F479,Assumptions!$K$4:$K$8,0)</f>
        <v>2</v>
      </c>
      <c r="O479" s="21" t="str">
        <f aca="false">IF(H479="Yes",MONTH(I479),"")</f>
        <v/>
      </c>
      <c r="P479" s="21" t="str">
        <f aca="false">IF(H479="Yes",B479,"")</f>
        <v/>
      </c>
    </row>
    <row r="480" customFormat="false" ht="15" hidden="false" customHeight="false" outlineLevel="0" collapsed="false">
      <c r="A480" s="21" t="s">
        <v>1695</v>
      </c>
      <c r="B480" s="21" t="s">
        <v>163</v>
      </c>
      <c r="C480" s="21" t="s">
        <v>1263</v>
      </c>
      <c r="D480" s="21" t="s">
        <v>1191</v>
      </c>
      <c r="E480" s="33" t="n">
        <v>45246</v>
      </c>
      <c r="F480" s="21" t="s">
        <v>1178</v>
      </c>
      <c r="G480" s="32"/>
      <c r="H480" s="21"/>
      <c r="I480" s="33"/>
      <c r="J480" s="21" t="str">
        <f aca="false">INDEX(Students!$C$2:$C$601,MATCH(B480,Students!$A$2:$A$601,0))</f>
        <v>Batch 2024</v>
      </c>
      <c r="K480" s="21" t="str">
        <f aca="false">INDEX(Students!$D$2:$D$601,MATCH(B480,Students!$A$2:$A$601,0))</f>
        <v>DSA with Java</v>
      </c>
      <c r="L480" s="21" t="str">
        <f aca="false">INDEX(Companies!$C$2:$C$31,MATCH(C480,Companies!$A$2:$A$31,0))</f>
        <v>Analytics &amp; Consulting</v>
      </c>
      <c r="M480" s="21" t="str">
        <f aca="false">INDEX(Companies!$D$2:$D$31,MATCH(C480,Companies!$A$2:$A$31,0))</f>
        <v>Tier 2</v>
      </c>
      <c r="N480" s="34" t="n">
        <f aca="false">MATCH(F480,Assumptions!$K$4:$K$8,0)</f>
        <v>2</v>
      </c>
      <c r="O480" s="21" t="str">
        <f aca="false">IF(H480="Yes",MONTH(I480),"")</f>
        <v/>
      </c>
      <c r="P480" s="21" t="str">
        <f aca="false">IF(H480="Yes",B480,"")</f>
        <v/>
      </c>
    </row>
    <row r="481" customFormat="false" ht="15" hidden="false" customHeight="false" outlineLevel="0" collapsed="false">
      <c r="A481" s="21" t="s">
        <v>1696</v>
      </c>
      <c r="B481" s="21" t="s">
        <v>233</v>
      </c>
      <c r="C481" s="21" t="s">
        <v>1187</v>
      </c>
      <c r="D481" s="21" t="s">
        <v>1181</v>
      </c>
      <c r="E481" s="33" t="n">
        <v>45246</v>
      </c>
      <c r="F481" s="21" t="s">
        <v>1218</v>
      </c>
      <c r="G481" s="32"/>
      <c r="H481" s="21"/>
      <c r="I481" s="33"/>
      <c r="J481" s="21" t="str">
        <f aca="false">INDEX(Students!$C$2:$C$601,MATCH(B481,Students!$A$2:$A$601,0))</f>
        <v>Batch 2024</v>
      </c>
      <c r="K481" s="21" t="str">
        <f aca="false">INDEX(Students!$D$2:$D$601,MATCH(B481,Students!$A$2:$A$601,0))</f>
        <v>Full Stack Development</v>
      </c>
      <c r="L481" s="21" t="str">
        <f aca="false">INDEX(Companies!$C$2:$C$31,MATCH(C481,Companies!$A$2:$A$31,0))</f>
        <v>Product</v>
      </c>
      <c r="M481" s="21" t="str">
        <f aca="false">INDEX(Companies!$D$2:$D$31,MATCH(C481,Companies!$A$2:$A$31,0))</f>
        <v>Tier 1</v>
      </c>
      <c r="N481" s="34" t="n">
        <f aca="false">MATCH(F481,Assumptions!$K$4:$K$8,0)</f>
        <v>4</v>
      </c>
      <c r="O481" s="21" t="str">
        <f aca="false">IF(H481="Yes",MONTH(I481),"")</f>
        <v/>
      </c>
      <c r="P481" s="21" t="str">
        <f aca="false">IF(H481="Yes",B481,"")</f>
        <v/>
      </c>
    </row>
    <row r="482" customFormat="false" ht="15" hidden="false" customHeight="false" outlineLevel="0" collapsed="false">
      <c r="A482" s="21" t="s">
        <v>1697</v>
      </c>
      <c r="B482" s="21" t="s">
        <v>303</v>
      </c>
      <c r="C482" s="21" t="s">
        <v>1255</v>
      </c>
      <c r="D482" s="21" t="s">
        <v>1181</v>
      </c>
      <c r="E482" s="33" t="n">
        <v>45246</v>
      </c>
      <c r="F482" s="21" t="s">
        <v>1175</v>
      </c>
      <c r="G482" s="32"/>
      <c r="H482" s="21"/>
      <c r="I482" s="33"/>
      <c r="J482" s="21" t="str">
        <f aca="false">INDEX(Students!$C$2:$C$601,MATCH(B482,Students!$A$2:$A$601,0))</f>
        <v>Batch 2024</v>
      </c>
      <c r="K482" s="21" t="str">
        <f aca="false">INDEX(Students!$D$2:$D$601,MATCH(B482,Students!$A$2:$A$601,0))</f>
        <v>Full Stack Development</v>
      </c>
      <c r="L482" s="21" t="str">
        <f aca="false">INDEX(Companies!$C$2:$C$31,MATCH(C482,Companies!$A$2:$A$31,0))</f>
        <v>IT Services</v>
      </c>
      <c r="M482" s="21" t="str">
        <f aca="false">INDEX(Companies!$D$2:$D$31,MATCH(C482,Companies!$A$2:$A$31,0))</f>
        <v>Tier 3</v>
      </c>
      <c r="N482" s="34" t="n">
        <f aca="false">MATCH(F482,Assumptions!$K$4:$K$8,0)</f>
        <v>1</v>
      </c>
      <c r="O482" s="21" t="str">
        <f aca="false">IF(H482="Yes",MONTH(I482),"")</f>
        <v/>
      </c>
      <c r="P482" s="21" t="str">
        <f aca="false">IF(H482="Yes",B482,"")</f>
        <v/>
      </c>
    </row>
    <row r="483" customFormat="false" ht="15" hidden="false" customHeight="false" outlineLevel="0" collapsed="false">
      <c r="A483" s="21" t="s">
        <v>1698</v>
      </c>
      <c r="B483" s="21" t="s">
        <v>125</v>
      </c>
      <c r="C483" s="21" t="s">
        <v>1275</v>
      </c>
      <c r="D483" s="21" t="s">
        <v>1243</v>
      </c>
      <c r="E483" s="33" t="n">
        <v>45246</v>
      </c>
      <c r="F483" s="21" t="s">
        <v>1178</v>
      </c>
      <c r="G483" s="32"/>
      <c r="H483" s="21"/>
      <c r="I483" s="33"/>
      <c r="J483" s="21" t="str">
        <f aca="false">INDEX(Students!$C$2:$C$601,MATCH(B483,Students!$A$2:$A$601,0))</f>
        <v>Batch 2024</v>
      </c>
      <c r="K483" s="21" t="str">
        <f aca="false">INDEX(Students!$D$2:$D$601,MATCH(B483,Students!$A$2:$A$601,0))</f>
        <v>Data Science &amp; ML</v>
      </c>
      <c r="L483" s="21" t="str">
        <f aca="false">INDEX(Companies!$C$2:$C$31,MATCH(C483,Companies!$A$2:$A$31,0))</f>
        <v>Cybersecurity</v>
      </c>
      <c r="M483" s="21" t="str">
        <f aca="false">INDEX(Companies!$D$2:$D$31,MATCH(C483,Companies!$A$2:$A$31,0))</f>
        <v>Tier 2</v>
      </c>
      <c r="N483" s="34" t="n">
        <f aca="false">MATCH(F483,Assumptions!$K$4:$K$8,0)</f>
        <v>2</v>
      </c>
      <c r="O483" s="21" t="str">
        <f aca="false">IF(H483="Yes",MONTH(I483),"")</f>
        <v/>
      </c>
      <c r="P483" s="21" t="str">
        <f aca="false">IF(H483="Yes",B483,"")</f>
        <v/>
      </c>
    </row>
    <row r="484" customFormat="false" ht="15" hidden="false" customHeight="false" outlineLevel="0" collapsed="false">
      <c r="A484" s="21" t="s">
        <v>1699</v>
      </c>
      <c r="B484" s="21" t="s">
        <v>287</v>
      </c>
      <c r="C484" s="21" t="s">
        <v>1225</v>
      </c>
      <c r="D484" s="21" t="s">
        <v>1188</v>
      </c>
      <c r="E484" s="33" t="n">
        <v>45246</v>
      </c>
      <c r="F484" s="21" t="s">
        <v>1175</v>
      </c>
      <c r="G484" s="32"/>
      <c r="H484" s="21"/>
      <c r="I484" s="33"/>
      <c r="J484" s="21" t="str">
        <f aca="false">INDEX(Students!$C$2:$C$601,MATCH(B484,Students!$A$2:$A$601,0))</f>
        <v>Batch 2024</v>
      </c>
      <c r="K484" s="21" t="str">
        <f aca="false">INDEX(Students!$D$2:$D$601,MATCH(B484,Students!$A$2:$A$601,0))</f>
        <v>Data Analytics</v>
      </c>
      <c r="L484" s="21" t="str">
        <f aca="false">INDEX(Companies!$C$2:$C$31,MATCH(C484,Companies!$A$2:$A$31,0))</f>
        <v>EdTech</v>
      </c>
      <c r="M484" s="21" t="str">
        <f aca="false">INDEX(Companies!$D$2:$D$31,MATCH(C484,Companies!$A$2:$A$31,0))</f>
        <v>Tier 2</v>
      </c>
      <c r="N484" s="34" t="n">
        <f aca="false">MATCH(F484,Assumptions!$K$4:$K$8,0)</f>
        <v>1</v>
      </c>
      <c r="O484" s="21" t="str">
        <f aca="false">IF(H484="Yes",MONTH(I484),"")</f>
        <v/>
      </c>
      <c r="P484" s="21" t="str">
        <f aca="false">IF(H484="Yes",B484,"")</f>
        <v/>
      </c>
    </row>
    <row r="485" customFormat="false" ht="15" hidden="false" customHeight="false" outlineLevel="0" collapsed="false">
      <c r="A485" s="21" t="s">
        <v>1700</v>
      </c>
      <c r="B485" s="21" t="s">
        <v>386</v>
      </c>
      <c r="C485" s="21" t="s">
        <v>1266</v>
      </c>
      <c r="D485" s="21" t="s">
        <v>1191</v>
      </c>
      <c r="E485" s="33" t="n">
        <v>45247</v>
      </c>
      <c r="F485" s="21" t="s">
        <v>1218</v>
      </c>
      <c r="G485" s="32"/>
      <c r="H485" s="21"/>
      <c r="I485" s="33"/>
      <c r="J485" s="21" t="str">
        <f aca="false">INDEX(Students!$C$2:$C$601,MATCH(B485,Students!$A$2:$A$601,0))</f>
        <v>Batch 2024</v>
      </c>
      <c r="K485" s="21" t="str">
        <f aca="false">INDEX(Students!$D$2:$D$601,MATCH(B485,Students!$A$2:$A$601,0))</f>
        <v>DSA with Java</v>
      </c>
      <c r="L485" s="21" t="str">
        <f aca="false">INDEX(Companies!$C$2:$C$31,MATCH(C485,Companies!$A$2:$A$31,0))</f>
        <v>IT Services</v>
      </c>
      <c r="M485" s="21" t="str">
        <f aca="false">INDEX(Companies!$D$2:$D$31,MATCH(C485,Companies!$A$2:$A$31,0))</f>
        <v>Tier 3</v>
      </c>
      <c r="N485" s="34" t="n">
        <f aca="false">MATCH(F485,Assumptions!$K$4:$K$8,0)</f>
        <v>4</v>
      </c>
      <c r="O485" s="21" t="str">
        <f aca="false">IF(H485="Yes",MONTH(I485),"")</f>
        <v/>
      </c>
      <c r="P485" s="21" t="str">
        <f aca="false">IF(H485="Yes",B485,"")</f>
        <v/>
      </c>
    </row>
    <row r="486" customFormat="false" ht="15" hidden="false" customHeight="false" outlineLevel="0" collapsed="false">
      <c r="A486" s="21" t="s">
        <v>1701</v>
      </c>
      <c r="B486" s="21" t="s">
        <v>291</v>
      </c>
      <c r="C486" s="21" t="s">
        <v>1205</v>
      </c>
      <c r="D486" s="21" t="s">
        <v>1181</v>
      </c>
      <c r="E486" s="33" t="n">
        <v>45247</v>
      </c>
      <c r="F486" s="21" t="s">
        <v>1197</v>
      </c>
      <c r="G486" s="32"/>
      <c r="H486" s="21"/>
      <c r="I486" s="33"/>
      <c r="J486" s="21" t="str">
        <f aca="false">INDEX(Students!$C$2:$C$601,MATCH(B486,Students!$A$2:$A$601,0))</f>
        <v>Batch 2024</v>
      </c>
      <c r="K486" s="21" t="str">
        <f aca="false">INDEX(Students!$D$2:$D$601,MATCH(B486,Students!$A$2:$A$601,0))</f>
        <v>Full Stack Development</v>
      </c>
      <c r="L486" s="21" t="str">
        <f aca="false">INDEX(Companies!$C$2:$C$31,MATCH(C486,Companies!$A$2:$A$31,0))</f>
        <v>Healthtech</v>
      </c>
      <c r="M486" s="21" t="str">
        <f aca="false">INDEX(Companies!$D$2:$D$31,MATCH(C486,Companies!$A$2:$A$31,0))</f>
        <v>Tier 3</v>
      </c>
      <c r="N486" s="34" t="n">
        <f aca="false">MATCH(F486,Assumptions!$K$4:$K$8,0)</f>
        <v>3</v>
      </c>
      <c r="O486" s="21" t="str">
        <f aca="false">IF(H486="Yes",MONTH(I486),"")</f>
        <v/>
      </c>
      <c r="P486" s="21" t="str">
        <f aca="false">IF(H486="Yes",B486,"")</f>
        <v/>
      </c>
    </row>
    <row r="487" customFormat="false" ht="15" hidden="false" customHeight="false" outlineLevel="0" collapsed="false">
      <c r="A487" s="21" t="s">
        <v>1702</v>
      </c>
      <c r="B487" s="21" t="s">
        <v>197</v>
      </c>
      <c r="C487" s="21" t="s">
        <v>1201</v>
      </c>
      <c r="D487" s="21" t="s">
        <v>1174</v>
      </c>
      <c r="E487" s="33" t="n">
        <v>45247</v>
      </c>
      <c r="F487" s="21" t="s">
        <v>1218</v>
      </c>
      <c r="G487" s="32"/>
      <c r="H487" s="21"/>
      <c r="I487" s="33"/>
      <c r="J487" s="21" t="str">
        <f aca="false">INDEX(Students!$C$2:$C$601,MATCH(B487,Students!$A$2:$A$601,0))</f>
        <v>Batch 2024</v>
      </c>
      <c r="K487" s="21" t="str">
        <f aca="false">INDEX(Students!$D$2:$D$601,MATCH(B487,Students!$A$2:$A$601,0))</f>
        <v>Full Stack Development</v>
      </c>
      <c r="L487" s="21" t="str">
        <f aca="false">INDEX(Companies!$C$2:$C$31,MATCH(C487,Companies!$A$2:$A$31,0))</f>
        <v>IT Services</v>
      </c>
      <c r="M487" s="21" t="str">
        <f aca="false">INDEX(Companies!$D$2:$D$31,MATCH(C487,Companies!$A$2:$A$31,0))</f>
        <v>Tier 3</v>
      </c>
      <c r="N487" s="34" t="n">
        <f aca="false">MATCH(F487,Assumptions!$K$4:$K$8,0)</f>
        <v>4</v>
      </c>
      <c r="O487" s="21" t="str">
        <f aca="false">IF(H487="Yes",MONTH(I487),"")</f>
        <v/>
      </c>
      <c r="P487" s="21" t="str">
        <f aca="false">IF(H487="Yes",B487,"")</f>
        <v/>
      </c>
    </row>
    <row r="488" customFormat="false" ht="15" hidden="false" customHeight="false" outlineLevel="0" collapsed="false">
      <c r="A488" s="21" t="s">
        <v>1703</v>
      </c>
      <c r="B488" s="21" t="s">
        <v>163</v>
      </c>
      <c r="C488" s="21" t="s">
        <v>1187</v>
      </c>
      <c r="D488" s="21" t="s">
        <v>1191</v>
      </c>
      <c r="E488" s="33" t="n">
        <v>45247</v>
      </c>
      <c r="F488" s="21" t="s">
        <v>1197</v>
      </c>
      <c r="G488" s="32"/>
      <c r="H488" s="21"/>
      <c r="I488" s="33"/>
      <c r="J488" s="21" t="str">
        <f aca="false">INDEX(Students!$C$2:$C$601,MATCH(B488,Students!$A$2:$A$601,0))</f>
        <v>Batch 2024</v>
      </c>
      <c r="K488" s="21" t="str">
        <f aca="false">INDEX(Students!$D$2:$D$601,MATCH(B488,Students!$A$2:$A$601,0))</f>
        <v>DSA with Java</v>
      </c>
      <c r="L488" s="21" t="str">
        <f aca="false">INDEX(Companies!$C$2:$C$31,MATCH(C488,Companies!$A$2:$A$31,0))</f>
        <v>Product</v>
      </c>
      <c r="M488" s="21" t="str">
        <f aca="false">INDEX(Companies!$D$2:$D$31,MATCH(C488,Companies!$A$2:$A$31,0))</f>
        <v>Tier 1</v>
      </c>
      <c r="N488" s="34" t="n">
        <f aca="false">MATCH(F488,Assumptions!$K$4:$K$8,0)</f>
        <v>3</v>
      </c>
      <c r="O488" s="21" t="str">
        <f aca="false">IF(H488="Yes",MONTH(I488),"")</f>
        <v/>
      </c>
      <c r="P488" s="21" t="str">
        <f aca="false">IF(H488="Yes",B488,"")</f>
        <v/>
      </c>
    </row>
    <row r="489" customFormat="false" ht="15" hidden="false" customHeight="false" outlineLevel="0" collapsed="false">
      <c r="A489" s="21" t="s">
        <v>1704</v>
      </c>
      <c r="B489" s="21" t="s">
        <v>305</v>
      </c>
      <c r="C489" s="21" t="s">
        <v>1177</v>
      </c>
      <c r="D489" s="21" t="s">
        <v>1243</v>
      </c>
      <c r="E489" s="33" t="n">
        <v>45248</v>
      </c>
      <c r="F489" s="21" t="s">
        <v>1218</v>
      </c>
      <c r="G489" s="32"/>
      <c r="H489" s="21"/>
      <c r="I489" s="33"/>
      <c r="J489" s="21" t="str">
        <f aca="false">INDEX(Students!$C$2:$C$601,MATCH(B489,Students!$A$2:$A$601,0))</f>
        <v>Batch 2024</v>
      </c>
      <c r="K489" s="21" t="str">
        <f aca="false">INDEX(Students!$D$2:$D$601,MATCH(B489,Students!$A$2:$A$601,0))</f>
        <v>Data Science &amp; ML</v>
      </c>
      <c r="L489" s="21" t="str">
        <f aca="false">INDEX(Companies!$C$2:$C$31,MATCH(C489,Companies!$A$2:$A$31,0))</f>
        <v>IT Services</v>
      </c>
      <c r="M489" s="21" t="str">
        <f aca="false">INDEX(Companies!$D$2:$D$31,MATCH(C489,Companies!$A$2:$A$31,0))</f>
        <v>Tier 3</v>
      </c>
      <c r="N489" s="34" t="n">
        <f aca="false">MATCH(F489,Assumptions!$K$4:$K$8,0)</f>
        <v>4</v>
      </c>
      <c r="O489" s="21" t="str">
        <f aca="false">IF(H489="Yes",MONTH(I489),"")</f>
        <v/>
      </c>
      <c r="P489" s="21" t="str">
        <f aca="false">IF(H489="Yes",B489,"")</f>
        <v/>
      </c>
    </row>
    <row r="490" customFormat="false" ht="15" hidden="false" customHeight="false" outlineLevel="0" collapsed="false">
      <c r="A490" s="21" t="s">
        <v>1705</v>
      </c>
      <c r="B490" s="21" t="s">
        <v>201</v>
      </c>
      <c r="C490" s="21" t="s">
        <v>1177</v>
      </c>
      <c r="D490" s="21" t="s">
        <v>1174</v>
      </c>
      <c r="E490" s="33" t="n">
        <v>45248</v>
      </c>
      <c r="F490" s="21" t="s">
        <v>1175</v>
      </c>
      <c r="G490" s="32"/>
      <c r="H490" s="21"/>
      <c r="I490" s="33"/>
      <c r="J490" s="21" t="str">
        <f aca="false">INDEX(Students!$C$2:$C$601,MATCH(B490,Students!$A$2:$A$601,0))</f>
        <v>Batch 2024</v>
      </c>
      <c r="K490" s="21" t="str">
        <f aca="false">INDEX(Students!$D$2:$D$601,MATCH(B490,Students!$A$2:$A$601,0))</f>
        <v>Full Stack Development</v>
      </c>
      <c r="L490" s="21" t="str">
        <f aca="false">INDEX(Companies!$C$2:$C$31,MATCH(C490,Companies!$A$2:$A$31,0))</f>
        <v>IT Services</v>
      </c>
      <c r="M490" s="21" t="str">
        <f aca="false">INDEX(Companies!$D$2:$D$31,MATCH(C490,Companies!$A$2:$A$31,0))</f>
        <v>Tier 3</v>
      </c>
      <c r="N490" s="34" t="n">
        <f aca="false">MATCH(F490,Assumptions!$K$4:$K$8,0)</f>
        <v>1</v>
      </c>
      <c r="O490" s="21" t="str">
        <f aca="false">IF(H490="Yes",MONTH(I490),"")</f>
        <v/>
      </c>
      <c r="P490" s="21" t="str">
        <f aca="false">IF(H490="Yes",B490,"")</f>
        <v/>
      </c>
    </row>
    <row r="491" customFormat="false" ht="15" hidden="false" customHeight="false" outlineLevel="0" collapsed="false">
      <c r="A491" s="21" t="s">
        <v>1706</v>
      </c>
      <c r="B491" s="21" t="s">
        <v>151</v>
      </c>
      <c r="C491" s="21" t="s">
        <v>1290</v>
      </c>
      <c r="D491" s="21" t="s">
        <v>1184</v>
      </c>
      <c r="E491" s="33" t="n">
        <v>45248</v>
      </c>
      <c r="F491" s="21" t="s">
        <v>1197</v>
      </c>
      <c r="G491" s="32"/>
      <c r="H491" s="21"/>
      <c r="I491" s="33"/>
      <c r="J491" s="21" t="str">
        <f aca="false">INDEX(Students!$C$2:$C$601,MATCH(B491,Students!$A$2:$A$601,0))</f>
        <v>Batch 2024</v>
      </c>
      <c r="K491" s="21" t="str">
        <f aca="false">INDEX(Students!$D$2:$D$601,MATCH(B491,Students!$A$2:$A$601,0))</f>
        <v>DSA with Java</v>
      </c>
      <c r="L491" s="21" t="str">
        <f aca="false">INDEX(Companies!$C$2:$C$31,MATCH(C491,Companies!$A$2:$A$31,0))</f>
        <v>Fintech</v>
      </c>
      <c r="M491" s="21" t="str">
        <f aca="false">INDEX(Companies!$D$2:$D$31,MATCH(C491,Companies!$A$2:$A$31,0))</f>
        <v>Tier 2</v>
      </c>
      <c r="N491" s="34" t="n">
        <f aca="false">MATCH(F491,Assumptions!$K$4:$K$8,0)</f>
        <v>3</v>
      </c>
      <c r="O491" s="21" t="str">
        <f aca="false">IF(H491="Yes",MONTH(I491),"")</f>
        <v/>
      </c>
      <c r="P491" s="21" t="str">
        <f aca="false">IF(H491="Yes",B491,"")</f>
        <v/>
      </c>
    </row>
    <row r="492" customFormat="false" ht="15" hidden="false" customHeight="false" outlineLevel="0" collapsed="false">
      <c r="A492" s="21" t="s">
        <v>1707</v>
      </c>
      <c r="B492" s="21" t="s">
        <v>327</v>
      </c>
      <c r="C492" s="21" t="s">
        <v>1275</v>
      </c>
      <c r="D492" s="21" t="s">
        <v>1191</v>
      </c>
      <c r="E492" s="33" t="n">
        <v>45248</v>
      </c>
      <c r="F492" s="21" t="s">
        <v>1175</v>
      </c>
      <c r="G492" s="32"/>
      <c r="H492" s="21"/>
      <c r="I492" s="33"/>
      <c r="J492" s="21" t="str">
        <f aca="false">INDEX(Students!$C$2:$C$601,MATCH(B492,Students!$A$2:$A$601,0))</f>
        <v>Batch 2024</v>
      </c>
      <c r="K492" s="21" t="str">
        <f aca="false">INDEX(Students!$D$2:$D$601,MATCH(B492,Students!$A$2:$A$601,0))</f>
        <v>DSA with Java</v>
      </c>
      <c r="L492" s="21" t="str">
        <f aca="false">INDEX(Companies!$C$2:$C$31,MATCH(C492,Companies!$A$2:$A$31,0))</f>
        <v>Cybersecurity</v>
      </c>
      <c r="M492" s="21" t="str">
        <f aca="false">INDEX(Companies!$D$2:$D$31,MATCH(C492,Companies!$A$2:$A$31,0))</f>
        <v>Tier 2</v>
      </c>
      <c r="N492" s="34" t="n">
        <f aca="false">MATCH(F492,Assumptions!$K$4:$K$8,0)</f>
        <v>1</v>
      </c>
      <c r="O492" s="21" t="str">
        <f aca="false">IF(H492="Yes",MONTH(I492),"")</f>
        <v/>
      </c>
      <c r="P492" s="21" t="str">
        <f aca="false">IF(H492="Yes",B492,"")</f>
        <v/>
      </c>
    </row>
    <row r="493" customFormat="false" ht="15" hidden="false" customHeight="false" outlineLevel="0" collapsed="false">
      <c r="A493" s="21" t="s">
        <v>1708</v>
      </c>
      <c r="B493" s="21" t="s">
        <v>301</v>
      </c>
      <c r="C493" s="21" t="s">
        <v>1211</v>
      </c>
      <c r="D493" s="21" t="s">
        <v>1174</v>
      </c>
      <c r="E493" s="33" t="n">
        <v>45249</v>
      </c>
      <c r="F493" s="21" t="s">
        <v>1185</v>
      </c>
      <c r="G493" s="32" t="n">
        <v>6.1</v>
      </c>
      <c r="H493" s="21" t="s">
        <v>113</v>
      </c>
      <c r="I493" s="33" t="n">
        <v>45274</v>
      </c>
      <c r="J493" s="21" t="str">
        <f aca="false">INDEX(Students!$C$2:$C$601,MATCH(B493,Students!$A$2:$A$601,0))</f>
        <v>Batch 2024</v>
      </c>
      <c r="K493" s="21" t="str">
        <f aca="false">INDEX(Students!$D$2:$D$601,MATCH(B493,Students!$A$2:$A$601,0))</f>
        <v>Full Stack Development</v>
      </c>
      <c r="L493" s="21" t="str">
        <f aca="false">INDEX(Companies!$C$2:$C$31,MATCH(C493,Companies!$A$2:$A$31,0))</f>
        <v>Analytics &amp; Consulting</v>
      </c>
      <c r="M493" s="21" t="str">
        <f aca="false">INDEX(Companies!$D$2:$D$31,MATCH(C493,Companies!$A$2:$A$31,0))</f>
        <v>Tier 3</v>
      </c>
      <c r="N493" s="34" t="n">
        <f aca="false">MATCH(F493,Assumptions!$K$4:$K$8,0)</f>
        <v>5</v>
      </c>
      <c r="O493" s="21" t="str">
        <f aca="false">IF(H493="Yes",MONTH(I493),"")</f>
        <v/>
      </c>
      <c r="P493" s="21" t="str">
        <f aca="false">IF(H493="Yes",B493,"")</f>
        <v/>
      </c>
    </row>
    <row r="494" customFormat="false" ht="15" hidden="false" customHeight="false" outlineLevel="0" collapsed="false">
      <c r="A494" s="21" t="s">
        <v>1709</v>
      </c>
      <c r="B494" s="21" t="s">
        <v>309</v>
      </c>
      <c r="C494" s="21" t="s">
        <v>1266</v>
      </c>
      <c r="D494" s="21" t="s">
        <v>1188</v>
      </c>
      <c r="E494" s="33" t="n">
        <v>45249</v>
      </c>
      <c r="F494" s="21" t="s">
        <v>1178</v>
      </c>
      <c r="G494" s="32"/>
      <c r="H494" s="21"/>
      <c r="I494" s="33"/>
      <c r="J494" s="21" t="str">
        <f aca="false">INDEX(Students!$C$2:$C$601,MATCH(B494,Students!$A$2:$A$601,0))</f>
        <v>Batch 2024</v>
      </c>
      <c r="K494" s="21" t="str">
        <f aca="false">INDEX(Students!$D$2:$D$601,MATCH(B494,Students!$A$2:$A$601,0))</f>
        <v>Data Analytics</v>
      </c>
      <c r="L494" s="21" t="str">
        <f aca="false">INDEX(Companies!$C$2:$C$31,MATCH(C494,Companies!$A$2:$A$31,0))</f>
        <v>IT Services</v>
      </c>
      <c r="M494" s="21" t="str">
        <f aca="false">INDEX(Companies!$D$2:$D$31,MATCH(C494,Companies!$A$2:$A$31,0))</f>
        <v>Tier 3</v>
      </c>
      <c r="N494" s="34" t="n">
        <f aca="false">MATCH(F494,Assumptions!$K$4:$K$8,0)</f>
        <v>2</v>
      </c>
      <c r="O494" s="21" t="str">
        <f aca="false">IF(H494="Yes",MONTH(I494),"")</f>
        <v/>
      </c>
      <c r="P494" s="21" t="str">
        <f aca="false">IF(H494="Yes",B494,"")</f>
        <v/>
      </c>
    </row>
    <row r="495" customFormat="false" ht="15" hidden="false" customHeight="false" outlineLevel="0" collapsed="false">
      <c r="A495" s="21" t="s">
        <v>1710</v>
      </c>
      <c r="B495" s="21" t="s">
        <v>434</v>
      </c>
      <c r="C495" s="21" t="s">
        <v>1187</v>
      </c>
      <c r="D495" s="21" t="s">
        <v>1174</v>
      </c>
      <c r="E495" s="33" t="n">
        <v>45249</v>
      </c>
      <c r="F495" s="21" t="s">
        <v>1185</v>
      </c>
      <c r="G495" s="32" t="n">
        <v>23.8</v>
      </c>
      <c r="H495" s="21" t="s">
        <v>120</v>
      </c>
      <c r="I495" s="33" t="n">
        <v>45277</v>
      </c>
      <c r="J495" s="21" t="str">
        <f aca="false">INDEX(Students!$C$2:$C$601,MATCH(B495,Students!$A$2:$A$601,0))</f>
        <v>Batch 2024</v>
      </c>
      <c r="K495" s="21" t="str">
        <f aca="false">INDEX(Students!$D$2:$D$601,MATCH(B495,Students!$A$2:$A$601,0))</f>
        <v>Full Stack Development</v>
      </c>
      <c r="L495" s="21" t="str">
        <f aca="false">INDEX(Companies!$C$2:$C$31,MATCH(C495,Companies!$A$2:$A$31,0))</f>
        <v>Product</v>
      </c>
      <c r="M495" s="21" t="str">
        <f aca="false">INDEX(Companies!$D$2:$D$31,MATCH(C495,Companies!$A$2:$A$31,0))</f>
        <v>Tier 1</v>
      </c>
      <c r="N495" s="34" t="n">
        <f aca="false">MATCH(F495,Assumptions!$K$4:$K$8,0)</f>
        <v>5</v>
      </c>
      <c r="O495" s="21" t="n">
        <f aca="false">IF(H495="Yes",MONTH(I495),"")</f>
        <v>12</v>
      </c>
      <c r="P495" s="21" t="str">
        <f aca="false">IF(H495="Yes",B495,"")</f>
        <v>S0169</v>
      </c>
    </row>
    <row r="496" customFormat="false" ht="15" hidden="false" customHeight="false" outlineLevel="0" collapsed="false">
      <c r="A496" s="21" t="s">
        <v>1711</v>
      </c>
      <c r="B496" s="21" t="s">
        <v>259</v>
      </c>
      <c r="C496" s="21" t="s">
        <v>1201</v>
      </c>
      <c r="D496" s="21" t="s">
        <v>1181</v>
      </c>
      <c r="E496" s="33" t="n">
        <v>45249</v>
      </c>
      <c r="F496" s="21" t="s">
        <v>1185</v>
      </c>
      <c r="G496" s="32" t="n">
        <v>5.4</v>
      </c>
      <c r="H496" s="21" t="s">
        <v>113</v>
      </c>
      <c r="I496" s="33" t="n">
        <v>45271</v>
      </c>
      <c r="J496" s="21" t="str">
        <f aca="false">INDEX(Students!$C$2:$C$601,MATCH(B496,Students!$A$2:$A$601,0))</f>
        <v>Batch 2024</v>
      </c>
      <c r="K496" s="21" t="str">
        <f aca="false">INDEX(Students!$D$2:$D$601,MATCH(B496,Students!$A$2:$A$601,0))</f>
        <v>Full Stack Development</v>
      </c>
      <c r="L496" s="21" t="str">
        <f aca="false">INDEX(Companies!$C$2:$C$31,MATCH(C496,Companies!$A$2:$A$31,0))</f>
        <v>IT Services</v>
      </c>
      <c r="M496" s="21" t="str">
        <f aca="false">INDEX(Companies!$D$2:$D$31,MATCH(C496,Companies!$A$2:$A$31,0))</f>
        <v>Tier 3</v>
      </c>
      <c r="N496" s="34" t="n">
        <f aca="false">MATCH(F496,Assumptions!$K$4:$K$8,0)</f>
        <v>5</v>
      </c>
      <c r="O496" s="21" t="str">
        <f aca="false">IF(H496="Yes",MONTH(I496),"")</f>
        <v/>
      </c>
      <c r="P496" s="21" t="str">
        <f aca="false">IF(H496="Yes",B496,"")</f>
        <v/>
      </c>
    </row>
    <row r="497" customFormat="false" ht="15" hidden="false" customHeight="false" outlineLevel="0" collapsed="false">
      <c r="A497" s="21" t="s">
        <v>1712</v>
      </c>
      <c r="B497" s="21" t="s">
        <v>264</v>
      </c>
      <c r="C497" s="21" t="s">
        <v>1196</v>
      </c>
      <c r="D497" s="21" t="s">
        <v>1194</v>
      </c>
      <c r="E497" s="33" t="n">
        <v>45249</v>
      </c>
      <c r="F497" s="21" t="s">
        <v>1185</v>
      </c>
      <c r="G497" s="32" t="n">
        <v>5.2</v>
      </c>
      <c r="H497" s="21" t="s">
        <v>113</v>
      </c>
      <c r="I497" s="33" t="n">
        <v>45285</v>
      </c>
      <c r="J497" s="21" t="str">
        <f aca="false">INDEX(Students!$C$2:$C$601,MATCH(B497,Students!$A$2:$A$601,0))</f>
        <v>Batch 2024</v>
      </c>
      <c r="K497" s="21" t="str">
        <f aca="false">INDEX(Students!$D$2:$D$601,MATCH(B497,Students!$A$2:$A$601,0))</f>
        <v>Data Science &amp; ML</v>
      </c>
      <c r="L497" s="21" t="str">
        <f aca="false">INDEX(Companies!$C$2:$C$31,MATCH(C497,Companies!$A$2:$A$31,0))</f>
        <v>IT Services</v>
      </c>
      <c r="M497" s="21" t="str">
        <f aca="false">INDEX(Companies!$D$2:$D$31,MATCH(C497,Companies!$A$2:$A$31,0))</f>
        <v>Tier 3</v>
      </c>
      <c r="N497" s="34" t="n">
        <f aca="false">MATCH(F497,Assumptions!$K$4:$K$8,0)</f>
        <v>5</v>
      </c>
      <c r="O497" s="21" t="str">
        <f aca="false">IF(H497="Yes",MONTH(I497),"")</f>
        <v/>
      </c>
      <c r="P497" s="21" t="str">
        <f aca="false">IF(H497="Yes",B497,"")</f>
        <v/>
      </c>
    </row>
    <row r="498" customFormat="false" ht="15" hidden="false" customHeight="false" outlineLevel="0" collapsed="false">
      <c r="A498" s="21" t="s">
        <v>1713</v>
      </c>
      <c r="B498" s="21" t="s">
        <v>173</v>
      </c>
      <c r="C498" s="21" t="s">
        <v>1193</v>
      </c>
      <c r="D498" s="21" t="s">
        <v>1181</v>
      </c>
      <c r="E498" s="33" t="n">
        <v>45250</v>
      </c>
      <c r="F498" s="21" t="s">
        <v>1175</v>
      </c>
      <c r="G498" s="32"/>
      <c r="H498" s="21"/>
      <c r="I498" s="33"/>
      <c r="J498" s="21" t="str">
        <f aca="false">INDEX(Students!$C$2:$C$601,MATCH(B498,Students!$A$2:$A$601,0))</f>
        <v>Batch 2024</v>
      </c>
      <c r="K498" s="21" t="str">
        <f aca="false">INDEX(Students!$D$2:$D$601,MATCH(B498,Students!$A$2:$A$601,0))</f>
        <v>Full Stack Development</v>
      </c>
      <c r="L498" s="21" t="str">
        <f aca="false">INDEX(Companies!$C$2:$C$31,MATCH(C498,Companies!$A$2:$A$31,0))</f>
        <v>Analytics &amp; Consulting</v>
      </c>
      <c r="M498" s="21" t="str">
        <f aca="false">INDEX(Companies!$D$2:$D$31,MATCH(C498,Companies!$A$2:$A$31,0))</f>
        <v>Tier 2</v>
      </c>
      <c r="N498" s="34" t="n">
        <f aca="false">MATCH(F498,Assumptions!$K$4:$K$8,0)</f>
        <v>1</v>
      </c>
      <c r="O498" s="21" t="str">
        <f aca="false">IF(H498="Yes",MONTH(I498),"")</f>
        <v/>
      </c>
      <c r="P498" s="21" t="str">
        <f aca="false">IF(H498="Yes",B498,"")</f>
        <v/>
      </c>
    </row>
    <row r="499" customFormat="false" ht="15" hidden="false" customHeight="false" outlineLevel="0" collapsed="false">
      <c r="A499" s="21" t="s">
        <v>1714</v>
      </c>
      <c r="B499" s="21" t="s">
        <v>431</v>
      </c>
      <c r="C499" s="21" t="s">
        <v>1187</v>
      </c>
      <c r="D499" s="21" t="s">
        <v>1243</v>
      </c>
      <c r="E499" s="33" t="n">
        <v>45250</v>
      </c>
      <c r="F499" s="21" t="s">
        <v>1175</v>
      </c>
      <c r="G499" s="32"/>
      <c r="H499" s="21"/>
      <c r="I499" s="33"/>
      <c r="J499" s="21" t="str">
        <f aca="false">INDEX(Students!$C$2:$C$601,MATCH(B499,Students!$A$2:$A$601,0))</f>
        <v>Batch 2024</v>
      </c>
      <c r="K499" s="21" t="str">
        <f aca="false">INDEX(Students!$D$2:$D$601,MATCH(B499,Students!$A$2:$A$601,0))</f>
        <v>Data Science &amp; ML</v>
      </c>
      <c r="L499" s="21" t="str">
        <f aca="false">INDEX(Companies!$C$2:$C$31,MATCH(C499,Companies!$A$2:$A$31,0))</f>
        <v>Product</v>
      </c>
      <c r="M499" s="21" t="str">
        <f aca="false">INDEX(Companies!$D$2:$D$31,MATCH(C499,Companies!$A$2:$A$31,0))</f>
        <v>Tier 1</v>
      </c>
      <c r="N499" s="34" t="n">
        <f aca="false">MATCH(F499,Assumptions!$K$4:$K$8,0)</f>
        <v>1</v>
      </c>
      <c r="O499" s="21" t="str">
        <f aca="false">IF(H499="Yes",MONTH(I499),"")</f>
        <v/>
      </c>
      <c r="P499" s="21" t="str">
        <f aca="false">IF(H499="Yes",B499,"")</f>
        <v/>
      </c>
    </row>
    <row r="500" customFormat="false" ht="15" hidden="false" customHeight="false" outlineLevel="0" collapsed="false">
      <c r="A500" s="21" t="s">
        <v>1715</v>
      </c>
      <c r="B500" s="21" t="s">
        <v>299</v>
      </c>
      <c r="C500" s="21" t="s">
        <v>1266</v>
      </c>
      <c r="D500" s="21" t="s">
        <v>1209</v>
      </c>
      <c r="E500" s="33" t="n">
        <v>45250</v>
      </c>
      <c r="F500" s="21" t="s">
        <v>1178</v>
      </c>
      <c r="G500" s="32"/>
      <c r="H500" s="21"/>
      <c r="I500" s="33"/>
      <c r="J500" s="21" t="str">
        <f aca="false">INDEX(Students!$C$2:$C$601,MATCH(B500,Students!$A$2:$A$601,0))</f>
        <v>Batch 2024</v>
      </c>
      <c r="K500" s="21" t="str">
        <f aca="false">INDEX(Students!$D$2:$D$601,MATCH(B500,Students!$A$2:$A$601,0))</f>
        <v>Data Analytics</v>
      </c>
      <c r="L500" s="21" t="str">
        <f aca="false">INDEX(Companies!$C$2:$C$31,MATCH(C500,Companies!$A$2:$A$31,0))</f>
        <v>IT Services</v>
      </c>
      <c r="M500" s="21" t="str">
        <f aca="false">INDEX(Companies!$D$2:$D$31,MATCH(C500,Companies!$A$2:$A$31,0))</f>
        <v>Tier 3</v>
      </c>
      <c r="N500" s="34" t="n">
        <f aca="false">MATCH(F500,Assumptions!$K$4:$K$8,0)</f>
        <v>2</v>
      </c>
      <c r="O500" s="21" t="str">
        <f aca="false">IF(H500="Yes",MONTH(I500),"")</f>
        <v/>
      </c>
      <c r="P500" s="21" t="str">
        <f aca="false">IF(H500="Yes",B500,"")</f>
        <v/>
      </c>
    </row>
    <row r="501" customFormat="false" ht="15" hidden="false" customHeight="false" outlineLevel="0" collapsed="false">
      <c r="A501" s="21" t="s">
        <v>1716</v>
      </c>
      <c r="B501" s="21" t="s">
        <v>185</v>
      </c>
      <c r="C501" s="21" t="s">
        <v>1193</v>
      </c>
      <c r="D501" s="21" t="s">
        <v>1188</v>
      </c>
      <c r="E501" s="33" t="n">
        <v>45250</v>
      </c>
      <c r="F501" s="21" t="s">
        <v>1175</v>
      </c>
      <c r="G501" s="32"/>
      <c r="H501" s="21"/>
      <c r="I501" s="33"/>
      <c r="J501" s="21" t="str">
        <f aca="false">INDEX(Students!$C$2:$C$601,MATCH(B501,Students!$A$2:$A$601,0))</f>
        <v>Batch 2024</v>
      </c>
      <c r="K501" s="21" t="str">
        <f aca="false">INDEX(Students!$D$2:$D$601,MATCH(B501,Students!$A$2:$A$601,0))</f>
        <v>Data Analytics</v>
      </c>
      <c r="L501" s="21" t="str">
        <f aca="false">INDEX(Companies!$C$2:$C$31,MATCH(C501,Companies!$A$2:$A$31,0))</f>
        <v>Analytics &amp; Consulting</v>
      </c>
      <c r="M501" s="21" t="str">
        <f aca="false">INDEX(Companies!$D$2:$D$31,MATCH(C501,Companies!$A$2:$A$31,0))</f>
        <v>Tier 2</v>
      </c>
      <c r="N501" s="34" t="n">
        <f aca="false">MATCH(F501,Assumptions!$K$4:$K$8,0)</f>
        <v>1</v>
      </c>
      <c r="O501" s="21" t="str">
        <f aca="false">IF(H501="Yes",MONTH(I501),"")</f>
        <v/>
      </c>
      <c r="P501" s="21" t="str">
        <f aca="false">IF(H501="Yes",B501,"")</f>
        <v/>
      </c>
    </row>
    <row r="502" customFormat="false" ht="15" hidden="false" customHeight="false" outlineLevel="0" collapsed="false">
      <c r="A502" s="21" t="s">
        <v>1717</v>
      </c>
      <c r="B502" s="21" t="s">
        <v>268</v>
      </c>
      <c r="C502" s="21" t="s">
        <v>1234</v>
      </c>
      <c r="D502" s="21" t="s">
        <v>1181</v>
      </c>
      <c r="E502" s="33" t="n">
        <v>45250</v>
      </c>
      <c r="F502" s="21" t="s">
        <v>1178</v>
      </c>
      <c r="G502" s="32"/>
      <c r="H502" s="21"/>
      <c r="I502" s="33"/>
      <c r="J502" s="21" t="str">
        <f aca="false">INDEX(Students!$C$2:$C$601,MATCH(B502,Students!$A$2:$A$601,0))</f>
        <v>Batch 2024</v>
      </c>
      <c r="K502" s="21" t="str">
        <f aca="false">INDEX(Students!$D$2:$D$601,MATCH(B502,Students!$A$2:$A$601,0))</f>
        <v>Full Stack Development</v>
      </c>
      <c r="L502" s="21" t="str">
        <f aca="false">INDEX(Companies!$C$2:$C$31,MATCH(C502,Companies!$A$2:$A$31,0))</f>
        <v>EdTech</v>
      </c>
      <c r="M502" s="21" t="str">
        <f aca="false">INDEX(Companies!$D$2:$D$31,MATCH(C502,Companies!$A$2:$A$31,0))</f>
        <v>Tier 3</v>
      </c>
      <c r="N502" s="34" t="n">
        <f aca="false">MATCH(F502,Assumptions!$K$4:$K$8,0)</f>
        <v>2</v>
      </c>
      <c r="O502" s="21" t="str">
        <f aca="false">IF(H502="Yes",MONTH(I502),"")</f>
        <v/>
      </c>
      <c r="P502" s="21" t="str">
        <f aca="false">IF(H502="Yes",B502,"")</f>
        <v/>
      </c>
    </row>
    <row r="503" customFormat="false" ht="15" hidden="false" customHeight="false" outlineLevel="0" collapsed="false">
      <c r="A503" s="21" t="s">
        <v>1718</v>
      </c>
      <c r="B503" s="21" t="s">
        <v>281</v>
      </c>
      <c r="C503" s="21" t="s">
        <v>1205</v>
      </c>
      <c r="D503" s="21" t="s">
        <v>1209</v>
      </c>
      <c r="E503" s="33" t="n">
        <v>45250</v>
      </c>
      <c r="F503" s="21" t="s">
        <v>1197</v>
      </c>
      <c r="G503" s="32"/>
      <c r="H503" s="21"/>
      <c r="I503" s="33"/>
      <c r="J503" s="21" t="str">
        <f aca="false">INDEX(Students!$C$2:$C$601,MATCH(B503,Students!$A$2:$A$601,0))</f>
        <v>Batch 2024</v>
      </c>
      <c r="K503" s="21" t="str">
        <f aca="false">INDEX(Students!$D$2:$D$601,MATCH(B503,Students!$A$2:$A$601,0))</f>
        <v>Data Analytics</v>
      </c>
      <c r="L503" s="21" t="str">
        <f aca="false">INDEX(Companies!$C$2:$C$31,MATCH(C503,Companies!$A$2:$A$31,0))</f>
        <v>Healthtech</v>
      </c>
      <c r="M503" s="21" t="str">
        <f aca="false">INDEX(Companies!$D$2:$D$31,MATCH(C503,Companies!$A$2:$A$31,0))</f>
        <v>Tier 3</v>
      </c>
      <c r="N503" s="34" t="n">
        <f aca="false">MATCH(F503,Assumptions!$K$4:$K$8,0)</f>
        <v>3</v>
      </c>
      <c r="O503" s="21" t="str">
        <f aca="false">IF(H503="Yes",MONTH(I503),"")</f>
        <v/>
      </c>
      <c r="P503" s="21" t="str">
        <f aca="false">IF(H503="Yes",B503,"")</f>
        <v/>
      </c>
    </row>
    <row r="504" customFormat="false" ht="15" hidden="false" customHeight="false" outlineLevel="0" collapsed="false">
      <c r="A504" s="21" t="s">
        <v>1719</v>
      </c>
      <c r="B504" s="21" t="s">
        <v>272</v>
      </c>
      <c r="C504" s="21" t="s">
        <v>1263</v>
      </c>
      <c r="D504" s="21" t="s">
        <v>1209</v>
      </c>
      <c r="E504" s="33" t="n">
        <v>45250</v>
      </c>
      <c r="F504" s="21" t="s">
        <v>1175</v>
      </c>
      <c r="G504" s="32"/>
      <c r="H504" s="21"/>
      <c r="I504" s="33"/>
      <c r="J504" s="21" t="str">
        <f aca="false">INDEX(Students!$C$2:$C$601,MATCH(B504,Students!$A$2:$A$601,0))</f>
        <v>Batch 2024</v>
      </c>
      <c r="K504" s="21" t="str">
        <f aca="false">INDEX(Students!$D$2:$D$601,MATCH(B504,Students!$A$2:$A$601,0))</f>
        <v>Data Analytics</v>
      </c>
      <c r="L504" s="21" t="str">
        <f aca="false">INDEX(Companies!$C$2:$C$31,MATCH(C504,Companies!$A$2:$A$31,0))</f>
        <v>Analytics &amp; Consulting</v>
      </c>
      <c r="M504" s="21" t="str">
        <f aca="false">INDEX(Companies!$D$2:$D$31,MATCH(C504,Companies!$A$2:$A$31,0))</f>
        <v>Tier 2</v>
      </c>
      <c r="N504" s="34" t="n">
        <f aca="false">MATCH(F504,Assumptions!$K$4:$K$8,0)</f>
        <v>1</v>
      </c>
      <c r="O504" s="21" t="str">
        <f aca="false">IF(H504="Yes",MONTH(I504),"")</f>
        <v/>
      </c>
      <c r="P504" s="21" t="str">
        <f aca="false">IF(H504="Yes",B504,"")</f>
        <v/>
      </c>
    </row>
    <row r="505" customFormat="false" ht="15" hidden="false" customHeight="false" outlineLevel="0" collapsed="false">
      <c r="A505" s="21" t="s">
        <v>1720</v>
      </c>
      <c r="B505" s="21" t="s">
        <v>169</v>
      </c>
      <c r="C505" s="21" t="s">
        <v>1193</v>
      </c>
      <c r="D505" s="21" t="s">
        <v>1191</v>
      </c>
      <c r="E505" s="33" t="n">
        <v>45251</v>
      </c>
      <c r="F505" s="21" t="s">
        <v>1178</v>
      </c>
      <c r="G505" s="32"/>
      <c r="H505" s="21"/>
      <c r="I505" s="33"/>
      <c r="J505" s="21" t="str">
        <f aca="false">INDEX(Students!$C$2:$C$601,MATCH(B505,Students!$A$2:$A$601,0))</f>
        <v>Batch 2024</v>
      </c>
      <c r="K505" s="21" t="str">
        <f aca="false">INDEX(Students!$D$2:$D$601,MATCH(B505,Students!$A$2:$A$601,0))</f>
        <v>DSA with Java</v>
      </c>
      <c r="L505" s="21" t="str">
        <f aca="false">INDEX(Companies!$C$2:$C$31,MATCH(C505,Companies!$A$2:$A$31,0))</f>
        <v>Analytics &amp; Consulting</v>
      </c>
      <c r="M505" s="21" t="str">
        <f aca="false">INDEX(Companies!$D$2:$D$31,MATCH(C505,Companies!$A$2:$A$31,0))</f>
        <v>Tier 2</v>
      </c>
      <c r="N505" s="34" t="n">
        <f aca="false">MATCH(F505,Assumptions!$K$4:$K$8,0)</f>
        <v>2</v>
      </c>
      <c r="O505" s="21" t="str">
        <f aca="false">IF(H505="Yes",MONTH(I505),"")</f>
        <v/>
      </c>
      <c r="P505" s="21" t="str">
        <f aca="false">IF(H505="Yes",B505,"")</f>
        <v/>
      </c>
    </row>
    <row r="506" customFormat="false" ht="15" hidden="false" customHeight="false" outlineLevel="0" collapsed="false">
      <c r="A506" s="21" t="s">
        <v>1721</v>
      </c>
      <c r="B506" s="21" t="s">
        <v>221</v>
      </c>
      <c r="C506" s="21" t="s">
        <v>1187</v>
      </c>
      <c r="D506" s="21" t="s">
        <v>1184</v>
      </c>
      <c r="E506" s="33" t="n">
        <v>45251</v>
      </c>
      <c r="F506" s="21" t="s">
        <v>1185</v>
      </c>
      <c r="G506" s="32" t="n">
        <v>24.6</v>
      </c>
      <c r="H506" s="21" t="s">
        <v>120</v>
      </c>
      <c r="I506" s="33" t="n">
        <v>45273</v>
      </c>
      <c r="J506" s="21" t="str">
        <f aca="false">INDEX(Students!$C$2:$C$601,MATCH(B506,Students!$A$2:$A$601,0))</f>
        <v>Batch 2024</v>
      </c>
      <c r="K506" s="21" t="str">
        <f aca="false">INDEX(Students!$D$2:$D$601,MATCH(B506,Students!$A$2:$A$601,0))</f>
        <v>DSA with Java</v>
      </c>
      <c r="L506" s="21" t="str">
        <f aca="false">INDEX(Companies!$C$2:$C$31,MATCH(C506,Companies!$A$2:$A$31,0))</f>
        <v>Product</v>
      </c>
      <c r="M506" s="21" t="str">
        <f aca="false">INDEX(Companies!$D$2:$D$31,MATCH(C506,Companies!$A$2:$A$31,0))</f>
        <v>Tier 1</v>
      </c>
      <c r="N506" s="34" t="n">
        <f aca="false">MATCH(F506,Assumptions!$K$4:$K$8,0)</f>
        <v>5</v>
      </c>
      <c r="O506" s="21" t="n">
        <f aca="false">IF(H506="Yes",MONTH(I506),"")</f>
        <v>12</v>
      </c>
      <c r="P506" s="21" t="str">
        <f aca="false">IF(H506="Yes",B506,"")</f>
        <v>S0055</v>
      </c>
    </row>
    <row r="507" customFormat="false" ht="15" hidden="false" customHeight="false" outlineLevel="0" collapsed="false">
      <c r="A507" s="21" t="s">
        <v>1722</v>
      </c>
      <c r="B507" s="21" t="s">
        <v>395</v>
      </c>
      <c r="C507" s="21" t="s">
        <v>1309</v>
      </c>
      <c r="D507" s="21" t="s">
        <v>1191</v>
      </c>
      <c r="E507" s="33" t="n">
        <v>45251</v>
      </c>
      <c r="F507" s="21" t="s">
        <v>1178</v>
      </c>
      <c r="G507" s="32"/>
      <c r="H507" s="21"/>
      <c r="I507" s="33"/>
      <c r="J507" s="21" t="str">
        <f aca="false">INDEX(Students!$C$2:$C$601,MATCH(B507,Students!$A$2:$A$601,0))</f>
        <v>Batch 2024</v>
      </c>
      <c r="K507" s="21" t="str">
        <f aca="false">INDEX(Students!$D$2:$D$601,MATCH(B507,Students!$A$2:$A$601,0))</f>
        <v>DSA with Java</v>
      </c>
      <c r="L507" s="21" t="str">
        <f aca="false">INDEX(Companies!$C$2:$C$31,MATCH(C507,Companies!$A$2:$A$31,0))</f>
        <v>EdTech</v>
      </c>
      <c r="M507" s="21" t="str">
        <f aca="false">INDEX(Companies!$D$2:$D$31,MATCH(C507,Companies!$A$2:$A$31,0))</f>
        <v>Tier 2</v>
      </c>
      <c r="N507" s="34" t="n">
        <f aca="false">MATCH(F507,Assumptions!$K$4:$K$8,0)</f>
        <v>2</v>
      </c>
      <c r="O507" s="21" t="str">
        <f aca="false">IF(H507="Yes",MONTH(I507),"")</f>
        <v/>
      </c>
      <c r="P507" s="21" t="str">
        <f aca="false">IF(H507="Yes",B507,"")</f>
        <v/>
      </c>
    </row>
    <row r="508" customFormat="false" ht="15" hidden="false" customHeight="false" outlineLevel="0" collapsed="false">
      <c r="A508" s="21" t="s">
        <v>1723</v>
      </c>
      <c r="B508" s="21" t="s">
        <v>291</v>
      </c>
      <c r="C508" s="21" t="s">
        <v>1228</v>
      </c>
      <c r="D508" s="21" t="s">
        <v>1174</v>
      </c>
      <c r="E508" s="33" t="n">
        <v>45251</v>
      </c>
      <c r="F508" s="21" t="s">
        <v>1175</v>
      </c>
      <c r="G508" s="32"/>
      <c r="H508" s="21"/>
      <c r="I508" s="33"/>
      <c r="J508" s="21" t="str">
        <f aca="false">INDEX(Students!$C$2:$C$601,MATCH(B508,Students!$A$2:$A$601,0))</f>
        <v>Batch 2024</v>
      </c>
      <c r="K508" s="21" t="str">
        <f aca="false">INDEX(Students!$D$2:$D$601,MATCH(B508,Students!$A$2:$A$601,0))</f>
        <v>Full Stack Development</v>
      </c>
      <c r="L508" s="21" t="str">
        <f aca="false">INDEX(Companies!$C$2:$C$31,MATCH(C508,Companies!$A$2:$A$31,0))</f>
        <v>Fintech</v>
      </c>
      <c r="M508" s="21" t="str">
        <f aca="false">INDEX(Companies!$D$2:$D$31,MATCH(C508,Companies!$A$2:$A$31,0))</f>
        <v>Tier 1</v>
      </c>
      <c r="N508" s="34" t="n">
        <f aca="false">MATCH(F508,Assumptions!$K$4:$K$8,0)</f>
        <v>1</v>
      </c>
      <c r="O508" s="21" t="str">
        <f aca="false">IF(H508="Yes",MONTH(I508),"")</f>
        <v/>
      </c>
      <c r="P508" s="21" t="str">
        <f aca="false">IF(H508="Yes",B508,"")</f>
        <v/>
      </c>
    </row>
    <row r="509" customFormat="false" ht="15" hidden="false" customHeight="false" outlineLevel="0" collapsed="false">
      <c r="A509" s="21" t="s">
        <v>1724</v>
      </c>
      <c r="B509" s="21" t="s">
        <v>245</v>
      </c>
      <c r="C509" s="21" t="s">
        <v>1173</v>
      </c>
      <c r="D509" s="21" t="s">
        <v>1174</v>
      </c>
      <c r="E509" s="33" t="n">
        <v>45251</v>
      </c>
      <c r="F509" s="21" t="s">
        <v>1175</v>
      </c>
      <c r="G509" s="32"/>
      <c r="H509" s="21"/>
      <c r="I509" s="33"/>
      <c r="J509" s="21" t="str">
        <f aca="false">INDEX(Students!$C$2:$C$601,MATCH(B509,Students!$A$2:$A$601,0))</f>
        <v>Batch 2024</v>
      </c>
      <c r="K509" s="21" t="str">
        <f aca="false">INDEX(Students!$D$2:$D$601,MATCH(B509,Students!$A$2:$A$601,0))</f>
        <v>Full Stack Development</v>
      </c>
      <c r="L509" s="21" t="str">
        <f aca="false">INDEX(Companies!$C$2:$C$31,MATCH(C509,Companies!$A$2:$A$31,0))</f>
        <v>Cybersecurity</v>
      </c>
      <c r="M509" s="21" t="str">
        <f aca="false">INDEX(Companies!$D$2:$D$31,MATCH(C509,Companies!$A$2:$A$31,0))</f>
        <v>Tier 1</v>
      </c>
      <c r="N509" s="34" t="n">
        <f aca="false">MATCH(F509,Assumptions!$K$4:$K$8,0)</f>
        <v>1</v>
      </c>
      <c r="O509" s="21" t="str">
        <f aca="false">IF(H509="Yes",MONTH(I509),"")</f>
        <v/>
      </c>
      <c r="P509" s="21" t="str">
        <f aca="false">IF(H509="Yes",B509,"")</f>
        <v/>
      </c>
    </row>
    <row r="510" customFormat="false" ht="15" hidden="false" customHeight="false" outlineLevel="0" collapsed="false">
      <c r="A510" s="21" t="s">
        <v>1725</v>
      </c>
      <c r="B510" s="21" t="s">
        <v>233</v>
      </c>
      <c r="C510" s="21" t="s">
        <v>1211</v>
      </c>
      <c r="D510" s="21" t="s">
        <v>1181</v>
      </c>
      <c r="E510" s="33" t="n">
        <v>45251</v>
      </c>
      <c r="F510" s="21" t="s">
        <v>1197</v>
      </c>
      <c r="G510" s="32"/>
      <c r="H510" s="21"/>
      <c r="I510" s="33"/>
      <c r="J510" s="21" t="str">
        <f aca="false">INDEX(Students!$C$2:$C$601,MATCH(B510,Students!$A$2:$A$601,0))</f>
        <v>Batch 2024</v>
      </c>
      <c r="K510" s="21" t="str">
        <f aca="false">INDEX(Students!$D$2:$D$601,MATCH(B510,Students!$A$2:$A$601,0))</f>
        <v>Full Stack Development</v>
      </c>
      <c r="L510" s="21" t="str">
        <f aca="false">INDEX(Companies!$C$2:$C$31,MATCH(C510,Companies!$A$2:$A$31,0))</f>
        <v>Analytics &amp; Consulting</v>
      </c>
      <c r="M510" s="21" t="str">
        <f aca="false">INDEX(Companies!$D$2:$D$31,MATCH(C510,Companies!$A$2:$A$31,0))</f>
        <v>Tier 3</v>
      </c>
      <c r="N510" s="34" t="n">
        <f aca="false">MATCH(F510,Assumptions!$K$4:$K$8,0)</f>
        <v>3</v>
      </c>
      <c r="O510" s="21" t="str">
        <f aca="false">IF(H510="Yes",MONTH(I510),"")</f>
        <v/>
      </c>
      <c r="P510" s="21" t="str">
        <f aca="false">IF(H510="Yes",B510,"")</f>
        <v/>
      </c>
    </row>
    <row r="511" customFormat="false" ht="15" hidden="false" customHeight="false" outlineLevel="0" collapsed="false">
      <c r="A511" s="21" t="s">
        <v>1726</v>
      </c>
      <c r="B511" s="21" t="s">
        <v>400</v>
      </c>
      <c r="C511" s="21" t="s">
        <v>1180</v>
      </c>
      <c r="D511" s="21" t="s">
        <v>1194</v>
      </c>
      <c r="E511" s="33" t="n">
        <v>45251</v>
      </c>
      <c r="F511" s="21" t="s">
        <v>1218</v>
      </c>
      <c r="G511" s="32"/>
      <c r="H511" s="21"/>
      <c r="I511" s="33"/>
      <c r="J511" s="21" t="str">
        <f aca="false">INDEX(Students!$C$2:$C$601,MATCH(B511,Students!$A$2:$A$601,0))</f>
        <v>Batch 2024</v>
      </c>
      <c r="K511" s="21" t="str">
        <f aca="false">INDEX(Students!$D$2:$D$601,MATCH(B511,Students!$A$2:$A$601,0))</f>
        <v>Data Science &amp; ML</v>
      </c>
      <c r="L511" s="21" t="str">
        <f aca="false">INDEX(Companies!$C$2:$C$31,MATCH(C511,Companies!$A$2:$A$31,0))</f>
        <v>IT Services</v>
      </c>
      <c r="M511" s="21" t="str">
        <f aca="false">INDEX(Companies!$D$2:$D$31,MATCH(C511,Companies!$A$2:$A$31,0))</f>
        <v>Tier 3</v>
      </c>
      <c r="N511" s="34" t="n">
        <f aca="false">MATCH(F511,Assumptions!$K$4:$K$8,0)</f>
        <v>4</v>
      </c>
      <c r="O511" s="21" t="str">
        <f aca="false">IF(H511="Yes",MONTH(I511),"")</f>
        <v/>
      </c>
      <c r="P511" s="21" t="str">
        <f aca="false">IF(H511="Yes",B511,"")</f>
        <v/>
      </c>
    </row>
    <row r="512" customFormat="false" ht="15" hidden="false" customHeight="false" outlineLevel="0" collapsed="false">
      <c r="A512" s="21" t="s">
        <v>1727</v>
      </c>
      <c r="B512" s="21" t="s">
        <v>123</v>
      </c>
      <c r="C512" s="21" t="s">
        <v>1180</v>
      </c>
      <c r="D512" s="21" t="s">
        <v>1209</v>
      </c>
      <c r="E512" s="33" t="n">
        <v>45251</v>
      </c>
      <c r="F512" s="21" t="s">
        <v>1218</v>
      </c>
      <c r="G512" s="32"/>
      <c r="H512" s="21"/>
      <c r="I512" s="33"/>
      <c r="J512" s="21" t="str">
        <f aca="false">INDEX(Students!$C$2:$C$601,MATCH(B512,Students!$A$2:$A$601,0))</f>
        <v>Batch 2024</v>
      </c>
      <c r="K512" s="21" t="str">
        <f aca="false">INDEX(Students!$D$2:$D$601,MATCH(B512,Students!$A$2:$A$601,0))</f>
        <v>Data Analytics</v>
      </c>
      <c r="L512" s="21" t="str">
        <f aca="false">INDEX(Companies!$C$2:$C$31,MATCH(C512,Companies!$A$2:$A$31,0))</f>
        <v>IT Services</v>
      </c>
      <c r="M512" s="21" t="str">
        <f aca="false">INDEX(Companies!$D$2:$D$31,MATCH(C512,Companies!$A$2:$A$31,0))</f>
        <v>Tier 3</v>
      </c>
      <c r="N512" s="34" t="n">
        <f aca="false">MATCH(F512,Assumptions!$K$4:$K$8,0)</f>
        <v>4</v>
      </c>
      <c r="O512" s="21" t="str">
        <f aca="false">IF(H512="Yes",MONTH(I512),"")</f>
        <v/>
      </c>
      <c r="P512" s="21" t="str">
        <f aca="false">IF(H512="Yes",B512,"")</f>
        <v/>
      </c>
    </row>
    <row r="513" customFormat="false" ht="15" hidden="false" customHeight="false" outlineLevel="0" collapsed="false">
      <c r="A513" s="21" t="s">
        <v>1728</v>
      </c>
      <c r="B513" s="21" t="s">
        <v>434</v>
      </c>
      <c r="C513" s="21" t="s">
        <v>1173</v>
      </c>
      <c r="D513" s="21" t="s">
        <v>1181</v>
      </c>
      <c r="E513" s="33" t="n">
        <v>45252</v>
      </c>
      <c r="F513" s="21" t="s">
        <v>1175</v>
      </c>
      <c r="G513" s="32"/>
      <c r="H513" s="21"/>
      <c r="I513" s="33"/>
      <c r="J513" s="21" t="str">
        <f aca="false">INDEX(Students!$C$2:$C$601,MATCH(B513,Students!$A$2:$A$601,0))</f>
        <v>Batch 2024</v>
      </c>
      <c r="K513" s="21" t="str">
        <f aca="false">INDEX(Students!$D$2:$D$601,MATCH(B513,Students!$A$2:$A$601,0))</f>
        <v>Full Stack Development</v>
      </c>
      <c r="L513" s="21" t="str">
        <f aca="false">INDEX(Companies!$C$2:$C$31,MATCH(C513,Companies!$A$2:$A$31,0))</f>
        <v>Cybersecurity</v>
      </c>
      <c r="M513" s="21" t="str">
        <f aca="false">INDEX(Companies!$D$2:$D$31,MATCH(C513,Companies!$A$2:$A$31,0))</f>
        <v>Tier 1</v>
      </c>
      <c r="N513" s="34" t="n">
        <f aca="false">MATCH(F513,Assumptions!$K$4:$K$8,0)</f>
        <v>1</v>
      </c>
      <c r="O513" s="21" t="str">
        <f aca="false">IF(H513="Yes",MONTH(I513),"")</f>
        <v/>
      </c>
      <c r="P513" s="21" t="str">
        <f aca="false">IF(H513="Yes",B513,"")</f>
        <v/>
      </c>
    </row>
    <row r="514" customFormat="false" ht="15" hidden="false" customHeight="false" outlineLevel="0" collapsed="false">
      <c r="A514" s="21" t="s">
        <v>1729</v>
      </c>
      <c r="B514" s="21" t="s">
        <v>129</v>
      </c>
      <c r="C514" s="21" t="s">
        <v>1263</v>
      </c>
      <c r="D514" s="21" t="s">
        <v>1174</v>
      </c>
      <c r="E514" s="33" t="n">
        <v>45252</v>
      </c>
      <c r="F514" s="21" t="s">
        <v>1178</v>
      </c>
      <c r="G514" s="32"/>
      <c r="H514" s="21"/>
      <c r="I514" s="33"/>
      <c r="J514" s="21" t="str">
        <f aca="false">INDEX(Students!$C$2:$C$601,MATCH(B514,Students!$A$2:$A$601,0))</f>
        <v>Batch 2024</v>
      </c>
      <c r="K514" s="21" t="str">
        <f aca="false">INDEX(Students!$D$2:$D$601,MATCH(B514,Students!$A$2:$A$601,0))</f>
        <v>Full Stack Development</v>
      </c>
      <c r="L514" s="21" t="str">
        <f aca="false">INDEX(Companies!$C$2:$C$31,MATCH(C514,Companies!$A$2:$A$31,0))</f>
        <v>Analytics &amp; Consulting</v>
      </c>
      <c r="M514" s="21" t="str">
        <f aca="false">INDEX(Companies!$D$2:$D$31,MATCH(C514,Companies!$A$2:$A$31,0))</f>
        <v>Tier 2</v>
      </c>
      <c r="N514" s="34" t="n">
        <f aca="false">MATCH(F514,Assumptions!$K$4:$K$8,0)</f>
        <v>2</v>
      </c>
      <c r="O514" s="21" t="str">
        <f aca="false">IF(H514="Yes",MONTH(I514),"")</f>
        <v/>
      </c>
      <c r="P514" s="21" t="str">
        <f aca="false">IF(H514="Yes",B514,"")</f>
        <v/>
      </c>
    </row>
    <row r="515" customFormat="false" ht="15" hidden="false" customHeight="false" outlineLevel="0" collapsed="false">
      <c r="A515" s="21" t="s">
        <v>1730</v>
      </c>
      <c r="B515" s="21" t="s">
        <v>268</v>
      </c>
      <c r="C515" s="21" t="s">
        <v>1216</v>
      </c>
      <c r="D515" s="21" t="s">
        <v>1181</v>
      </c>
      <c r="E515" s="33" t="n">
        <v>45252</v>
      </c>
      <c r="F515" s="21" t="s">
        <v>1218</v>
      </c>
      <c r="G515" s="32"/>
      <c r="H515" s="21"/>
      <c r="I515" s="33"/>
      <c r="J515" s="21" t="str">
        <f aca="false">INDEX(Students!$C$2:$C$601,MATCH(B515,Students!$A$2:$A$601,0))</f>
        <v>Batch 2024</v>
      </c>
      <c r="K515" s="21" t="str">
        <f aca="false">INDEX(Students!$D$2:$D$601,MATCH(B515,Students!$A$2:$A$601,0))</f>
        <v>Full Stack Development</v>
      </c>
      <c r="L515" s="21" t="str">
        <f aca="false">INDEX(Companies!$C$2:$C$31,MATCH(C515,Companies!$A$2:$A$31,0))</f>
        <v>IT Services</v>
      </c>
      <c r="M515" s="21" t="str">
        <f aca="false">INDEX(Companies!$D$2:$D$31,MATCH(C515,Companies!$A$2:$A$31,0))</f>
        <v>Tier 3</v>
      </c>
      <c r="N515" s="34" t="n">
        <f aca="false">MATCH(F515,Assumptions!$K$4:$K$8,0)</f>
        <v>4</v>
      </c>
      <c r="O515" s="21" t="str">
        <f aca="false">IF(H515="Yes",MONTH(I515),"")</f>
        <v/>
      </c>
      <c r="P515" s="21" t="str">
        <f aca="false">IF(H515="Yes",B515,"")</f>
        <v/>
      </c>
    </row>
    <row r="516" customFormat="false" ht="15" hidden="false" customHeight="false" outlineLevel="0" collapsed="false">
      <c r="A516" s="21" t="s">
        <v>1731</v>
      </c>
      <c r="B516" s="21" t="s">
        <v>219</v>
      </c>
      <c r="C516" s="21" t="s">
        <v>1239</v>
      </c>
      <c r="D516" s="21" t="s">
        <v>1243</v>
      </c>
      <c r="E516" s="33" t="n">
        <v>45253</v>
      </c>
      <c r="F516" s="21" t="s">
        <v>1185</v>
      </c>
      <c r="G516" s="32" t="n">
        <v>5.8</v>
      </c>
      <c r="H516" s="21" t="s">
        <v>120</v>
      </c>
      <c r="I516" s="33" t="n">
        <v>45289</v>
      </c>
      <c r="J516" s="21" t="str">
        <f aca="false">INDEX(Students!$C$2:$C$601,MATCH(B516,Students!$A$2:$A$601,0))</f>
        <v>Batch 2024</v>
      </c>
      <c r="K516" s="21" t="str">
        <f aca="false">INDEX(Students!$D$2:$D$601,MATCH(B516,Students!$A$2:$A$601,0))</f>
        <v>Data Science &amp; ML</v>
      </c>
      <c r="L516" s="21" t="str">
        <f aca="false">INDEX(Companies!$C$2:$C$31,MATCH(C516,Companies!$A$2:$A$31,0))</f>
        <v>E-commerce</v>
      </c>
      <c r="M516" s="21" t="str">
        <f aca="false">INDEX(Companies!$D$2:$D$31,MATCH(C516,Companies!$A$2:$A$31,0))</f>
        <v>Tier 3</v>
      </c>
      <c r="N516" s="34" t="n">
        <f aca="false">MATCH(F516,Assumptions!$K$4:$K$8,0)</f>
        <v>5</v>
      </c>
      <c r="O516" s="21" t="n">
        <f aca="false">IF(H516="Yes",MONTH(I516),"")</f>
        <v>12</v>
      </c>
      <c r="P516" s="21" t="str">
        <f aca="false">IF(H516="Yes",B516,"")</f>
        <v>S0054</v>
      </c>
    </row>
    <row r="517" customFormat="false" ht="15" hidden="false" customHeight="false" outlineLevel="0" collapsed="false">
      <c r="A517" s="21" t="s">
        <v>1732</v>
      </c>
      <c r="B517" s="21" t="s">
        <v>249</v>
      </c>
      <c r="C517" s="21" t="s">
        <v>1230</v>
      </c>
      <c r="D517" s="21" t="s">
        <v>1194</v>
      </c>
      <c r="E517" s="33" t="n">
        <v>45253</v>
      </c>
      <c r="F517" s="21" t="s">
        <v>1175</v>
      </c>
      <c r="G517" s="32"/>
      <c r="H517" s="21"/>
      <c r="I517" s="33"/>
      <c r="J517" s="21" t="str">
        <f aca="false">INDEX(Students!$C$2:$C$601,MATCH(B517,Students!$A$2:$A$601,0))</f>
        <v>Batch 2024</v>
      </c>
      <c r="K517" s="21" t="str">
        <f aca="false">INDEX(Students!$D$2:$D$601,MATCH(B517,Students!$A$2:$A$601,0))</f>
        <v>Data Science &amp; ML</v>
      </c>
      <c r="L517" s="21" t="str">
        <f aca="false">INDEX(Companies!$C$2:$C$31,MATCH(C517,Companies!$A$2:$A$31,0))</f>
        <v>IT Services</v>
      </c>
      <c r="M517" s="21" t="str">
        <f aca="false">INDEX(Companies!$D$2:$D$31,MATCH(C517,Companies!$A$2:$A$31,0))</f>
        <v>Tier 3</v>
      </c>
      <c r="N517" s="34" t="n">
        <f aca="false">MATCH(F517,Assumptions!$K$4:$K$8,0)</f>
        <v>1</v>
      </c>
      <c r="O517" s="21" t="str">
        <f aca="false">IF(H517="Yes",MONTH(I517),"")</f>
        <v/>
      </c>
      <c r="P517" s="21" t="str">
        <f aca="false">IF(H517="Yes",B517,"")</f>
        <v/>
      </c>
    </row>
    <row r="518" customFormat="false" ht="15" hidden="false" customHeight="false" outlineLevel="0" collapsed="false">
      <c r="A518" s="21" t="s">
        <v>1733</v>
      </c>
      <c r="B518" s="21" t="s">
        <v>452</v>
      </c>
      <c r="C518" s="21" t="s">
        <v>1216</v>
      </c>
      <c r="D518" s="21" t="s">
        <v>1209</v>
      </c>
      <c r="E518" s="33" t="n">
        <v>45253</v>
      </c>
      <c r="F518" s="21" t="s">
        <v>1178</v>
      </c>
      <c r="G518" s="32"/>
      <c r="H518" s="21"/>
      <c r="I518" s="33"/>
      <c r="J518" s="21" t="str">
        <f aca="false">INDEX(Students!$C$2:$C$601,MATCH(B518,Students!$A$2:$A$601,0))</f>
        <v>Batch 2024</v>
      </c>
      <c r="K518" s="21" t="str">
        <f aca="false">INDEX(Students!$D$2:$D$601,MATCH(B518,Students!$A$2:$A$601,0))</f>
        <v>Data Analytics</v>
      </c>
      <c r="L518" s="21" t="str">
        <f aca="false">INDEX(Companies!$C$2:$C$31,MATCH(C518,Companies!$A$2:$A$31,0))</f>
        <v>IT Services</v>
      </c>
      <c r="M518" s="21" t="str">
        <f aca="false">INDEX(Companies!$D$2:$D$31,MATCH(C518,Companies!$A$2:$A$31,0))</f>
        <v>Tier 3</v>
      </c>
      <c r="N518" s="34" t="n">
        <f aca="false">MATCH(F518,Assumptions!$K$4:$K$8,0)</f>
        <v>2</v>
      </c>
      <c r="O518" s="21" t="str">
        <f aca="false">IF(H518="Yes",MONTH(I518),"")</f>
        <v/>
      </c>
      <c r="P518" s="21" t="str">
        <f aca="false">IF(H518="Yes",B518,"")</f>
        <v/>
      </c>
    </row>
    <row r="519" customFormat="false" ht="15" hidden="false" customHeight="false" outlineLevel="0" collapsed="false">
      <c r="A519" s="21" t="s">
        <v>1734</v>
      </c>
      <c r="B519" s="21" t="s">
        <v>141</v>
      </c>
      <c r="C519" s="21" t="s">
        <v>1263</v>
      </c>
      <c r="D519" s="21" t="s">
        <v>1181</v>
      </c>
      <c r="E519" s="33" t="n">
        <v>45253</v>
      </c>
      <c r="F519" s="21" t="s">
        <v>1175</v>
      </c>
      <c r="G519" s="32"/>
      <c r="H519" s="21"/>
      <c r="I519" s="33"/>
      <c r="J519" s="21" t="str">
        <f aca="false">INDEX(Students!$C$2:$C$601,MATCH(B519,Students!$A$2:$A$601,0))</f>
        <v>Batch 2024</v>
      </c>
      <c r="K519" s="21" t="str">
        <f aca="false">INDEX(Students!$D$2:$D$601,MATCH(B519,Students!$A$2:$A$601,0))</f>
        <v>Full Stack Development</v>
      </c>
      <c r="L519" s="21" t="str">
        <f aca="false">INDEX(Companies!$C$2:$C$31,MATCH(C519,Companies!$A$2:$A$31,0))</f>
        <v>Analytics &amp; Consulting</v>
      </c>
      <c r="M519" s="21" t="str">
        <f aca="false">INDEX(Companies!$D$2:$D$31,MATCH(C519,Companies!$A$2:$A$31,0))</f>
        <v>Tier 2</v>
      </c>
      <c r="N519" s="34" t="n">
        <f aca="false">MATCH(F519,Assumptions!$K$4:$K$8,0)</f>
        <v>1</v>
      </c>
      <c r="O519" s="21" t="str">
        <f aca="false">IF(H519="Yes",MONTH(I519),"")</f>
        <v/>
      </c>
      <c r="P519" s="21" t="str">
        <f aca="false">IF(H519="Yes",B519,"")</f>
        <v/>
      </c>
    </row>
    <row r="520" customFormat="false" ht="15" hidden="false" customHeight="false" outlineLevel="0" collapsed="false">
      <c r="A520" s="21" t="s">
        <v>1735</v>
      </c>
      <c r="B520" s="21" t="s">
        <v>159</v>
      </c>
      <c r="C520" s="21" t="s">
        <v>1225</v>
      </c>
      <c r="D520" s="21" t="s">
        <v>1240</v>
      </c>
      <c r="E520" s="33" t="n">
        <v>45253</v>
      </c>
      <c r="F520" s="21" t="s">
        <v>1178</v>
      </c>
      <c r="G520" s="32"/>
      <c r="H520" s="21"/>
      <c r="I520" s="33"/>
      <c r="J520" s="21" t="str">
        <f aca="false">INDEX(Students!$C$2:$C$601,MATCH(B520,Students!$A$2:$A$601,0))</f>
        <v>Batch 2024</v>
      </c>
      <c r="K520" s="21" t="str">
        <f aca="false">INDEX(Students!$D$2:$D$601,MATCH(B520,Students!$A$2:$A$601,0))</f>
        <v>Cybersecurity</v>
      </c>
      <c r="L520" s="21" t="str">
        <f aca="false">INDEX(Companies!$C$2:$C$31,MATCH(C520,Companies!$A$2:$A$31,0))</f>
        <v>EdTech</v>
      </c>
      <c r="M520" s="21" t="str">
        <f aca="false">INDEX(Companies!$D$2:$D$31,MATCH(C520,Companies!$A$2:$A$31,0))</f>
        <v>Tier 2</v>
      </c>
      <c r="N520" s="34" t="n">
        <f aca="false">MATCH(F520,Assumptions!$K$4:$K$8,0)</f>
        <v>2</v>
      </c>
      <c r="O520" s="21" t="str">
        <f aca="false">IF(H520="Yes",MONTH(I520),"")</f>
        <v/>
      </c>
      <c r="P520" s="21" t="str">
        <f aca="false">IF(H520="Yes",B520,"")</f>
        <v/>
      </c>
    </row>
    <row r="521" customFormat="false" ht="15" hidden="false" customHeight="false" outlineLevel="0" collapsed="false">
      <c r="A521" s="21" t="s">
        <v>1736</v>
      </c>
      <c r="B521" s="21" t="s">
        <v>118</v>
      </c>
      <c r="C521" s="21" t="s">
        <v>1298</v>
      </c>
      <c r="D521" s="21" t="s">
        <v>1191</v>
      </c>
      <c r="E521" s="33" t="n">
        <v>45254</v>
      </c>
      <c r="F521" s="21" t="s">
        <v>1185</v>
      </c>
      <c r="G521" s="32" t="n">
        <v>12.8</v>
      </c>
      <c r="H521" s="21" t="s">
        <v>120</v>
      </c>
      <c r="I521" s="33" t="n">
        <v>45294</v>
      </c>
      <c r="J521" s="21" t="str">
        <f aca="false">INDEX(Students!$C$2:$C$601,MATCH(B521,Students!$A$2:$A$601,0))</f>
        <v>Batch 2024</v>
      </c>
      <c r="K521" s="21" t="str">
        <f aca="false">INDEX(Students!$D$2:$D$601,MATCH(B521,Students!$A$2:$A$601,0))</f>
        <v>DSA with Java</v>
      </c>
      <c r="L521" s="21" t="str">
        <f aca="false">INDEX(Companies!$C$2:$C$31,MATCH(C521,Companies!$A$2:$A$31,0))</f>
        <v>Fintech</v>
      </c>
      <c r="M521" s="21" t="str">
        <f aca="false">INDEX(Companies!$D$2:$D$31,MATCH(C521,Companies!$A$2:$A$31,0))</f>
        <v>Tier 2</v>
      </c>
      <c r="N521" s="34" t="n">
        <f aca="false">MATCH(F521,Assumptions!$K$4:$K$8,0)</f>
        <v>5</v>
      </c>
      <c r="O521" s="21" t="n">
        <f aca="false">IF(H521="Yes",MONTH(I521),"")</f>
        <v>1</v>
      </c>
      <c r="P521" s="21" t="str">
        <f aca="false">IF(H521="Yes",B521,"")</f>
        <v>S0004</v>
      </c>
    </row>
    <row r="522" customFormat="false" ht="15" hidden="false" customHeight="false" outlineLevel="0" collapsed="false">
      <c r="A522" s="21" t="s">
        <v>1737</v>
      </c>
      <c r="B522" s="21" t="s">
        <v>141</v>
      </c>
      <c r="C522" s="21" t="s">
        <v>1177</v>
      </c>
      <c r="D522" s="21" t="s">
        <v>1181</v>
      </c>
      <c r="E522" s="33" t="n">
        <v>45254</v>
      </c>
      <c r="F522" s="21" t="s">
        <v>1185</v>
      </c>
      <c r="G522" s="32" t="n">
        <v>5.9</v>
      </c>
      <c r="H522" s="21" t="s">
        <v>113</v>
      </c>
      <c r="I522" s="33" t="n">
        <v>45274</v>
      </c>
      <c r="J522" s="21" t="str">
        <f aca="false">INDEX(Students!$C$2:$C$601,MATCH(B522,Students!$A$2:$A$601,0))</f>
        <v>Batch 2024</v>
      </c>
      <c r="K522" s="21" t="str">
        <f aca="false">INDEX(Students!$D$2:$D$601,MATCH(B522,Students!$A$2:$A$601,0))</f>
        <v>Full Stack Development</v>
      </c>
      <c r="L522" s="21" t="str">
        <f aca="false">INDEX(Companies!$C$2:$C$31,MATCH(C522,Companies!$A$2:$A$31,0))</f>
        <v>IT Services</v>
      </c>
      <c r="M522" s="21" t="str">
        <f aca="false">INDEX(Companies!$D$2:$D$31,MATCH(C522,Companies!$A$2:$A$31,0))</f>
        <v>Tier 3</v>
      </c>
      <c r="N522" s="34" t="n">
        <f aca="false">MATCH(F522,Assumptions!$K$4:$K$8,0)</f>
        <v>5</v>
      </c>
      <c r="O522" s="21" t="str">
        <f aca="false">IF(H522="Yes",MONTH(I522),"")</f>
        <v/>
      </c>
      <c r="P522" s="21" t="str">
        <f aca="false">IF(H522="Yes",B522,"")</f>
        <v/>
      </c>
    </row>
    <row r="523" customFormat="false" ht="15" hidden="false" customHeight="false" outlineLevel="0" collapsed="false">
      <c r="A523" s="21" t="s">
        <v>1738</v>
      </c>
      <c r="B523" s="21" t="s">
        <v>364</v>
      </c>
      <c r="C523" s="21" t="s">
        <v>1208</v>
      </c>
      <c r="D523" s="21" t="s">
        <v>1191</v>
      </c>
      <c r="E523" s="33" t="n">
        <v>45254</v>
      </c>
      <c r="F523" s="21" t="s">
        <v>1175</v>
      </c>
      <c r="G523" s="32"/>
      <c r="H523" s="21"/>
      <c r="I523" s="33"/>
      <c r="J523" s="21" t="str">
        <f aca="false">INDEX(Students!$C$2:$C$601,MATCH(B523,Students!$A$2:$A$601,0))</f>
        <v>Batch 2024</v>
      </c>
      <c r="K523" s="21" t="str">
        <f aca="false">INDEX(Students!$D$2:$D$601,MATCH(B523,Students!$A$2:$A$601,0))</f>
        <v>DSA with Java</v>
      </c>
      <c r="L523" s="21" t="str">
        <f aca="false">INDEX(Companies!$C$2:$C$31,MATCH(C523,Companies!$A$2:$A$31,0))</f>
        <v>E-commerce</v>
      </c>
      <c r="M523" s="21" t="str">
        <f aca="false">INDEX(Companies!$D$2:$D$31,MATCH(C523,Companies!$A$2:$A$31,0))</f>
        <v>Tier 1</v>
      </c>
      <c r="N523" s="34" t="n">
        <f aca="false">MATCH(F523,Assumptions!$K$4:$K$8,0)</f>
        <v>1</v>
      </c>
      <c r="O523" s="21" t="str">
        <f aca="false">IF(H523="Yes",MONTH(I523),"")</f>
        <v/>
      </c>
      <c r="P523" s="21" t="str">
        <f aca="false">IF(H523="Yes",B523,"")</f>
        <v/>
      </c>
    </row>
    <row r="524" customFormat="false" ht="15" hidden="false" customHeight="false" outlineLevel="0" collapsed="false">
      <c r="A524" s="21" t="s">
        <v>1739</v>
      </c>
      <c r="B524" s="21" t="s">
        <v>251</v>
      </c>
      <c r="C524" s="21" t="s">
        <v>1230</v>
      </c>
      <c r="D524" s="21" t="s">
        <v>1226</v>
      </c>
      <c r="E524" s="33" t="n">
        <v>45255</v>
      </c>
      <c r="F524" s="21" t="s">
        <v>1175</v>
      </c>
      <c r="G524" s="32"/>
      <c r="H524" s="21"/>
      <c r="I524" s="33"/>
      <c r="J524" s="21" t="str">
        <f aca="false">INDEX(Students!$C$2:$C$601,MATCH(B524,Students!$A$2:$A$601,0))</f>
        <v>Batch 2024</v>
      </c>
      <c r="K524" s="21" t="str">
        <f aca="false">INDEX(Students!$D$2:$D$601,MATCH(B524,Students!$A$2:$A$601,0))</f>
        <v>Cybersecurity</v>
      </c>
      <c r="L524" s="21" t="str">
        <f aca="false">INDEX(Companies!$C$2:$C$31,MATCH(C524,Companies!$A$2:$A$31,0))</f>
        <v>IT Services</v>
      </c>
      <c r="M524" s="21" t="str">
        <f aca="false">INDEX(Companies!$D$2:$D$31,MATCH(C524,Companies!$A$2:$A$31,0))</f>
        <v>Tier 3</v>
      </c>
      <c r="N524" s="34" t="n">
        <f aca="false">MATCH(F524,Assumptions!$K$4:$K$8,0)</f>
        <v>1</v>
      </c>
      <c r="O524" s="21" t="str">
        <f aca="false">IF(H524="Yes",MONTH(I524),"")</f>
        <v/>
      </c>
      <c r="P524" s="21" t="str">
        <f aca="false">IF(H524="Yes",B524,"")</f>
        <v/>
      </c>
    </row>
    <row r="525" customFormat="false" ht="15" hidden="false" customHeight="false" outlineLevel="0" collapsed="false">
      <c r="A525" s="21" t="s">
        <v>1740</v>
      </c>
      <c r="B525" s="21" t="s">
        <v>441</v>
      </c>
      <c r="C525" s="21" t="s">
        <v>1234</v>
      </c>
      <c r="D525" s="21" t="s">
        <v>1194</v>
      </c>
      <c r="E525" s="33" t="n">
        <v>45255</v>
      </c>
      <c r="F525" s="21" t="s">
        <v>1197</v>
      </c>
      <c r="G525" s="32"/>
      <c r="H525" s="21"/>
      <c r="I525" s="33"/>
      <c r="J525" s="21" t="str">
        <f aca="false">INDEX(Students!$C$2:$C$601,MATCH(B525,Students!$A$2:$A$601,0))</f>
        <v>Batch 2024</v>
      </c>
      <c r="K525" s="21" t="str">
        <f aca="false">INDEX(Students!$D$2:$D$601,MATCH(B525,Students!$A$2:$A$601,0))</f>
        <v>Data Science &amp; ML</v>
      </c>
      <c r="L525" s="21" t="str">
        <f aca="false">INDEX(Companies!$C$2:$C$31,MATCH(C525,Companies!$A$2:$A$31,0))</f>
        <v>EdTech</v>
      </c>
      <c r="M525" s="21" t="str">
        <f aca="false">INDEX(Companies!$D$2:$D$31,MATCH(C525,Companies!$A$2:$A$31,0))</f>
        <v>Tier 3</v>
      </c>
      <c r="N525" s="34" t="n">
        <f aca="false">MATCH(F525,Assumptions!$K$4:$K$8,0)</f>
        <v>3</v>
      </c>
      <c r="O525" s="21" t="str">
        <f aca="false">IF(H525="Yes",MONTH(I525),"")</f>
        <v/>
      </c>
      <c r="P525" s="21" t="str">
        <f aca="false">IF(H525="Yes",B525,"")</f>
        <v/>
      </c>
    </row>
    <row r="526" customFormat="false" ht="15" hidden="false" customHeight="false" outlineLevel="0" collapsed="false">
      <c r="A526" s="21" t="s">
        <v>1741</v>
      </c>
      <c r="B526" s="21" t="s">
        <v>145</v>
      </c>
      <c r="C526" s="21" t="s">
        <v>1190</v>
      </c>
      <c r="D526" s="21" t="s">
        <v>1240</v>
      </c>
      <c r="E526" s="33" t="n">
        <v>45255</v>
      </c>
      <c r="F526" s="21" t="s">
        <v>1175</v>
      </c>
      <c r="G526" s="32"/>
      <c r="H526" s="21"/>
      <c r="I526" s="33"/>
      <c r="J526" s="21" t="str">
        <f aca="false">INDEX(Students!$C$2:$C$601,MATCH(B526,Students!$A$2:$A$601,0))</f>
        <v>Batch 2024</v>
      </c>
      <c r="K526" s="21" t="str">
        <f aca="false">INDEX(Students!$D$2:$D$601,MATCH(B526,Students!$A$2:$A$601,0))</f>
        <v>Cybersecurity</v>
      </c>
      <c r="L526" s="21" t="str">
        <f aca="false">INDEX(Companies!$C$2:$C$31,MATCH(C526,Companies!$A$2:$A$31,0))</f>
        <v>Analytics &amp; Consulting</v>
      </c>
      <c r="M526" s="21" t="str">
        <f aca="false">INDEX(Companies!$D$2:$D$31,MATCH(C526,Companies!$A$2:$A$31,0))</f>
        <v>Tier 1</v>
      </c>
      <c r="N526" s="34" t="n">
        <f aca="false">MATCH(F526,Assumptions!$K$4:$K$8,0)</f>
        <v>1</v>
      </c>
      <c r="O526" s="21" t="str">
        <f aca="false">IF(H526="Yes",MONTH(I526),"")</f>
        <v/>
      </c>
      <c r="P526" s="21" t="str">
        <f aca="false">IF(H526="Yes",B526,"")</f>
        <v/>
      </c>
    </row>
    <row r="527" customFormat="false" ht="15" hidden="false" customHeight="false" outlineLevel="0" collapsed="false">
      <c r="A527" s="21" t="s">
        <v>1742</v>
      </c>
      <c r="B527" s="21" t="s">
        <v>376</v>
      </c>
      <c r="C527" s="21" t="s">
        <v>1222</v>
      </c>
      <c r="D527" s="21" t="s">
        <v>1188</v>
      </c>
      <c r="E527" s="33" t="n">
        <v>45255</v>
      </c>
      <c r="F527" s="21" t="s">
        <v>1178</v>
      </c>
      <c r="G527" s="32"/>
      <c r="H527" s="21"/>
      <c r="I527" s="33"/>
      <c r="J527" s="21" t="str">
        <f aca="false">INDEX(Students!$C$2:$C$601,MATCH(B527,Students!$A$2:$A$601,0))</f>
        <v>Batch 2024</v>
      </c>
      <c r="K527" s="21" t="str">
        <f aca="false">INDEX(Students!$D$2:$D$601,MATCH(B527,Students!$A$2:$A$601,0))</f>
        <v>Data Analytics</v>
      </c>
      <c r="L527" s="21" t="str">
        <f aca="false">INDEX(Companies!$C$2:$C$31,MATCH(C527,Companies!$A$2:$A$31,0))</f>
        <v>Product</v>
      </c>
      <c r="M527" s="21" t="str">
        <f aca="false">INDEX(Companies!$D$2:$D$31,MATCH(C527,Companies!$A$2:$A$31,0))</f>
        <v>Tier 2</v>
      </c>
      <c r="N527" s="34" t="n">
        <f aca="false">MATCH(F527,Assumptions!$K$4:$K$8,0)</f>
        <v>2</v>
      </c>
      <c r="O527" s="21" t="str">
        <f aca="false">IF(H527="Yes",MONTH(I527),"")</f>
        <v/>
      </c>
      <c r="P527" s="21" t="str">
        <f aca="false">IF(H527="Yes",B527,"")</f>
        <v/>
      </c>
    </row>
    <row r="528" customFormat="false" ht="15" hidden="false" customHeight="false" outlineLevel="0" collapsed="false">
      <c r="A528" s="21" t="s">
        <v>1743</v>
      </c>
      <c r="B528" s="21" t="s">
        <v>241</v>
      </c>
      <c r="C528" s="21" t="s">
        <v>1290</v>
      </c>
      <c r="D528" s="21" t="s">
        <v>1243</v>
      </c>
      <c r="E528" s="33" t="n">
        <v>45255</v>
      </c>
      <c r="F528" s="21" t="s">
        <v>1185</v>
      </c>
      <c r="G528" s="32" t="n">
        <v>8.1</v>
      </c>
      <c r="H528" s="21" t="s">
        <v>120</v>
      </c>
      <c r="I528" s="33" t="n">
        <v>45280</v>
      </c>
      <c r="J528" s="21" t="str">
        <f aca="false">INDEX(Students!$C$2:$C$601,MATCH(B528,Students!$A$2:$A$601,0))</f>
        <v>Batch 2024</v>
      </c>
      <c r="K528" s="21" t="str">
        <f aca="false">INDEX(Students!$D$2:$D$601,MATCH(B528,Students!$A$2:$A$601,0))</f>
        <v>Data Science &amp; ML</v>
      </c>
      <c r="L528" s="21" t="str">
        <f aca="false">INDEX(Companies!$C$2:$C$31,MATCH(C528,Companies!$A$2:$A$31,0))</f>
        <v>Fintech</v>
      </c>
      <c r="M528" s="21" t="str">
        <f aca="false">INDEX(Companies!$D$2:$D$31,MATCH(C528,Companies!$A$2:$A$31,0))</f>
        <v>Tier 2</v>
      </c>
      <c r="N528" s="34" t="n">
        <f aca="false">MATCH(F528,Assumptions!$K$4:$K$8,0)</f>
        <v>5</v>
      </c>
      <c r="O528" s="21" t="n">
        <f aca="false">IF(H528="Yes",MONTH(I528),"")</f>
        <v>12</v>
      </c>
      <c r="P528" s="21" t="str">
        <f aca="false">IF(H528="Yes",B528,"")</f>
        <v>S0066</v>
      </c>
    </row>
    <row r="529" customFormat="false" ht="15" hidden="false" customHeight="false" outlineLevel="0" collapsed="false">
      <c r="A529" s="21" t="s">
        <v>1744</v>
      </c>
      <c r="B529" s="21" t="s">
        <v>443</v>
      </c>
      <c r="C529" s="21" t="s">
        <v>1201</v>
      </c>
      <c r="D529" s="21" t="s">
        <v>1174</v>
      </c>
      <c r="E529" s="33" t="n">
        <v>45255</v>
      </c>
      <c r="F529" s="21" t="s">
        <v>1185</v>
      </c>
      <c r="G529" s="32" t="n">
        <v>7.1</v>
      </c>
      <c r="H529" s="21" t="s">
        <v>113</v>
      </c>
      <c r="I529" s="33" t="n">
        <v>45296</v>
      </c>
      <c r="J529" s="21" t="str">
        <f aca="false">INDEX(Students!$C$2:$C$601,MATCH(B529,Students!$A$2:$A$601,0))</f>
        <v>Batch 2024</v>
      </c>
      <c r="K529" s="21" t="str">
        <f aca="false">INDEX(Students!$D$2:$D$601,MATCH(B529,Students!$A$2:$A$601,0))</f>
        <v>Full Stack Development</v>
      </c>
      <c r="L529" s="21" t="str">
        <f aca="false">INDEX(Companies!$C$2:$C$31,MATCH(C529,Companies!$A$2:$A$31,0))</f>
        <v>IT Services</v>
      </c>
      <c r="M529" s="21" t="str">
        <f aca="false">INDEX(Companies!$D$2:$D$31,MATCH(C529,Companies!$A$2:$A$31,0))</f>
        <v>Tier 3</v>
      </c>
      <c r="N529" s="34" t="n">
        <f aca="false">MATCH(F529,Assumptions!$K$4:$K$8,0)</f>
        <v>5</v>
      </c>
      <c r="O529" s="21" t="str">
        <f aca="false">IF(H529="Yes",MONTH(I529),"")</f>
        <v/>
      </c>
      <c r="P529" s="21" t="str">
        <f aca="false">IF(H529="Yes",B529,"")</f>
        <v/>
      </c>
    </row>
    <row r="530" customFormat="false" ht="15" hidden="false" customHeight="false" outlineLevel="0" collapsed="false">
      <c r="A530" s="21" t="s">
        <v>1745</v>
      </c>
      <c r="B530" s="21" t="s">
        <v>354</v>
      </c>
      <c r="C530" s="21" t="s">
        <v>1199</v>
      </c>
      <c r="D530" s="21" t="s">
        <v>1194</v>
      </c>
      <c r="E530" s="33" t="n">
        <v>45256</v>
      </c>
      <c r="F530" s="21" t="s">
        <v>1175</v>
      </c>
      <c r="G530" s="32"/>
      <c r="H530" s="21"/>
      <c r="I530" s="33"/>
      <c r="J530" s="21" t="str">
        <f aca="false">INDEX(Students!$C$2:$C$601,MATCH(B530,Students!$A$2:$A$601,0))</f>
        <v>Batch 2024</v>
      </c>
      <c r="K530" s="21" t="str">
        <f aca="false">INDEX(Students!$D$2:$D$601,MATCH(B530,Students!$A$2:$A$601,0))</f>
        <v>Data Science &amp; ML</v>
      </c>
      <c r="L530" s="21" t="str">
        <f aca="false">INDEX(Companies!$C$2:$C$31,MATCH(C530,Companies!$A$2:$A$31,0))</f>
        <v>E-commerce</v>
      </c>
      <c r="M530" s="21" t="str">
        <f aca="false">INDEX(Companies!$D$2:$D$31,MATCH(C530,Companies!$A$2:$A$31,0))</f>
        <v>Tier 2</v>
      </c>
      <c r="N530" s="34" t="n">
        <f aca="false">MATCH(F530,Assumptions!$K$4:$K$8,0)</f>
        <v>1</v>
      </c>
      <c r="O530" s="21" t="str">
        <f aca="false">IF(H530="Yes",MONTH(I530),"")</f>
        <v/>
      </c>
      <c r="P530" s="21" t="str">
        <f aca="false">IF(H530="Yes",B530,"")</f>
        <v/>
      </c>
    </row>
    <row r="531" customFormat="false" ht="15" hidden="false" customHeight="false" outlineLevel="0" collapsed="false">
      <c r="A531" s="21" t="s">
        <v>1746</v>
      </c>
      <c r="B531" s="21" t="s">
        <v>215</v>
      </c>
      <c r="C531" s="21" t="s">
        <v>1203</v>
      </c>
      <c r="D531" s="21" t="s">
        <v>1243</v>
      </c>
      <c r="E531" s="33" t="n">
        <v>45256</v>
      </c>
      <c r="F531" s="21" t="s">
        <v>1175</v>
      </c>
      <c r="G531" s="32"/>
      <c r="H531" s="21"/>
      <c r="I531" s="33"/>
      <c r="J531" s="21" t="str">
        <f aca="false">INDEX(Students!$C$2:$C$601,MATCH(B531,Students!$A$2:$A$601,0))</f>
        <v>Batch 2024</v>
      </c>
      <c r="K531" s="21" t="str">
        <f aca="false">INDEX(Students!$D$2:$D$601,MATCH(B531,Students!$A$2:$A$601,0))</f>
        <v>Data Science &amp; ML</v>
      </c>
      <c r="L531" s="21" t="str">
        <f aca="false">INDEX(Companies!$C$2:$C$31,MATCH(C531,Companies!$A$2:$A$31,0))</f>
        <v>Healthtech</v>
      </c>
      <c r="M531" s="21" t="str">
        <f aca="false">INDEX(Companies!$D$2:$D$31,MATCH(C531,Companies!$A$2:$A$31,0))</f>
        <v>Tier 2</v>
      </c>
      <c r="N531" s="34" t="n">
        <f aca="false">MATCH(F531,Assumptions!$K$4:$K$8,0)</f>
        <v>1</v>
      </c>
      <c r="O531" s="21" t="str">
        <f aca="false">IF(H531="Yes",MONTH(I531),"")</f>
        <v/>
      </c>
      <c r="P531" s="21" t="str">
        <f aca="false">IF(H531="Yes",B531,"")</f>
        <v/>
      </c>
    </row>
    <row r="532" customFormat="false" ht="15" hidden="false" customHeight="false" outlineLevel="0" collapsed="false">
      <c r="A532" s="21" t="s">
        <v>1747</v>
      </c>
      <c r="B532" s="21" t="s">
        <v>410</v>
      </c>
      <c r="C532" s="21" t="s">
        <v>1196</v>
      </c>
      <c r="D532" s="21" t="s">
        <v>1181</v>
      </c>
      <c r="E532" s="33" t="n">
        <v>45256</v>
      </c>
      <c r="F532" s="21" t="s">
        <v>1175</v>
      </c>
      <c r="G532" s="32"/>
      <c r="H532" s="21"/>
      <c r="I532" s="33"/>
      <c r="J532" s="21" t="str">
        <f aca="false">INDEX(Students!$C$2:$C$601,MATCH(B532,Students!$A$2:$A$601,0))</f>
        <v>Batch 2024</v>
      </c>
      <c r="K532" s="21" t="str">
        <f aca="false">INDEX(Students!$D$2:$D$601,MATCH(B532,Students!$A$2:$A$601,0))</f>
        <v>Full Stack Development</v>
      </c>
      <c r="L532" s="21" t="str">
        <f aca="false">INDEX(Companies!$C$2:$C$31,MATCH(C532,Companies!$A$2:$A$31,0))</f>
        <v>IT Services</v>
      </c>
      <c r="M532" s="21" t="str">
        <f aca="false">INDEX(Companies!$D$2:$D$31,MATCH(C532,Companies!$A$2:$A$31,0))</f>
        <v>Tier 3</v>
      </c>
      <c r="N532" s="34" t="n">
        <f aca="false">MATCH(F532,Assumptions!$K$4:$K$8,0)</f>
        <v>1</v>
      </c>
      <c r="O532" s="21" t="str">
        <f aca="false">IF(H532="Yes",MONTH(I532),"")</f>
        <v/>
      </c>
      <c r="P532" s="21" t="str">
        <f aca="false">IF(H532="Yes",B532,"")</f>
        <v/>
      </c>
    </row>
    <row r="533" customFormat="false" ht="15" hidden="false" customHeight="false" outlineLevel="0" collapsed="false">
      <c r="A533" s="21" t="s">
        <v>1748</v>
      </c>
      <c r="B533" s="21" t="s">
        <v>408</v>
      </c>
      <c r="C533" s="21" t="s">
        <v>1309</v>
      </c>
      <c r="D533" s="21" t="s">
        <v>1194</v>
      </c>
      <c r="E533" s="33" t="n">
        <v>45256</v>
      </c>
      <c r="F533" s="21" t="s">
        <v>1185</v>
      </c>
      <c r="G533" s="32" t="n">
        <v>9.6</v>
      </c>
      <c r="H533" s="21" t="s">
        <v>120</v>
      </c>
      <c r="I533" s="33" t="n">
        <v>45308</v>
      </c>
      <c r="J533" s="21" t="str">
        <f aca="false">INDEX(Students!$C$2:$C$601,MATCH(B533,Students!$A$2:$A$601,0))</f>
        <v>Batch 2024</v>
      </c>
      <c r="K533" s="21" t="str">
        <f aca="false">INDEX(Students!$D$2:$D$601,MATCH(B533,Students!$A$2:$A$601,0))</f>
        <v>Data Science &amp; ML</v>
      </c>
      <c r="L533" s="21" t="str">
        <f aca="false">INDEX(Companies!$C$2:$C$31,MATCH(C533,Companies!$A$2:$A$31,0))</f>
        <v>EdTech</v>
      </c>
      <c r="M533" s="21" t="str">
        <f aca="false">INDEX(Companies!$D$2:$D$31,MATCH(C533,Companies!$A$2:$A$31,0))</f>
        <v>Tier 2</v>
      </c>
      <c r="N533" s="34" t="n">
        <f aca="false">MATCH(F533,Assumptions!$K$4:$K$8,0)</f>
        <v>5</v>
      </c>
      <c r="O533" s="21" t="n">
        <f aca="false">IF(H533="Yes",MONTH(I533),"")</f>
        <v>1</v>
      </c>
      <c r="P533" s="21" t="str">
        <f aca="false">IF(H533="Yes",B533,"")</f>
        <v>S0154</v>
      </c>
    </row>
    <row r="534" customFormat="false" ht="15" hidden="false" customHeight="false" outlineLevel="0" collapsed="false">
      <c r="A534" s="21" t="s">
        <v>1749</v>
      </c>
      <c r="B534" s="21" t="s">
        <v>344</v>
      </c>
      <c r="C534" s="21" t="s">
        <v>1290</v>
      </c>
      <c r="D534" s="21" t="s">
        <v>1181</v>
      </c>
      <c r="E534" s="33" t="n">
        <v>45257</v>
      </c>
      <c r="F534" s="21" t="s">
        <v>1175</v>
      </c>
      <c r="G534" s="32"/>
      <c r="H534" s="21"/>
      <c r="I534" s="33"/>
      <c r="J534" s="21" t="str">
        <f aca="false">INDEX(Students!$C$2:$C$601,MATCH(B534,Students!$A$2:$A$601,0))</f>
        <v>Batch 2024</v>
      </c>
      <c r="K534" s="21" t="str">
        <f aca="false">INDEX(Students!$D$2:$D$601,MATCH(B534,Students!$A$2:$A$601,0))</f>
        <v>Full Stack Development</v>
      </c>
      <c r="L534" s="21" t="str">
        <f aca="false">INDEX(Companies!$C$2:$C$31,MATCH(C534,Companies!$A$2:$A$31,0))</f>
        <v>Fintech</v>
      </c>
      <c r="M534" s="21" t="str">
        <f aca="false">INDEX(Companies!$D$2:$D$31,MATCH(C534,Companies!$A$2:$A$31,0))</f>
        <v>Tier 2</v>
      </c>
      <c r="N534" s="34" t="n">
        <f aca="false">MATCH(F534,Assumptions!$K$4:$K$8,0)</f>
        <v>1</v>
      </c>
      <c r="O534" s="21" t="str">
        <f aca="false">IF(H534="Yes",MONTH(I534),"")</f>
        <v/>
      </c>
      <c r="P534" s="21" t="str">
        <f aca="false">IF(H534="Yes",B534,"")</f>
        <v/>
      </c>
    </row>
    <row r="535" customFormat="false" ht="15" hidden="false" customHeight="false" outlineLevel="0" collapsed="false">
      <c r="A535" s="21" t="s">
        <v>1750</v>
      </c>
      <c r="B535" s="21" t="s">
        <v>341</v>
      </c>
      <c r="C535" s="21" t="s">
        <v>1225</v>
      </c>
      <c r="D535" s="21" t="s">
        <v>1209</v>
      </c>
      <c r="E535" s="33" t="n">
        <v>45257</v>
      </c>
      <c r="F535" s="21" t="s">
        <v>1175</v>
      </c>
      <c r="G535" s="32"/>
      <c r="H535" s="21"/>
      <c r="I535" s="33"/>
      <c r="J535" s="21" t="str">
        <f aca="false">INDEX(Students!$C$2:$C$601,MATCH(B535,Students!$A$2:$A$601,0))</f>
        <v>Batch 2024</v>
      </c>
      <c r="K535" s="21" t="str">
        <f aca="false">INDEX(Students!$D$2:$D$601,MATCH(B535,Students!$A$2:$A$601,0))</f>
        <v>Data Analytics</v>
      </c>
      <c r="L535" s="21" t="str">
        <f aca="false">INDEX(Companies!$C$2:$C$31,MATCH(C535,Companies!$A$2:$A$31,0))</f>
        <v>EdTech</v>
      </c>
      <c r="M535" s="21" t="str">
        <f aca="false">INDEX(Companies!$D$2:$D$31,MATCH(C535,Companies!$A$2:$A$31,0))</f>
        <v>Tier 2</v>
      </c>
      <c r="N535" s="34" t="n">
        <f aca="false">MATCH(F535,Assumptions!$K$4:$K$8,0)</f>
        <v>1</v>
      </c>
      <c r="O535" s="21" t="str">
        <f aca="false">IF(H535="Yes",MONTH(I535),"")</f>
        <v/>
      </c>
      <c r="P535" s="21" t="str">
        <f aca="false">IF(H535="Yes",B535,"")</f>
        <v/>
      </c>
    </row>
    <row r="536" customFormat="false" ht="15" hidden="false" customHeight="false" outlineLevel="0" collapsed="false">
      <c r="A536" s="21" t="s">
        <v>1751</v>
      </c>
      <c r="B536" s="21" t="s">
        <v>185</v>
      </c>
      <c r="C536" s="21" t="s">
        <v>1228</v>
      </c>
      <c r="D536" s="21" t="s">
        <v>1209</v>
      </c>
      <c r="E536" s="33" t="n">
        <v>45257</v>
      </c>
      <c r="F536" s="21" t="s">
        <v>1185</v>
      </c>
      <c r="G536" s="32" t="n">
        <v>23.7</v>
      </c>
      <c r="H536" s="21" t="s">
        <v>120</v>
      </c>
      <c r="I536" s="33" t="n">
        <v>45287</v>
      </c>
      <c r="J536" s="21" t="str">
        <f aca="false">INDEX(Students!$C$2:$C$601,MATCH(B536,Students!$A$2:$A$601,0))</f>
        <v>Batch 2024</v>
      </c>
      <c r="K536" s="21" t="str">
        <f aca="false">INDEX(Students!$D$2:$D$601,MATCH(B536,Students!$A$2:$A$601,0))</f>
        <v>Data Analytics</v>
      </c>
      <c r="L536" s="21" t="str">
        <f aca="false">INDEX(Companies!$C$2:$C$31,MATCH(C536,Companies!$A$2:$A$31,0))</f>
        <v>Fintech</v>
      </c>
      <c r="M536" s="21" t="str">
        <f aca="false">INDEX(Companies!$D$2:$D$31,MATCH(C536,Companies!$A$2:$A$31,0))</f>
        <v>Tier 1</v>
      </c>
      <c r="N536" s="34" t="n">
        <f aca="false">MATCH(F536,Assumptions!$K$4:$K$8,0)</f>
        <v>5</v>
      </c>
      <c r="O536" s="21" t="n">
        <f aca="false">IF(H536="Yes",MONTH(I536),"")</f>
        <v>12</v>
      </c>
      <c r="P536" s="21" t="str">
        <f aca="false">IF(H536="Yes",B536,"")</f>
        <v>S0037</v>
      </c>
    </row>
    <row r="537" customFormat="false" ht="15" hidden="false" customHeight="false" outlineLevel="0" collapsed="false">
      <c r="A537" s="21" t="s">
        <v>1752</v>
      </c>
      <c r="B537" s="21" t="s">
        <v>235</v>
      </c>
      <c r="C537" s="21" t="s">
        <v>1190</v>
      </c>
      <c r="D537" s="21" t="s">
        <v>1243</v>
      </c>
      <c r="E537" s="33" t="n">
        <v>45257</v>
      </c>
      <c r="F537" s="21" t="s">
        <v>1175</v>
      </c>
      <c r="G537" s="32"/>
      <c r="H537" s="21"/>
      <c r="I537" s="33"/>
      <c r="J537" s="21" t="str">
        <f aca="false">INDEX(Students!$C$2:$C$601,MATCH(B537,Students!$A$2:$A$601,0))</f>
        <v>Batch 2024</v>
      </c>
      <c r="K537" s="21" t="str">
        <f aca="false">INDEX(Students!$D$2:$D$601,MATCH(B537,Students!$A$2:$A$601,0))</f>
        <v>Data Science &amp; ML</v>
      </c>
      <c r="L537" s="21" t="str">
        <f aca="false">INDEX(Companies!$C$2:$C$31,MATCH(C537,Companies!$A$2:$A$31,0))</f>
        <v>Analytics &amp; Consulting</v>
      </c>
      <c r="M537" s="21" t="str">
        <f aca="false">INDEX(Companies!$D$2:$D$31,MATCH(C537,Companies!$A$2:$A$31,0))</f>
        <v>Tier 1</v>
      </c>
      <c r="N537" s="34" t="n">
        <f aca="false">MATCH(F537,Assumptions!$K$4:$K$8,0)</f>
        <v>1</v>
      </c>
      <c r="O537" s="21" t="str">
        <f aca="false">IF(H537="Yes",MONTH(I537),"")</f>
        <v/>
      </c>
      <c r="P537" s="21" t="str">
        <f aca="false">IF(H537="Yes",B537,"")</f>
        <v/>
      </c>
    </row>
    <row r="538" customFormat="false" ht="15" hidden="false" customHeight="false" outlineLevel="0" collapsed="false">
      <c r="A538" s="21" t="s">
        <v>1753</v>
      </c>
      <c r="B538" s="21" t="s">
        <v>388</v>
      </c>
      <c r="C538" s="21" t="s">
        <v>1266</v>
      </c>
      <c r="D538" s="21" t="s">
        <v>1184</v>
      </c>
      <c r="E538" s="33" t="n">
        <v>45257</v>
      </c>
      <c r="F538" s="21" t="s">
        <v>1175</v>
      </c>
      <c r="G538" s="32"/>
      <c r="H538" s="21"/>
      <c r="I538" s="33"/>
      <c r="J538" s="21" t="str">
        <f aca="false">INDEX(Students!$C$2:$C$601,MATCH(B538,Students!$A$2:$A$601,0))</f>
        <v>Batch 2024</v>
      </c>
      <c r="K538" s="21" t="str">
        <f aca="false">INDEX(Students!$D$2:$D$601,MATCH(B538,Students!$A$2:$A$601,0))</f>
        <v>DSA with Java</v>
      </c>
      <c r="L538" s="21" t="str">
        <f aca="false">INDEX(Companies!$C$2:$C$31,MATCH(C538,Companies!$A$2:$A$31,0))</f>
        <v>IT Services</v>
      </c>
      <c r="M538" s="21" t="str">
        <f aca="false">INDEX(Companies!$D$2:$D$31,MATCH(C538,Companies!$A$2:$A$31,0))</f>
        <v>Tier 3</v>
      </c>
      <c r="N538" s="34" t="n">
        <f aca="false">MATCH(F538,Assumptions!$K$4:$K$8,0)</f>
        <v>1</v>
      </c>
      <c r="O538" s="21" t="str">
        <f aca="false">IF(H538="Yes",MONTH(I538),"")</f>
        <v/>
      </c>
      <c r="P538" s="21" t="str">
        <f aca="false">IF(H538="Yes",B538,"")</f>
        <v/>
      </c>
    </row>
    <row r="539" customFormat="false" ht="15" hidden="false" customHeight="false" outlineLevel="0" collapsed="false">
      <c r="A539" s="21" t="s">
        <v>1754</v>
      </c>
      <c r="B539" s="21" t="s">
        <v>390</v>
      </c>
      <c r="C539" s="21" t="s">
        <v>1222</v>
      </c>
      <c r="D539" s="21" t="s">
        <v>1184</v>
      </c>
      <c r="E539" s="33" t="n">
        <v>45258</v>
      </c>
      <c r="F539" s="21" t="s">
        <v>1197</v>
      </c>
      <c r="G539" s="32"/>
      <c r="H539" s="21"/>
      <c r="I539" s="33"/>
      <c r="J539" s="21" t="str">
        <f aca="false">INDEX(Students!$C$2:$C$601,MATCH(B539,Students!$A$2:$A$601,0))</f>
        <v>Batch 2024</v>
      </c>
      <c r="K539" s="21" t="str">
        <f aca="false">INDEX(Students!$D$2:$D$601,MATCH(B539,Students!$A$2:$A$601,0))</f>
        <v>DSA with Java</v>
      </c>
      <c r="L539" s="21" t="str">
        <f aca="false">INDEX(Companies!$C$2:$C$31,MATCH(C539,Companies!$A$2:$A$31,0))</f>
        <v>Product</v>
      </c>
      <c r="M539" s="21" t="str">
        <f aca="false">INDEX(Companies!$D$2:$D$31,MATCH(C539,Companies!$A$2:$A$31,0))</f>
        <v>Tier 2</v>
      </c>
      <c r="N539" s="34" t="n">
        <f aca="false">MATCH(F539,Assumptions!$K$4:$K$8,0)</f>
        <v>3</v>
      </c>
      <c r="O539" s="21" t="str">
        <f aca="false">IF(H539="Yes",MONTH(I539),"")</f>
        <v/>
      </c>
      <c r="P539" s="21" t="str">
        <f aca="false">IF(H539="Yes",B539,"")</f>
        <v/>
      </c>
    </row>
    <row r="540" customFormat="false" ht="15" hidden="false" customHeight="false" outlineLevel="0" collapsed="false">
      <c r="A540" s="21" t="s">
        <v>1755</v>
      </c>
      <c r="B540" s="21" t="s">
        <v>368</v>
      </c>
      <c r="C540" s="21" t="s">
        <v>1203</v>
      </c>
      <c r="D540" s="21" t="s">
        <v>1188</v>
      </c>
      <c r="E540" s="33" t="n">
        <v>45258</v>
      </c>
      <c r="F540" s="21" t="s">
        <v>1178</v>
      </c>
      <c r="G540" s="32"/>
      <c r="H540" s="21"/>
      <c r="I540" s="33"/>
      <c r="J540" s="21" t="str">
        <f aca="false">INDEX(Students!$C$2:$C$601,MATCH(B540,Students!$A$2:$A$601,0))</f>
        <v>Batch 2024</v>
      </c>
      <c r="K540" s="21" t="str">
        <f aca="false">INDEX(Students!$D$2:$D$601,MATCH(B540,Students!$A$2:$A$601,0))</f>
        <v>Data Analytics</v>
      </c>
      <c r="L540" s="21" t="str">
        <f aca="false">INDEX(Companies!$C$2:$C$31,MATCH(C540,Companies!$A$2:$A$31,0))</f>
        <v>Healthtech</v>
      </c>
      <c r="M540" s="21" t="str">
        <f aca="false">INDEX(Companies!$D$2:$D$31,MATCH(C540,Companies!$A$2:$A$31,0))</f>
        <v>Tier 2</v>
      </c>
      <c r="N540" s="34" t="n">
        <f aca="false">MATCH(F540,Assumptions!$K$4:$K$8,0)</f>
        <v>2</v>
      </c>
      <c r="O540" s="21" t="str">
        <f aca="false">IF(H540="Yes",MONTH(I540),"")</f>
        <v/>
      </c>
      <c r="P540" s="21" t="str">
        <f aca="false">IF(H540="Yes",B540,"")</f>
        <v/>
      </c>
    </row>
    <row r="541" customFormat="false" ht="15" hidden="false" customHeight="false" outlineLevel="0" collapsed="false">
      <c r="A541" s="21" t="s">
        <v>1756</v>
      </c>
      <c r="B541" s="21" t="s">
        <v>203</v>
      </c>
      <c r="C541" s="21" t="s">
        <v>1173</v>
      </c>
      <c r="D541" s="21" t="s">
        <v>1184</v>
      </c>
      <c r="E541" s="33" t="n">
        <v>45259</v>
      </c>
      <c r="F541" s="21" t="s">
        <v>1197</v>
      </c>
      <c r="G541" s="32"/>
      <c r="H541" s="21"/>
      <c r="I541" s="33"/>
      <c r="J541" s="21" t="str">
        <f aca="false">INDEX(Students!$C$2:$C$601,MATCH(B541,Students!$A$2:$A$601,0))</f>
        <v>Batch 2024</v>
      </c>
      <c r="K541" s="21" t="str">
        <f aca="false">INDEX(Students!$D$2:$D$601,MATCH(B541,Students!$A$2:$A$601,0))</f>
        <v>DSA with Java</v>
      </c>
      <c r="L541" s="21" t="str">
        <f aca="false">INDEX(Companies!$C$2:$C$31,MATCH(C541,Companies!$A$2:$A$31,0))</f>
        <v>Cybersecurity</v>
      </c>
      <c r="M541" s="21" t="str">
        <f aca="false">INDEX(Companies!$D$2:$D$31,MATCH(C541,Companies!$A$2:$A$31,0))</f>
        <v>Tier 1</v>
      </c>
      <c r="N541" s="34" t="n">
        <f aca="false">MATCH(F541,Assumptions!$K$4:$K$8,0)</f>
        <v>3</v>
      </c>
      <c r="O541" s="21" t="str">
        <f aca="false">IF(H541="Yes",MONTH(I541),"")</f>
        <v/>
      </c>
      <c r="P541" s="21" t="str">
        <f aca="false">IF(H541="Yes",B541,"")</f>
        <v/>
      </c>
    </row>
    <row r="542" customFormat="false" ht="15" hidden="false" customHeight="false" outlineLevel="0" collapsed="false">
      <c r="A542" s="21" t="s">
        <v>1757</v>
      </c>
      <c r="B542" s="21" t="s">
        <v>217</v>
      </c>
      <c r="C542" s="21" t="s">
        <v>1263</v>
      </c>
      <c r="D542" s="21" t="s">
        <v>1243</v>
      </c>
      <c r="E542" s="33" t="n">
        <v>45259</v>
      </c>
      <c r="F542" s="21" t="s">
        <v>1185</v>
      </c>
      <c r="G542" s="32" t="n">
        <v>8.8</v>
      </c>
      <c r="H542" s="21" t="s">
        <v>120</v>
      </c>
      <c r="I542" s="33" t="n">
        <v>45303</v>
      </c>
      <c r="J542" s="21" t="str">
        <f aca="false">INDEX(Students!$C$2:$C$601,MATCH(B542,Students!$A$2:$A$601,0))</f>
        <v>Batch 2024</v>
      </c>
      <c r="K542" s="21" t="str">
        <f aca="false">INDEX(Students!$D$2:$D$601,MATCH(B542,Students!$A$2:$A$601,0))</f>
        <v>Data Science &amp; ML</v>
      </c>
      <c r="L542" s="21" t="str">
        <f aca="false">INDEX(Companies!$C$2:$C$31,MATCH(C542,Companies!$A$2:$A$31,0))</f>
        <v>Analytics &amp; Consulting</v>
      </c>
      <c r="M542" s="21" t="str">
        <f aca="false">INDEX(Companies!$D$2:$D$31,MATCH(C542,Companies!$A$2:$A$31,0))</f>
        <v>Tier 2</v>
      </c>
      <c r="N542" s="34" t="n">
        <f aca="false">MATCH(F542,Assumptions!$K$4:$K$8,0)</f>
        <v>5</v>
      </c>
      <c r="O542" s="21" t="n">
        <f aca="false">IF(H542="Yes",MONTH(I542),"")</f>
        <v>1</v>
      </c>
      <c r="P542" s="21" t="str">
        <f aca="false">IF(H542="Yes",B542,"")</f>
        <v>S0053</v>
      </c>
    </row>
    <row r="543" customFormat="false" ht="15" hidden="false" customHeight="false" outlineLevel="0" collapsed="false">
      <c r="A543" s="21" t="s">
        <v>1758</v>
      </c>
      <c r="B543" s="21" t="s">
        <v>110</v>
      </c>
      <c r="C543" s="21" t="s">
        <v>1255</v>
      </c>
      <c r="D543" s="21" t="s">
        <v>1191</v>
      </c>
      <c r="E543" s="33" t="n">
        <v>45259</v>
      </c>
      <c r="F543" s="21" t="s">
        <v>1175</v>
      </c>
      <c r="G543" s="32"/>
      <c r="H543" s="21"/>
      <c r="I543" s="33"/>
      <c r="J543" s="21" t="str">
        <f aca="false">INDEX(Students!$C$2:$C$601,MATCH(B543,Students!$A$2:$A$601,0))</f>
        <v>Batch 2024</v>
      </c>
      <c r="K543" s="21" t="str">
        <f aca="false">INDEX(Students!$D$2:$D$601,MATCH(B543,Students!$A$2:$A$601,0))</f>
        <v>DSA with Java</v>
      </c>
      <c r="L543" s="21" t="str">
        <f aca="false">INDEX(Companies!$C$2:$C$31,MATCH(C543,Companies!$A$2:$A$31,0))</f>
        <v>IT Services</v>
      </c>
      <c r="M543" s="21" t="str">
        <f aca="false">INDEX(Companies!$D$2:$D$31,MATCH(C543,Companies!$A$2:$A$31,0))</f>
        <v>Tier 3</v>
      </c>
      <c r="N543" s="34" t="n">
        <f aca="false">MATCH(F543,Assumptions!$K$4:$K$8,0)</f>
        <v>1</v>
      </c>
      <c r="O543" s="21" t="str">
        <f aca="false">IF(H543="Yes",MONTH(I543),"")</f>
        <v/>
      </c>
      <c r="P543" s="21" t="str">
        <f aca="false">IF(H543="Yes",B543,"")</f>
        <v/>
      </c>
    </row>
    <row r="544" customFormat="false" ht="15" hidden="false" customHeight="false" outlineLevel="0" collapsed="false">
      <c r="A544" s="21" t="s">
        <v>1759</v>
      </c>
      <c r="B544" s="21" t="s">
        <v>417</v>
      </c>
      <c r="C544" s="21" t="s">
        <v>1225</v>
      </c>
      <c r="D544" s="21" t="s">
        <v>1181</v>
      </c>
      <c r="E544" s="33" t="n">
        <v>45260</v>
      </c>
      <c r="F544" s="21" t="s">
        <v>1218</v>
      </c>
      <c r="G544" s="32"/>
      <c r="H544" s="21"/>
      <c r="I544" s="33"/>
      <c r="J544" s="21" t="str">
        <f aca="false">INDEX(Students!$C$2:$C$601,MATCH(B544,Students!$A$2:$A$601,0))</f>
        <v>Batch 2024</v>
      </c>
      <c r="K544" s="21" t="str">
        <f aca="false">INDEX(Students!$D$2:$D$601,MATCH(B544,Students!$A$2:$A$601,0))</f>
        <v>Full Stack Development</v>
      </c>
      <c r="L544" s="21" t="str">
        <f aca="false">INDEX(Companies!$C$2:$C$31,MATCH(C544,Companies!$A$2:$A$31,0))</f>
        <v>EdTech</v>
      </c>
      <c r="M544" s="21" t="str">
        <f aca="false">INDEX(Companies!$D$2:$D$31,MATCH(C544,Companies!$A$2:$A$31,0))</f>
        <v>Tier 2</v>
      </c>
      <c r="N544" s="34" t="n">
        <f aca="false">MATCH(F544,Assumptions!$K$4:$K$8,0)</f>
        <v>4</v>
      </c>
      <c r="O544" s="21" t="str">
        <f aca="false">IF(H544="Yes",MONTH(I544),"")</f>
        <v/>
      </c>
      <c r="P544" s="21" t="str">
        <f aca="false">IF(H544="Yes",B544,"")</f>
        <v/>
      </c>
    </row>
    <row r="545" customFormat="false" ht="15" hidden="false" customHeight="false" outlineLevel="0" collapsed="false">
      <c r="A545" s="21" t="s">
        <v>1760</v>
      </c>
      <c r="B545" s="21" t="s">
        <v>245</v>
      </c>
      <c r="C545" s="21" t="s">
        <v>1239</v>
      </c>
      <c r="D545" s="21" t="s">
        <v>1174</v>
      </c>
      <c r="E545" s="33" t="n">
        <v>45260</v>
      </c>
      <c r="F545" s="21" t="s">
        <v>1197</v>
      </c>
      <c r="G545" s="32"/>
      <c r="H545" s="21"/>
      <c r="I545" s="33"/>
      <c r="J545" s="21" t="str">
        <f aca="false">INDEX(Students!$C$2:$C$601,MATCH(B545,Students!$A$2:$A$601,0))</f>
        <v>Batch 2024</v>
      </c>
      <c r="K545" s="21" t="str">
        <f aca="false">INDEX(Students!$D$2:$D$601,MATCH(B545,Students!$A$2:$A$601,0))</f>
        <v>Full Stack Development</v>
      </c>
      <c r="L545" s="21" t="str">
        <f aca="false">INDEX(Companies!$C$2:$C$31,MATCH(C545,Companies!$A$2:$A$31,0))</f>
        <v>E-commerce</v>
      </c>
      <c r="M545" s="21" t="str">
        <f aca="false">INDEX(Companies!$D$2:$D$31,MATCH(C545,Companies!$A$2:$A$31,0))</f>
        <v>Tier 3</v>
      </c>
      <c r="N545" s="34" t="n">
        <f aca="false">MATCH(F545,Assumptions!$K$4:$K$8,0)</f>
        <v>3</v>
      </c>
      <c r="O545" s="21" t="str">
        <f aca="false">IF(H545="Yes",MONTH(I545),"")</f>
        <v/>
      </c>
      <c r="P545" s="21" t="str">
        <f aca="false">IF(H545="Yes",B545,"")</f>
        <v/>
      </c>
    </row>
    <row r="546" customFormat="false" ht="15" hidden="false" customHeight="false" outlineLevel="0" collapsed="false">
      <c r="A546" s="21" t="s">
        <v>1761</v>
      </c>
      <c r="B546" s="21" t="s">
        <v>281</v>
      </c>
      <c r="C546" s="21" t="s">
        <v>1199</v>
      </c>
      <c r="D546" s="21" t="s">
        <v>1209</v>
      </c>
      <c r="E546" s="33" t="n">
        <v>45260</v>
      </c>
      <c r="F546" s="21" t="s">
        <v>1175</v>
      </c>
      <c r="G546" s="32"/>
      <c r="H546" s="21"/>
      <c r="I546" s="33"/>
      <c r="J546" s="21" t="str">
        <f aca="false">INDEX(Students!$C$2:$C$601,MATCH(B546,Students!$A$2:$A$601,0))</f>
        <v>Batch 2024</v>
      </c>
      <c r="K546" s="21" t="str">
        <f aca="false">INDEX(Students!$D$2:$D$601,MATCH(B546,Students!$A$2:$A$601,0))</f>
        <v>Data Analytics</v>
      </c>
      <c r="L546" s="21" t="str">
        <f aca="false">INDEX(Companies!$C$2:$C$31,MATCH(C546,Companies!$A$2:$A$31,0))</f>
        <v>E-commerce</v>
      </c>
      <c r="M546" s="21" t="str">
        <f aca="false">INDEX(Companies!$D$2:$D$31,MATCH(C546,Companies!$A$2:$A$31,0))</f>
        <v>Tier 2</v>
      </c>
      <c r="N546" s="34" t="n">
        <f aca="false">MATCH(F546,Assumptions!$K$4:$K$8,0)</f>
        <v>1</v>
      </c>
      <c r="O546" s="21" t="str">
        <f aca="false">IF(H546="Yes",MONTH(I546),"")</f>
        <v/>
      </c>
      <c r="P546" s="21" t="str">
        <f aca="false">IF(H546="Yes",B546,"")</f>
        <v/>
      </c>
    </row>
    <row r="547" customFormat="false" ht="15" hidden="false" customHeight="false" outlineLevel="0" collapsed="false">
      <c r="A547" s="21" t="s">
        <v>1762</v>
      </c>
      <c r="B547" s="21" t="s">
        <v>410</v>
      </c>
      <c r="C547" s="21" t="s">
        <v>1216</v>
      </c>
      <c r="D547" s="21" t="s">
        <v>1174</v>
      </c>
      <c r="E547" s="33" t="n">
        <v>45260</v>
      </c>
      <c r="F547" s="21" t="s">
        <v>1175</v>
      </c>
      <c r="G547" s="32"/>
      <c r="H547" s="21"/>
      <c r="I547" s="33"/>
      <c r="J547" s="21" t="str">
        <f aca="false">INDEX(Students!$C$2:$C$601,MATCH(B547,Students!$A$2:$A$601,0))</f>
        <v>Batch 2024</v>
      </c>
      <c r="K547" s="21" t="str">
        <f aca="false">INDEX(Students!$D$2:$D$601,MATCH(B547,Students!$A$2:$A$601,0))</f>
        <v>Full Stack Development</v>
      </c>
      <c r="L547" s="21" t="str">
        <f aca="false">INDEX(Companies!$C$2:$C$31,MATCH(C547,Companies!$A$2:$A$31,0))</f>
        <v>IT Services</v>
      </c>
      <c r="M547" s="21" t="str">
        <f aca="false">INDEX(Companies!$D$2:$D$31,MATCH(C547,Companies!$A$2:$A$31,0))</f>
        <v>Tier 3</v>
      </c>
      <c r="N547" s="34" t="n">
        <f aca="false">MATCH(F547,Assumptions!$K$4:$K$8,0)</f>
        <v>1</v>
      </c>
      <c r="O547" s="21" t="str">
        <f aca="false">IF(H547="Yes",MONTH(I547),"")</f>
        <v/>
      </c>
      <c r="P547" s="21" t="str">
        <f aca="false">IF(H547="Yes",B547,"")</f>
        <v/>
      </c>
    </row>
    <row r="548" customFormat="false" ht="15" hidden="false" customHeight="false" outlineLevel="0" collapsed="false">
      <c r="A548" s="21" t="s">
        <v>1763</v>
      </c>
      <c r="B548" s="21" t="s">
        <v>297</v>
      </c>
      <c r="C548" s="21" t="s">
        <v>1199</v>
      </c>
      <c r="D548" s="21" t="s">
        <v>1184</v>
      </c>
      <c r="E548" s="33" t="n">
        <v>45260</v>
      </c>
      <c r="F548" s="21" t="s">
        <v>1185</v>
      </c>
      <c r="G548" s="32" t="n">
        <v>13.1</v>
      </c>
      <c r="H548" s="21" t="s">
        <v>113</v>
      </c>
      <c r="I548" s="33" t="n">
        <v>45295</v>
      </c>
      <c r="J548" s="21" t="str">
        <f aca="false">INDEX(Students!$C$2:$C$601,MATCH(B548,Students!$A$2:$A$601,0))</f>
        <v>Batch 2024</v>
      </c>
      <c r="K548" s="21" t="str">
        <f aca="false">INDEX(Students!$D$2:$D$601,MATCH(B548,Students!$A$2:$A$601,0))</f>
        <v>DSA with Java</v>
      </c>
      <c r="L548" s="21" t="str">
        <f aca="false">INDEX(Companies!$C$2:$C$31,MATCH(C548,Companies!$A$2:$A$31,0))</f>
        <v>E-commerce</v>
      </c>
      <c r="M548" s="21" t="str">
        <f aca="false">INDEX(Companies!$D$2:$D$31,MATCH(C548,Companies!$A$2:$A$31,0))</f>
        <v>Tier 2</v>
      </c>
      <c r="N548" s="34" t="n">
        <f aca="false">MATCH(F548,Assumptions!$K$4:$K$8,0)</f>
        <v>5</v>
      </c>
      <c r="O548" s="21" t="str">
        <f aca="false">IF(H548="Yes",MONTH(I548),"")</f>
        <v/>
      </c>
      <c r="P548" s="21" t="str">
        <f aca="false">IF(H548="Yes",B548,"")</f>
        <v/>
      </c>
    </row>
    <row r="549" customFormat="false" ht="15" hidden="false" customHeight="false" outlineLevel="0" collapsed="false">
      <c r="A549" s="21" t="s">
        <v>1764</v>
      </c>
      <c r="B549" s="21" t="s">
        <v>159</v>
      </c>
      <c r="C549" s="21" t="s">
        <v>1193</v>
      </c>
      <c r="D549" s="21" t="s">
        <v>1240</v>
      </c>
      <c r="E549" s="33" t="n">
        <v>45260</v>
      </c>
      <c r="F549" s="21" t="s">
        <v>1175</v>
      </c>
      <c r="G549" s="32"/>
      <c r="H549" s="21"/>
      <c r="I549" s="33"/>
      <c r="J549" s="21" t="str">
        <f aca="false">INDEX(Students!$C$2:$C$601,MATCH(B549,Students!$A$2:$A$601,0))</f>
        <v>Batch 2024</v>
      </c>
      <c r="K549" s="21" t="str">
        <f aca="false">INDEX(Students!$D$2:$D$601,MATCH(B549,Students!$A$2:$A$601,0))</f>
        <v>Cybersecurity</v>
      </c>
      <c r="L549" s="21" t="str">
        <f aca="false">INDEX(Companies!$C$2:$C$31,MATCH(C549,Companies!$A$2:$A$31,0))</f>
        <v>Analytics &amp; Consulting</v>
      </c>
      <c r="M549" s="21" t="str">
        <f aca="false">INDEX(Companies!$D$2:$D$31,MATCH(C549,Companies!$A$2:$A$31,0))</f>
        <v>Tier 2</v>
      </c>
      <c r="N549" s="34" t="n">
        <f aca="false">MATCH(F549,Assumptions!$K$4:$K$8,0)</f>
        <v>1</v>
      </c>
      <c r="O549" s="21" t="str">
        <f aca="false">IF(H549="Yes",MONTH(I549),"")</f>
        <v/>
      </c>
      <c r="P549" s="21" t="str">
        <f aca="false">IF(H549="Yes",B549,"")</f>
        <v/>
      </c>
    </row>
    <row r="550" customFormat="false" ht="15" hidden="false" customHeight="false" outlineLevel="0" collapsed="false">
      <c r="A550" s="21" t="s">
        <v>1765</v>
      </c>
      <c r="B550" s="21" t="s">
        <v>241</v>
      </c>
      <c r="C550" s="21" t="s">
        <v>1216</v>
      </c>
      <c r="D550" s="21" t="s">
        <v>1194</v>
      </c>
      <c r="E550" s="33" t="n">
        <v>45261</v>
      </c>
      <c r="F550" s="21" t="s">
        <v>1175</v>
      </c>
      <c r="G550" s="32"/>
      <c r="H550" s="21"/>
      <c r="I550" s="33"/>
      <c r="J550" s="21" t="str">
        <f aca="false">INDEX(Students!$C$2:$C$601,MATCH(B550,Students!$A$2:$A$601,0))</f>
        <v>Batch 2024</v>
      </c>
      <c r="K550" s="21" t="str">
        <f aca="false">INDEX(Students!$D$2:$D$601,MATCH(B550,Students!$A$2:$A$601,0))</f>
        <v>Data Science &amp; ML</v>
      </c>
      <c r="L550" s="21" t="str">
        <f aca="false">INDEX(Companies!$C$2:$C$31,MATCH(C550,Companies!$A$2:$A$31,0))</f>
        <v>IT Services</v>
      </c>
      <c r="M550" s="21" t="str">
        <f aca="false">INDEX(Companies!$D$2:$D$31,MATCH(C550,Companies!$A$2:$A$31,0))</f>
        <v>Tier 3</v>
      </c>
      <c r="N550" s="34" t="n">
        <f aca="false">MATCH(F550,Assumptions!$K$4:$K$8,0)</f>
        <v>1</v>
      </c>
      <c r="O550" s="21" t="str">
        <f aca="false">IF(H550="Yes",MONTH(I550),"")</f>
        <v/>
      </c>
      <c r="P550" s="21" t="str">
        <f aca="false">IF(H550="Yes",B550,"")</f>
        <v/>
      </c>
    </row>
    <row r="551" customFormat="false" ht="15" hidden="false" customHeight="false" outlineLevel="0" collapsed="false">
      <c r="A551" s="21" t="s">
        <v>1766</v>
      </c>
      <c r="B551" s="21" t="s">
        <v>368</v>
      </c>
      <c r="C551" s="21" t="s">
        <v>1199</v>
      </c>
      <c r="D551" s="21" t="s">
        <v>1209</v>
      </c>
      <c r="E551" s="33" t="n">
        <v>45261</v>
      </c>
      <c r="F551" s="21" t="s">
        <v>1197</v>
      </c>
      <c r="G551" s="32"/>
      <c r="H551" s="21"/>
      <c r="I551" s="33"/>
      <c r="J551" s="21" t="str">
        <f aca="false">INDEX(Students!$C$2:$C$601,MATCH(B551,Students!$A$2:$A$601,0))</f>
        <v>Batch 2024</v>
      </c>
      <c r="K551" s="21" t="str">
        <f aca="false">INDEX(Students!$D$2:$D$601,MATCH(B551,Students!$A$2:$A$601,0))</f>
        <v>Data Analytics</v>
      </c>
      <c r="L551" s="21" t="str">
        <f aca="false">INDEX(Companies!$C$2:$C$31,MATCH(C551,Companies!$A$2:$A$31,0))</f>
        <v>E-commerce</v>
      </c>
      <c r="M551" s="21" t="str">
        <f aca="false">INDEX(Companies!$D$2:$D$31,MATCH(C551,Companies!$A$2:$A$31,0))</f>
        <v>Tier 2</v>
      </c>
      <c r="N551" s="34" t="n">
        <f aca="false">MATCH(F551,Assumptions!$K$4:$K$8,0)</f>
        <v>3</v>
      </c>
      <c r="O551" s="21" t="str">
        <f aca="false">IF(H551="Yes",MONTH(I551),"")</f>
        <v/>
      </c>
      <c r="P551" s="21" t="str">
        <f aca="false">IF(H551="Yes",B551,"")</f>
        <v/>
      </c>
    </row>
    <row r="552" customFormat="false" ht="15" hidden="false" customHeight="false" outlineLevel="0" collapsed="false">
      <c r="A552" s="21" t="s">
        <v>1767</v>
      </c>
      <c r="B552" s="21" t="s">
        <v>167</v>
      </c>
      <c r="C552" s="21" t="s">
        <v>1275</v>
      </c>
      <c r="D552" s="21" t="s">
        <v>1209</v>
      </c>
      <c r="E552" s="33" t="n">
        <v>45261</v>
      </c>
      <c r="F552" s="21" t="s">
        <v>1178</v>
      </c>
      <c r="G552" s="32"/>
      <c r="H552" s="21"/>
      <c r="I552" s="33"/>
      <c r="J552" s="21" t="str">
        <f aca="false">INDEX(Students!$C$2:$C$601,MATCH(B552,Students!$A$2:$A$601,0))</f>
        <v>Batch 2024</v>
      </c>
      <c r="K552" s="21" t="str">
        <f aca="false">INDEX(Students!$D$2:$D$601,MATCH(B552,Students!$A$2:$A$601,0))</f>
        <v>Data Analytics</v>
      </c>
      <c r="L552" s="21" t="str">
        <f aca="false">INDEX(Companies!$C$2:$C$31,MATCH(C552,Companies!$A$2:$A$31,0))</f>
        <v>Cybersecurity</v>
      </c>
      <c r="M552" s="21" t="str">
        <f aca="false">INDEX(Companies!$D$2:$D$31,MATCH(C552,Companies!$A$2:$A$31,0))</f>
        <v>Tier 2</v>
      </c>
      <c r="N552" s="34" t="n">
        <f aca="false">MATCH(F552,Assumptions!$K$4:$K$8,0)</f>
        <v>2</v>
      </c>
      <c r="O552" s="21" t="str">
        <f aca="false">IF(H552="Yes",MONTH(I552),"")</f>
        <v/>
      </c>
      <c r="P552" s="21" t="str">
        <f aca="false">IF(H552="Yes",B552,"")</f>
        <v/>
      </c>
    </row>
    <row r="553" customFormat="false" ht="15" hidden="false" customHeight="false" outlineLevel="0" collapsed="false">
      <c r="A553" s="21" t="s">
        <v>1768</v>
      </c>
      <c r="B553" s="21" t="s">
        <v>384</v>
      </c>
      <c r="C553" s="21" t="s">
        <v>1173</v>
      </c>
      <c r="D553" s="21" t="s">
        <v>1181</v>
      </c>
      <c r="E553" s="33" t="n">
        <v>45261</v>
      </c>
      <c r="F553" s="21" t="s">
        <v>1175</v>
      </c>
      <c r="G553" s="32"/>
      <c r="H553" s="21"/>
      <c r="I553" s="33"/>
      <c r="J553" s="21" t="str">
        <f aca="false">INDEX(Students!$C$2:$C$601,MATCH(B553,Students!$A$2:$A$601,0))</f>
        <v>Batch 2024</v>
      </c>
      <c r="K553" s="21" t="str">
        <f aca="false">INDEX(Students!$D$2:$D$601,MATCH(B553,Students!$A$2:$A$601,0))</f>
        <v>Full Stack Development</v>
      </c>
      <c r="L553" s="21" t="str">
        <f aca="false">INDEX(Companies!$C$2:$C$31,MATCH(C553,Companies!$A$2:$A$31,0))</f>
        <v>Cybersecurity</v>
      </c>
      <c r="M553" s="21" t="str">
        <f aca="false">INDEX(Companies!$D$2:$D$31,MATCH(C553,Companies!$A$2:$A$31,0))</f>
        <v>Tier 1</v>
      </c>
      <c r="N553" s="34" t="n">
        <f aca="false">MATCH(F553,Assumptions!$K$4:$K$8,0)</f>
        <v>1</v>
      </c>
      <c r="O553" s="21" t="str">
        <f aca="false">IF(H553="Yes",MONTH(I553),"")</f>
        <v/>
      </c>
      <c r="P553" s="21" t="str">
        <f aca="false">IF(H553="Yes",B553,"")</f>
        <v/>
      </c>
    </row>
    <row r="554" customFormat="false" ht="15" hidden="false" customHeight="false" outlineLevel="0" collapsed="false">
      <c r="A554" s="21" t="s">
        <v>1769</v>
      </c>
      <c r="B554" s="21" t="s">
        <v>422</v>
      </c>
      <c r="C554" s="21" t="s">
        <v>1203</v>
      </c>
      <c r="D554" s="21" t="s">
        <v>1243</v>
      </c>
      <c r="E554" s="33" t="n">
        <v>45261</v>
      </c>
      <c r="F554" s="21" t="s">
        <v>1178</v>
      </c>
      <c r="G554" s="32"/>
      <c r="H554" s="21"/>
      <c r="I554" s="33"/>
      <c r="J554" s="21" t="str">
        <f aca="false">INDEX(Students!$C$2:$C$601,MATCH(B554,Students!$A$2:$A$601,0))</f>
        <v>Batch 2024</v>
      </c>
      <c r="K554" s="21" t="str">
        <f aca="false">INDEX(Students!$D$2:$D$601,MATCH(B554,Students!$A$2:$A$601,0))</f>
        <v>Data Science &amp; ML</v>
      </c>
      <c r="L554" s="21" t="str">
        <f aca="false">INDEX(Companies!$C$2:$C$31,MATCH(C554,Companies!$A$2:$A$31,0))</f>
        <v>Healthtech</v>
      </c>
      <c r="M554" s="21" t="str">
        <f aca="false">INDEX(Companies!$D$2:$D$31,MATCH(C554,Companies!$A$2:$A$31,0))</f>
        <v>Tier 2</v>
      </c>
      <c r="N554" s="34" t="n">
        <f aca="false">MATCH(F554,Assumptions!$K$4:$K$8,0)</f>
        <v>2</v>
      </c>
      <c r="O554" s="21" t="str">
        <f aca="false">IF(H554="Yes",MONTH(I554),"")</f>
        <v/>
      </c>
      <c r="P554" s="21" t="str">
        <f aca="false">IF(H554="Yes",B554,"")</f>
        <v/>
      </c>
    </row>
    <row r="555" customFormat="false" ht="15" hidden="false" customHeight="false" outlineLevel="0" collapsed="false">
      <c r="A555" s="21" t="s">
        <v>1770</v>
      </c>
      <c r="B555" s="21" t="s">
        <v>159</v>
      </c>
      <c r="C555" s="21" t="s">
        <v>1211</v>
      </c>
      <c r="D555" s="21" t="s">
        <v>1240</v>
      </c>
      <c r="E555" s="33" t="n">
        <v>45261</v>
      </c>
      <c r="F555" s="21" t="s">
        <v>1185</v>
      </c>
      <c r="G555" s="32" t="n">
        <v>6.5</v>
      </c>
      <c r="H555" s="21" t="s">
        <v>113</v>
      </c>
      <c r="I555" s="33" t="n">
        <v>45296</v>
      </c>
      <c r="J555" s="21" t="str">
        <f aca="false">INDEX(Students!$C$2:$C$601,MATCH(B555,Students!$A$2:$A$601,0))</f>
        <v>Batch 2024</v>
      </c>
      <c r="K555" s="21" t="str">
        <f aca="false">INDEX(Students!$D$2:$D$601,MATCH(B555,Students!$A$2:$A$601,0))</f>
        <v>Cybersecurity</v>
      </c>
      <c r="L555" s="21" t="str">
        <f aca="false">INDEX(Companies!$C$2:$C$31,MATCH(C555,Companies!$A$2:$A$31,0))</f>
        <v>Analytics &amp; Consulting</v>
      </c>
      <c r="M555" s="21" t="str">
        <f aca="false">INDEX(Companies!$D$2:$D$31,MATCH(C555,Companies!$A$2:$A$31,0))</f>
        <v>Tier 3</v>
      </c>
      <c r="N555" s="34" t="n">
        <f aca="false">MATCH(F555,Assumptions!$K$4:$K$8,0)</f>
        <v>5</v>
      </c>
      <c r="O555" s="21" t="str">
        <f aca="false">IF(H555="Yes",MONTH(I555),"")</f>
        <v/>
      </c>
      <c r="P555" s="21" t="str">
        <f aca="false">IF(H555="Yes",B555,"")</f>
        <v/>
      </c>
    </row>
    <row r="556" customFormat="false" ht="15" hidden="false" customHeight="false" outlineLevel="0" collapsed="false">
      <c r="A556" s="21" t="s">
        <v>1771</v>
      </c>
      <c r="B556" s="21" t="s">
        <v>323</v>
      </c>
      <c r="C556" s="21" t="s">
        <v>1190</v>
      </c>
      <c r="D556" s="21" t="s">
        <v>1243</v>
      </c>
      <c r="E556" s="33" t="n">
        <v>45261</v>
      </c>
      <c r="F556" s="21" t="s">
        <v>1197</v>
      </c>
      <c r="G556" s="32"/>
      <c r="H556" s="21"/>
      <c r="I556" s="33"/>
      <c r="J556" s="21" t="str">
        <f aca="false">INDEX(Students!$C$2:$C$601,MATCH(B556,Students!$A$2:$A$601,0))</f>
        <v>Batch 2024</v>
      </c>
      <c r="K556" s="21" t="str">
        <f aca="false">INDEX(Students!$D$2:$D$601,MATCH(B556,Students!$A$2:$A$601,0))</f>
        <v>Data Science &amp; ML</v>
      </c>
      <c r="L556" s="21" t="str">
        <f aca="false">INDEX(Companies!$C$2:$C$31,MATCH(C556,Companies!$A$2:$A$31,0))</f>
        <v>Analytics &amp; Consulting</v>
      </c>
      <c r="M556" s="21" t="str">
        <f aca="false">INDEX(Companies!$D$2:$D$31,MATCH(C556,Companies!$A$2:$A$31,0))</f>
        <v>Tier 1</v>
      </c>
      <c r="N556" s="34" t="n">
        <f aca="false">MATCH(F556,Assumptions!$K$4:$K$8,0)</f>
        <v>3</v>
      </c>
      <c r="O556" s="21" t="str">
        <f aca="false">IF(H556="Yes",MONTH(I556),"")</f>
        <v/>
      </c>
      <c r="P556" s="21" t="str">
        <f aca="false">IF(H556="Yes",B556,"")</f>
        <v/>
      </c>
    </row>
    <row r="557" customFormat="false" ht="15" hidden="false" customHeight="false" outlineLevel="0" collapsed="false">
      <c r="A557" s="21" t="s">
        <v>1772</v>
      </c>
      <c r="B557" s="21" t="s">
        <v>137</v>
      </c>
      <c r="C557" s="21" t="s">
        <v>1228</v>
      </c>
      <c r="D557" s="21" t="s">
        <v>1191</v>
      </c>
      <c r="E557" s="33" t="n">
        <v>45261</v>
      </c>
      <c r="F557" s="21" t="s">
        <v>1175</v>
      </c>
      <c r="G557" s="32"/>
      <c r="H557" s="21"/>
      <c r="I557" s="33"/>
      <c r="J557" s="21" t="str">
        <f aca="false">INDEX(Students!$C$2:$C$601,MATCH(B557,Students!$A$2:$A$601,0))</f>
        <v>Batch 2024</v>
      </c>
      <c r="K557" s="21" t="str">
        <f aca="false">INDEX(Students!$D$2:$D$601,MATCH(B557,Students!$A$2:$A$601,0))</f>
        <v>DSA with Java</v>
      </c>
      <c r="L557" s="21" t="str">
        <f aca="false">INDEX(Companies!$C$2:$C$31,MATCH(C557,Companies!$A$2:$A$31,0))</f>
        <v>Fintech</v>
      </c>
      <c r="M557" s="21" t="str">
        <f aca="false">INDEX(Companies!$D$2:$D$31,MATCH(C557,Companies!$A$2:$A$31,0))</f>
        <v>Tier 1</v>
      </c>
      <c r="N557" s="34" t="n">
        <f aca="false">MATCH(F557,Assumptions!$K$4:$K$8,0)</f>
        <v>1</v>
      </c>
      <c r="O557" s="21" t="str">
        <f aca="false">IF(H557="Yes",MONTH(I557),"")</f>
        <v/>
      </c>
      <c r="P557" s="21" t="str">
        <f aca="false">IF(H557="Yes",B557,"")</f>
        <v/>
      </c>
    </row>
    <row r="558" customFormat="false" ht="15" hidden="false" customHeight="false" outlineLevel="0" collapsed="false">
      <c r="A558" s="21" t="s">
        <v>1773</v>
      </c>
      <c r="B558" s="21" t="s">
        <v>179</v>
      </c>
      <c r="C558" s="21" t="s">
        <v>1298</v>
      </c>
      <c r="D558" s="21" t="s">
        <v>1184</v>
      </c>
      <c r="E558" s="33" t="n">
        <v>45262</v>
      </c>
      <c r="F558" s="21" t="s">
        <v>1197</v>
      </c>
      <c r="G558" s="32"/>
      <c r="H558" s="21"/>
      <c r="I558" s="33"/>
      <c r="J558" s="21" t="str">
        <f aca="false">INDEX(Students!$C$2:$C$601,MATCH(B558,Students!$A$2:$A$601,0))</f>
        <v>Batch 2024</v>
      </c>
      <c r="K558" s="21" t="str">
        <f aca="false">INDEX(Students!$D$2:$D$601,MATCH(B558,Students!$A$2:$A$601,0))</f>
        <v>DSA with Java</v>
      </c>
      <c r="L558" s="21" t="str">
        <f aca="false">INDEX(Companies!$C$2:$C$31,MATCH(C558,Companies!$A$2:$A$31,0))</f>
        <v>Fintech</v>
      </c>
      <c r="M558" s="21" t="str">
        <f aca="false">INDEX(Companies!$D$2:$D$31,MATCH(C558,Companies!$A$2:$A$31,0))</f>
        <v>Tier 2</v>
      </c>
      <c r="N558" s="34" t="n">
        <f aca="false">MATCH(F558,Assumptions!$K$4:$K$8,0)</f>
        <v>3</v>
      </c>
      <c r="O558" s="21" t="str">
        <f aca="false">IF(H558="Yes",MONTH(I558),"")</f>
        <v/>
      </c>
      <c r="P558" s="21" t="str">
        <f aca="false">IF(H558="Yes",B558,"")</f>
        <v/>
      </c>
    </row>
    <row r="559" customFormat="false" ht="15" hidden="false" customHeight="false" outlineLevel="0" collapsed="false">
      <c r="A559" s="21" t="s">
        <v>1774</v>
      </c>
      <c r="B559" s="21" t="s">
        <v>129</v>
      </c>
      <c r="C559" s="21" t="s">
        <v>1309</v>
      </c>
      <c r="D559" s="21" t="s">
        <v>1174</v>
      </c>
      <c r="E559" s="33" t="n">
        <v>45262</v>
      </c>
      <c r="F559" s="21" t="s">
        <v>1185</v>
      </c>
      <c r="G559" s="32" t="n">
        <v>11</v>
      </c>
      <c r="H559" s="21" t="s">
        <v>120</v>
      </c>
      <c r="I559" s="33" t="n">
        <v>45311</v>
      </c>
      <c r="J559" s="21" t="str">
        <f aca="false">INDEX(Students!$C$2:$C$601,MATCH(B559,Students!$A$2:$A$601,0))</f>
        <v>Batch 2024</v>
      </c>
      <c r="K559" s="21" t="str">
        <f aca="false">INDEX(Students!$D$2:$D$601,MATCH(B559,Students!$A$2:$A$601,0))</f>
        <v>Full Stack Development</v>
      </c>
      <c r="L559" s="21" t="str">
        <f aca="false">INDEX(Companies!$C$2:$C$31,MATCH(C559,Companies!$A$2:$A$31,0))</f>
        <v>EdTech</v>
      </c>
      <c r="M559" s="21" t="str">
        <f aca="false">INDEX(Companies!$D$2:$D$31,MATCH(C559,Companies!$A$2:$A$31,0))</f>
        <v>Tier 2</v>
      </c>
      <c r="N559" s="34" t="n">
        <f aca="false">MATCH(F559,Assumptions!$K$4:$K$8,0)</f>
        <v>5</v>
      </c>
      <c r="O559" s="21" t="n">
        <f aca="false">IF(H559="Yes",MONTH(I559),"")</f>
        <v>1</v>
      </c>
      <c r="P559" s="21" t="str">
        <f aca="false">IF(H559="Yes",B559,"")</f>
        <v>S0009</v>
      </c>
    </row>
    <row r="560" customFormat="false" ht="15" hidden="false" customHeight="false" outlineLevel="0" collapsed="false">
      <c r="A560" s="21" t="s">
        <v>1775</v>
      </c>
      <c r="B560" s="21" t="s">
        <v>141</v>
      </c>
      <c r="C560" s="21" t="s">
        <v>1205</v>
      </c>
      <c r="D560" s="21" t="s">
        <v>1174</v>
      </c>
      <c r="E560" s="33" t="n">
        <v>45262</v>
      </c>
      <c r="F560" s="21" t="s">
        <v>1185</v>
      </c>
      <c r="G560" s="32" t="n">
        <v>6.1</v>
      </c>
      <c r="H560" s="21" t="s">
        <v>113</v>
      </c>
      <c r="I560" s="33" t="n">
        <v>45288</v>
      </c>
      <c r="J560" s="21" t="str">
        <f aca="false">INDEX(Students!$C$2:$C$601,MATCH(B560,Students!$A$2:$A$601,0))</f>
        <v>Batch 2024</v>
      </c>
      <c r="K560" s="21" t="str">
        <f aca="false">INDEX(Students!$D$2:$D$601,MATCH(B560,Students!$A$2:$A$601,0))</f>
        <v>Full Stack Development</v>
      </c>
      <c r="L560" s="21" t="str">
        <f aca="false">INDEX(Companies!$C$2:$C$31,MATCH(C560,Companies!$A$2:$A$31,0))</f>
        <v>Healthtech</v>
      </c>
      <c r="M560" s="21" t="str">
        <f aca="false">INDEX(Companies!$D$2:$D$31,MATCH(C560,Companies!$A$2:$A$31,0))</f>
        <v>Tier 3</v>
      </c>
      <c r="N560" s="34" t="n">
        <f aca="false">MATCH(F560,Assumptions!$K$4:$K$8,0)</f>
        <v>5</v>
      </c>
      <c r="O560" s="21" t="str">
        <f aca="false">IF(H560="Yes",MONTH(I560),"")</f>
        <v/>
      </c>
      <c r="P560" s="21" t="str">
        <f aca="false">IF(H560="Yes",B560,"")</f>
        <v/>
      </c>
    </row>
    <row r="561" customFormat="false" ht="15" hidden="false" customHeight="false" outlineLevel="0" collapsed="false">
      <c r="A561" s="21" t="s">
        <v>1776</v>
      </c>
      <c r="B561" s="21" t="s">
        <v>228</v>
      </c>
      <c r="C561" s="21" t="s">
        <v>1173</v>
      </c>
      <c r="D561" s="21" t="s">
        <v>1194</v>
      </c>
      <c r="E561" s="33" t="n">
        <v>45262</v>
      </c>
      <c r="F561" s="21" t="s">
        <v>1178</v>
      </c>
      <c r="G561" s="32"/>
      <c r="H561" s="21"/>
      <c r="I561" s="33"/>
      <c r="J561" s="21" t="str">
        <f aca="false">INDEX(Students!$C$2:$C$601,MATCH(B561,Students!$A$2:$A$601,0))</f>
        <v>Batch 2024</v>
      </c>
      <c r="K561" s="21" t="str">
        <f aca="false">INDEX(Students!$D$2:$D$601,MATCH(B561,Students!$A$2:$A$601,0))</f>
        <v>Data Science &amp; ML</v>
      </c>
      <c r="L561" s="21" t="str">
        <f aca="false">INDEX(Companies!$C$2:$C$31,MATCH(C561,Companies!$A$2:$A$31,0))</f>
        <v>Cybersecurity</v>
      </c>
      <c r="M561" s="21" t="str">
        <f aca="false">INDEX(Companies!$D$2:$D$31,MATCH(C561,Companies!$A$2:$A$31,0))</f>
        <v>Tier 1</v>
      </c>
      <c r="N561" s="34" t="n">
        <f aca="false">MATCH(F561,Assumptions!$K$4:$K$8,0)</f>
        <v>2</v>
      </c>
      <c r="O561" s="21" t="str">
        <f aca="false">IF(H561="Yes",MONTH(I561),"")</f>
        <v/>
      </c>
      <c r="P561" s="21" t="str">
        <f aca="false">IF(H561="Yes",B561,"")</f>
        <v/>
      </c>
    </row>
    <row r="562" customFormat="false" ht="15" hidden="false" customHeight="false" outlineLevel="0" collapsed="false">
      <c r="A562" s="21" t="s">
        <v>1777</v>
      </c>
      <c r="B562" s="21" t="s">
        <v>141</v>
      </c>
      <c r="C562" s="21" t="s">
        <v>1290</v>
      </c>
      <c r="D562" s="21" t="s">
        <v>1174</v>
      </c>
      <c r="E562" s="33" t="n">
        <v>45263</v>
      </c>
      <c r="F562" s="21" t="s">
        <v>1185</v>
      </c>
      <c r="G562" s="32" t="n">
        <v>14.6</v>
      </c>
      <c r="H562" s="21" t="s">
        <v>113</v>
      </c>
      <c r="I562" s="33" t="n">
        <v>45313</v>
      </c>
      <c r="J562" s="21" t="str">
        <f aca="false">INDEX(Students!$C$2:$C$601,MATCH(B562,Students!$A$2:$A$601,0))</f>
        <v>Batch 2024</v>
      </c>
      <c r="K562" s="21" t="str">
        <f aca="false">INDEX(Students!$D$2:$D$601,MATCH(B562,Students!$A$2:$A$601,0))</f>
        <v>Full Stack Development</v>
      </c>
      <c r="L562" s="21" t="str">
        <f aca="false">INDEX(Companies!$C$2:$C$31,MATCH(C562,Companies!$A$2:$A$31,0))</f>
        <v>Fintech</v>
      </c>
      <c r="M562" s="21" t="str">
        <f aca="false">INDEX(Companies!$D$2:$D$31,MATCH(C562,Companies!$A$2:$A$31,0))</f>
        <v>Tier 2</v>
      </c>
      <c r="N562" s="34" t="n">
        <f aca="false">MATCH(F562,Assumptions!$K$4:$K$8,0)</f>
        <v>5</v>
      </c>
      <c r="O562" s="21" t="str">
        <f aca="false">IF(H562="Yes",MONTH(I562),"")</f>
        <v/>
      </c>
      <c r="P562" s="21" t="str">
        <f aca="false">IF(H562="Yes",B562,"")</f>
        <v/>
      </c>
    </row>
    <row r="563" customFormat="false" ht="15" hidden="false" customHeight="false" outlineLevel="0" collapsed="false">
      <c r="A563" s="21" t="s">
        <v>1778</v>
      </c>
      <c r="B563" s="21" t="s">
        <v>454</v>
      </c>
      <c r="C563" s="21" t="s">
        <v>1203</v>
      </c>
      <c r="D563" s="21" t="s">
        <v>1188</v>
      </c>
      <c r="E563" s="33" t="n">
        <v>45264</v>
      </c>
      <c r="F563" s="21" t="s">
        <v>1178</v>
      </c>
      <c r="G563" s="32"/>
      <c r="H563" s="21"/>
      <c r="I563" s="33"/>
      <c r="J563" s="21" t="str">
        <f aca="false">INDEX(Students!$C$2:$C$601,MATCH(B563,Students!$A$2:$A$601,0))</f>
        <v>Batch 2024</v>
      </c>
      <c r="K563" s="21" t="str">
        <f aca="false">INDEX(Students!$D$2:$D$601,MATCH(B563,Students!$A$2:$A$601,0))</f>
        <v>Data Analytics</v>
      </c>
      <c r="L563" s="21" t="str">
        <f aca="false">INDEX(Companies!$C$2:$C$31,MATCH(C563,Companies!$A$2:$A$31,0))</f>
        <v>Healthtech</v>
      </c>
      <c r="M563" s="21" t="str">
        <f aca="false">INDEX(Companies!$D$2:$D$31,MATCH(C563,Companies!$A$2:$A$31,0))</f>
        <v>Tier 2</v>
      </c>
      <c r="N563" s="34" t="n">
        <f aca="false">MATCH(F563,Assumptions!$K$4:$K$8,0)</f>
        <v>2</v>
      </c>
      <c r="O563" s="21" t="str">
        <f aca="false">IF(H563="Yes",MONTH(I563),"")</f>
        <v/>
      </c>
      <c r="P563" s="21" t="str">
        <f aca="false">IF(H563="Yes",B563,"")</f>
        <v/>
      </c>
    </row>
    <row r="564" customFormat="false" ht="15" hidden="false" customHeight="false" outlineLevel="0" collapsed="false">
      <c r="A564" s="21" t="s">
        <v>1779</v>
      </c>
      <c r="B564" s="21" t="s">
        <v>451</v>
      </c>
      <c r="C564" s="21" t="s">
        <v>1183</v>
      </c>
      <c r="D564" s="21" t="s">
        <v>1174</v>
      </c>
      <c r="E564" s="33" t="n">
        <v>45264</v>
      </c>
      <c r="F564" s="21" t="s">
        <v>1178</v>
      </c>
      <c r="G564" s="32"/>
      <c r="H564" s="21"/>
      <c r="I564" s="33"/>
      <c r="J564" s="21" t="str">
        <f aca="false">INDEX(Students!$C$2:$C$601,MATCH(B564,Students!$A$2:$A$601,0))</f>
        <v>Batch 2024</v>
      </c>
      <c r="K564" s="21" t="str">
        <f aca="false">INDEX(Students!$D$2:$D$601,MATCH(B564,Students!$A$2:$A$601,0))</f>
        <v>Full Stack Development</v>
      </c>
      <c r="L564" s="21" t="str">
        <f aca="false">INDEX(Companies!$C$2:$C$31,MATCH(C564,Companies!$A$2:$A$31,0))</f>
        <v>E-commerce</v>
      </c>
      <c r="M564" s="21" t="str">
        <f aca="false">INDEX(Companies!$D$2:$D$31,MATCH(C564,Companies!$A$2:$A$31,0))</f>
        <v>Tier 2</v>
      </c>
      <c r="N564" s="34" t="n">
        <f aca="false">MATCH(F564,Assumptions!$K$4:$K$8,0)</f>
        <v>2</v>
      </c>
      <c r="O564" s="21" t="str">
        <f aca="false">IF(H564="Yes",MONTH(I564),"")</f>
        <v/>
      </c>
      <c r="P564" s="21" t="str">
        <f aca="false">IF(H564="Yes",B564,"")</f>
        <v/>
      </c>
    </row>
    <row r="565" customFormat="false" ht="15" hidden="false" customHeight="false" outlineLevel="0" collapsed="false">
      <c r="A565" s="21" t="s">
        <v>1780</v>
      </c>
      <c r="B565" s="21" t="s">
        <v>344</v>
      </c>
      <c r="C565" s="21" t="s">
        <v>1180</v>
      </c>
      <c r="D565" s="21" t="s">
        <v>1174</v>
      </c>
      <c r="E565" s="33" t="n">
        <v>45265</v>
      </c>
      <c r="F565" s="21" t="s">
        <v>1185</v>
      </c>
      <c r="G565" s="32" t="n">
        <v>5.8</v>
      </c>
      <c r="H565" s="21" t="s">
        <v>120</v>
      </c>
      <c r="I565" s="33" t="n">
        <v>45296</v>
      </c>
      <c r="J565" s="21" t="str">
        <f aca="false">INDEX(Students!$C$2:$C$601,MATCH(B565,Students!$A$2:$A$601,0))</f>
        <v>Batch 2024</v>
      </c>
      <c r="K565" s="21" t="str">
        <f aca="false">INDEX(Students!$D$2:$D$601,MATCH(B565,Students!$A$2:$A$601,0))</f>
        <v>Full Stack Development</v>
      </c>
      <c r="L565" s="21" t="str">
        <f aca="false">INDEX(Companies!$C$2:$C$31,MATCH(C565,Companies!$A$2:$A$31,0))</f>
        <v>IT Services</v>
      </c>
      <c r="M565" s="21" t="str">
        <f aca="false">INDEX(Companies!$D$2:$D$31,MATCH(C565,Companies!$A$2:$A$31,0))</f>
        <v>Tier 3</v>
      </c>
      <c r="N565" s="34" t="n">
        <f aca="false">MATCH(F565,Assumptions!$K$4:$K$8,0)</f>
        <v>5</v>
      </c>
      <c r="O565" s="21" t="n">
        <f aca="false">IF(H565="Yes",MONTH(I565),"")</f>
        <v>1</v>
      </c>
      <c r="P565" s="21" t="str">
        <f aca="false">IF(H565="Yes",B565,"")</f>
        <v>S0120</v>
      </c>
    </row>
    <row r="566" customFormat="false" ht="15" hidden="false" customHeight="false" outlineLevel="0" collapsed="false">
      <c r="A566" s="21" t="s">
        <v>1781</v>
      </c>
      <c r="B566" s="21" t="s">
        <v>319</v>
      </c>
      <c r="C566" s="21" t="s">
        <v>1225</v>
      </c>
      <c r="D566" s="21" t="s">
        <v>1191</v>
      </c>
      <c r="E566" s="33" t="n">
        <v>45265</v>
      </c>
      <c r="F566" s="21" t="s">
        <v>1178</v>
      </c>
      <c r="G566" s="32"/>
      <c r="H566" s="21"/>
      <c r="I566" s="33"/>
      <c r="J566" s="21" t="str">
        <f aca="false">INDEX(Students!$C$2:$C$601,MATCH(B566,Students!$A$2:$A$601,0))</f>
        <v>Batch 2024</v>
      </c>
      <c r="K566" s="21" t="str">
        <f aca="false">INDEX(Students!$D$2:$D$601,MATCH(B566,Students!$A$2:$A$601,0))</f>
        <v>DSA with Java</v>
      </c>
      <c r="L566" s="21" t="str">
        <f aca="false">INDEX(Companies!$C$2:$C$31,MATCH(C566,Companies!$A$2:$A$31,0))</f>
        <v>EdTech</v>
      </c>
      <c r="M566" s="21" t="str">
        <f aca="false">INDEX(Companies!$D$2:$D$31,MATCH(C566,Companies!$A$2:$A$31,0))</f>
        <v>Tier 2</v>
      </c>
      <c r="N566" s="34" t="n">
        <f aca="false">MATCH(F566,Assumptions!$K$4:$K$8,0)</f>
        <v>2</v>
      </c>
      <c r="O566" s="21" t="str">
        <f aca="false">IF(H566="Yes",MONTH(I566),"")</f>
        <v/>
      </c>
      <c r="P566" s="21" t="str">
        <f aca="false">IF(H566="Yes",B566,"")</f>
        <v/>
      </c>
    </row>
    <row r="567" customFormat="false" ht="15" hidden="false" customHeight="false" outlineLevel="0" collapsed="false">
      <c r="A567" s="21" t="s">
        <v>1782</v>
      </c>
      <c r="B567" s="21" t="s">
        <v>221</v>
      </c>
      <c r="C567" s="21" t="s">
        <v>1196</v>
      </c>
      <c r="D567" s="21" t="s">
        <v>1191</v>
      </c>
      <c r="E567" s="33" t="n">
        <v>45265</v>
      </c>
      <c r="F567" s="21" t="s">
        <v>1185</v>
      </c>
      <c r="G567" s="32" t="n">
        <v>5.9</v>
      </c>
      <c r="H567" s="21" t="s">
        <v>113</v>
      </c>
      <c r="I567" s="33" t="n">
        <v>45290</v>
      </c>
      <c r="J567" s="21" t="str">
        <f aca="false">INDEX(Students!$C$2:$C$601,MATCH(B567,Students!$A$2:$A$601,0))</f>
        <v>Batch 2024</v>
      </c>
      <c r="K567" s="21" t="str">
        <f aca="false">INDEX(Students!$D$2:$D$601,MATCH(B567,Students!$A$2:$A$601,0))</f>
        <v>DSA with Java</v>
      </c>
      <c r="L567" s="21" t="str">
        <f aca="false">INDEX(Companies!$C$2:$C$31,MATCH(C567,Companies!$A$2:$A$31,0))</f>
        <v>IT Services</v>
      </c>
      <c r="M567" s="21" t="str">
        <f aca="false">INDEX(Companies!$D$2:$D$31,MATCH(C567,Companies!$A$2:$A$31,0))</f>
        <v>Tier 3</v>
      </c>
      <c r="N567" s="34" t="n">
        <f aca="false">MATCH(F567,Assumptions!$K$4:$K$8,0)</f>
        <v>5</v>
      </c>
      <c r="O567" s="21" t="str">
        <f aca="false">IF(H567="Yes",MONTH(I567),"")</f>
        <v/>
      </c>
      <c r="P567" s="21" t="str">
        <f aca="false">IF(H567="Yes",B567,"")</f>
        <v/>
      </c>
    </row>
    <row r="568" customFormat="false" ht="15" hidden="false" customHeight="false" outlineLevel="0" collapsed="false">
      <c r="A568" s="21" t="s">
        <v>1783</v>
      </c>
      <c r="B568" s="21" t="s">
        <v>169</v>
      </c>
      <c r="C568" s="21" t="s">
        <v>1234</v>
      </c>
      <c r="D568" s="21" t="s">
        <v>1191</v>
      </c>
      <c r="E568" s="33" t="n">
        <v>45265</v>
      </c>
      <c r="F568" s="21" t="s">
        <v>1185</v>
      </c>
      <c r="G568" s="32" t="n">
        <v>6.6</v>
      </c>
      <c r="H568" s="21" t="s">
        <v>113</v>
      </c>
      <c r="I568" s="33" t="n">
        <v>45285</v>
      </c>
      <c r="J568" s="21" t="str">
        <f aca="false">INDEX(Students!$C$2:$C$601,MATCH(B568,Students!$A$2:$A$601,0))</f>
        <v>Batch 2024</v>
      </c>
      <c r="K568" s="21" t="str">
        <f aca="false">INDEX(Students!$D$2:$D$601,MATCH(B568,Students!$A$2:$A$601,0))</f>
        <v>DSA with Java</v>
      </c>
      <c r="L568" s="21" t="str">
        <f aca="false">INDEX(Companies!$C$2:$C$31,MATCH(C568,Companies!$A$2:$A$31,0))</f>
        <v>EdTech</v>
      </c>
      <c r="M568" s="21" t="str">
        <f aca="false">INDEX(Companies!$D$2:$D$31,MATCH(C568,Companies!$A$2:$A$31,0))</f>
        <v>Tier 3</v>
      </c>
      <c r="N568" s="34" t="n">
        <f aca="false">MATCH(F568,Assumptions!$K$4:$K$8,0)</f>
        <v>5</v>
      </c>
      <c r="O568" s="21" t="str">
        <f aca="false">IF(H568="Yes",MONTH(I568),"")</f>
        <v/>
      </c>
      <c r="P568" s="21" t="str">
        <f aca="false">IF(H568="Yes",B568,"")</f>
        <v/>
      </c>
    </row>
    <row r="569" customFormat="false" ht="15" hidden="false" customHeight="false" outlineLevel="0" collapsed="false">
      <c r="A569" s="21" t="s">
        <v>1784</v>
      </c>
      <c r="B569" s="21" t="s">
        <v>356</v>
      </c>
      <c r="C569" s="21" t="s">
        <v>1201</v>
      </c>
      <c r="D569" s="21" t="s">
        <v>1240</v>
      </c>
      <c r="E569" s="33" t="n">
        <v>45265</v>
      </c>
      <c r="F569" s="21" t="s">
        <v>1175</v>
      </c>
      <c r="G569" s="32"/>
      <c r="H569" s="21"/>
      <c r="I569" s="33"/>
      <c r="J569" s="21" t="str">
        <f aca="false">INDEX(Students!$C$2:$C$601,MATCH(B569,Students!$A$2:$A$601,0))</f>
        <v>Batch 2024</v>
      </c>
      <c r="K569" s="21" t="str">
        <f aca="false">INDEX(Students!$D$2:$D$601,MATCH(B569,Students!$A$2:$A$601,0))</f>
        <v>Cybersecurity</v>
      </c>
      <c r="L569" s="21" t="str">
        <f aca="false">INDEX(Companies!$C$2:$C$31,MATCH(C569,Companies!$A$2:$A$31,0))</f>
        <v>IT Services</v>
      </c>
      <c r="M569" s="21" t="str">
        <f aca="false">INDEX(Companies!$D$2:$D$31,MATCH(C569,Companies!$A$2:$A$31,0))</f>
        <v>Tier 3</v>
      </c>
      <c r="N569" s="34" t="n">
        <f aca="false">MATCH(F569,Assumptions!$K$4:$K$8,0)</f>
        <v>1</v>
      </c>
      <c r="O569" s="21" t="str">
        <f aca="false">IF(H569="Yes",MONTH(I569),"")</f>
        <v/>
      </c>
      <c r="P569" s="21" t="str">
        <f aca="false">IF(H569="Yes",B569,"")</f>
        <v/>
      </c>
    </row>
    <row r="570" customFormat="false" ht="15" hidden="false" customHeight="false" outlineLevel="0" collapsed="false">
      <c r="A570" s="21" t="s">
        <v>1785</v>
      </c>
      <c r="B570" s="21" t="s">
        <v>427</v>
      </c>
      <c r="C570" s="21" t="s">
        <v>1190</v>
      </c>
      <c r="D570" s="21" t="s">
        <v>1174</v>
      </c>
      <c r="E570" s="33" t="n">
        <v>45265</v>
      </c>
      <c r="F570" s="21" t="s">
        <v>1197</v>
      </c>
      <c r="G570" s="32"/>
      <c r="H570" s="21"/>
      <c r="I570" s="33"/>
      <c r="J570" s="21" t="str">
        <f aca="false">INDEX(Students!$C$2:$C$601,MATCH(B570,Students!$A$2:$A$601,0))</f>
        <v>Batch 2024</v>
      </c>
      <c r="K570" s="21" t="str">
        <f aca="false">INDEX(Students!$D$2:$D$601,MATCH(B570,Students!$A$2:$A$601,0))</f>
        <v>Full Stack Development</v>
      </c>
      <c r="L570" s="21" t="str">
        <f aca="false">INDEX(Companies!$C$2:$C$31,MATCH(C570,Companies!$A$2:$A$31,0))</f>
        <v>Analytics &amp; Consulting</v>
      </c>
      <c r="M570" s="21" t="str">
        <f aca="false">INDEX(Companies!$D$2:$D$31,MATCH(C570,Companies!$A$2:$A$31,0))</f>
        <v>Tier 1</v>
      </c>
      <c r="N570" s="34" t="n">
        <f aca="false">MATCH(F570,Assumptions!$K$4:$K$8,0)</f>
        <v>3</v>
      </c>
      <c r="O570" s="21" t="str">
        <f aca="false">IF(H570="Yes",MONTH(I570),"")</f>
        <v/>
      </c>
      <c r="P570" s="21" t="str">
        <f aca="false">IF(H570="Yes",B570,"")</f>
        <v/>
      </c>
    </row>
    <row r="571" customFormat="false" ht="15" hidden="false" customHeight="false" outlineLevel="0" collapsed="false">
      <c r="A571" s="21" t="s">
        <v>1786</v>
      </c>
      <c r="B571" s="21" t="s">
        <v>179</v>
      </c>
      <c r="C571" s="21" t="s">
        <v>1290</v>
      </c>
      <c r="D571" s="21" t="s">
        <v>1191</v>
      </c>
      <c r="E571" s="33" t="n">
        <v>45265</v>
      </c>
      <c r="F571" s="21" t="s">
        <v>1185</v>
      </c>
      <c r="G571" s="32" t="n">
        <v>13.7</v>
      </c>
      <c r="H571" s="21" t="s">
        <v>120</v>
      </c>
      <c r="I571" s="33" t="n">
        <v>45299</v>
      </c>
      <c r="J571" s="21" t="str">
        <f aca="false">INDEX(Students!$C$2:$C$601,MATCH(B571,Students!$A$2:$A$601,0))</f>
        <v>Batch 2024</v>
      </c>
      <c r="K571" s="21" t="str">
        <f aca="false">INDEX(Students!$D$2:$D$601,MATCH(B571,Students!$A$2:$A$601,0))</f>
        <v>DSA with Java</v>
      </c>
      <c r="L571" s="21" t="str">
        <f aca="false">INDEX(Companies!$C$2:$C$31,MATCH(C571,Companies!$A$2:$A$31,0))</f>
        <v>Fintech</v>
      </c>
      <c r="M571" s="21" t="str">
        <f aca="false">INDEX(Companies!$D$2:$D$31,MATCH(C571,Companies!$A$2:$A$31,0))</f>
        <v>Tier 2</v>
      </c>
      <c r="N571" s="34" t="n">
        <f aca="false">MATCH(F571,Assumptions!$K$4:$K$8,0)</f>
        <v>5</v>
      </c>
      <c r="O571" s="21" t="n">
        <f aca="false">IF(H571="Yes",MONTH(I571),"")</f>
        <v>1</v>
      </c>
      <c r="P571" s="21" t="str">
        <f aca="false">IF(H571="Yes",B571,"")</f>
        <v>S0034</v>
      </c>
    </row>
    <row r="572" customFormat="false" ht="15" hidden="false" customHeight="false" outlineLevel="0" collapsed="false">
      <c r="A572" s="21" t="s">
        <v>1787</v>
      </c>
      <c r="B572" s="21" t="s">
        <v>454</v>
      </c>
      <c r="C572" s="21" t="s">
        <v>1263</v>
      </c>
      <c r="D572" s="21" t="s">
        <v>1188</v>
      </c>
      <c r="E572" s="33" t="n">
        <v>45265</v>
      </c>
      <c r="F572" s="21" t="s">
        <v>1175</v>
      </c>
      <c r="G572" s="32"/>
      <c r="H572" s="21"/>
      <c r="I572" s="33"/>
      <c r="J572" s="21" t="str">
        <f aca="false">INDEX(Students!$C$2:$C$601,MATCH(B572,Students!$A$2:$A$601,0))</f>
        <v>Batch 2024</v>
      </c>
      <c r="K572" s="21" t="str">
        <f aca="false">INDEX(Students!$D$2:$D$601,MATCH(B572,Students!$A$2:$A$601,0))</f>
        <v>Data Analytics</v>
      </c>
      <c r="L572" s="21" t="str">
        <f aca="false">INDEX(Companies!$C$2:$C$31,MATCH(C572,Companies!$A$2:$A$31,0))</f>
        <v>Analytics &amp; Consulting</v>
      </c>
      <c r="M572" s="21" t="str">
        <f aca="false">INDEX(Companies!$D$2:$D$31,MATCH(C572,Companies!$A$2:$A$31,0))</f>
        <v>Tier 2</v>
      </c>
      <c r="N572" s="34" t="n">
        <f aca="false">MATCH(F572,Assumptions!$K$4:$K$8,0)</f>
        <v>1</v>
      </c>
      <c r="O572" s="21" t="str">
        <f aca="false">IF(H572="Yes",MONTH(I572),"")</f>
        <v/>
      </c>
      <c r="P572" s="21" t="str">
        <f aca="false">IF(H572="Yes",B572,"")</f>
        <v/>
      </c>
    </row>
    <row r="573" customFormat="false" ht="15" hidden="false" customHeight="false" outlineLevel="0" collapsed="false">
      <c r="A573" s="21" t="s">
        <v>1788</v>
      </c>
      <c r="B573" s="21" t="s">
        <v>347</v>
      </c>
      <c r="C573" s="21" t="s">
        <v>1173</v>
      </c>
      <c r="D573" s="21" t="s">
        <v>1188</v>
      </c>
      <c r="E573" s="33" t="n">
        <v>45266</v>
      </c>
      <c r="F573" s="21" t="s">
        <v>1197</v>
      </c>
      <c r="G573" s="32"/>
      <c r="H573" s="21"/>
      <c r="I573" s="33"/>
      <c r="J573" s="21" t="str">
        <f aca="false">INDEX(Students!$C$2:$C$601,MATCH(B573,Students!$A$2:$A$601,0))</f>
        <v>Batch 2024</v>
      </c>
      <c r="K573" s="21" t="str">
        <f aca="false">INDEX(Students!$D$2:$D$601,MATCH(B573,Students!$A$2:$A$601,0))</f>
        <v>Data Analytics</v>
      </c>
      <c r="L573" s="21" t="str">
        <f aca="false">INDEX(Companies!$C$2:$C$31,MATCH(C573,Companies!$A$2:$A$31,0))</f>
        <v>Cybersecurity</v>
      </c>
      <c r="M573" s="21" t="str">
        <f aca="false">INDEX(Companies!$D$2:$D$31,MATCH(C573,Companies!$A$2:$A$31,0))</f>
        <v>Tier 1</v>
      </c>
      <c r="N573" s="34" t="n">
        <f aca="false">MATCH(F573,Assumptions!$K$4:$K$8,0)</f>
        <v>3</v>
      </c>
      <c r="O573" s="21" t="str">
        <f aca="false">IF(H573="Yes",MONTH(I573),"")</f>
        <v/>
      </c>
      <c r="P573" s="21" t="str">
        <f aca="false">IF(H573="Yes",B573,"")</f>
        <v/>
      </c>
    </row>
    <row r="574" customFormat="false" ht="15" hidden="false" customHeight="false" outlineLevel="0" collapsed="false">
      <c r="A574" s="21" t="s">
        <v>1789</v>
      </c>
      <c r="B574" s="21" t="s">
        <v>438</v>
      </c>
      <c r="C574" s="21" t="s">
        <v>1275</v>
      </c>
      <c r="D574" s="21" t="s">
        <v>1240</v>
      </c>
      <c r="E574" s="33" t="n">
        <v>45266</v>
      </c>
      <c r="F574" s="21" t="s">
        <v>1175</v>
      </c>
      <c r="G574" s="32"/>
      <c r="H574" s="21"/>
      <c r="I574" s="33"/>
      <c r="J574" s="21" t="str">
        <f aca="false">INDEX(Students!$C$2:$C$601,MATCH(B574,Students!$A$2:$A$601,0))</f>
        <v>Batch 2024</v>
      </c>
      <c r="K574" s="21" t="str">
        <f aca="false">INDEX(Students!$D$2:$D$601,MATCH(B574,Students!$A$2:$A$601,0))</f>
        <v>Cybersecurity</v>
      </c>
      <c r="L574" s="21" t="str">
        <f aca="false">INDEX(Companies!$C$2:$C$31,MATCH(C574,Companies!$A$2:$A$31,0))</f>
        <v>Cybersecurity</v>
      </c>
      <c r="M574" s="21" t="str">
        <f aca="false">INDEX(Companies!$D$2:$D$31,MATCH(C574,Companies!$A$2:$A$31,0))</f>
        <v>Tier 2</v>
      </c>
      <c r="N574" s="34" t="n">
        <f aca="false">MATCH(F574,Assumptions!$K$4:$K$8,0)</f>
        <v>1</v>
      </c>
      <c r="O574" s="21" t="str">
        <f aca="false">IF(H574="Yes",MONTH(I574),"")</f>
        <v/>
      </c>
      <c r="P574" s="21" t="str">
        <f aca="false">IF(H574="Yes",B574,"")</f>
        <v/>
      </c>
    </row>
    <row r="575" customFormat="false" ht="15" hidden="false" customHeight="false" outlineLevel="0" collapsed="false">
      <c r="A575" s="21" t="s">
        <v>1790</v>
      </c>
      <c r="B575" s="21" t="s">
        <v>283</v>
      </c>
      <c r="C575" s="21" t="s">
        <v>1199</v>
      </c>
      <c r="D575" s="21" t="s">
        <v>1191</v>
      </c>
      <c r="E575" s="33" t="n">
        <v>45266</v>
      </c>
      <c r="F575" s="21" t="s">
        <v>1178</v>
      </c>
      <c r="G575" s="32"/>
      <c r="H575" s="21"/>
      <c r="I575" s="33"/>
      <c r="J575" s="21" t="str">
        <f aca="false">INDEX(Students!$C$2:$C$601,MATCH(B575,Students!$A$2:$A$601,0))</f>
        <v>Batch 2024</v>
      </c>
      <c r="K575" s="21" t="str">
        <f aca="false">INDEX(Students!$D$2:$D$601,MATCH(B575,Students!$A$2:$A$601,0))</f>
        <v>DSA with Java</v>
      </c>
      <c r="L575" s="21" t="str">
        <f aca="false">INDEX(Companies!$C$2:$C$31,MATCH(C575,Companies!$A$2:$A$31,0))</f>
        <v>E-commerce</v>
      </c>
      <c r="M575" s="21" t="str">
        <f aca="false">INDEX(Companies!$D$2:$D$31,MATCH(C575,Companies!$A$2:$A$31,0))</f>
        <v>Tier 2</v>
      </c>
      <c r="N575" s="34" t="n">
        <f aca="false">MATCH(F575,Assumptions!$K$4:$K$8,0)</f>
        <v>2</v>
      </c>
      <c r="O575" s="21" t="str">
        <f aca="false">IF(H575="Yes",MONTH(I575),"")</f>
        <v/>
      </c>
      <c r="P575" s="21" t="str">
        <f aca="false">IF(H575="Yes",B575,"")</f>
        <v/>
      </c>
    </row>
    <row r="576" customFormat="false" ht="15" hidden="false" customHeight="false" outlineLevel="0" collapsed="false">
      <c r="A576" s="21" t="s">
        <v>1791</v>
      </c>
      <c r="B576" s="21" t="s">
        <v>281</v>
      </c>
      <c r="C576" s="21" t="s">
        <v>1183</v>
      </c>
      <c r="D576" s="21" t="s">
        <v>1188</v>
      </c>
      <c r="E576" s="33" t="n">
        <v>45266</v>
      </c>
      <c r="F576" s="21" t="s">
        <v>1178</v>
      </c>
      <c r="G576" s="32"/>
      <c r="H576" s="21"/>
      <c r="I576" s="33"/>
      <c r="J576" s="21" t="str">
        <f aca="false">INDEX(Students!$C$2:$C$601,MATCH(B576,Students!$A$2:$A$601,0))</f>
        <v>Batch 2024</v>
      </c>
      <c r="K576" s="21" t="str">
        <f aca="false">INDEX(Students!$D$2:$D$601,MATCH(B576,Students!$A$2:$A$601,0))</f>
        <v>Data Analytics</v>
      </c>
      <c r="L576" s="21" t="str">
        <f aca="false">INDEX(Companies!$C$2:$C$31,MATCH(C576,Companies!$A$2:$A$31,0))</f>
        <v>E-commerce</v>
      </c>
      <c r="M576" s="21" t="str">
        <f aca="false">INDEX(Companies!$D$2:$D$31,MATCH(C576,Companies!$A$2:$A$31,0))</f>
        <v>Tier 2</v>
      </c>
      <c r="N576" s="34" t="n">
        <f aca="false">MATCH(F576,Assumptions!$K$4:$K$8,0)</f>
        <v>2</v>
      </c>
      <c r="O576" s="21" t="str">
        <f aca="false">IF(H576="Yes",MONTH(I576),"")</f>
        <v/>
      </c>
      <c r="P576" s="21" t="str">
        <f aca="false">IF(H576="Yes",B576,"")</f>
        <v/>
      </c>
    </row>
    <row r="577" customFormat="false" ht="15" hidden="false" customHeight="false" outlineLevel="0" collapsed="false">
      <c r="A577" s="21" t="s">
        <v>1792</v>
      </c>
      <c r="B577" s="21" t="s">
        <v>408</v>
      </c>
      <c r="C577" s="21" t="s">
        <v>1216</v>
      </c>
      <c r="D577" s="21" t="s">
        <v>1194</v>
      </c>
      <c r="E577" s="33" t="n">
        <v>45266</v>
      </c>
      <c r="F577" s="21" t="s">
        <v>1175</v>
      </c>
      <c r="G577" s="32"/>
      <c r="H577" s="21"/>
      <c r="I577" s="33"/>
      <c r="J577" s="21" t="str">
        <f aca="false">INDEX(Students!$C$2:$C$601,MATCH(B577,Students!$A$2:$A$601,0))</f>
        <v>Batch 2024</v>
      </c>
      <c r="K577" s="21" t="str">
        <f aca="false">INDEX(Students!$D$2:$D$601,MATCH(B577,Students!$A$2:$A$601,0))</f>
        <v>Data Science &amp; ML</v>
      </c>
      <c r="L577" s="21" t="str">
        <f aca="false">INDEX(Companies!$C$2:$C$31,MATCH(C577,Companies!$A$2:$A$31,0))</f>
        <v>IT Services</v>
      </c>
      <c r="M577" s="21" t="str">
        <f aca="false">INDEX(Companies!$D$2:$D$31,MATCH(C577,Companies!$A$2:$A$31,0))</f>
        <v>Tier 3</v>
      </c>
      <c r="N577" s="34" t="n">
        <f aca="false">MATCH(F577,Assumptions!$K$4:$K$8,0)</f>
        <v>1</v>
      </c>
      <c r="O577" s="21" t="str">
        <f aca="false">IF(H577="Yes",MONTH(I577),"")</f>
        <v/>
      </c>
      <c r="P577" s="21" t="str">
        <f aca="false">IF(H577="Yes",B577,"")</f>
        <v/>
      </c>
    </row>
    <row r="578" customFormat="false" ht="15" hidden="false" customHeight="false" outlineLevel="0" collapsed="false">
      <c r="A578" s="21" t="s">
        <v>1793</v>
      </c>
      <c r="B578" s="21" t="s">
        <v>289</v>
      </c>
      <c r="C578" s="21" t="s">
        <v>1190</v>
      </c>
      <c r="D578" s="21" t="s">
        <v>1191</v>
      </c>
      <c r="E578" s="33" t="n">
        <v>45267</v>
      </c>
      <c r="F578" s="21" t="s">
        <v>1185</v>
      </c>
      <c r="G578" s="32" t="n">
        <v>24.9</v>
      </c>
      <c r="H578" s="21" t="s">
        <v>120</v>
      </c>
      <c r="I578" s="33" t="n">
        <v>45290</v>
      </c>
      <c r="J578" s="21" t="str">
        <f aca="false">INDEX(Students!$C$2:$C$601,MATCH(B578,Students!$A$2:$A$601,0))</f>
        <v>Batch 2024</v>
      </c>
      <c r="K578" s="21" t="str">
        <f aca="false">INDEX(Students!$D$2:$D$601,MATCH(B578,Students!$A$2:$A$601,0))</f>
        <v>DSA with Java</v>
      </c>
      <c r="L578" s="21" t="str">
        <f aca="false">INDEX(Companies!$C$2:$C$31,MATCH(C578,Companies!$A$2:$A$31,0))</f>
        <v>Analytics &amp; Consulting</v>
      </c>
      <c r="M578" s="21" t="str">
        <f aca="false">INDEX(Companies!$D$2:$D$31,MATCH(C578,Companies!$A$2:$A$31,0))</f>
        <v>Tier 1</v>
      </c>
      <c r="N578" s="34" t="n">
        <f aca="false">MATCH(F578,Assumptions!$K$4:$K$8,0)</f>
        <v>5</v>
      </c>
      <c r="O578" s="21" t="n">
        <f aca="false">IF(H578="Yes",MONTH(I578),"")</f>
        <v>12</v>
      </c>
      <c r="P578" s="21" t="str">
        <f aca="false">IF(H578="Yes",B578,"")</f>
        <v>S0091</v>
      </c>
    </row>
    <row r="579" customFormat="false" ht="15" hidden="false" customHeight="false" outlineLevel="0" collapsed="false">
      <c r="A579" s="21" t="s">
        <v>1794</v>
      </c>
      <c r="B579" s="21" t="s">
        <v>321</v>
      </c>
      <c r="C579" s="21" t="s">
        <v>1180</v>
      </c>
      <c r="D579" s="21" t="s">
        <v>1184</v>
      </c>
      <c r="E579" s="33" t="n">
        <v>45267</v>
      </c>
      <c r="F579" s="21" t="s">
        <v>1197</v>
      </c>
      <c r="G579" s="32"/>
      <c r="H579" s="21"/>
      <c r="I579" s="33"/>
      <c r="J579" s="21" t="str">
        <f aca="false">INDEX(Students!$C$2:$C$601,MATCH(B579,Students!$A$2:$A$601,0))</f>
        <v>Batch 2024</v>
      </c>
      <c r="K579" s="21" t="str">
        <f aca="false">INDEX(Students!$D$2:$D$601,MATCH(B579,Students!$A$2:$A$601,0))</f>
        <v>DSA with Java</v>
      </c>
      <c r="L579" s="21" t="str">
        <f aca="false">INDEX(Companies!$C$2:$C$31,MATCH(C579,Companies!$A$2:$A$31,0))</f>
        <v>IT Services</v>
      </c>
      <c r="M579" s="21" t="str">
        <f aca="false">INDEX(Companies!$D$2:$D$31,MATCH(C579,Companies!$A$2:$A$31,0))</f>
        <v>Tier 3</v>
      </c>
      <c r="N579" s="34" t="n">
        <f aca="false">MATCH(F579,Assumptions!$K$4:$K$8,0)</f>
        <v>3</v>
      </c>
      <c r="O579" s="21" t="str">
        <f aca="false">IF(H579="Yes",MONTH(I579),"")</f>
        <v/>
      </c>
      <c r="P579" s="21" t="str">
        <f aca="false">IF(H579="Yes",B579,"")</f>
        <v/>
      </c>
    </row>
    <row r="580" customFormat="false" ht="15" hidden="false" customHeight="false" outlineLevel="0" collapsed="false">
      <c r="A580" s="21" t="s">
        <v>1795</v>
      </c>
      <c r="B580" s="21" t="s">
        <v>295</v>
      </c>
      <c r="C580" s="21" t="s">
        <v>1222</v>
      </c>
      <c r="D580" s="21" t="s">
        <v>1181</v>
      </c>
      <c r="E580" s="33" t="n">
        <v>45267</v>
      </c>
      <c r="F580" s="21" t="s">
        <v>1175</v>
      </c>
      <c r="G580" s="32"/>
      <c r="H580" s="21"/>
      <c r="I580" s="33"/>
      <c r="J580" s="21" t="str">
        <f aca="false">INDEX(Students!$C$2:$C$601,MATCH(B580,Students!$A$2:$A$601,0))</f>
        <v>Batch 2024</v>
      </c>
      <c r="K580" s="21" t="str">
        <f aca="false">INDEX(Students!$D$2:$D$601,MATCH(B580,Students!$A$2:$A$601,0))</f>
        <v>Full Stack Development</v>
      </c>
      <c r="L580" s="21" t="str">
        <f aca="false">INDEX(Companies!$C$2:$C$31,MATCH(C580,Companies!$A$2:$A$31,0))</f>
        <v>Product</v>
      </c>
      <c r="M580" s="21" t="str">
        <f aca="false">INDEX(Companies!$D$2:$D$31,MATCH(C580,Companies!$A$2:$A$31,0))</f>
        <v>Tier 2</v>
      </c>
      <c r="N580" s="34" t="n">
        <f aca="false">MATCH(F580,Assumptions!$K$4:$K$8,0)</f>
        <v>1</v>
      </c>
      <c r="O580" s="21" t="str">
        <f aca="false">IF(H580="Yes",MONTH(I580),"")</f>
        <v/>
      </c>
      <c r="P580" s="21" t="str">
        <f aca="false">IF(H580="Yes",B580,"")</f>
        <v/>
      </c>
    </row>
    <row r="581" customFormat="false" ht="15" hidden="false" customHeight="false" outlineLevel="0" collapsed="false">
      <c r="A581" s="21" t="s">
        <v>1796</v>
      </c>
      <c r="B581" s="21" t="s">
        <v>429</v>
      </c>
      <c r="C581" s="21" t="s">
        <v>1230</v>
      </c>
      <c r="D581" s="21" t="s">
        <v>1209</v>
      </c>
      <c r="E581" s="33" t="n">
        <v>45268</v>
      </c>
      <c r="F581" s="21" t="s">
        <v>1218</v>
      </c>
      <c r="G581" s="32"/>
      <c r="H581" s="21"/>
      <c r="I581" s="33"/>
      <c r="J581" s="21" t="str">
        <f aca="false">INDEX(Students!$C$2:$C$601,MATCH(B581,Students!$A$2:$A$601,0))</f>
        <v>Batch 2024</v>
      </c>
      <c r="K581" s="21" t="str">
        <f aca="false">INDEX(Students!$D$2:$D$601,MATCH(B581,Students!$A$2:$A$601,0))</f>
        <v>Data Analytics</v>
      </c>
      <c r="L581" s="21" t="str">
        <f aca="false">INDEX(Companies!$C$2:$C$31,MATCH(C581,Companies!$A$2:$A$31,0))</f>
        <v>IT Services</v>
      </c>
      <c r="M581" s="21" t="str">
        <f aca="false">INDEX(Companies!$D$2:$D$31,MATCH(C581,Companies!$A$2:$A$31,0))</f>
        <v>Tier 3</v>
      </c>
      <c r="N581" s="34" t="n">
        <f aca="false">MATCH(F581,Assumptions!$K$4:$K$8,0)</f>
        <v>4</v>
      </c>
      <c r="O581" s="21" t="str">
        <f aca="false">IF(H581="Yes",MONTH(I581),"")</f>
        <v/>
      </c>
      <c r="P581" s="21" t="str">
        <f aca="false">IF(H581="Yes",B581,"")</f>
        <v/>
      </c>
    </row>
    <row r="582" customFormat="false" ht="15" hidden="false" customHeight="false" outlineLevel="0" collapsed="false">
      <c r="A582" s="21" t="s">
        <v>1797</v>
      </c>
      <c r="B582" s="21" t="s">
        <v>279</v>
      </c>
      <c r="C582" s="21" t="s">
        <v>1222</v>
      </c>
      <c r="D582" s="21" t="s">
        <v>1240</v>
      </c>
      <c r="E582" s="33" t="n">
        <v>45268</v>
      </c>
      <c r="F582" s="21" t="s">
        <v>1175</v>
      </c>
      <c r="G582" s="32"/>
      <c r="H582" s="21"/>
      <c r="I582" s="33"/>
      <c r="J582" s="21" t="str">
        <f aca="false">INDEX(Students!$C$2:$C$601,MATCH(B582,Students!$A$2:$A$601,0))</f>
        <v>Batch 2024</v>
      </c>
      <c r="K582" s="21" t="str">
        <f aca="false">INDEX(Students!$D$2:$D$601,MATCH(B582,Students!$A$2:$A$601,0))</f>
        <v>Cybersecurity</v>
      </c>
      <c r="L582" s="21" t="str">
        <f aca="false">INDEX(Companies!$C$2:$C$31,MATCH(C582,Companies!$A$2:$A$31,0))</f>
        <v>Product</v>
      </c>
      <c r="M582" s="21" t="str">
        <f aca="false">INDEX(Companies!$D$2:$D$31,MATCH(C582,Companies!$A$2:$A$31,0))</f>
        <v>Tier 2</v>
      </c>
      <c r="N582" s="34" t="n">
        <f aca="false">MATCH(F582,Assumptions!$K$4:$K$8,0)</f>
        <v>1</v>
      </c>
      <c r="O582" s="21" t="str">
        <f aca="false">IF(H582="Yes",MONTH(I582),"")</f>
        <v/>
      </c>
      <c r="P582" s="21" t="str">
        <f aca="false">IF(H582="Yes",B582,"")</f>
        <v/>
      </c>
    </row>
    <row r="583" customFormat="false" ht="15" hidden="false" customHeight="false" outlineLevel="0" collapsed="false">
      <c r="A583" s="21" t="s">
        <v>1798</v>
      </c>
      <c r="B583" s="21" t="s">
        <v>339</v>
      </c>
      <c r="C583" s="21" t="s">
        <v>1216</v>
      </c>
      <c r="D583" s="21" t="s">
        <v>1226</v>
      </c>
      <c r="E583" s="33" t="n">
        <v>45268</v>
      </c>
      <c r="F583" s="21" t="s">
        <v>1197</v>
      </c>
      <c r="G583" s="32"/>
      <c r="H583" s="21"/>
      <c r="I583" s="33"/>
      <c r="J583" s="21" t="str">
        <f aca="false">INDEX(Students!$C$2:$C$601,MATCH(B583,Students!$A$2:$A$601,0))</f>
        <v>Batch 2024</v>
      </c>
      <c r="K583" s="21" t="str">
        <f aca="false">INDEX(Students!$D$2:$D$601,MATCH(B583,Students!$A$2:$A$601,0))</f>
        <v>Cybersecurity</v>
      </c>
      <c r="L583" s="21" t="str">
        <f aca="false">INDEX(Companies!$C$2:$C$31,MATCH(C583,Companies!$A$2:$A$31,0))</f>
        <v>IT Services</v>
      </c>
      <c r="M583" s="21" t="str">
        <f aca="false">INDEX(Companies!$D$2:$D$31,MATCH(C583,Companies!$A$2:$A$31,0))</f>
        <v>Tier 3</v>
      </c>
      <c r="N583" s="34" t="n">
        <f aca="false">MATCH(F583,Assumptions!$K$4:$K$8,0)</f>
        <v>3</v>
      </c>
      <c r="O583" s="21" t="str">
        <f aca="false">IF(H583="Yes",MONTH(I583),"")</f>
        <v/>
      </c>
      <c r="P583" s="21" t="str">
        <f aca="false">IF(H583="Yes",B583,"")</f>
        <v/>
      </c>
    </row>
    <row r="584" customFormat="false" ht="15" hidden="false" customHeight="false" outlineLevel="0" collapsed="false">
      <c r="A584" s="21" t="s">
        <v>1799</v>
      </c>
      <c r="B584" s="21" t="s">
        <v>249</v>
      </c>
      <c r="C584" s="21" t="s">
        <v>1205</v>
      </c>
      <c r="D584" s="21" t="s">
        <v>1243</v>
      </c>
      <c r="E584" s="33" t="n">
        <v>45268</v>
      </c>
      <c r="F584" s="21" t="s">
        <v>1197</v>
      </c>
      <c r="G584" s="32"/>
      <c r="H584" s="21"/>
      <c r="I584" s="33"/>
      <c r="J584" s="21" t="str">
        <f aca="false">INDEX(Students!$C$2:$C$601,MATCH(B584,Students!$A$2:$A$601,0))</f>
        <v>Batch 2024</v>
      </c>
      <c r="K584" s="21" t="str">
        <f aca="false">INDEX(Students!$D$2:$D$601,MATCH(B584,Students!$A$2:$A$601,0))</f>
        <v>Data Science &amp; ML</v>
      </c>
      <c r="L584" s="21" t="str">
        <f aca="false">INDEX(Companies!$C$2:$C$31,MATCH(C584,Companies!$A$2:$A$31,0))</f>
        <v>Healthtech</v>
      </c>
      <c r="M584" s="21" t="str">
        <f aca="false">INDEX(Companies!$D$2:$D$31,MATCH(C584,Companies!$A$2:$A$31,0))</f>
        <v>Tier 3</v>
      </c>
      <c r="N584" s="34" t="n">
        <f aca="false">MATCH(F584,Assumptions!$K$4:$K$8,0)</f>
        <v>3</v>
      </c>
      <c r="O584" s="21" t="str">
        <f aca="false">IF(H584="Yes",MONTH(I584),"")</f>
        <v/>
      </c>
      <c r="P584" s="21" t="str">
        <f aca="false">IF(H584="Yes",B584,"")</f>
        <v/>
      </c>
    </row>
    <row r="585" customFormat="false" ht="15" hidden="false" customHeight="false" outlineLevel="0" collapsed="false">
      <c r="A585" s="21" t="s">
        <v>1800</v>
      </c>
      <c r="B585" s="21" t="s">
        <v>281</v>
      </c>
      <c r="C585" s="21" t="s">
        <v>1177</v>
      </c>
      <c r="D585" s="21" t="s">
        <v>1209</v>
      </c>
      <c r="E585" s="33" t="n">
        <v>45268</v>
      </c>
      <c r="F585" s="21" t="s">
        <v>1178</v>
      </c>
      <c r="G585" s="32"/>
      <c r="H585" s="21"/>
      <c r="I585" s="33"/>
      <c r="J585" s="21" t="str">
        <f aca="false">INDEX(Students!$C$2:$C$601,MATCH(B585,Students!$A$2:$A$601,0))</f>
        <v>Batch 2024</v>
      </c>
      <c r="K585" s="21" t="str">
        <f aca="false">INDEX(Students!$D$2:$D$601,MATCH(B585,Students!$A$2:$A$601,0))</f>
        <v>Data Analytics</v>
      </c>
      <c r="L585" s="21" t="str">
        <f aca="false">INDEX(Companies!$C$2:$C$31,MATCH(C585,Companies!$A$2:$A$31,0))</f>
        <v>IT Services</v>
      </c>
      <c r="M585" s="21" t="str">
        <f aca="false">INDEX(Companies!$D$2:$D$31,MATCH(C585,Companies!$A$2:$A$31,0))</f>
        <v>Tier 3</v>
      </c>
      <c r="N585" s="34" t="n">
        <f aca="false">MATCH(F585,Assumptions!$K$4:$K$8,0)</f>
        <v>2</v>
      </c>
      <c r="O585" s="21" t="str">
        <f aca="false">IF(H585="Yes",MONTH(I585),"")</f>
        <v/>
      </c>
      <c r="P585" s="21" t="str">
        <f aca="false">IF(H585="Yes",B585,"")</f>
        <v/>
      </c>
    </row>
    <row r="586" customFormat="false" ht="15" hidden="false" customHeight="false" outlineLevel="0" collapsed="false">
      <c r="A586" s="21" t="s">
        <v>1801</v>
      </c>
      <c r="B586" s="21" t="s">
        <v>436</v>
      </c>
      <c r="C586" s="21" t="s">
        <v>1201</v>
      </c>
      <c r="D586" s="21" t="s">
        <v>1174</v>
      </c>
      <c r="E586" s="33" t="n">
        <v>45268</v>
      </c>
      <c r="F586" s="21" t="s">
        <v>1178</v>
      </c>
      <c r="G586" s="32"/>
      <c r="H586" s="21"/>
      <c r="I586" s="33"/>
      <c r="J586" s="21" t="str">
        <f aca="false">INDEX(Students!$C$2:$C$601,MATCH(B586,Students!$A$2:$A$601,0))</f>
        <v>Batch 2024</v>
      </c>
      <c r="K586" s="21" t="str">
        <f aca="false">INDEX(Students!$D$2:$D$601,MATCH(B586,Students!$A$2:$A$601,0))</f>
        <v>Full Stack Development</v>
      </c>
      <c r="L586" s="21" t="str">
        <f aca="false">INDEX(Companies!$C$2:$C$31,MATCH(C586,Companies!$A$2:$A$31,0))</f>
        <v>IT Services</v>
      </c>
      <c r="M586" s="21" t="str">
        <f aca="false">INDEX(Companies!$D$2:$D$31,MATCH(C586,Companies!$A$2:$A$31,0))</f>
        <v>Tier 3</v>
      </c>
      <c r="N586" s="34" t="n">
        <f aca="false">MATCH(F586,Assumptions!$K$4:$K$8,0)</f>
        <v>2</v>
      </c>
      <c r="O586" s="21" t="str">
        <f aca="false">IF(H586="Yes",MONTH(I586),"")</f>
        <v/>
      </c>
      <c r="P586" s="21" t="str">
        <f aca="false">IF(H586="Yes",B586,"")</f>
        <v/>
      </c>
    </row>
    <row r="587" customFormat="false" ht="15" hidden="false" customHeight="false" outlineLevel="0" collapsed="false">
      <c r="A587" s="21" t="s">
        <v>1802</v>
      </c>
      <c r="B587" s="21" t="s">
        <v>189</v>
      </c>
      <c r="C587" s="21" t="s">
        <v>1228</v>
      </c>
      <c r="D587" s="21" t="s">
        <v>1181</v>
      </c>
      <c r="E587" s="33" t="n">
        <v>45268</v>
      </c>
      <c r="F587" s="21" t="s">
        <v>1178</v>
      </c>
      <c r="G587" s="32"/>
      <c r="H587" s="21"/>
      <c r="I587" s="33"/>
      <c r="J587" s="21" t="str">
        <f aca="false">INDEX(Students!$C$2:$C$601,MATCH(B587,Students!$A$2:$A$601,0))</f>
        <v>Batch 2024</v>
      </c>
      <c r="K587" s="21" t="str">
        <f aca="false">INDEX(Students!$D$2:$D$601,MATCH(B587,Students!$A$2:$A$601,0))</f>
        <v>Full Stack Development</v>
      </c>
      <c r="L587" s="21" t="str">
        <f aca="false">INDEX(Companies!$C$2:$C$31,MATCH(C587,Companies!$A$2:$A$31,0))</f>
        <v>Fintech</v>
      </c>
      <c r="M587" s="21" t="str">
        <f aca="false">INDEX(Companies!$D$2:$D$31,MATCH(C587,Companies!$A$2:$A$31,0))</f>
        <v>Tier 1</v>
      </c>
      <c r="N587" s="34" t="n">
        <f aca="false">MATCH(F587,Assumptions!$K$4:$K$8,0)</f>
        <v>2</v>
      </c>
      <c r="O587" s="21" t="str">
        <f aca="false">IF(H587="Yes",MONTH(I587),"")</f>
        <v/>
      </c>
      <c r="P587" s="21" t="str">
        <f aca="false">IF(H587="Yes",B587,"")</f>
        <v/>
      </c>
    </row>
    <row r="588" customFormat="false" ht="15" hidden="false" customHeight="false" outlineLevel="0" collapsed="false">
      <c r="A588" s="21" t="s">
        <v>1803</v>
      </c>
      <c r="B588" s="21" t="s">
        <v>121</v>
      </c>
      <c r="C588" s="21" t="s">
        <v>1234</v>
      </c>
      <c r="D588" s="21" t="s">
        <v>1184</v>
      </c>
      <c r="E588" s="33" t="n">
        <v>45268</v>
      </c>
      <c r="F588" s="21" t="s">
        <v>1178</v>
      </c>
      <c r="G588" s="32"/>
      <c r="H588" s="21"/>
      <c r="I588" s="33"/>
      <c r="J588" s="21" t="str">
        <f aca="false">INDEX(Students!$C$2:$C$601,MATCH(B588,Students!$A$2:$A$601,0))</f>
        <v>Batch 2024</v>
      </c>
      <c r="K588" s="21" t="str">
        <f aca="false">INDEX(Students!$D$2:$D$601,MATCH(B588,Students!$A$2:$A$601,0))</f>
        <v>DSA with Java</v>
      </c>
      <c r="L588" s="21" t="str">
        <f aca="false">INDEX(Companies!$C$2:$C$31,MATCH(C588,Companies!$A$2:$A$31,0))</f>
        <v>EdTech</v>
      </c>
      <c r="M588" s="21" t="str">
        <f aca="false">INDEX(Companies!$D$2:$D$31,MATCH(C588,Companies!$A$2:$A$31,0))</f>
        <v>Tier 3</v>
      </c>
      <c r="N588" s="34" t="n">
        <f aca="false">MATCH(F588,Assumptions!$K$4:$K$8,0)</f>
        <v>2</v>
      </c>
      <c r="O588" s="21" t="str">
        <f aca="false">IF(H588="Yes",MONTH(I588),"")</f>
        <v/>
      </c>
      <c r="P588" s="21" t="str">
        <f aca="false">IF(H588="Yes",B588,"")</f>
        <v/>
      </c>
    </row>
    <row r="589" customFormat="false" ht="15" hidden="false" customHeight="false" outlineLevel="0" collapsed="false">
      <c r="A589" s="21" t="s">
        <v>1804</v>
      </c>
      <c r="B589" s="21" t="s">
        <v>397</v>
      </c>
      <c r="C589" s="21" t="s">
        <v>1275</v>
      </c>
      <c r="D589" s="21" t="s">
        <v>1184</v>
      </c>
      <c r="E589" s="33" t="n">
        <v>45269</v>
      </c>
      <c r="F589" s="21" t="s">
        <v>1175</v>
      </c>
      <c r="G589" s="32"/>
      <c r="H589" s="21"/>
      <c r="I589" s="33"/>
      <c r="J589" s="21" t="str">
        <f aca="false">INDEX(Students!$C$2:$C$601,MATCH(B589,Students!$A$2:$A$601,0))</f>
        <v>Batch 2024</v>
      </c>
      <c r="K589" s="21" t="str">
        <f aca="false">INDEX(Students!$D$2:$D$601,MATCH(B589,Students!$A$2:$A$601,0))</f>
        <v>DSA with Java</v>
      </c>
      <c r="L589" s="21" t="str">
        <f aca="false">INDEX(Companies!$C$2:$C$31,MATCH(C589,Companies!$A$2:$A$31,0))</f>
        <v>Cybersecurity</v>
      </c>
      <c r="M589" s="21" t="str">
        <f aca="false">INDEX(Companies!$D$2:$D$31,MATCH(C589,Companies!$A$2:$A$31,0))</f>
        <v>Tier 2</v>
      </c>
      <c r="N589" s="34" t="n">
        <f aca="false">MATCH(F589,Assumptions!$K$4:$K$8,0)</f>
        <v>1</v>
      </c>
      <c r="O589" s="21" t="str">
        <f aca="false">IF(H589="Yes",MONTH(I589),"")</f>
        <v/>
      </c>
      <c r="P589" s="21" t="str">
        <f aca="false">IF(H589="Yes",B589,"")</f>
        <v/>
      </c>
    </row>
    <row r="590" customFormat="false" ht="15" hidden="false" customHeight="false" outlineLevel="0" collapsed="false">
      <c r="A590" s="21" t="s">
        <v>1805</v>
      </c>
      <c r="B590" s="21" t="s">
        <v>177</v>
      </c>
      <c r="C590" s="21" t="s">
        <v>1190</v>
      </c>
      <c r="D590" s="21" t="s">
        <v>1181</v>
      </c>
      <c r="E590" s="33" t="n">
        <v>45269</v>
      </c>
      <c r="F590" s="21" t="s">
        <v>1175</v>
      </c>
      <c r="G590" s="32"/>
      <c r="H590" s="21"/>
      <c r="I590" s="33"/>
      <c r="J590" s="21" t="str">
        <f aca="false">INDEX(Students!$C$2:$C$601,MATCH(B590,Students!$A$2:$A$601,0))</f>
        <v>Batch 2024</v>
      </c>
      <c r="K590" s="21" t="str">
        <f aca="false">INDEX(Students!$D$2:$D$601,MATCH(B590,Students!$A$2:$A$601,0))</f>
        <v>Full Stack Development</v>
      </c>
      <c r="L590" s="21" t="str">
        <f aca="false">INDEX(Companies!$C$2:$C$31,MATCH(C590,Companies!$A$2:$A$31,0))</f>
        <v>Analytics &amp; Consulting</v>
      </c>
      <c r="M590" s="21" t="str">
        <f aca="false">INDEX(Companies!$D$2:$D$31,MATCH(C590,Companies!$A$2:$A$31,0))</f>
        <v>Tier 1</v>
      </c>
      <c r="N590" s="34" t="n">
        <f aca="false">MATCH(F590,Assumptions!$K$4:$K$8,0)</f>
        <v>1</v>
      </c>
      <c r="O590" s="21" t="str">
        <f aca="false">IF(H590="Yes",MONTH(I590),"")</f>
        <v/>
      </c>
      <c r="P590" s="21" t="str">
        <f aca="false">IF(H590="Yes",B590,"")</f>
        <v/>
      </c>
    </row>
    <row r="591" customFormat="false" ht="15" hidden="false" customHeight="false" outlineLevel="0" collapsed="false">
      <c r="A591" s="21" t="s">
        <v>1806</v>
      </c>
      <c r="B591" s="21" t="s">
        <v>245</v>
      </c>
      <c r="C591" s="21" t="s">
        <v>1205</v>
      </c>
      <c r="D591" s="21" t="s">
        <v>1181</v>
      </c>
      <c r="E591" s="33" t="n">
        <v>45269</v>
      </c>
      <c r="F591" s="21" t="s">
        <v>1185</v>
      </c>
      <c r="G591" s="32" t="n">
        <v>5.2</v>
      </c>
      <c r="H591" s="21" t="s">
        <v>120</v>
      </c>
      <c r="I591" s="33" t="n">
        <v>45292</v>
      </c>
      <c r="J591" s="21" t="str">
        <f aca="false">INDEX(Students!$C$2:$C$601,MATCH(B591,Students!$A$2:$A$601,0))</f>
        <v>Batch 2024</v>
      </c>
      <c r="K591" s="21" t="str">
        <f aca="false">INDEX(Students!$D$2:$D$601,MATCH(B591,Students!$A$2:$A$601,0))</f>
        <v>Full Stack Development</v>
      </c>
      <c r="L591" s="21" t="str">
        <f aca="false">INDEX(Companies!$C$2:$C$31,MATCH(C591,Companies!$A$2:$A$31,0))</f>
        <v>Healthtech</v>
      </c>
      <c r="M591" s="21" t="str">
        <f aca="false">INDEX(Companies!$D$2:$D$31,MATCH(C591,Companies!$A$2:$A$31,0))</f>
        <v>Tier 3</v>
      </c>
      <c r="N591" s="34" t="n">
        <f aca="false">MATCH(F591,Assumptions!$K$4:$K$8,0)</f>
        <v>5</v>
      </c>
      <c r="O591" s="21" t="n">
        <f aca="false">IF(H591="Yes",MONTH(I591),"")</f>
        <v>1</v>
      </c>
      <c r="P591" s="21" t="str">
        <f aca="false">IF(H591="Yes",B591,"")</f>
        <v>S0068</v>
      </c>
    </row>
    <row r="592" customFormat="false" ht="15" hidden="false" customHeight="false" outlineLevel="0" collapsed="false">
      <c r="A592" s="21" t="s">
        <v>1807</v>
      </c>
      <c r="B592" s="21" t="s">
        <v>289</v>
      </c>
      <c r="C592" s="21" t="s">
        <v>1222</v>
      </c>
      <c r="D592" s="21" t="s">
        <v>1184</v>
      </c>
      <c r="E592" s="33" t="n">
        <v>45270</v>
      </c>
      <c r="F592" s="21" t="s">
        <v>1185</v>
      </c>
      <c r="G592" s="32" t="n">
        <v>9.2</v>
      </c>
      <c r="H592" s="21" t="s">
        <v>113</v>
      </c>
      <c r="I592" s="33" t="n">
        <v>45292</v>
      </c>
      <c r="J592" s="21" t="str">
        <f aca="false">INDEX(Students!$C$2:$C$601,MATCH(B592,Students!$A$2:$A$601,0))</f>
        <v>Batch 2024</v>
      </c>
      <c r="K592" s="21" t="str">
        <f aca="false">INDEX(Students!$D$2:$D$601,MATCH(B592,Students!$A$2:$A$601,0))</f>
        <v>DSA with Java</v>
      </c>
      <c r="L592" s="21" t="str">
        <f aca="false">INDEX(Companies!$C$2:$C$31,MATCH(C592,Companies!$A$2:$A$31,0))</f>
        <v>Product</v>
      </c>
      <c r="M592" s="21" t="str">
        <f aca="false">INDEX(Companies!$D$2:$D$31,MATCH(C592,Companies!$A$2:$A$31,0))</f>
        <v>Tier 2</v>
      </c>
      <c r="N592" s="34" t="n">
        <f aca="false">MATCH(F592,Assumptions!$K$4:$K$8,0)</f>
        <v>5</v>
      </c>
      <c r="O592" s="21" t="str">
        <f aca="false">IF(H592="Yes",MONTH(I592),"")</f>
        <v/>
      </c>
      <c r="P592" s="21" t="str">
        <f aca="false">IF(H592="Yes",B592,"")</f>
        <v/>
      </c>
    </row>
    <row r="593" customFormat="false" ht="15" hidden="false" customHeight="false" outlineLevel="0" collapsed="false">
      <c r="A593" s="21" t="s">
        <v>1808</v>
      </c>
      <c r="B593" s="21" t="s">
        <v>443</v>
      </c>
      <c r="C593" s="21" t="s">
        <v>1309</v>
      </c>
      <c r="D593" s="21" t="s">
        <v>1174</v>
      </c>
      <c r="E593" s="33" t="n">
        <v>45270</v>
      </c>
      <c r="F593" s="21" t="s">
        <v>1197</v>
      </c>
      <c r="G593" s="32"/>
      <c r="H593" s="21"/>
      <c r="I593" s="33"/>
      <c r="J593" s="21" t="str">
        <f aca="false">INDEX(Students!$C$2:$C$601,MATCH(B593,Students!$A$2:$A$601,0))</f>
        <v>Batch 2024</v>
      </c>
      <c r="K593" s="21" t="str">
        <f aca="false">INDEX(Students!$D$2:$D$601,MATCH(B593,Students!$A$2:$A$601,0))</f>
        <v>Full Stack Development</v>
      </c>
      <c r="L593" s="21" t="str">
        <f aca="false">INDEX(Companies!$C$2:$C$31,MATCH(C593,Companies!$A$2:$A$31,0))</f>
        <v>EdTech</v>
      </c>
      <c r="M593" s="21" t="str">
        <f aca="false">INDEX(Companies!$D$2:$D$31,MATCH(C593,Companies!$A$2:$A$31,0))</f>
        <v>Tier 2</v>
      </c>
      <c r="N593" s="34" t="n">
        <f aca="false">MATCH(F593,Assumptions!$K$4:$K$8,0)</f>
        <v>3</v>
      </c>
      <c r="O593" s="21" t="str">
        <f aca="false">IF(H593="Yes",MONTH(I593),"")</f>
        <v/>
      </c>
      <c r="P593" s="21" t="str">
        <f aca="false">IF(H593="Yes",B593,"")</f>
        <v/>
      </c>
    </row>
    <row r="594" customFormat="false" ht="15" hidden="false" customHeight="false" outlineLevel="0" collapsed="false">
      <c r="A594" s="21" t="s">
        <v>1809</v>
      </c>
      <c r="B594" s="21" t="s">
        <v>207</v>
      </c>
      <c r="C594" s="21" t="s">
        <v>1199</v>
      </c>
      <c r="D594" s="21" t="s">
        <v>1188</v>
      </c>
      <c r="E594" s="33" t="n">
        <v>45270</v>
      </c>
      <c r="F594" s="21" t="s">
        <v>1178</v>
      </c>
      <c r="G594" s="32"/>
      <c r="H594" s="21"/>
      <c r="I594" s="33"/>
      <c r="J594" s="21" t="str">
        <f aca="false">INDEX(Students!$C$2:$C$601,MATCH(B594,Students!$A$2:$A$601,0))</f>
        <v>Batch 2024</v>
      </c>
      <c r="K594" s="21" t="str">
        <f aca="false">INDEX(Students!$D$2:$D$601,MATCH(B594,Students!$A$2:$A$601,0))</f>
        <v>Data Analytics</v>
      </c>
      <c r="L594" s="21" t="str">
        <f aca="false">INDEX(Companies!$C$2:$C$31,MATCH(C594,Companies!$A$2:$A$31,0))</f>
        <v>E-commerce</v>
      </c>
      <c r="M594" s="21" t="str">
        <f aca="false">INDEX(Companies!$D$2:$D$31,MATCH(C594,Companies!$A$2:$A$31,0))</f>
        <v>Tier 2</v>
      </c>
      <c r="N594" s="34" t="n">
        <f aca="false">MATCH(F594,Assumptions!$K$4:$K$8,0)</f>
        <v>2</v>
      </c>
      <c r="O594" s="21" t="str">
        <f aca="false">IF(H594="Yes",MONTH(I594),"")</f>
        <v/>
      </c>
      <c r="P594" s="21" t="str">
        <f aca="false">IF(H594="Yes",B594,"")</f>
        <v/>
      </c>
    </row>
    <row r="595" customFormat="false" ht="15" hidden="false" customHeight="false" outlineLevel="0" collapsed="false">
      <c r="A595" s="21" t="s">
        <v>1810</v>
      </c>
      <c r="B595" s="21" t="s">
        <v>415</v>
      </c>
      <c r="C595" s="21" t="s">
        <v>1173</v>
      </c>
      <c r="D595" s="21" t="s">
        <v>1226</v>
      </c>
      <c r="E595" s="33" t="n">
        <v>45271</v>
      </c>
      <c r="F595" s="21" t="s">
        <v>1197</v>
      </c>
      <c r="G595" s="32"/>
      <c r="H595" s="21"/>
      <c r="I595" s="33"/>
      <c r="J595" s="21" t="str">
        <f aca="false">INDEX(Students!$C$2:$C$601,MATCH(B595,Students!$A$2:$A$601,0))</f>
        <v>Batch 2024</v>
      </c>
      <c r="K595" s="21" t="str">
        <f aca="false">INDEX(Students!$D$2:$D$601,MATCH(B595,Students!$A$2:$A$601,0))</f>
        <v>Cybersecurity</v>
      </c>
      <c r="L595" s="21" t="str">
        <f aca="false">INDEX(Companies!$C$2:$C$31,MATCH(C595,Companies!$A$2:$A$31,0))</f>
        <v>Cybersecurity</v>
      </c>
      <c r="M595" s="21" t="str">
        <f aca="false">INDEX(Companies!$D$2:$D$31,MATCH(C595,Companies!$A$2:$A$31,0))</f>
        <v>Tier 1</v>
      </c>
      <c r="N595" s="34" t="n">
        <f aca="false">MATCH(F595,Assumptions!$K$4:$K$8,0)</f>
        <v>3</v>
      </c>
      <c r="O595" s="21" t="str">
        <f aca="false">IF(H595="Yes",MONTH(I595),"")</f>
        <v/>
      </c>
      <c r="P595" s="21" t="str">
        <f aca="false">IF(H595="Yes",B595,"")</f>
        <v/>
      </c>
    </row>
    <row r="596" customFormat="false" ht="15" hidden="false" customHeight="false" outlineLevel="0" collapsed="false">
      <c r="A596" s="21" t="s">
        <v>1811</v>
      </c>
      <c r="B596" s="21" t="s">
        <v>287</v>
      </c>
      <c r="C596" s="21" t="s">
        <v>1193</v>
      </c>
      <c r="D596" s="21" t="s">
        <v>1188</v>
      </c>
      <c r="E596" s="33" t="n">
        <v>45272</v>
      </c>
      <c r="F596" s="21" t="s">
        <v>1197</v>
      </c>
      <c r="G596" s="32"/>
      <c r="H596" s="21"/>
      <c r="I596" s="33"/>
      <c r="J596" s="21" t="str">
        <f aca="false">INDEX(Students!$C$2:$C$601,MATCH(B596,Students!$A$2:$A$601,0))</f>
        <v>Batch 2024</v>
      </c>
      <c r="K596" s="21" t="str">
        <f aca="false">INDEX(Students!$D$2:$D$601,MATCH(B596,Students!$A$2:$A$601,0))</f>
        <v>Data Analytics</v>
      </c>
      <c r="L596" s="21" t="str">
        <f aca="false">INDEX(Companies!$C$2:$C$31,MATCH(C596,Companies!$A$2:$A$31,0))</f>
        <v>Analytics &amp; Consulting</v>
      </c>
      <c r="M596" s="21" t="str">
        <f aca="false">INDEX(Companies!$D$2:$D$31,MATCH(C596,Companies!$A$2:$A$31,0))</f>
        <v>Tier 2</v>
      </c>
      <c r="N596" s="34" t="n">
        <f aca="false">MATCH(F596,Assumptions!$K$4:$K$8,0)</f>
        <v>3</v>
      </c>
      <c r="O596" s="21" t="str">
        <f aca="false">IF(H596="Yes",MONTH(I596),"")</f>
        <v/>
      </c>
      <c r="P596" s="21" t="str">
        <f aca="false">IF(H596="Yes",B596,"")</f>
        <v/>
      </c>
    </row>
    <row r="597" customFormat="false" ht="15" hidden="false" customHeight="false" outlineLevel="0" collapsed="false">
      <c r="A597" s="21" t="s">
        <v>1812</v>
      </c>
      <c r="B597" s="21" t="s">
        <v>417</v>
      </c>
      <c r="C597" s="21" t="s">
        <v>1214</v>
      </c>
      <c r="D597" s="21" t="s">
        <v>1181</v>
      </c>
      <c r="E597" s="33" t="n">
        <v>45272</v>
      </c>
      <c r="F597" s="21" t="s">
        <v>1175</v>
      </c>
      <c r="G597" s="32"/>
      <c r="H597" s="21"/>
      <c r="I597" s="33"/>
      <c r="J597" s="21" t="str">
        <f aca="false">INDEX(Students!$C$2:$C$601,MATCH(B597,Students!$A$2:$A$601,0))</f>
        <v>Batch 2024</v>
      </c>
      <c r="K597" s="21" t="str">
        <f aca="false">INDEX(Students!$D$2:$D$601,MATCH(B597,Students!$A$2:$A$601,0))</f>
        <v>Full Stack Development</v>
      </c>
      <c r="L597" s="21" t="str">
        <f aca="false">INDEX(Companies!$C$2:$C$31,MATCH(C597,Companies!$A$2:$A$31,0))</f>
        <v>Product</v>
      </c>
      <c r="M597" s="21" t="str">
        <f aca="false">INDEX(Companies!$D$2:$D$31,MATCH(C597,Companies!$A$2:$A$31,0))</f>
        <v>Tier 1</v>
      </c>
      <c r="N597" s="34" t="n">
        <f aca="false">MATCH(F597,Assumptions!$K$4:$K$8,0)</f>
        <v>1</v>
      </c>
      <c r="O597" s="21" t="str">
        <f aca="false">IF(H597="Yes",MONTH(I597),"")</f>
        <v/>
      </c>
      <c r="P597" s="21" t="str">
        <f aca="false">IF(H597="Yes",B597,"")</f>
        <v/>
      </c>
    </row>
    <row r="598" customFormat="false" ht="15" hidden="false" customHeight="false" outlineLevel="0" collapsed="false">
      <c r="A598" s="21" t="s">
        <v>1813</v>
      </c>
      <c r="B598" s="21" t="s">
        <v>153</v>
      </c>
      <c r="C598" s="21" t="s">
        <v>1196</v>
      </c>
      <c r="D598" s="21" t="s">
        <v>1184</v>
      </c>
      <c r="E598" s="33" t="n">
        <v>45272</v>
      </c>
      <c r="F598" s="21" t="s">
        <v>1185</v>
      </c>
      <c r="G598" s="32" t="n">
        <v>6.7</v>
      </c>
      <c r="H598" s="21" t="s">
        <v>113</v>
      </c>
      <c r="I598" s="33" t="n">
        <v>45298</v>
      </c>
      <c r="J598" s="21" t="str">
        <f aca="false">INDEX(Students!$C$2:$C$601,MATCH(B598,Students!$A$2:$A$601,0))</f>
        <v>Batch 2024</v>
      </c>
      <c r="K598" s="21" t="str">
        <f aca="false">INDEX(Students!$D$2:$D$601,MATCH(B598,Students!$A$2:$A$601,0))</f>
        <v>DSA with Java</v>
      </c>
      <c r="L598" s="21" t="str">
        <f aca="false">INDEX(Companies!$C$2:$C$31,MATCH(C598,Companies!$A$2:$A$31,0))</f>
        <v>IT Services</v>
      </c>
      <c r="M598" s="21" t="str">
        <f aca="false">INDEX(Companies!$D$2:$D$31,MATCH(C598,Companies!$A$2:$A$31,0))</f>
        <v>Tier 3</v>
      </c>
      <c r="N598" s="34" t="n">
        <f aca="false">MATCH(F598,Assumptions!$K$4:$K$8,0)</f>
        <v>5</v>
      </c>
      <c r="O598" s="21" t="str">
        <f aca="false">IF(H598="Yes",MONTH(I598),"")</f>
        <v/>
      </c>
      <c r="P598" s="21" t="str">
        <f aca="false">IF(H598="Yes",B598,"")</f>
        <v/>
      </c>
    </row>
    <row r="599" customFormat="false" ht="15" hidden="false" customHeight="false" outlineLevel="0" collapsed="false">
      <c r="A599" s="21" t="s">
        <v>1814</v>
      </c>
      <c r="B599" s="21" t="s">
        <v>337</v>
      </c>
      <c r="C599" s="21" t="s">
        <v>1203</v>
      </c>
      <c r="D599" s="21" t="s">
        <v>1194</v>
      </c>
      <c r="E599" s="33" t="n">
        <v>45272</v>
      </c>
      <c r="F599" s="21" t="s">
        <v>1175</v>
      </c>
      <c r="G599" s="32"/>
      <c r="H599" s="21"/>
      <c r="I599" s="33"/>
      <c r="J599" s="21" t="str">
        <f aca="false">INDEX(Students!$C$2:$C$601,MATCH(B599,Students!$A$2:$A$601,0))</f>
        <v>Batch 2024</v>
      </c>
      <c r="K599" s="21" t="str">
        <f aca="false">INDEX(Students!$D$2:$D$601,MATCH(B599,Students!$A$2:$A$601,0))</f>
        <v>Data Science &amp; ML</v>
      </c>
      <c r="L599" s="21" t="str">
        <f aca="false">INDEX(Companies!$C$2:$C$31,MATCH(C599,Companies!$A$2:$A$31,0))</f>
        <v>Healthtech</v>
      </c>
      <c r="M599" s="21" t="str">
        <f aca="false">INDEX(Companies!$D$2:$D$31,MATCH(C599,Companies!$A$2:$A$31,0))</f>
        <v>Tier 2</v>
      </c>
      <c r="N599" s="34" t="n">
        <f aca="false">MATCH(F599,Assumptions!$K$4:$K$8,0)</f>
        <v>1</v>
      </c>
      <c r="O599" s="21" t="str">
        <f aca="false">IF(H599="Yes",MONTH(I599),"")</f>
        <v/>
      </c>
      <c r="P599" s="21" t="str">
        <f aca="false">IF(H599="Yes",B599,"")</f>
        <v/>
      </c>
    </row>
    <row r="600" customFormat="false" ht="15" hidden="false" customHeight="false" outlineLevel="0" collapsed="false">
      <c r="A600" s="21" t="s">
        <v>1815</v>
      </c>
      <c r="B600" s="21" t="s">
        <v>397</v>
      </c>
      <c r="C600" s="21" t="s">
        <v>1309</v>
      </c>
      <c r="D600" s="21" t="s">
        <v>1184</v>
      </c>
      <c r="E600" s="33" t="n">
        <v>45272</v>
      </c>
      <c r="F600" s="21" t="s">
        <v>1185</v>
      </c>
      <c r="G600" s="32" t="n">
        <v>16.1</v>
      </c>
      <c r="H600" s="21" t="s">
        <v>120</v>
      </c>
      <c r="I600" s="33" t="n">
        <v>45305</v>
      </c>
      <c r="J600" s="21" t="str">
        <f aca="false">INDEX(Students!$C$2:$C$601,MATCH(B600,Students!$A$2:$A$601,0))</f>
        <v>Batch 2024</v>
      </c>
      <c r="K600" s="21" t="str">
        <f aca="false">INDEX(Students!$D$2:$D$601,MATCH(B600,Students!$A$2:$A$601,0))</f>
        <v>DSA with Java</v>
      </c>
      <c r="L600" s="21" t="str">
        <f aca="false">INDEX(Companies!$C$2:$C$31,MATCH(C600,Companies!$A$2:$A$31,0))</f>
        <v>EdTech</v>
      </c>
      <c r="M600" s="21" t="str">
        <f aca="false">INDEX(Companies!$D$2:$D$31,MATCH(C600,Companies!$A$2:$A$31,0))</f>
        <v>Tier 2</v>
      </c>
      <c r="N600" s="34" t="n">
        <f aca="false">MATCH(F600,Assumptions!$K$4:$K$8,0)</f>
        <v>5</v>
      </c>
      <c r="O600" s="21" t="n">
        <f aca="false">IF(H600="Yes",MONTH(I600),"")</f>
        <v>1</v>
      </c>
      <c r="P600" s="21" t="str">
        <f aca="false">IF(H600="Yes",B600,"")</f>
        <v>S0148</v>
      </c>
    </row>
    <row r="601" customFormat="false" ht="15" hidden="false" customHeight="false" outlineLevel="0" collapsed="false">
      <c r="A601" s="21" t="s">
        <v>1816</v>
      </c>
      <c r="B601" s="21" t="s">
        <v>374</v>
      </c>
      <c r="C601" s="21" t="s">
        <v>1298</v>
      </c>
      <c r="D601" s="21" t="s">
        <v>1194</v>
      </c>
      <c r="E601" s="33" t="n">
        <v>45272</v>
      </c>
      <c r="F601" s="21" t="s">
        <v>1218</v>
      </c>
      <c r="G601" s="32"/>
      <c r="H601" s="21"/>
      <c r="I601" s="33"/>
      <c r="J601" s="21" t="str">
        <f aca="false">INDEX(Students!$C$2:$C$601,MATCH(B601,Students!$A$2:$A$601,0))</f>
        <v>Batch 2024</v>
      </c>
      <c r="K601" s="21" t="str">
        <f aca="false">INDEX(Students!$D$2:$D$601,MATCH(B601,Students!$A$2:$A$601,0))</f>
        <v>Data Science &amp; ML</v>
      </c>
      <c r="L601" s="21" t="str">
        <f aca="false">INDEX(Companies!$C$2:$C$31,MATCH(C601,Companies!$A$2:$A$31,0))</f>
        <v>Fintech</v>
      </c>
      <c r="M601" s="21" t="str">
        <f aca="false">INDEX(Companies!$D$2:$D$31,MATCH(C601,Companies!$A$2:$A$31,0))</f>
        <v>Tier 2</v>
      </c>
      <c r="N601" s="34" t="n">
        <f aca="false">MATCH(F601,Assumptions!$K$4:$K$8,0)</f>
        <v>4</v>
      </c>
      <c r="O601" s="21" t="str">
        <f aca="false">IF(H601="Yes",MONTH(I601),"")</f>
        <v/>
      </c>
      <c r="P601" s="21" t="str">
        <f aca="false">IF(H601="Yes",B601,"")</f>
        <v/>
      </c>
    </row>
    <row r="602" customFormat="false" ht="15" hidden="false" customHeight="false" outlineLevel="0" collapsed="false">
      <c r="A602" s="21" t="s">
        <v>1817</v>
      </c>
      <c r="B602" s="21" t="s">
        <v>201</v>
      </c>
      <c r="C602" s="21" t="s">
        <v>1239</v>
      </c>
      <c r="D602" s="21" t="s">
        <v>1174</v>
      </c>
      <c r="E602" s="33" t="n">
        <v>45272</v>
      </c>
      <c r="F602" s="21" t="s">
        <v>1178</v>
      </c>
      <c r="G602" s="32"/>
      <c r="H602" s="21"/>
      <c r="I602" s="33"/>
      <c r="J602" s="21" t="str">
        <f aca="false">INDEX(Students!$C$2:$C$601,MATCH(B602,Students!$A$2:$A$601,0))</f>
        <v>Batch 2024</v>
      </c>
      <c r="K602" s="21" t="str">
        <f aca="false">INDEX(Students!$D$2:$D$601,MATCH(B602,Students!$A$2:$A$601,0))</f>
        <v>Full Stack Development</v>
      </c>
      <c r="L602" s="21" t="str">
        <f aca="false">INDEX(Companies!$C$2:$C$31,MATCH(C602,Companies!$A$2:$A$31,0))</f>
        <v>E-commerce</v>
      </c>
      <c r="M602" s="21" t="str">
        <f aca="false">INDEX(Companies!$D$2:$D$31,MATCH(C602,Companies!$A$2:$A$31,0))</f>
        <v>Tier 3</v>
      </c>
      <c r="N602" s="34" t="n">
        <f aca="false">MATCH(F602,Assumptions!$K$4:$K$8,0)</f>
        <v>2</v>
      </c>
      <c r="O602" s="21" t="str">
        <f aca="false">IF(H602="Yes",MONTH(I602),"")</f>
        <v/>
      </c>
      <c r="P602" s="21" t="str">
        <f aca="false">IF(H602="Yes",B602,"")</f>
        <v/>
      </c>
    </row>
    <row r="603" customFormat="false" ht="15" hidden="false" customHeight="false" outlineLevel="0" collapsed="false">
      <c r="A603" s="21" t="s">
        <v>1818</v>
      </c>
      <c r="B603" s="21" t="s">
        <v>268</v>
      </c>
      <c r="C603" s="21" t="s">
        <v>1177</v>
      </c>
      <c r="D603" s="21" t="s">
        <v>1181</v>
      </c>
      <c r="E603" s="33" t="n">
        <v>45273</v>
      </c>
      <c r="F603" s="21" t="s">
        <v>1178</v>
      </c>
      <c r="G603" s="32"/>
      <c r="H603" s="21"/>
      <c r="I603" s="33"/>
      <c r="J603" s="21" t="str">
        <f aca="false">INDEX(Students!$C$2:$C$601,MATCH(B603,Students!$A$2:$A$601,0))</f>
        <v>Batch 2024</v>
      </c>
      <c r="K603" s="21" t="str">
        <f aca="false">INDEX(Students!$D$2:$D$601,MATCH(B603,Students!$A$2:$A$601,0))</f>
        <v>Full Stack Development</v>
      </c>
      <c r="L603" s="21" t="str">
        <f aca="false">INDEX(Companies!$C$2:$C$31,MATCH(C603,Companies!$A$2:$A$31,0))</f>
        <v>IT Services</v>
      </c>
      <c r="M603" s="21" t="str">
        <f aca="false">INDEX(Companies!$D$2:$D$31,MATCH(C603,Companies!$A$2:$A$31,0))</f>
        <v>Tier 3</v>
      </c>
      <c r="N603" s="34" t="n">
        <f aca="false">MATCH(F603,Assumptions!$K$4:$K$8,0)</f>
        <v>2</v>
      </c>
      <c r="O603" s="21" t="str">
        <f aca="false">IF(H603="Yes",MONTH(I603),"")</f>
        <v/>
      </c>
      <c r="P603" s="21" t="str">
        <f aca="false">IF(H603="Yes",B603,"")</f>
        <v/>
      </c>
    </row>
    <row r="604" customFormat="false" ht="15" hidden="false" customHeight="false" outlineLevel="0" collapsed="false">
      <c r="A604" s="21" t="s">
        <v>1819</v>
      </c>
      <c r="B604" s="21" t="s">
        <v>451</v>
      </c>
      <c r="C604" s="21" t="s">
        <v>1190</v>
      </c>
      <c r="D604" s="21" t="s">
        <v>1181</v>
      </c>
      <c r="E604" s="33" t="n">
        <v>45273</v>
      </c>
      <c r="F604" s="21" t="s">
        <v>1197</v>
      </c>
      <c r="G604" s="32"/>
      <c r="H604" s="21"/>
      <c r="I604" s="33"/>
      <c r="J604" s="21" t="str">
        <f aca="false">INDEX(Students!$C$2:$C$601,MATCH(B604,Students!$A$2:$A$601,0))</f>
        <v>Batch 2024</v>
      </c>
      <c r="K604" s="21" t="str">
        <f aca="false">INDEX(Students!$D$2:$D$601,MATCH(B604,Students!$A$2:$A$601,0))</f>
        <v>Full Stack Development</v>
      </c>
      <c r="L604" s="21" t="str">
        <f aca="false">INDEX(Companies!$C$2:$C$31,MATCH(C604,Companies!$A$2:$A$31,0))</f>
        <v>Analytics &amp; Consulting</v>
      </c>
      <c r="M604" s="21" t="str">
        <f aca="false">INDEX(Companies!$D$2:$D$31,MATCH(C604,Companies!$A$2:$A$31,0))</f>
        <v>Tier 1</v>
      </c>
      <c r="N604" s="34" t="n">
        <f aca="false">MATCH(F604,Assumptions!$K$4:$K$8,0)</f>
        <v>3</v>
      </c>
      <c r="O604" s="21" t="str">
        <f aca="false">IF(H604="Yes",MONTH(I604),"")</f>
        <v/>
      </c>
      <c r="P604" s="21" t="str">
        <f aca="false">IF(H604="Yes",B604,"")</f>
        <v/>
      </c>
    </row>
    <row r="605" customFormat="false" ht="15" hidden="false" customHeight="false" outlineLevel="0" collapsed="false">
      <c r="A605" s="21" t="s">
        <v>1820</v>
      </c>
      <c r="B605" s="21" t="s">
        <v>380</v>
      </c>
      <c r="C605" s="21" t="s">
        <v>1290</v>
      </c>
      <c r="D605" s="21" t="s">
        <v>1209</v>
      </c>
      <c r="E605" s="33" t="n">
        <v>45273</v>
      </c>
      <c r="F605" s="21" t="s">
        <v>1185</v>
      </c>
      <c r="G605" s="32" t="n">
        <v>10.3</v>
      </c>
      <c r="H605" s="21" t="s">
        <v>120</v>
      </c>
      <c r="I605" s="33" t="n">
        <v>45319</v>
      </c>
      <c r="J605" s="21" t="str">
        <f aca="false">INDEX(Students!$C$2:$C$601,MATCH(B605,Students!$A$2:$A$601,0))</f>
        <v>Batch 2024</v>
      </c>
      <c r="K605" s="21" t="str">
        <f aca="false">INDEX(Students!$D$2:$D$601,MATCH(B605,Students!$A$2:$A$601,0))</f>
        <v>Data Analytics</v>
      </c>
      <c r="L605" s="21" t="str">
        <f aca="false">INDEX(Companies!$C$2:$C$31,MATCH(C605,Companies!$A$2:$A$31,0))</f>
        <v>Fintech</v>
      </c>
      <c r="M605" s="21" t="str">
        <f aca="false">INDEX(Companies!$D$2:$D$31,MATCH(C605,Companies!$A$2:$A$31,0))</f>
        <v>Tier 2</v>
      </c>
      <c r="N605" s="34" t="n">
        <f aca="false">MATCH(F605,Assumptions!$K$4:$K$8,0)</f>
        <v>5</v>
      </c>
      <c r="O605" s="21" t="n">
        <f aca="false">IF(H605="Yes",MONTH(I605),"")</f>
        <v>1</v>
      </c>
      <c r="P605" s="21" t="str">
        <f aca="false">IF(H605="Yes",B605,"")</f>
        <v>S0139</v>
      </c>
    </row>
    <row r="606" customFormat="false" ht="15" hidden="false" customHeight="false" outlineLevel="0" collapsed="false">
      <c r="A606" s="21" t="s">
        <v>1821</v>
      </c>
      <c r="B606" s="21" t="s">
        <v>384</v>
      </c>
      <c r="C606" s="21" t="s">
        <v>1322</v>
      </c>
      <c r="D606" s="21" t="s">
        <v>1181</v>
      </c>
      <c r="E606" s="33" t="n">
        <v>45273</v>
      </c>
      <c r="F606" s="21" t="s">
        <v>1175</v>
      </c>
      <c r="G606" s="32"/>
      <c r="H606" s="21"/>
      <c r="I606" s="33"/>
      <c r="J606" s="21" t="str">
        <f aca="false">INDEX(Students!$C$2:$C$601,MATCH(B606,Students!$A$2:$A$601,0))</f>
        <v>Batch 2024</v>
      </c>
      <c r="K606" s="21" t="str">
        <f aca="false">INDEX(Students!$D$2:$D$601,MATCH(B606,Students!$A$2:$A$601,0))</f>
        <v>Full Stack Development</v>
      </c>
      <c r="L606" s="21" t="str">
        <f aca="false">INDEX(Companies!$C$2:$C$31,MATCH(C606,Companies!$A$2:$A$31,0))</f>
        <v>Healthtech</v>
      </c>
      <c r="M606" s="21" t="str">
        <f aca="false">INDEX(Companies!$D$2:$D$31,MATCH(C606,Companies!$A$2:$A$31,0))</f>
        <v>Tier 2</v>
      </c>
      <c r="N606" s="34" t="n">
        <f aca="false">MATCH(F606,Assumptions!$K$4:$K$8,0)</f>
        <v>1</v>
      </c>
      <c r="O606" s="21" t="str">
        <f aca="false">IF(H606="Yes",MONTH(I606),"")</f>
        <v/>
      </c>
      <c r="P606" s="21" t="str">
        <f aca="false">IF(H606="Yes",B606,"")</f>
        <v/>
      </c>
    </row>
    <row r="607" customFormat="false" ht="15" hidden="false" customHeight="false" outlineLevel="0" collapsed="false">
      <c r="A607" s="21" t="s">
        <v>1822</v>
      </c>
      <c r="B607" s="21" t="s">
        <v>313</v>
      </c>
      <c r="C607" s="21" t="s">
        <v>1234</v>
      </c>
      <c r="D607" s="21" t="s">
        <v>1191</v>
      </c>
      <c r="E607" s="33" t="n">
        <v>45274</v>
      </c>
      <c r="F607" s="21" t="s">
        <v>1185</v>
      </c>
      <c r="G607" s="32" t="n">
        <v>5.2</v>
      </c>
      <c r="H607" s="21" t="s">
        <v>113</v>
      </c>
      <c r="I607" s="33" t="n">
        <v>45306</v>
      </c>
      <c r="J607" s="21" t="str">
        <f aca="false">INDEX(Students!$C$2:$C$601,MATCH(B607,Students!$A$2:$A$601,0))</f>
        <v>Batch 2024</v>
      </c>
      <c r="K607" s="21" t="str">
        <f aca="false">INDEX(Students!$D$2:$D$601,MATCH(B607,Students!$A$2:$A$601,0))</f>
        <v>DSA with Java</v>
      </c>
      <c r="L607" s="21" t="str">
        <f aca="false">INDEX(Companies!$C$2:$C$31,MATCH(C607,Companies!$A$2:$A$31,0))</f>
        <v>EdTech</v>
      </c>
      <c r="M607" s="21" t="str">
        <f aca="false">INDEX(Companies!$D$2:$D$31,MATCH(C607,Companies!$A$2:$A$31,0))</f>
        <v>Tier 3</v>
      </c>
      <c r="N607" s="34" t="n">
        <f aca="false">MATCH(F607,Assumptions!$K$4:$K$8,0)</f>
        <v>5</v>
      </c>
      <c r="O607" s="21" t="str">
        <f aca="false">IF(H607="Yes",MONTH(I607),"")</f>
        <v/>
      </c>
      <c r="P607" s="21" t="str">
        <f aca="false">IF(H607="Yes",B607,"")</f>
        <v/>
      </c>
    </row>
    <row r="608" customFormat="false" ht="15" hidden="false" customHeight="false" outlineLevel="0" collapsed="false">
      <c r="A608" s="21" t="s">
        <v>1823</v>
      </c>
      <c r="B608" s="21" t="s">
        <v>270</v>
      </c>
      <c r="C608" s="21" t="s">
        <v>1177</v>
      </c>
      <c r="D608" s="21" t="s">
        <v>1181</v>
      </c>
      <c r="E608" s="33" t="n">
        <v>45274</v>
      </c>
      <c r="F608" s="21" t="s">
        <v>1185</v>
      </c>
      <c r="G608" s="32" t="n">
        <v>5.3</v>
      </c>
      <c r="H608" s="21" t="s">
        <v>120</v>
      </c>
      <c r="I608" s="33" t="n">
        <v>45315</v>
      </c>
      <c r="J608" s="21" t="str">
        <f aca="false">INDEX(Students!$C$2:$C$601,MATCH(B608,Students!$A$2:$A$601,0))</f>
        <v>Batch 2024</v>
      </c>
      <c r="K608" s="21" t="str">
        <f aca="false">INDEX(Students!$D$2:$D$601,MATCH(B608,Students!$A$2:$A$601,0))</f>
        <v>Full Stack Development</v>
      </c>
      <c r="L608" s="21" t="str">
        <f aca="false">INDEX(Companies!$C$2:$C$31,MATCH(C608,Companies!$A$2:$A$31,0))</f>
        <v>IT Services</v>
      </c>
      <c r="M608" s="21" t="str">
        <f aca="false">INDEX(Companies!$D$2:$D$31,MATCH(C608,Companies!$A$2:$A$31,0))</f>
        <v>Tier 3</v>
      </c>
      <c r="N608" s="34" t="n">
        <f aca="false">MATCH(F608,Assumptions!$K$4:$K$8,0)</f>
        <v>5</v>
      </c>
      <c r="O608" s="21" t="n">
        <f aca="false">IF(H608="Yes",MONTH(I608),"")</f>
        <v>1</v>
      </c>
      <c r="P608" s="21" t="str">
        <f aca="false">IF(H608="Yes",B608,"")</f>
        <v>S0081</v>
      </c>
    </row>
    <row r="609" customFormat="false" ht="15" hidden="false" customHeight="false" outlineLevel="0" collapsed="false">
      <c r="A609" s="21" t="s">
        <v>1824</v>
      </c>
      <c r="B609" s="21" t="s">
        <v>161</v>
      </c>
      <c r="C609" s="21" t="s">
        <v>1196</v>
      </c>
      <c r="D609" s="21" t="s">
        <v>1209</v>
      </c>
      <c r="E609" s="33" t="n">
        <v>45274</v>
      </c>
      <c r="F609" s="21" t="s">
        <v>1218</v>
      </c>
      <c r="G609" s="32"/>
      <c r="H609" s="21"/>
      <c r="I609" s="33"/>
      <c r="J609" s="21" t="str">
        <f aca="false">INDEX(Students!$C$2:$C$601,MATCH(B609,Students!$A$2:$A$601,0))</f>
        <v>Batch 2024</v>
      </c>
      <c r="K609" s="21" t="str">
        <f aca="false">INDEX(Students!$D$2:$D$601,MATCH(B609,Students!$A$2:$A$601,0))</f>
        <v>Data Analytics</v>
      </c>
      <c r="L609" s="21" t="str">
        <f aca="false">INDEX(Companies!$C$2:$C$31,MATCH(C609,Companies!$A$2:$A$31,0))</f>
        <v>IT Services</v>
      </c>
      <c r="M609" s="21" t="str">
        <f aca="false">INDEX(Companies!$D$2:$D$31,MATCH(C609,Companies!$A$2:$A$31,0))</f>
        <v>Tier 3</v>
      </c>
      <c r="N609" s="34" t="n">
        <f aca="false">MATCH(F609,Assumptions!$K$4:$K$8,0)</f>
        <v>4</v>
      </c>
      <c r="O609" s="21" t="str">
        <f aca="false">IF(H609="Yes",MONTH(I609),"")</f>
        <v/>
      </c>
      <c r="P609" s="21" t="str">
        <f aca="false">IF(H609="Yes",B609,"")</f>
        <v/>
      </c>
    </row>
    <row r="610" customFormat="false" ht="15" hidden="false" customHeight="false" outlineLevel="0" collapsed="false">
      <c r="A610" s="21" t="s">
        <v>1825</v>
      </c>
      <c r="B610" s="21" t="s">
        <v>211</v>
      </c>
      <c r="C610" s="21" t="s">
        <v>1266</v>
      </c>
      <c r="D610" s="21" t="s">
        <v>1226</v>
      </c>
      <c r="E610" s="33" t="n">
        <v>45275</v>
      </c>
      <c r="F610" s="21" t="s">
        <v>1185</v>
      </c>
      <c r="G610" s="32" t="n">
        <v>6.4</v>
      </c>
      <c r="H610" s="21" t="s">
        <v>113</v>
      </c>
      <c r="I610" s="33" t="n">
        <v>45323</v>
      </c>
      <c r="J610" s="21" t="str">
        <f aca="false">INDEX(Students!$C$2:$C$601,MATCH(B610,Students!$A$2:$A$601,0))</f>
        <v>Batch 2024</v>
      </c>
      <c r="K610" s="21" t="str">
        <f aca="false">INDEX(Students!$D$2:$D$601,MATCH(B610,Students!$A$2:$A$601,0))</f>
        <v>Cybersecurity</v>
      </c>
      <c r="L610" s="21" t="str">
        <f aca="false">INDEX(Companies!$C$2:$C$31,MATCH(C610,Companies!$A$2:$A$31,0))</f>
        <v>IT Services</v>
      </c>
      <c r="M610" s="21" t="str">
        <f aca="false">INDEX(Companies!$D$2:$D$31,MATCH(C610,Companies!$A$2:$A$31,0))</f>
        <v>Tier 3</v>
      </c>
      <c r="N610" s="34" t="n">
        <f aca="false">MATCH(F610,Assumptions!$K$4:$K$8,0)</f>
        <v>5</v>
      </c>
      <c r="O610" s="21" t="str">
        <f aca="false">IF(H610="Yes",MONTH(I610),"")</f>
        <v/>
      </c>
      <c r="P610" s="21" t="str">
        <f aca="false">IF(H610="Yes",B610,"")</f>
        <v/>
      </c>
    </row>
    <row r="611" customFormat="false" ht="15" hidden="false" customHeight="false" outlineLevel="0" collapsed="false">
      <c r="A611" s="21" t="s">
        <v>1826</v>
      </c>
      <c r="B611" s="21" t="s">
        <v>325</v>
      </c>
      <c r="C611" s="21" t="s">
        <v>1266</v>
      </c>
      <c r="D611" s="21" t="s">
        <v>1243</v>
      </c>
      <c r="E611" s="33" t="n">
        <v>45275</v>
      </c>
      <c r="F611" s="21" t="s">
        <v>1175</v>
      </c>
      <c r="G611" s="32"/>
      <c r="H611" s="21"/>
      <c r="I611" s="33"/>
      <c r="J611" s="21" t="str">
        <f aca="false">INDEX(Students!$C$2:$C$601,MATCH(B611,Students!$A$2:$A$601,0))</f>
        <v>Batch 2024</v>
      </c>
      <c r="K611" s="21" t="str">
        <f aca="false">INDEX(Students!$D$2:$D$601,MATCH(B611,Students!$A$2:$A$601,0))</f>
        <v>Data Science &amp; ML</v>
      </c>
      <c r="L611" s="21" t="str">
        <f aca="false">INDEX(Companies!$C$2:$C$31,MATCH(C611,Companies!$A$2:$A$31,0))</f>
        <v>IT Services</v>
      </c>
      <c r="M611" s="21" t="str">
        <f aca="false">INDEX(Companies!$D$2:$D$31,MATCH(C611,Companies!$A$2:$A$31,0))</f>
        <v>Tier 3</v>
      </c>
      <c r="N611" s="34" t="n">
        <f aca="false">MATCH(F611,Assumptions!$K$4:$K$8,0)</f>
        <v>1</v>
      </c>
      <c r="O611" s="21" t="str">
        <f aca="false">IF(H611="Yes",MONTH(I611),"")</f>
        <v/>
      </c>
      <c r="P611" s="21" t="str">
        <f aca="false">IF(H611="Yes",B611,"")</f>
        <v/>
      </c>
    </row>
    <row r="612" customFormat="false" ht="15" hidden="false" customHeight="false" outlineLevel="0" collapsed="false">
      <c r="A612" s="21" t="s">
        <v>1827</v>
      </c>
      <c r="B612" s="21" t="s">
        <v>378</v>
      </c>
      <c r="C612" s="21" t="s">
        <v>1190</v>
      </c>
      <c r="D612" s="21" t="s">
        <v>1184</v>
      </c>
      <c r="E612" s="33" t="n">
        <v>45275</v>
      </c>
      <c r="F612" s="21" t="s">
        <v>1185</v>
      </c>
      <c r="G612" s="32" t="n">
        <v>15</v>
      </c>
      <c r="H612" s="21" t="s">
        <v>120</v>
      </c>
      <c r="I612" s="33" t="n">
        <v>45322</v>
      </c>
      <c r="J612" s="21" t="str">
        <f aca="false">INDEX(Students!$C$2:$C$601,MATCH(B612,Students!$A$2:$A$601,0))</f>
        <v>Batch 2024</v>
      </c>
      <c r="K612" s="21" t="str">
        <f aca="false">INDEX(Students!$D$2:$D$601,MATCH(B612,Students!$A$2:$A$601,0))</f>
        <v>DSA with Java</v>
      </c>
      <c r="L612" s="21" t="str">
        <f aca="false">INDEX(Companies!$C$2:$C$31,MATCH(C612,Companies!$A$2:$A$31,0))</f>
        <v>Analytics &amp; Consulting</v>
      </c>
      <c r="M612" s="21" t="str">
        <f aca="false">INDEX(Companies!$D$2:$D$31,MATCH(C612,Companies!$A$2:$A$31,0))</f>
        <v>Tier 1</v>
      </c>
      <c r="N612" s="34" t="n">
        <f aca="false">MATCH(F612,Assumptions!$K$4:$K$8,0)</f>
        <v>5</v>
      </c>
      <c r="O612" s="21" t="n">
        <f aca="false">IF(H612="Yes",MONTH(I612),"")</f>
        <v>1</v>
      </c>
      <c r="P612" s="21" t="str">
        <f aca="false">IF(H612="Yes",B612,"")</f>
        <v>S0138</v>
      </c>
    </row>
    <row r="613" customFormat="false" ht="15" hidden="false" customHeight="false" outlineLevel="0" collapsed="false">
      <c r="A613" s="21" t="s">
        <v>1828</v>
      </c>
      <c r="B613" s="21" t="s">
        <v>213</v>
      </c>
      <c r="C613" s="21" t="s">
        <v>1196</v>
      </c>
      <c r="D613" s="21" t="s">
        <v>1191</v>
      </c>
      <c r="E613" s="33" t="n">
        <v>45275</v>
      </c>
      <c r="F613" s="21" t="s">
        <v>1185</v>
      </c>
      <c r="G613" s="32" t="n">
        <v>6.6</v>
      </c>
      <c r="H613" s="21" t="s">
        <v>113</v>
      </c>
      <c r="I613" s="33" t="n">
        <v>45296</v>
      </c>
      <c r="J613" s="21" t="str">
        <f aca="false">INDEX(Students!$C$2:$C$601,MATCH(B613,Students!$A$2:$A$601,0))</f>
        <v>Batch 2024</v>
      </c>
      <c r="K613" s="21" t="str">
        <f aca="false">INDEX(Students!$D$2:$D$601,MATCH(B613,Students!$A$2:$A$601,0))</f>
        <v>DSA with Java</v>
      </c>
      <c r="L613" s="21" t="str">
        <f aca="false">INDEX(Companies!$C$2:$C$31,MATCH(C613,Companies!$A$2:$A$31,0))</f>
        <v>IT Services</v>
      </c>
      <c r="M613" s="21" t="str">
        <f aca="false">INDEX(Companies!$D$2:$D$31,MATCH(C613,Companies!$A$2:$A$31,0))</f>
        <v>Tier 3</v>
      </c>
      <c r="N613" s="34" t="n">
        <f aca="false">MATCH(F613,Assumptions!$K$4:$K$8,0)</f>
        <v>5</v>
      </c>
      <c r="O613" s="21" t="str">
        <f aca="false">IF(H613="Yes",MONTH(I613),"")</f>
        <v/>
      </c>
      <c r="P613" s="21" t="str">
        <f aca="false">IF(H613="Yes",B613,"")</f>
        <v/>
      </c>
    </row>
    <row r="614" customFormat="false" ht="15" hidden="false" customHeight="false" outlineLevel="0" collapsed="false">
      <c r="A614" s="21" t="s">
        <v>1829</v>
      </c>
      <c r="B614" s="21" t="s">
        <v>447</v>
      </c>
      <c r="C614" s="21" t="s">
        <v>1180</v>
      </c>
      <c r="D614" s="21" t="s">
        <v>1184</v>
      </c>
      <c r="E614" s="33" t="n">
        <v>45275</v>
      </c>
      <c r="F614" s="21" t="s">
        <v>1185</v>
      </c>
      <c r="G614" s="32" t="n">
        <v>5.9</v>
      </c>
      <c r="H614" s="21" t="s">
        <v>113</v>
      </c>
      <c r="I614" s="33" t="n">
        <v>45330</v>
      </c>
      <c r="J614" s="21" t="str">
        <f aca="false">INDEX(Students!$C$2:$C$601,MATCH(B614,Students!$A$2:$A$601,0))</f>
        <v>Batch 2024</v>
      </c>
      <c r="K614" s="21" t="str">
        <f aca="false">INDEX(Students!$D$2:$D$601,MATCH(B614,Students!$A$2:$A$601,0))</f>
        <v>DSA with Java</v>
      </c>
      <c r="L614" s="21" t="str">
        <f aca="false">INDEX(Companies!$C$2:$C$31,MATCH(C614,Companies!$A$2:$A$31,0))</f>
        <v>IT Services</v>
      </c>
      <c r="M614" s="21" t="str">
        <f aca="false">INDEX(Companies!$D$2:$D$31,MATCH(C614,Companies!$A$2:$A$31,0))</f>
        <v>Tier 3</v>
      </c>
      <c r="N614" s="34" t="n">
        <f aca="false">MATCH(F614,Assumptions!$K$4:$K$8,0)</f>
        <v>5</v>
      </c>
      <c r="O614" s="21" t="str">
        <f aca="false">IF(H614="Yes",MONTH(I614),"")</f>
        <v/>
      </c>
      <c r="P614" s="21" t="str">
        <f aca="false">IF(H614="Yes",B614,"")</f>
        <v/>
      </c>
    </row>
    <row r="615" customFormat="false" ht="15" hidden="false" customHeight="false" outlineLevel="0" collapsed="false">
      <c r="A615" s="21" t="s">
        <v>1830</v>
      </c>
      <c r="B615" s="21" t="s">
        <v>332</v>
      </c>
      <c r="C615" s="21" t="s">
        <v>1216</v>
      </c>
      <c r="D615" s="21" t="s">
        <v>1240</v>
      </c>
      <c r="E615" s="33" t="n">
        <v>45276</v>
      </c>
      <c r="F615" s="21" t="s">
        <v>1175</v>
      </c>
      <c r="G615" s="32"/>
      <c r="H615" s="21"/>
      <c r="I615" s="33"/>
      <c r="J615" s="21" t="str">
        <f aca="false">INDEX(Students!$C$2:$C$601,MATCH(B615,Students!$A$2:$A$601,0))</f>
        <v>Batch 2024</v>
      </c>
      <c r="K615" s="21" t="str">
        <f aca="false">INDEX(Students!$D$2:$D$601,MATCH(B615,Students!$A$2:$A$601,0))</f>
        <v>Cybersecurity</v>
      </c>
      <c r="L615" s="21" t="str">
        <f aca="false">INDEX(Companies!$C$2:$C$31,MATCH(C615,Companies!$A$2:$A$31,0))</f>
        <v>IT Services</v>
      </c>
      <c r="M615" s="21" t="str">
        <f aca="false">INDEX(Companies!$D$2:$D$31,MATCH(C615,Companies!$A$2:$A$31,0))</f>
        <v>Tier 3</v>
      </c>
      <c r="N615" s="34" t="n">
        <f aca="false">MATCH(F615,Assumptions!$K$4:$K$8,0)</f>
        <v>1</v>
      </c>
      <c r="O615" s="21" t="str">
        <f aca="false">IF(H615="Yes",MONTH(I615),"")</f>
        <v/>
      </c>
      <c r="P615" s="21" t="str">
        <f aca="false">IF(H615="Yes",B615,"")</f>
        <v/>
      </c>
    </row>
    <row r="616" customFormat="false" ht="15" hidden="false" customHeight="false" outlineLevel="0" collapsed="false">
      <c r="A616" s="21" t="s">
        <v>1831</v>
      </c>
      <c r="B616" s="21" t="s">
        <v>386</v>
      </c>
      <c r="C616" s="21" t="s">
        <v>1255</v>
      </c>
      <c r="D616" s="21" t="s">
        <v>1191</v>
      </c>
      <c r="E616" s="33" t="n">
        <v>45276</v>
      </c>
      <c r="F616" s="21" t="s">
        <v>1185</v>
      </c>
      <c r="G616" s="32" t="n">
        <v>7.4</v>
      </c>
      <c r="H616" s="21" t="s">
        <v>113</v>
      </c>
      <c r="I616" s="33" t="n">
        <v>45322</v>
      </c>
      <c r="J616" s="21" t="str">
        <f aca="false">INDEX(Students!$C$2:$C$601,MATCH(B616,Students!$A$2:$A$601,0))</f>
        <v>Batch 2024</v>
      </c>
      <c r="K616" s="21" t="str">
        <f aca="false">INDEX(Students!$D$2:$D$601,MATCH(B616,Students!$A$2:$A$601,0))</f>
        <v>DSA with Java</v>
      </c>
      <c r="L616" s="21" t="str">
        <f aca="false">INDEX(Companies!$C$2:$C$31,MATCH(C616,Companies!$A$2:$A$31,0))</f>
        <v>IT Services</v>
      </c>
      <c r="M616" s="21" t="str">
        <f aca="false">INDEX(Companies!$D$2:$D$31,MATCH(C616,Companies!$A$2:$A$31,0))</f>
        <v>Tier 3</v>
      </c>
      <c r="N616" s="34" t="n">
        <f aca="false">MATCH(F616,Assumptions!$K$4:$K$8,0)</f>
        <v>5</v>
      </c>
      <c r="O616" s="21" t="str">
        <f aca="false">IF(H616="Yes",MONTH(I616),"")</f>
        <v/>
      </c>
      <c r="P616" s="21" t="str">
        <f aca="false">IF(H616="Yes",B616,"")</f>
        <v/>
      </c>
    </row>
    <row r="617" customFormat="false" ht="15" hidden="false" customHeight="false" outlineLevel="0" collapsed="false">
      <c r="A617" s="21" t="s">
        <v>1832</v>
      </c>
      <c r="B617" s="21" t="s">
        <v>163</v>
      </c>
      <c r="C617" s="21" t="s">
        <v>1214</v>
      </c>
      <c r="D617" s="21" t="s">
        <v>1191</v>
      </c>
      <c r="E617" s="33" t="n">
        <v>45276</v>
      </c>
      <c r="F617" s="21" t="s">
        <v>1175</v>
      </c>
      <c r="G617" s="32"/>
      <c r="H617" s="21"/>
      <c r="I617" s="33"/>
      <c r="J617" s="21" t="str">
        <f aca="false">INDEX(Students!$C$2:$C$601,MATCH(B617,Students!$A$2:$A$601,0))</f>
        <v>Batch 2024</v>
      </c>
      <c r="K617" s="21" t="str">
        <f aca="false">INDEX(Students!$D$2:$D$601,MATCH(B617,Students!$A$2:$A$601,0))</f>
        <v>DSA with Java</v>
      </c>
      <c r="L617" s="21" t="str">
        <f aca="false">INDEX(Companies!$C$2:$C$31,MATCH(C617,Companies!$A$2:$A$31,0))</f>
        <v>Product</v>
      </c>
      <c r="M617" s="21" t="str">
        <f aca="false">INDEX(Companies!$D$2:$D$31,MATCH(C617,Companies!$A$2:$A$31,0))</f>
        <v>Tier 1</v>
      </c>
      <c r="N617" s="34" t="n">
        <f aca="false">MATCH(F617,Assumptions!$K$4:$K$8,0)</f>
        <v>1</v>
      </c>
      <c r="O617" s="21" t="str">
        <f aca="false">IF(H617="Yes",MONTH(I617),"")</f>
        <v/>
      </c>
      <c r="P617" s="21" t="str">
        <f aca="false">IF(H617="Yes",B617,"")</f>
        <v/>
      </c>
    </row>
    <row r="618" customFormat="false" ht="15" hidden="false" customHeight="false" outlineLevel="0" collapsed="false">
      <c r="A618" s="21" t="s">
        <v>1833</v>
      </c>
      <c r="B618" s="21" t="s">
        <v>276</v>
      </c>
      <c r="C618" s="21" t="s">
        <v>1266</v>
      </c>
      <c r="D618" s="21" t="s">
        <v>1243</v>
      </c>
      <c r="E618" s="33" t="n">
        <v>45276</v>
      </c>
      <c r="F618" s="21" t="s">
        <v>1185</v>
      </c>
      <c r="G618" s="32" t="n">
        <v>5.6</v>
      </c>
      <c r="H618" s="21" t="s">
        <v>120</v>
      </c>
      <c r="I618" s="33" t="n">
        <v>45304</v>
      </c>
      <c r="J618" s="21" t="str">
        <f aca="false">INDEX(Students!$C$2:$C$601,MATCH(B618,Students!$A$2:$A$601,0))</f>
        <v>Batch 2024</v>
      </c>
      <c r="K618" s="21" t="str">
        <f aca="false">INDEX(Students!$D$2:$D$601,MATCH(B618,Students!$A$2:$A$601,0))</f>
        <v>Data Science &amp; ML</v>
      </c>
      <c r="L618" s="21" t="str">
        <f aca="false">INDEX(Companies!$C$2:$C$31,MATCH(C618,Companies!$A$2:$A$31,0))</f>
        <v>IT Services</v>
      </c>
      <c r="M618" s="21" t="str">
        <f aca="false">INDEX(Companies!$D$2:$D$31,MATCH(C618,Companies!$A$2:$A$31,0))</f>
        <v>Tier 3</v>
      </c>
      <c r="N618" s="34" t="n">
        <f aca="false">MATCH(F618,Assumptions!$K$4:$K$8,0)</f>
        <v>5</v>
      </c>
      <c r="O618" s="21" t="n">
        <f aca="false">IF(H618="Yes",MONTH(I618),"")</f>
        <v>1</v>
      </c>
      <c r="P618" s="21" t="str">
        <f aca="false">IF(H618="Yes",B618,"")</f>
        <v>S0084</v>
      </c>
    </row>
    <row r="619" customFormat="false" ht="15" hidden="false" customHeight="false" outlineLevel="0" collapsed="false">
      <c r="A619" s="21" t="s">
        <v>1834</v>
      </c>
      <c r="B619" s="21" t="s">
        <v>414</v>
      </c>
      <c r="C619" s="21" t="s">
        <v>1187</v>
      </c>
      <c r="D619" s="21" t="s">
        <v>1174</v>
      </c>
      <c r="E619" s="33" t="n">
        <v>45276</v>
      </c>
      <c r="F619" s="21" t="s">
        <v>1175</v>
      </c>
      <c r="G619" s="32"/>
      <c r="H619" s="21"/>
      <c r="I619" s="33"/>
      <c r="J619" s="21" t="str">
        <f aca="false">INDEX(Students!$C$2:$C$601,MATCH(B619,Students!$A$2:$A$601,0))</f>
        <v>Batch 2024</v>
      </c>
      <c r="K619" s="21" t="str">
        <f aca="false">INDEX(Students!$D$2:$D$601,MATCH(B619,Students!$A$2:$A$601,0))</f>
        <v>Full Stack Development</v>
      </c>
      <c r="L619" s="21" t="str">
        <f aca="false">INDEX(Companies!$C$2:$C$31,MATCH(C619,Companies!$A$2:$A$31,0))</f>
        <v>Product</v>
      </c>
      <c r="M619" s="21" t="str">
        <f aca="false">INDEX(Companies!$D$2:$D$31,MATCH(C619,Companies!$A$2:$A$31,0))</f>
        <v>Tier 1</v>
      </c>
      <c r="N619" s="34" t="n">
        <f aca="false">MATCH(F619,Assumptions!$K$4:$K$8,0)</f>
        <v>1</v>
      </c>
      <c r="O619" s="21" t="str">
        <f aca="false">IF(H619="Yes",MONTH(I619),"")</f>
        <v/>
      </c>
      <c r="P619" s="21" t="str">
        <f aca="false">IF(H619="Yes",B619,"")</f>
        <v/>
      </c>
    </row>
    <row r="620" customFormat="false" ht="15" hidden="false" customHeight="false" outlineLevel="0" collapsed="false">
      <c r="A620" s="21" t="s">
        <v>1835</v>
      </c>
      <c r="B620" s="21" t="s">
        <v>274</v>
      </c>
      <c r="C620" s="21" t="s">
        <v>1322</v>
      </c>
      <c r="D620" s="21" t="s">
        <v>1191</v>
      </c>
      <c r="E620" s="33" t="n">
        <v>45277</v>
      </c>
      <c r="F620" s="21" t="s">
        <v>1197</v>
      </c>
      <c r="G620" s="32"/>
      <c r="H620" s="21"/>
      <c r="I620" s="33"/>
      <c r="J620" s="21" t="str">
        <f aca="false">INDEX(Students!$C$2:$C$601,MATCH(B620,Students!$A$2:$A$601,0))</f>
        <v>Batch 2024</v>
      </c>
      <c r="K620" s="21" t="str">
        <f aca="false">INDEX(Students!$D$2:$D$601,MATCH(B620,Students!$A$2:$A$601,0))</f>
        <v>DSA with Java</v>
      </c>
      <c r="L620" s="21" t="str">
        <f aca="false">INDEX(Companies!$C$2:$C$31,MATCH(C620,Companies!$A$2:$A$31,0))</f>
        <v>Healthtech</v>
      </c>
      <c r="M620" s="21" t="str">
        <f aca="false">INDEX(Companies!$D$2:$D$31,MATCH(C620,Companies!$A$2:$A$31,0))</f>
        <v>Tier 2</v>
      </c>
      <c r="N620" s="34" t="n">
        <f aca="false">MATCH(F620,Assumptions!$K$4:$K$8,0)</f>
        <v>3</v>
      </c>
      <c r="O620" s="21" t="str">
        <f aca="false">IF(H620="Yes",MONTH(I620),"")</f>
        <v/>
      </c>
      <c r="P620" s="21" t="str">
        <f aca="false">IF(H620="Yes",B620,"")</f>
        <v/>
      </c>
    </row>
    <row r="621" customFormat="false" ht="15" hidden="false" customHeight="false" outlineLevel="0" collapsed="false">
      <c r="A621" s="21" t="s">
        <v>1836</v>
      </c>
      <c r="B621" s="21" t="s">
        <v>137</v>
      </c>
      <c r="C621" s="21" t="s">
        <v>1298</v>
      </c>
      <c r="D621" s="21" t="s">
        <v>1191</v>
      </c>
      <c r="E621" s="33" t="n">
        <v>45277</v>
      </c>
      <c r="F621" s="21" t="s">
        <v>1175</v>
      </c>
      <c r="G621" s="32"/>
      <c r="H621" s="21"/>
      <c r="I621" s="33"/>
      <c r="J621" s="21" t="str">
        <f aca="false">INDEX(Students!$C$2:$C$601,MATCH(B621,Students!$A$2:$A$601,0))</f>
        <v>Batch 2024</v>
      </c>
      <c r="K621" s="21" t="str">
        <f aca="false">INDEX(Students!$D$2:$D$601,MATCH(B621,Students!$A$2:$A$601,0))</f>
        <v>DSA with Java</v>
      </c>
      <c r="L621" s="21" t="str">
        <f aca="false">INDEX(Companies!$C$2:$C$31,MATCH(C621,Companies!$A$2:$A$31,0))</f>
        <v>Fintech</v>
      </c>
      <c r="M621" s="21" t="str">
        <f aca="false">INDEX(Companies!$D$2:$D$31,MATCH(C621,Companies!$A$2:$A$31,0))</f>
        <v>Tier 2</v>
      </c>
      <c r="N621" s="34" t="n">
        <f aca="false">MATCH(F621,Assumptions!$K$4:$K$8,0)</f>
        <v>1</v>
      </c>
      <c r="O621" s="21" t="str">
        <f aca="false">IF(H621="Yes",MONTH(I621),"")</f>
        <v/>
      </c>
      <c r="P621" s="21" t="str">
        <f aca="false">IF(H621="Yes",B621,"")</f>
        <v/>
      </c>
    </row>
    <row r="622" customFormat="false" ht="15" hidden="false" customHeight="false" outlineLevel="0" collapsed="false">
      <c r="A622" s="21" t="s">
        <v>1837</v>
      </c>
      <c r="B622" s="21" t="s">
        <v>295</v>
      </c>
      <c r="C622" s="21" t="s">
        <v>1183</v>
      </c>
      <c r="D622" s="21" t="s">
        <v>1174</v>
      </c>
      <c r="E622" s="33" t="n">
        <v>45277</v>
      </c>
      <c r="F622" s="21" t="s">
        <v>1197</v>
      </c>
      <c r="G622" s="32"/>
      <c r="H622" s="21"/>
      <c r="I622" s="33"/>
      <c r="J622" s="21" t="str">
        <f aca="false">INDEX(Students!$C$2:$C$601,MATCH(B622,Students!$A$2:$A$601,0))</f>
        <v>Batch 2024</v>
      </c>
      <c r="K622" s="21" t="str">
        <f aca="false">INDEX(Students!$D$2:$D$601,MATCH(B622,Students!$A$2:$A$601,0))</f>
        <v>Full Stack Development</v>
      </c>
      <c r="L622" s="21" t="str">
        <f aca="false">INDEX(Companies!$C$2:$C$31,MATCH(C622,Companies!$A$2:$A$31,0))</f>
        <v>E-commerce</v>
      </c>
      <c r="M622" s="21" t="str">
        <f aca="false">INDEX(Companies!$D$2:$D$31,MATCH(C622,Companies!$A$2:$A$31,0))</f>
        <v>Tier 2</v>
      </c>
      <c r="N622" s="34" t="n">
        <f aca="false">MATCH(F622,Assumptions!$K$4:$K$8,0)</f>
        <v>3</v>
      </c>
      <c r="O622" s="21" t="str">
        <f aca="false">IF(H622="Yes",MONTH(I622),"")</f>
        <v/>
      </c>
      <c r="P622" s="21" t="str">
        <f aca="false">IF(H622="Yes",B622,"")</f>
        <v/>
      </c>
    </row>
    <row r="623" customFormat="false" ht="15" hidden="false" customHeight="false" outlineLevel="0" collapsed="false">
      <c r="A623" s="21" t="s">
        <v>1838</v>
      </c>
      <c r="B623" s="21" t="s">
        <v>313</v>
      </c>
      <c r="C623" s="21" t="s">
        <v>1255</v>
      </c>
      <c r="D623" s="21" t="s">
        <v>1191</v>
      </c>
      <c r="E623" s="33" t="n">
        <v>45277</v>
      </c>
      <c r="F623" s="21" t="s">
        <v>1175</v>
      </c>
      <c r="G623" s="32"/>
      <c r="H623" s="21"/>
      <c r="I623" s="33"/>
      <c r="J623" s="21" t="str">
        <f aca="false">INDEX(Students!$C$2:$C$601,MATCH(B623,Students!$A$2:$A$601,0))</f>
        <v>Batch 2024</v>
      </c>
      <c r="K623" s="21" t="str">
        <f aca="false">INDEX(Students!$D$2:$D$601,MATCH(B623,Students!$A$2:$A$601,0))</f>
        <v>DSA with Java</v>
      </c>
      <c r="L623" s="21" t="str">
        <f aca="false">INDEX(Companies!$C$2:$C$31,MATCH(C623,Companies!$A$2:$A$31,0))</f>
        <v>IT Services</v>
      </c>
      <c r="M623" s="21" t="str">
        <f aca="false">INDEX(Companies!$D$2:$D$31,MATCH(C623,Companies!$A$2:$A$31,0))</f>
        <v>Tier 3</v>
      </c>
      <c r="N623" s="34" t="n">
        <f aca="false">MATCH(F623,Assumptions!$K$4:$K$8,0)</f>
        <v>1</v>
      </c>
      <c r="O623" s="21" t="str">
        <f aca="false">IF(H623="Yes",MONTH(I623),"")</f>
        <v/>
      </c>
      <c r="P623" s="21" t="str">
        <f aca="false">IF(H623="Yes",B623,"")</f>
        <v/>
      </c>
    </row>
    <row r="624" customFormat="false" ht="15" hidden="false" customHeight="false" outlineLevel="0" collapsed="false">
      <c r="A624" s="21" t="s">
        <v>1839</v>
      </c>
      <c r="B624" s="21" t="s">
        <v>382</v>
      </c>
      <c r="C624" s="21" t="s">
        <v>1216</v>
      </c>
      <c r="D624" s="21" t="s">
        <v>1226</v>
      </c>
      <c r="E624" s="33" t="n">
        <v>45277</v>
      </c>
      <c r="F624" s="21" t="s">
        <v>1175</v>
      </c>
      <c r="G624" s="32"/>
      <c r="H624" s="21"/>
      <c r="I624" s="33"/>
      <c r="J624" s="21" t="str">
        <f aca="false">INDEX(Students!$C$2:$C$601,MATCH(B624,Students!$A$2:$A$601,0))</f>
        <v>Batch 2024</v>
      </c>
      <c r="K624" s="21" t="str">
        <f aca="false">INDEX(Students!$D$2:$D$601,MATCH(B624,Students!$A$2:$A$601,0))</f>
        <v>Cybersecurity</v>
      </c>
      <c r="L624" s="21" t="str">
        <f aca="false">INDEX(Companies!$C$2:$C$31,MATCH(C624,Companies!$A$2:$A$31,0))</f>
        <v>IT Services</v>
      </c>
      <c r="M624" s="21" t="str">
        <f aca="false">INDEX(Companies!$D$2:$D$31,MATCH(C624,Companies!$A$2:$A$31,0))</f>
        <v>Tier 3</v>
      </c>
      <c r="N624" s="34" t="n">
        <f aca="false">MATCH(F624,Assumptions!$K$4:$K$8,0)</f>
        <v>1</v>
      </c>
      <c r="O624" s="21" t="str">
        <f aca="false">IF(H624="Yes",MONTH(I624),"")</f>
        <v/>
      </c>
      <c r="P624" s="21" t="str">
        <f aca="false">IF(H624="Yes",B624,"")</f>
        <v/>
      </c>
    </row>
    <row r="625" customFormat="false" ht="15" hidden="false" customHeight="false" outlineLevel="0" collapsed="false">
      <c r="A625" s="21" t="s">
        <v>1840</v>
      </c>
      <c r="B625" s="21" t="s">
        <v>251</v>
      </c>
      <c r="C625" s="21" t="s">
        <v>1298</v>
      </c>
      <c r="D625" s="21" t="s">
        <v>1240</v>
      </c>
      <c r="E625" s="33" t="n">
        <v>45277</v>
      </c>
      <c r="F625" s="21" t="s">
        <v>1178</v>
      </c>
      <c r="G625" s="32"/>
      <c r="H625" s="21"/>
      <c r="I625" s="33"/>
      <c r="J625" s="21" t="str">
        <f aca="false">INDEX(Students!$C$2:$C$601,MATCH(B625,Students!$A$2:$A$601,0))</f>
        <v>Batch 2024</v>
      </c>
      <c r="K625" s="21" t="str">
        <f aca="false">INDEX(Students!$D$2:$D$601,MATCH(B625,Students!$A$2:$A$601,0))</f>
        <v>Cybersecurity</v>
      </c>
      <c r="L625" s="21" t="str">
        <f aca="false">INDEX(Companies!$C$2:$C$31,MATCH(C625,Companies!$A$2:$A$31,0))</f>
        <v>Fintech</v>
      </c>
      <c r="M625" s="21" t="str">
        <f aca="false">INDEX(Companies!$D$2:$D$31,MATCH(C625,Companies!$A$2:$A$31,0))</f>
        <v>Tier 2</v>
      </c>
      <c r="N625" s="34" t="n">
        <f aca="false">MATCH(F625,Assumptions!$K$4:$K$8,0)</f>
        <v>2</v>
      </c>
      <c r="O625" s="21" t="str">
        <f aca="false">IF(H625="Yes",MONTH(I625),"")</f>
        <v/>
      </c>
      <c r="P625" s="21" t="str">
        <f aca="false">IF(H625="Yes",B625,"")</f>
        <v/>
      </c>
    </row>
    <row r="626" customFormat="false" ht="15" hidden="false" customHeight="false" outlineLevel="0" collapsed="false">
      <c r="A626" s="21" t="s">
        <v>1841</v>
      </c>
      <c r="B626" s="21" t="s">
        <v>414</v>
      </c>
      <c r="C626" s="21" t="s">
        <v>1216</v>
      </c>
      <c r="D626" s="21" t="s">
        <v>1181</v>
      </c>
      <c r="E626" s="33" t="n">
        <v>45277</v>
      </c>
      <c r="F626" s="21" t="s">
        <v>1175</v>
      </c>
      <c r="G626" s="32"/>
      <c r="H626" s="21"/>
      <c r="I626" s="33"/>
      <c r="J626" s="21" t="str">
        <f aca="false">INDEX(Students!$C$2:$C$601,MATCH(B626,Students!$A$2:$A$601,0))</f>
        <v>Batch 2024</v>
      </c>
      <c r="K626" s="21" t="str">
        <f aca="false">INDEX(Students!$D$2:$D$601,MATCH(B626,Students!$A$2:$A$601,0))</f>
        <v>Full Stack Development</v>
      </c>
      <c r="L626" s="21" t="str">
        <f aca="false">INDEX(Companies!$C$2:$C$31,MATCH(C626,Companies!$A$2:$A$31,0))</f>
        <v>IT Services</v>
      </c>
      <c r="M626" s="21" t="str">
        <f aca="false">INDEX(Companies!$D$2:$D$31,MATCH(C626,Companies!$A$2:$A$31,0))</f>
        <v>Tier 3</v>
      </c>
      <c r="N626" s="34" t="n">
        <f aca="false">MATCH(F626,Assumptions!$K$4:$K$8,0)</f>
        <v>1</v>
      </c>
      <c r="O626" s="21" t="str">
        <f aca="false">IF(H626="Yes",MONTH(I626),"")</f>
        <v/>
      </c>
      <c r="P626" s="21" t="str">
        <f aca="false">IF(H626="Yes",B626,"")</f>
        <v/>
      </c>
    </row>
    <row r="627" customFormat="false" ht="15" hidden="false" customHeight="false" outlineLevel="0" collapsed="false">
      <c r="A627" s="21" t="s">
        <v>1842</v>
      </c>
      <c r="B627" s="21" t="s">
        <v>372</v>
      </c>
      <c r="C627" s="21" t="s">
        <v>1201</v>
      </c>
      <c r="D627" s="21" t="s">
        <v>1191</v>
      </c>
      <c r="E627" s="33" t="n">
        <v>45278</v>
      </c>
      <c r="F627" s="21" t="s">
        <v>1185</v>
      </c>
      <c r="G627" s="32" t="n">
        <v>6.1</v>
      </c>
      <c r="H627" s="21" t="s">
        <v>113</v>
      </c>
      <c r="I627" s="33" t="n">
        <v>45314</v>
      </c>
      <c r="J627" s="21" t="str">
        <f aca="false">INDEX(Students!$C$2:$C$601,MATCH(B627,Students!$A$2:$A$601,0))</f>
        <v>Batch 2024</v>
      </c>
      <c r="K627" s="21" t="str">
        <f aca="false">INDEX(Students!$D$2:$D$601,MATCH(B627,Students!$A$2:$A$601,0))</f>
        <v>DSA with Java</v>
      </c>
      <c r="L627" s="21" t="str">
        <f aca="false">INDEX(Companies!$C$2:$C$31,MATCH(C627,Companies!$A$2:$A$31,0))</f>
        <v>IT Services</v>
      </c>
      <c r="M627" s="21" t="str">
        <f aca="false">INDEX(Companies!$D$2:$D$31,MATCH(C627,Companies!$A$2:$A$31,0))</f>
        <v>Tier 3</v>
      </c>
      <c r="N627" s="34" t="n">
        <f aca="false">MATCH(F627,Assumptions!$K$4:$K$8,0)</f>
        <v>5</v>
      </c>
      <c r="O627" s="21" t="str">
        <f aca="false">IF(H627="Yes",MONTH(I627),"")</f>
        <v/>
      </c>
      <c r="P627" s="21" t="str">
        <f aca="false">IF(H627="Yes",B627,"")</f>
        <v/>
      </c>
    </row>
    <row r="628" customFormat="false" ht="15" hidden="false" customHeight="false" outlineLevel="0" collapsed="false">
      <c r="A628" s="21" t="s">
        <v>1843</v>
      </c>
      <c r="B628" s="21" t="s">
        <v>239</v>
      </c>
      <c r="C628" s="21" t="s">
        <v>1290</v>
      </c>
      <c r="D628" s="21" t="s">
        <v>1181</v>
      </c>
      <c r="E628" s="33" t="n">
        <v>45278</v>
      </c>
      <c r="F628" s="21" t="s">
        <v>1175</v>
      </c>
      <c r="G628" s="32"/>
      <c r="H628" s="21"/>
      <c r="I628" s="33"/>
      <c r="J628" s="21" t="str">
        <f aca="false">INDEX(Students!$C$2:$C$601,MATCH(B628,Students!$A$2:$A$601,0))</f>
        <v>Batch 2024</v>
      </c>
      <c r="K628" s="21" t="str">
        <f aca="false">INDEX(Students!$D$2:$D$601,MATCH(B628,Students!$A$2:$A$601,0))</f>
        <v>Full Stack Development</v>
      </c>
      <c r="L628" s="21" t="str">
        <f aca="false">INDEX(Companies!$C$2:$C$31,MATCH(C628,Companies!$A$2:$A$31,0))</f>
        <v>Fintech</v>
      </c>
      <c r="M628" s="21" t="str">
        <f aca="false">INDEX(Companies!$D$2:$D$31,MATCH(C628,Companies!$A$2:$A$31,0))</f>
        <v>Tier 2</v>
      </c>
      <c r="N628" s="34" t="n">
        <f aca="false">MATCH(F628,Assumptions!$K$4:$K$8,0)</f>
        <v>1</v>
      </c>
      <c r="O628" s="21" t="str">
        <f aca="false">IF(H628="Yes",MONTH(I628),"")</f>
        <v/>
      </c>
      <c r="P628" s="21" t="str">
        <f aca="false">IF(H628="Yes",B628,"")</f>
        <v/>
      </c>
    </row>
    <row r="629" customFormat="false" ht="15" hidden="false" customHeight="false" outlineLevel="0" collapsed="false">
      <c r="A629" s="21" t="s">
        <v>1844</v>
      </c>
      <c r="B629" s="21" t="s">
        <v>285</v>
      </c>
      <c r="C629" s="21" t="s">
        <v>1201</v>
      </c>
      <c r="D629" s="21" t="s">
        <v>1226</v>
      </c>
      <c r="E629" s="33" t="n">
        <v>45278</v>
      </c>
      <c r="F629" s="21" t="s">
        <v>1185</v>
      </c>
      <c r="G629" s="32" t="n">
        <v>4.8</v>
      </c>
      <c r="H629" s="21" t="s">
        <v>113</v>
      </c>
      <c r="I629" s="33" t="n">
        <v>45311</v>
      </c>
      <c r="J629" s="21" t="str">
        <f aca="false">INDEX(Students!$C$2:$C$601,MATCH(B629,Students!$A$2:$A$601,0))</f>
        <v>Batch 2024</v>
      </c>
      <c r="K629" s="21" t="str">
        <f aca="false">INDEX(Students!$D$2:$D$601,MATCH(B629,Students!$A$2:$A$601,0))</f>
        <v>Cybersecurity</v>
      </c>
      <c r="L629" s="21" t="str">
        <f aca="false">INDEX(Companies!$C$2:$C$31,MATCH(C629,Companies!$A$2:$A$31,0))</f>
        <v>IT Services</v>
      </c>
      <c r="M629" s="21" t="str">
        <f aca="false">INDEX(Companies!$D$2:$D$31,MATCH(C629,Companies!$A$2:$A$31,0))</f>
        <v>Tier 3</v>
      </c>
      <c r="N629" s="34" t="n">
        <f aca="false">MATCH(F629,Assumptions!$K$4:$K$8,0)</f>
        <v>5</v>
      </c>
      <c r="O629" s="21" t="str">
        <f aca="false">IF(H629="Yes",MONTH(I629),"")</f>
        <v/>
      </c>
      <c r="P629" s="21" t="str">
        <f aca="false">IF(H629="Yes",B629,"")</f>
        <v/>
      </c>
    </row>
    <row r="630" customFormat="false" ht="15" hidden="false" customHeight="false" outlineLevel="0" collapsed="false">
      <c r="A630" s="21" t="s">
        <v>1845</v>
      </c>
      <c r="B630" s="21" t="s">
        <v>203</v>
      </c>
      <c r="C630" s="21" t="s">
        <v>1322</v>
      </c>
      <c r="D630" s="21" t="s">
        <v>1191</v>
      </c>
      <c r="E630" s="33" t="n">
        <v>45278</v>
      </c>
      <c r="F630" s="21" t="s">
        <v>1185</v>
      </c>
      <c r="G630" s="32" t="n">
        <v>15.8</v>
      </c>
      <c r="H630" s="21" t="s">
        <v>120</v>
      </c>
      <c r="I630" s="33" t="n">
        <v>45302</v>
      </c>
      <c r="J630" s="21" t="str">
        <f aca="false">INDEX(Students!$C$2:$C$601,MATCH(B630,Students!$A$2:$A$601,0))</f>
        <v>Batch 2024</v>
      </c>
      <c r="K630" s="21" t="str">
        <f aca="false">INDEX(Students!$D$2:$D$601,MATCH(B630,Students!$A$2:$A$601,0))</f>
        <v>DSA with Java</v>
      </c>
      <c r="L630" s="21" t="str">
        <f aca="false">INDEX(Companies!$C$2:$C$31,MATCH(C630,Companies!$A$2:$A$31,0))</f>
        <v>Healthtech</v>
      </c>
      <c r="M630" s="21" t="str">
        <f aca="false">INDEX(Companies!$D$2:$D$31,MATCH(C630,Companies!$A$2:$A$31,0))</f>
        <v>Tier 2</v>
      </c>
      <c r="N630" s="34" t="n">
        <f aca="false">MATCH(F630,Assumptions!$K$4:$K$8,0)</f>
        <v>5</v>
      </c>
      <c r="O630" s="21" t="n">
        <f aca="false">IF(H630="Yes",MONTH(I630),"")</f>
        <v>1</v>
      </c>
      <c r="P630" s="21" t="str">
        <f aca="false">IF(H630="Yes",B630,"")</f>
        <v>S0046</v>
      </c>
    </row>
    <row r="631" customFormat="false" ht="15" hidden="false" customHeight="false" outlineLevel="0" collapsed="false">
      <c r="A631" s="21" t="s">
        <v>1846</v>
      </c>
      <c r="B631" s="21" t="s">
        <v>443</v>
      </c>
      <c r="C631" s="21" t="s">
        <v>1183</v>
      </c>
      <c r="D631" s="21" t="s">
        <v>1181</v>
      </c>
      <c r="E631" s="33" t="n">
        <v>45279</v>
      </c>
      <c r="F631" s="21" t="s">
        <v>1185</v>
      </c>
      <c r="G631" s="32" t="n">
        <v>11</v>
      </c>
      <c r="H631" s="21" t="s">
        <v>120</v>
      </c>
      <c r="I631" s="33" t="n">
        <v>45332</v>
      </c>
      <c r="J631" s="21" t="str">
        <f aca="false">INDEX(Students!$C$2:$C$601,MATCH(B631,Students!$A$2:$A$601,0))</f>
        <v>Batch 2024</v>
      </c>
      <c r="K631" s="21" t="str">
        <f aca="false">INDEX(Students!$D$2:$D$601,MATCH(B631,Students!$A$2:$A$601,0))</f>
        <v>Full Stack Development</v>
      </c>
      <c r="L631" s="21" t="str">
        <f aca="false">INDEX(Companies!$C$2:$C$31,MATCH(C631,Companies!$A$2:$A$31,0))</f>
        <v>E-commerce</v>
      </c>
      <c r="M631" s="21" t="str">
        <f aca="false">INDEX(Companies!$D$2:$D$31,MATCH(C631,Companies!$A$2:$A$31,0))</f>
        <v>Tier 2</v>
      </c>
      <c r="N631" s="34" t="n">
        <f aca="false">MATCH(F631,Assumptions!$K$4:$K$8,0)</f>
        <v>5</v>
      </c>
      <c r="O631" s="21" t="n">
        <f aca="false">IF(H631="Yes",MONTH(I631),"")</f>
        <v>2</v>
      </c>
      <c r="P631" s="21" t="str">
        <f aca="false">IF(H631="Yes",B631,"")</f>
        <v>S0174</v>
      </c>
    </row>
    <row r="632" customFormat="false" ht="15" hidden="false" customHeight="false" outlineLevel="0" collapsed="false">
      <c r="A632" s="21" t="s">
        <v>1847</v>
      </c>
      <c r="B632" s="21" t="s">
        <v>251</v>
      </c>
      <c r="C632" s="21" t="s">
        <v>1234</v>
      </c>
      <c r="D632" s="21" t="s">
        <v>1240</v>
      </c>
      <c r="E632" s="33" t="n">
        <v>45279</v>
      </c>
      <c r="F632" s="21" t="s">
        <v>1197</v>
      </c>
      <c r="G632" s="32"/>
      <c r="H632" s="21"/>
      <c r="I632" s="33"/>
      <c r="J632" s="21" t="str">
        <f aca="false">INDEX(Students!$C$2:$C$601,MATCH(B632,Students!$A$2:$A$601,0))</f>
        <v>Batch 2024</v>
      </c>
      <c r="K632" s="21" t="str">
        <f aca="false">INDEX(Students!$D$2:$D$601,MATCH(B632,Students!$A$2:$A$601,0))</f>
        <v>Cybersecurity</v>
      </c>
      <c r="L632" s="21" t="str">
        <f aca="false">INDEX(Companies!$C$2:$C$31,MATCH(C632,Companies!$A$2:$A$31,0))</f>
        <v>EdTech</v>
      </c>
      <c r="M632" s="21" t="str">
        <f aca="false">INDEX(Companies!$D$2:$D$31,MATCH(C632,Companies!$A$2:$A$31,0))</f>
        <v>Tier 3</v>
      </c>
      <c r="N632" s="34" t="n">
        <f aca="false">MATCH(F632,Assumptions!$K$4:$K$8,0)</f>
        <v>3</v>
      </c>
      <c r="O632" s="21" t="str">
        <f aca="false">IF(H632="Yes",MONTH(I632),"")</f>
        <v/>
      </c>
      <c r="P632" s="21" t="str">
        <f aca="false">IF(H632="Yes",B632,"")</f>
        <v/>
      </c>
    </row>
    <row r="633" customFormat="false" ht="15" hidden="false" customHeight="false" outlineLevel="0" collapsed="false">
      <c r="A633" s="21" t="s">
        <v>1848</v>
      </c>
      <c r="B633" s="21" t="s">
        <v>336</v>
      </c>
      <c r="C633" s="21" t="s">
        <v>1255</v>
      </c>
      <c r="D633" s="21" t="s">
        <v>1174</v>
      </c>
      <c r="E633" s="33" t="n">
        <v>45279</v>
      </c>
      <c r="F633" s="21" t="s">
        <v>1185</v>
      </c>
      <c r="G633" s="32" t="n">
        <v>6.6</v>
      </c>
      <c r="H633" s="21" t="s">
        <v>113</v>
      </c>
      <c r="I633" s="33" t="n">
        <v>45330</v>
      </c>
      <c r="J633" s="21" t="str">
        <f aca="false">INDEX(Students!$C$2:$C$601,MATCH(B633,Students!$A$2:$A$601,0))</f>
        <v>Batch 2024</v>
      </c>
      <c r="K633" s="21" t="str">
        <f aca="false">INDEX(Students!$D$2:$D$601,MATCH(B633,Students!$A$2:$A$601,0))</f>
        <v>Full Stack Development</v>
      </c>
      <c r="L633" s="21" t="str">
        <f aca="false">INDEX(Companies!$C$2:$C$31,MATCH(C633,Companies!$A$2:$A$31,0))</f>
        <v>IT Services</v>
      </c>
      <c r="M633" s="21" t="str">
        <f aca="false">INDEX(Companies!$D$2:$D$31,MATCH(C633,Companies!$A$2:$A$31,0))</f>
        <v>Tier 3</v>
      </c>
      <c r="N633" s="34" t="n">
        <f aca="false">MATCH(F633,Assumptions!$K$4:$K$8,0)</f>
        <v>5</v>
      </c>
      <c r="O633" s="21" t="str">
        <f aca="false">IF(H633="Yes",MONTH(I633),"")</f>
        <v/>
      </c>
      <c r="P633" s="21" t="str">
        <f aca="false">IF(H633="Yes",B633,"")</f>
        <v/>
      </c>
    </row>
    <row r="634" customFormat="false" ht="15" hidden="false" customHeight="false" outlineLevel="0" collapsed="false">
      <c r="A634" s="21" t="s">
        <v>1849</v>
      </c>
      <c r="B634" s="21" t="s">
        <v>217</v>
      </c>
      <c r="C634" s="21" t="s">
        <v>1201</v>
      </c>
      <c r="D634" s="21" t="s">
        <v>1243</v>
      </c>
      <c r="E634" s="33" t="n">
        <v>45279</v>
      </c>
      <c r="F634" s="21" t="s">
        <v>1185</v>
      </c>
      <c r="G634" s="32" t="n">
        <v>6.5</v>
      </c>
      <c r="H634" s="21" t="s">
        <v>113</v>
      </c>
      <c r="I634" s="33" t="n">
        <v>45312</v>
      </c>
      <c r="J634" s="21" t="str">
        <f aca="false">INDEX(Students!$C$2:$C$601,MATCH(B634,Students!$A$2:$A$601,0))</f>
        <v>Batch 2024</v>
      </c>
      <c r="K634" s="21" t="str">
        <f aca="false">INDEX(Students!$D$2:$D$601,MATCH(B634,Students!$A$2:$A$601,0))</f>
        <v>Data Science &amp; ML</v>
      </c>
      <c r="L634" s="21" t="str">
        <f aca="false">INDEX(Companies!$C$2:$C$31,MATCH(C634,Companies!$A$2:$A$31,0))</f>
        <v>IT Services</v>
      </c>
      <c r="M634" s="21" t="str">
        <f aca="false">INDEX(Companies!$D$2:$D$31,MATCH(C634,Companies!$A$2:$A$31,0))</f>
        <v>Tier 3</v>
      </c>
      <c r="N634" s="34" t="n">
        <f aca="false">MATCH(F634,Assumptions!$K$4:$K$8,0)</f>
        <v>5</v>
      </c>
      <c r="O634" s="21" t="str">
        <f aca="false">IF(H634="Yes",MONTH(I634),"")</f>
        <v/>
      </c>
      <c r="P634" s="21" t="str">
        <f aca="false">IF(H634="Yes",B634,"")</f>
        <v/>
      </c>
    </row>
    <row r="635" customFormat="false" ht="15" hidden="false" customHeight="false" outlineLevel="0" collapsed="false">
      <c r="A635" s="21" t="s">
        <v>1850</v>
      </c>
      <c r="B635" s="21" t="s">
        <v>118</v>
      </c>
      <c r="C635" s="21" t="s">
        <v>1211</v>
      </c>
      <c r="D635" s="21" t="s">
        <v>1191</v>
      </c>
      <c r="E635" s="33" t="n">
        <v>45279</v>
      </c>
      <c r="F635" s="21" t="s">
        <v>1197</v>
      </c>
      <c r="G635" s="32"/>
      <c r="H635" s="21"/>
      <c r="I635" s="33"/>
      <c r="J635" s="21" t="str">
        <f aca="false">INDEX(Students!$C$2:$C$601,MATCH(B635,Students!$A$2:$A$601,0))</f>
        <v>Batch 2024</v>
      </c>
      <c r="K635" s="21" t="str">
        <f aca="false">INDEX(Students!$D$2:$D$601,MATCH(B635,Students!$A$2:$A$601,0))</f>
        <v>DSA with Java</v>
      </c>
      <c r="L635" s="21" t="str">
        <f aca="false">INDEX(Companies!$C$2:$C$31,MATCH(C635,Companies!$A$2:$A$31,0))</f>
        <v>Analytics &amp; Consulting</v>
      </c>
      <c r="M635" s="21" t="str">
        <f aca="false">INDEX(Companies!$D$2:$D$31,MATCH(C635,Companies!$A$2:$A$31,0))</f>
        <v>Tier 3</v>
      </c>
      <c r="N635" s="34" t="n">
        <f aca="false">MATCH(F635,Assumptions!$K$4:$K$8,0)</f>
        <v>3</v>
      </c>
      <c r="O635" s="21" t="str">
        <f aca="false">IF(H635="Yes",MONTH(I635),"")</f>
        <v/>
      </c>
      <c r="P635" s="21" t="str">
        <f aca="false">IF(H635="Yes",B635,"")</f>
        <v/>
      </c>
    </row>
    <row r="636" customFormat="false" ht="15" hidden="false" customHeight="false" outlineLevel="0" collapsed="false">
      <c r="A636" s="21" t="s">
        <v>1851</v>
      </c>
      <c r="B636" s="21" t="s">
        <v>149</v>
      </c>
      <c r="C636" s="21" t="s">
        <v>1183</v>
      </c>
      <c r="D636" s="21" t="s">
        <v>1181</v>
      </c>
      <c r="E636" s="33" t="n">
        <v>45279</v>
      </c>
      <c r="F636" s="21" t="s">
        <v>1185</v>
      </c>
      <c r="G636" s="32" t="n">
        <v>14.1</v>
      </c>
      <c r="H636" s="21" t="s">
        <v>120</v>
      </c>
      <c r="I636" s="33" t="n">
        <v>45327</v>
      </c>
      <c r="J636" s="21" t="str">
        <f aca="false">INDEX(Students!$C$2:$C$601,MATCH(B636,Students!$A$2:$A$601,0))</f>
        <v>Batch 2024</v>
      </c>
      <c r="K636" s="21" t="str">
        <f aca="false">INDEX(Students!$D$2:$D$601,MATCH(B636,Students!$A$2:$A$601,0))</f>
        <v>Full Stack Development</v>
      </c>
      <c r="L636" s="21" t="str">
        <f aca="false">INDEX(Companies!$C$2:$C$31,MATCH(C636,Companies!$A$2:$A$31,0))</f>
        <v>E-commerce</v>
      </c>
      <c r="M636" s="21" t="str">
        <f aca="false">INDEX(Companies!$D$2:$D$31,MATCH(C636,Companies!$A$2:$A$31,0))</f>
        <v>Tier 2</v>
      </c>
      <c r="N636" s="34" t="n">
        <f aca="false">MATCH(F636,Assumptions!$K$4:$K$8,0)</f>
        <v>5</v>
      </c>
      <c r="O636" s="21" t="n">
        <f aca="false">IF(H636="Yes",MONTH(I636),"")</f>
        <v>2</v>
      </c>
      <c r="P636" s="21" t="str">
        <f aca="false">IF(H636="Yes",B636,"")</f>
        <v>S0019</v>
      </c>
    </row>
    <row r="637" customFormat="false" ht="15" hidden="false" customHeight="false" outlineLevel="0" collapsed="false">
      <c r="A637" s="21" t="s">
        <v>1852</v>
      </c>
      <c r="B637" s="21" t="s">
        <v>297</v>
      </c>
      <c r="C637" s="21" t="s">
        <v>1322</v>
      </c>
      <c r="D637" s="21" t="s">
        <v>1191</v>
      </c>
      <c r="E637" s="33" t="n">
        <v>45279</v>
      </c>
      <c r="F637" s="21" t="s">
        <v>1175</v>
      </c>
      <c r="G637" s="32"/>
      <c r="H637" s="21"/>
      <c r="I637" s="33"/>
      <c r="J637" s="21" t="str">
        <f aca="false">INDEX(Students!$C$2:$C$601,MATCH(B637,Students!$A$2:$A$601,0))</f>
        <v>Batch 2024</v>
      </c>
      <c r="K637" s="21" t="str">
        <f aca="false">INDEX(Students!$D$2:$D$601,MATCH(B637,Students!$A$2:$A$601,0))</f>
        <v>DSA with Java</v>
      </c>
      <c r="L637" s="21" t="str">
        <f aca="false">INDEX(Companies!$C$2:$C$31,MATCH(C637,Companies!$A$2:$A$31,0))</f>
        <v>Healthtech</v>
      </c>
      <c r="M637" s="21" t="str">
        <f aca="false">INDEX(Companies!$D$2:$D$31,MATCH(C637,Companies!$A$2:$A$31,0))</f>
        <v>Tier 2</v>
      </c>
      <c r="N637" s="34" t="n">
        <f aca="false">MATCH(F637,Assumptions!$K$4:$K$8,0)</f>
        <v>1</v>
      </c>
      <c r="O637" s="21" t="str">
        <f aca="false">IF(H637="Yes",MONTH(I637),"")</f>
        <v/>
      </c>
      <c r="P637" s="21" t="str">
        <f aca="false">IF(H637="Yes",B637,"")</f>
        <v/>
      </c>
    </row>
    <row r="638" customFormat="false" ht="15" hidden="false" customHeight="false" outlineLevel="0" collapsed="false">
      <c r="A638" s="21" t="s">
        <v>1853</v>
      </c>
      <c r="B638" s="21" t="s">
        <v>114</v>
      </c>
      <c r="C638" s="21" t="s">
        <v>1255</v>
      </c>
      <c r="D638" s="21" t="s">
        <v>1184</v>
      </c>
      <c r="E638" s="33" t="n">
        <v>45280</v>
      </c>
      <c r="F638" s="21" t="s">
        <v>1197</v>
      </c>
      <c r="G638" s="32"/>
      <c r="H638" s="21"/>
      <c r="I638" s="33"/>
      <c r="J638" s="21" t="str">
        <f aca="false">INDEX(Students!$C$2:$C$601,MATCH(B638,Students!$A$2:$A$601,0))</f>
        <v>Batch 2024</v>
      </c>
      <c r="K638" s="21" t="str">
        <f aca="false">INDEX(Students!$D$2:$D$601,MATCH(B638,Students!$A$2:$A$601,0))</f>
        <v>DSA with Java</v>
      </c>
      <c r="L638" s="21" t="str">
        <f aca="false">INDEX(Companies!$C$2:$C$31,MATCH(C638,Companies!$A$2:$A$31,0))</f>
        <v>IT Services</v>
      </c>
      <c r="M638" s="21" t="str">
        <f aca="false">INDEX(Companies!$D$2:$D$31,MATCH(C638,Companies!$A$2:$A$31,0))</f>
        <v>Tier 3</v>
      </c>
      <c r="N638" s="34" t="n">
        <f aca="false">MATCH(F638,Assumptions!$K$4:$K$8,0)</f>
        <v>3</v>
      </c>
      <c r="O638" s="21" t="str">
        <f aca="false">IF(H638="Yes",MONTH(I638),"")</f>
        <v/>
      </c>
      <c r="P638" s="21" t="str">
        <f aca="false">IF(H638="Yes",B638,"")</f>
        <v/>
      </c>
    </row>
    <row r="639" customFormat="false" ht="15" hidden="false" customHeight="false" outlineLevel="0" collapsed="false">
      <c r="A639" s="21" t="s">
        <v>1854</v>
      </c>
      <c r="B639" s="21" t="s">
        <v>301</v>
      </c>
      <c r="C639" s="21" t="s">
        <v>1177</v>
      </c>
      <c r="D639" s="21" t="s">
        <v>1174</v>
      </c>
      <c r="E639" s="33" t="n">
        <v>45280</v>
      </c>
      <c r="F639" s="21" t="s">
        <v>1185</v>
      </c>
      <c r="G639" s="32" t="n">
        <v>6.9</v>
      </c>
      <c r="H639" s="21" t="s">
        <v>120</v>
      </c>
      <c r="I639" s="33" t="n">
        <v>45303</v>
      </c>
      <c r="J639" s="21" t="str">
        <f aca="false">INDEX(Students!$C$2:$C$601,MATCH(B639,Students!$A$2:$A$601,0))</f>
        <v>Batch 2024</v>
      </c>
      <c r="K639" s="21" t="str">
        <f aca="false">INDEX(Students!$D$2:$D$601,MATCH(B639,Students!$A$2:$A$601,0))</f>
        <v>Full Stack Development</v>
      </c>
      <c r="L639" s="21" t="str">
        <f aca="false">INDEX(Companies!$C$2:$C$31,MATCH(C639,Companies!$A$2:$A$31,0))</f>
        <v>IT Services</v>
      </c>
      <c r="M639" s="21" t="str">
        <f aca="false">INDEX(Companies!$D$2:$D$31,MATCH(C639,Companies!$A$2:$A$31,0))</f>
        <v>Tier 3</v>
      </c>
      <c r="N639" s="34" t="n">
        <f aca="false">MATCH(F639,Assumptions!$K$4:$K$8,0)</f>
        <v>5</v>
      </c>
      <c r="O639" s="21" t="n">
        <f aca="false">IF(H639="Yes",MONTH(I639),"")</f>
        <v>1</v>
      </c>
      <c r="P639" s="21" t="str">
        <f aca="false">IF(H639="Yes",B639,"")</f>
        <v>S0097</v>
      </c>
    </row>
    <row r="640" customFormat="false" ht="15" hidden="false" customHeight="false" outlineLevel="0" collapsed="false">
      <c r="A640" s="21" t="s">
        <v>1855</v>
      </c>
      <c r="B640" s="21" t="s">
        <v>173</v>
      </c>
      <c r="C640" s="21" t="s">
        <v>1298</v>
      </c>
      <c r="D640" s="21" t="s">
        <v>1174</v>
      </c>
      <c r="E640" s="33" t="n">
        <v>45280</v>
      </c>
      <c r="F640" s="21" t="s">
        <v>1178</v>
      </c>
      <c r="G640" s="32"/>
      <c r="H640" s="21"/>
      <c r="I640" s="33"/>
      <c r="J640" s="21" t="str">
        <f aca="false">INDEX(Students!$C$2:$C$601,MATCH(B640,Students!$A$2:$A$601,0))</f>
        <v>Batch 2024</v>
      </c>
      <c r="K640" s="21" t="str">
        <f aca="false">INDEX(Students!$D$2:$D$601,MATCH(B640,Students!$A$2:$A$601,0))</f>
        <v>Full Stack Development</v>
      </c>
      <c r="L640" s="21" t="str">
        <f aca="false">INDEX(Companies!$C$2:$C$31,MATCH(C640,Companies!$A$2:$A$31,0))</f>
        <v>Fintech</v>
      </c>
      <c r="M640" s="21" t="str">
        <f aca="false">INDEX(Companies!$D$2:$D$31,MATCH(C640,Companies!$A$2:$A$31,0))</f>
        <v>Tier 2</v>
      </c>
      <c r="N640" s="34" t="n">
        <f aca="false">MATCH(F640,Assumptions!$K$4:$K$8,0)</f>
        <v>2</v>
      </c>
      <c r="O640" s="21" t="str">
        <f aca="false">IF(H640="Yes",MONTH(I640),"")</f>
        <v/>
      </c>
      <c r="P640" s="21" t="str">
        <f aca="false">IF(H640="Yes",B640,"")</f>
        <v/>
      </c>
    </row>
    <row r="641" customFormat="false" ht="15" hidden="false" customHeight="false" outlineLevel="0" collapsed="false">
      <c r="A641" s="21" t="s">
        <v>1856</v>
      </c>
      <c r="B641" s="21" t="s">
        <v>149</v>
      </c>
      <c r="C641" s="21" t="s">
        <v>1309</v>
      </c>
      <c r="D641" s="21" t="s">
        <v>1174</v>
      </c>
      <c r="E641" s="33" t="n">
        <v>45280</v>
      </c>
      <c r="F641" s="21" t="s">
        <v>1185</v>
      </c>
      <c r="G641" s="32" t="n">
        <v>13</v>
      </c>
      <c r="H641" s="21" t="s">
        <v>113</v>
      </c>
      <c r="I641" s="33" t="n">
        <v>45312</v>
      </c>
      <c r="J641" s="21" t="str">
        <f aca="false">INDEX(Students!$C$2:$C$601,MATCH(B641,Students!$A$2:$A$601,0))</f>
        <v>Batch 2024</v>
      </c>
      <c r="K641" s="21" t="str">
        <f aca="false">INDEX(Students!$D$2:$D$601,MATCH(B641,Students!$A$2:$A$601,0))</f>
        <v>Full Stack Development</v>
      </c>
      <c r="L641" s="21" t="str">
        <f aca="false">INDEX(Companies!$C$2:$C$31,MATCH(C641,Companies!$A$2:$A$31,0))</f>
        <v>EdTech</v>
      </c>
      <c r="M641" s="21" t="str">
        <f aca="false">INDEX(Companies!$D$2:$D$31,MATCH(C641,Companies!$A$2:$A$31,0))</f>
        <v>Tier 2</v>
      </c>
      <c r="N641" s="34" t="n">
        <f aca="false">MATCH(F641,Assumptions!$K$4:$K$8,0)</f>
        <v>5</v>
      </c>
      <c r="O641" s="21" t="str">
        <f aca="false">IF(H641="Yes",MONTH(I641),"")</f>
        <v/>
      </c>
      <c r="P641" s="21" t="str">
        <f aca="false">IF(H641="Yes",B641,"")</f>
        <v/>
      </c>
    </row>
    <row r="642" customFormat="false" ht="15" hidden="false" customHeight="false" outlineLevel="0" collapsed="false">
      <c r="A642" s="21" t="s">
        <v>1857</v>
      </c>
      <c r="B642" s="21" t="s">
        <v>276</v>
      </c>
      <c r="C642" s="21" t="s">
        <v>1208</v>
      </c>
      <c r="D642" s="21" t="s">
        <v>1194</v>
      </c>
      <c r="E642" s="33" t="n">
        <v>45281</v>
      </c>
      <c r="F642" s="21" t="s">
        <v>1197</v>
      </c>
      <c r="G642" s="32"/>
      <c r="H642" s="21"/>
      <c r="I642" s="33"/>
      <c r="J642" s="21" t="str">
        <f aca="false">INDEX(Students!$C$2:$C$601,MATCH(B642,Students!$A$2:$A$601,0))</f>
        <v>Batch 2024</v>
      </c>
      <c r="K642" s="21" t="str">
        <f aca="false">INDEX(Students!$D$2:$D$601,MATCH(B642,Students!$A$2:$A$601,0))</f>
        <v>Data Science &amp; ML</v>
      </c>
      <c r="L642" s="21" t="str">
        <f aca="false">INDEX(Companies!$C$2:$C$31,MATCH(C642,Companies!$A$2:$A$31,0))</f>
        <v>E-commerce</v>
      </c>
      <c r="M642" s="21" t="str">
        <f aca="false">INDEX(Companies!$D$2:$D$31,MATCH(C642,Companies!$A$2:$A$31,0))</f>
        <v>Tier 1</v>
      </c>
      <c r="N642" s="34" t="n">
        <f aca="false">MATCH(F642,Assumptions!$K$4:$K$8,0)</f>
        <v>3</v>
      </c>
      <c r="O642" s="21" t="str">
        <f aca="false">IF(H642="Yes",MONTH(I642),"")</f>
        <v/>
      </c>
      <c r="P642" s="21" t="str">
        <f aca="false">IF(H642="Yes",B642,"")</f>
        <v/>
      </c>
    </row>
    <row r="643" customFormat="false" ht="15" hidden="false" customHeight="false" outlineLevel="0" collapsed="false">
      <c r="A643" s="21" t="s">
        <v>1858</v>
      </c>
      <c r="B643" s="21" t="s">
        <v>279</v>
      </c>
      <c r="C643" s="21" t="s">
        <v>1225</v>
      </c>
      <c r="D643" s="21" t="s">
        <v>1240</v>
      </c>
      <c r="E643" s="33" t="n">
        <v>45281</v>
      </c>
      <c r="F643" s="21" t="s">
        <v>1218</v>
      </c>
      <c r="G643" s="32"/>
      <c r="H643" s="21"/>
      <c r="I643" s="33"/>
      <c r="J643" s="21" t="str">
        <f aca="false">INDEX(Students!$C$2:$C$601,MATCH(B643,Students!$A$2:$A$601,0))</f>
        <v>Batch 2024</v>
      </c>
      <c r="K643" s="21" t="str">
        <f aca="false">INDEX(Students!$D$2:$D$601,MATCH(B643,Students!$A$2:$A$601,0))</f>
        <v>Cybersecurity</v>
      </c>
      <c r="L643" s="21" t="str">
        <f aca="false">INDEX(Companies!$C$2:$C$31,MATCH(C643,Companies!$A$2:$A$31,0))</f>
        <v>EdTech</v>
      </c>
      <c r="M643" s="21" t="str">
        <f aca="false">INDEX(Companies!$D$2:$D$31,MATCH(C643,Companies!$A$2:$A$31,0))</f>
        <v>Tier 2</v>
      </c>
      <c r="N643" s="34" t="n">
        <f aca="false">MATCH(F643,Assumptions!$K$4:$K$8,0)</f>
        <v>4</v>
      </c>
      <c r="O643" s="21" t="str">
        <f aca="false">IF(H643="Yes",MONTH(I643),"")</f>
        <v/>
      </c>
      <c r="P643" s="21" t="str">
        <f aca="false">IF(H643="Yes",B643,"")</f>
        <v/>
      </c>
    </row>
    <row r="644" customFormat="false" ht="15" hidden="false" customHeight="false" outlineLevel="0" collapsed="false">
      <c r="A644" s="21" t="s">
        <v>1859</v>
      </c>
      <c r="B644" s="21" t="s">
        <v>438</v>
      </c>
      <c r="C644" s="21" t="s">
        <v>1234</v>
      </c>
      <c r="D644" s="21" t="s">
        <v>1226</v>
      </c>
      <c r="E644" s="33" t="n">
        <v>45281</v>
      </c>
      <c r="F644" s="21" t="s">
        <v>1175</v>
      </c>
      <c r="G644" s="32"/>
      <c r="H644" s="21"/>
      <c r="I644" s="33"/>
      <c r="J644" s="21" t="str">
        <f aca="false">INDEX(Students!$C$2:$C$601,MATCH(B644,Students!$A$2:$A$601,0))</f>
        <v>Batch 2024</v>
      </c>
      <c r="K644" s="21" t="str">
        <f aca="false">INDEX(Students!$D$2:$D$601,MATCH(B644,Students!$A$2:$A$601,0))</f>
        <v>Cybersecurity</v>
      </c>
      <c r="L644" s="21" t="str">
        <f aca="false">INDEX(Companies!$C$2:$C$31,MATCH(C644,Companies!$A$2:$A$31,0))</f>
        <v>EdTech</v>
      </c>
      <c r="M644" s="21" t="str">
        <f aca="false">INDEX(Companies!$D$2:$D$31,MATCH(C644,Companies!$A$2:$A$31,0))</f>
        <v>Tier 3</v>
      </c>
      <c r="N644" s="34" t="n">
        <f aca="false">MATCH(F644,Assumptions!$K$4:$K$8,0)</f>
        <v>1</v>
      </c>
      <c r="O644" s="21" t="str">
        <f aca="false">IF(H644="Yes",MONTH(I644),"")</f>
        <v/>
      </c>
      <c r="P644" s="21" t="str">
        <f aca="false">IF(H644="Yes",B644,"")</f>
        <v/>
      </c>
    </row>
    <row r="645" customFormat="false" ht="15" hidden="false" customHeight="false" outlineLevel="0" collapsed="false">
      <c r="A645" s="21" t="s">
        <v>1860</v>
      </c>
      <c r="B645" s="21" t="s">
        <v>205</v>
      </c>
      <c r="C645" s="21" t="s">
        <v>1193</v>
      </c>
      <c r="D645" s="21" t="s">
        <v>1188</v>
      </c>
      <c r="E645" s="33" t="n">
        <v>45281</v>
      </c>
      <c r="F645" s="21" t="s">
        <v>1178</v>
      </c>
      <c r="G645" s="32"/>
      <c r="H645" s="21"/>
      <c r="I645" s="33"/>
      <c r="J645" s="21" t="str">
        <f aca="false">INDEX(Students!$C$2:$C$601,MATCH(B645,Students!$A$2:$A$601,0))</f>
        <v>Batch 2024</v>
      </c>
      <c r="K645" s="21" t="str">
        <f aca="false">INDEX(Students!$D$2:$D$601,MATCH(B645,Students!$A$2:$A$601,0))</f>
        <v>Data Analytics</v>
      </c>
      <c r="L645" s="21" t="str">
        <f aca="false">INDEX(Companies!$C$2:$C$31,MATCH(C645,Companies!$A$2:$A$31,0))</f>
        <v>Analytics &amp; Consulting</v>
      </c>
      <c r="M645" s="21" t="str">
        <f aca="false">INDEX(Companies!$D$2:$D$31,MATCH(C645,Companies!$A$2:$A$31,0))</f>
        <v>Tier 2</v>
      </c>
      <c r="N645" s="34" t="n">
        <f aca="false">MATCH(F645,Assumptions!$K$4:$K$8,0)</f>
        <v>2</v>
      </c>
      <c r="O645" s="21" t="str">
        <f aca="false">IF(H645="Yes",MONTH(I645),"")</f>
        <v/>
      </c>
      <c r="P645" s="21" t="str">
        <f aca="false">IF(H645="Yes",B645,"")</f>
        <v/>
      </c>
    </row>
    <row r="646" customFormat="false" ht="15" hidden="false" customHeight="false" outlineLevel="0" collapsed="false">
      <c r="A646" s="21" t="s">
        <v>1861</v>
      </c>
      <c r="B646" s="21" t="s">
        <v>427</v>
      </c>
      <c r="C646" s="21" t="s">
        <v>1298</v>
      </c>
      <c r="D646" s="21" t="s">
        <v>1181</v>
      </c>
      <c r="E646" s="33" t="n">
        <v>45281</v>
      </c>
      <c r="F646" s="21" t="s">
        <v>1175</v>
      </c>
      <c r="G646" s="32"/>
      <c r="H646" s="21"/>
      <c r="I646" s="33"/>
      <c r="J646" s="21" t="str">
        <f aca="false">INDEX(Students!$C$2:$C$601,MATCH(B646,Students!$A$2:$A$601,0))</f>
        <v>Batch 2024</v>
      </c>
      <c r="K646" s="21" t="str">
        <f aca="false">INDEX(Students!$D$2:$D$601,MATCH(B646,Students!$A$2:$A$601,0))</f>
        <v>Full Stack Development</v>
      </c>
      <c r="L646" s="21" t="str">
        <f aca="false">INDEX(Companies!$C$2:$C$31,MATCH(C646,Companies!$A$2:$A$31,0))</f>
        <v>Fintech</v>
      </c>
      <c r="M646" s="21" t="str">
        <f aca="false">INDEX(Companies!$D$2:$D$31,MATCH(C646,Companies!$A$2:$A$31,0))</f>
        <v>Tier 2</v>
      </c>
      <c r="N646" s="34" t="n">
        <f aca="false">MATCH(F646,Assumptions!$K$4:$K$8,0)</f>
        <v>1</v>
      </c>
      <c r="O646" s="21" t="str">
        <f aca="false">IF(H646="Yes",MONTH(I646),"")</f>
        <v/>
      </c>
      <c r="P646" s="21" t="str">
        <f aca="false">IF(H646="Yes",B646,"")</f>
        <v/>
      </c>
    </row>
    <row r="647" customFormat="false" ht="15" hidden="false" customHeight="false" outlineLevel="0" collapsed="false">
      <c r="A647" s="21" t="s">
        <v>1862</v>
      </c>
      <c r="B647" s="21" t="s">
        <v>317</v>
      </c>
      <c r="C647" s="21" t="s">
        <v>1216</v>
      </c>
      <c r="D647" s="21" t="s">
        <v>1209</v>
      </c>
      <c r="E647" s="33" t="n">
        <v>45281</v>
      </c>
      <c r="F647" s="21" t="s">
        <v>1178</v>
      </c>
      <c r="G647" s="32"/>
      <c r="H647" s="21"/>
      <c r="I647" s="33"/>
      <c r="J647" s="21" t="str">
        <f aca="false">INDEX(Students!$C$2:$C$601,MATCH(B647,Students!$A$2:$A$601,0))</f>
        <v>Batch 2024</v>
      </c>
      <c r="K647" s="21" t="str">
        <f aca="false">INDEX(Students!$D$2:$D$601,MATCH(B647,Students!$A$2:$A$601,0))</f>
        <v>Data Analytics</v>
      </c>
      <c r="L647" s="21" t="str">
        <f aca="false">INDEX(Companies!$C$2:$C$31,MATCH(C647,Companies!$A$2:$A$31,0))</f>
        <v>IT Services</v>
      </c>
      <c r="M647" s="21" t="str">
        <f aca="false">INDEX(Companies!$D$2:$D$31,MATCH(C647,Companies!$A$2:$A$31,0))</f>
        <v>Tier 3</v>
      </c>
      <c r="N647" s="34" t="n">
        <f aca="false">MATCH(F647,Assumptions!$K$4:$K$8,0)</f>
        <v>2</v>
      </c>
      <c r="O647" s="21" t="str">
        <f aca="false">IF(H647="Yes",MONTH(I647),"")</f>
        <v/>
      </c>
      <c r="P647" s="21" t="str">
        <f aca="false">IF(H647="Yes",B647,"")</f>
        <v/>
      </c>
    </row>
    <row r="648" customFormat="false" ht="15" hidden="false" customHeight="false" outlineLevel="0" collapsed="false">
      <c r="A648" s="21" t="s">
        <v>1863</v>
      </c>
      <c r="B648" s="21" t="s">
        <v>161</v>
      </c>
      <c r="C648" s="21" t="s">
        <v>1222</v>
      </c>
      <c r="D648" s="21" t="s">
        <v>1209</v>
      </c>
      <c r="E648" s="33" t="n">
        <v>45281</v>
      </c>
      <c r="F648" s="21" t="s">
        <v>1175</v>
      </c>
      <c r="G648" s="32"/>
      <c r="H648" s="21"/>
      <c r="I648" s="33"/>
      <c r="J648" s="21" t="str">
        <f aca="false">INDEX(Students!$C$2:$C$601,MATCH(B648,Students!$A$2:$A$601,0))</f>
        <v>Batch 2024</v>
      </c>
      <c r="K648" s="21" t="str">
        <f aca="false">INDEX(Students!$D$2:$D$601,MATCH(B648,Students!$A$2:$A$601,0))</f>
        <v>Data Analytics</v>
      </c>
      <c r="L648" s="21" t="str">
        <f aca="false">INDEX(Companies!$C$2:$C$31,MATCH(C648,Companies!$A$2:$A$31,0))</f>
        <v>Product</v>
      </c>
      <c r="M648" s="21" t="str">
        <f aca="false">INDEX(Companies!$D$2:$D$31,MATCH(C648,Companies!$A$2:$A$31,0))</f>
        <v>Tier 2</v>
      </c>
      <c r="N648" s="34" t="n">
        <f aca="false">MATCH(F648,Assumptions!$K$4:$K$8,0)</f>
        <v>1</v>
      </c>
      <c r="O648" s="21" t="str">
        <f aca="false">IF(H648="Yes",MONTH(I648),"")</f>
        <v/>
      </c>
      <c r="P648" s="21" t="str">
        <f aca="false">IF(H648="Yes",B648,"")</f>
        <v/>
      </c>
    </row>
    <row r="649" customFormat="false" ht="15" hidden="false" customHeight="false" outlineLevel="0" collapsed="false">
      <c r="A649" s="21" t="s">
        <v>1864</v>
      </c>
      <c r="B649" s="21" t="s">
        <v>187</v>
      </c>
      <c r="C649" s="21" t="s">
        <v>1266</v>
      </c>
      <c r="D649" s="21" t="s">
        <v>1194</v>
      </c>
      <c r="E649" s="33" t="n">
        <v>45282</v>
      </c>
      <c r="F649" s="21" t="s">
        <v>1185</v>
      </c>
      <c r="G649" s="32" t="n">
        <v>5.4</v>
      </c>
      <c r="H649" s="21" t="s">
        <v>120</v>
      </c>
      <c r="I649" s="33" t="n">
        <v>45317</v>
      </c>
      <c r="J649" s="21" t="str">
        <f aca="false">INDEX(Students!$C$2:$C$601,MATCH(B649,Students!$A$2:$A$601,0))</f>
        <v>Batch 2024</v>
      </c>
      <c r="K649" s="21" t="str">
        <f aca="false">INDEX(Students!$D$2:$D$601,MATCH(B649,Students!$A$2:$A$601,0))</f>
        <v>Data Science &amp; ML</v>
      </c>
      <c r="L649" s="21" t="str">
        <f aca="false">INDEX(Companies!$C$2:$C$31,MATCH(C649,Companies!$A$2:$A$31,0))</f>
        <v>IT Services</v>
      </c>
      <c r="M649" s="21" t="str">
        <f aca="false">INDEX(Companies!$D$2:$D$31,MATCH(C649,Companies!$A$2:$A$31,0))</f>
        <v>Tier 3</v>
      </c>
      <c r="N649" s="34" t="n">
        <f aca="false">MATCH(F649,Assumptions!$K$4:$K$8,0)</f>
        <v>5</v>
      </c>
      <c r="O649" s="21" t="n">
        <f aca="false">IF(H649="Yes",MONTH(I649),"")</f>
        <v>1</v>
      </c>
      <c r="P649" s="21" t="str">
        <f aca="false">IF(H649="Yes",B649,"")</f>
        <v>S0038</v>
      </c>
    </row>
    <row r="650" customFormat="false" ht="15" hidden="false" customHeight="false" outlineLevel="0" collapsed="false">
      <c r="A650" s="21" t="s">
        <v>1865</v>
      </c>
      <c r="B650" s="21" t="s">
        <v>121</v>
      </c>
      <c r="C650" s="21" t="s">
        <v>1205</v>
      </c>
      <c r="D650" s="21" t="s">
        <v>1184</v>
      </c>
      <c r="E650" s="33" t="n">
        <v>45282</v>
      </c>
      <c r="F650" s="21" t="s">
        <v>1185</v>
      </c>
      <c r="G650" s="32" t="n">
        <v>6.1</v>
      </c>
      <c r="H650" s="21" t="s">
        <v>120</v>
      </c>
      <c r="I650" s="33" t="n">
        <v>45332</v>
      </c>
      <c r="J650" s="21" t="str">
        <f aca="false">INDEX(Students!$C$2:$C$601,MATCH(B650,Students!$A$2:$A$601,0))</f>
        <v>Batch 2024</v>
      </c>
      <c r="K650" s="21" t="str">
        <f aca="false">INDEX(Students!$D$2:$D$601,MATCH(B650,Students!$A$2:$A$601,0))</f>
        <v>DSA with Java</v>
      </c>
      <c r="L650" s="21" t="str">
        <f aca="false">INDEX(Companies!$C$2:$C$31,MATCH(C650,Companies!$A$2:$A$31,0))</f>
        <v>Healthtech</v>
      </c>
      <c r="M650" s="21" t="str">
        <f aca="false">INDEX(Companies!$D$2:$D$31,MATCH(C650,Companies!$A$2:$A$31,0))</f>
        <v>Tier 3</v>
      </c>
      <c r="N650" s="34" t="n">
        <f aca="false">MATCH(F650,Assumptions!$K$4:$K$8,0)</f>
        <v>5</v>
      </c>
      <c r="O650" s="21" t="n">
        <f aca="false">IF(H650="Yes",MONTH(I650),"")</f>
        <v>2</v>
      </c>
      <c r="P650" s="21" t="str">
        <f aca="false">IF(H650="Yes",B650,"")</f>
        <v>S0005</v>
      </c>
    </row>
    <row r="651" customFormat="false" ht="15" hidden="false" customHeight="false" outlineLevel="0" collapsed="false">
      <c r="A651" s="21" t="s">
        <v>1866</v>
      </c>
      <c r="B651" s="21" t="s">
        <v>343</v>
      </c>
      <c r="C651" s="21" t="s">
        <v>1190</v>
      </c>
      <c r="D651" s="21" t="s">
        <v>1188</v>
      </c>
      <c r="E651" s="33" t="n">
        <v>45282</v>
      </c>
      <c r="F651" s="21" t="s">
        <v>1175</v>
      </c>
      <c r="G651" s="32"/>
      <c r="H651" s="21"/>
      <c r="I651" s="33"/>
      <c r="J651" s="21" t="str">
        <f aca="false">INDEX(Students!$C$2:$C$601,MATCH(B651,Students!$A$2:$A$601,0))</f>
        <v>Batch 2024</v>
      </c>
      <c r="K651" s="21" t="str">
        <f aca="false">INDEX(Students!$D$2:$D$601,MATCH(B651,Students!$A$2:$A$601,0))</f>
        <v>Data Analytics</v>
      </c>
      <c r="L651" s="21" t="str">
        <f aca="false">INDEX(Companies!$C$2:$C$31,MATCH(C651,Companies!$A$2:$A$31,0))</f>
        <v>Analytics &amp; Consulting</v>
      </c>
      <c r="M651" s="21" t="str">
        <f aca="false">INDEX(Companies!$D$2:$D$31,MATCH(C651,Companies!$A$2:$A$31,0))</f>
        <v>Tier 1</v>
      </c>
      <c r="N651" s="34" t="n">
        <f aca="false">MATCH(F651,Assumptions!$K$4:$K$8,0)</f>
        <v>1</v>
      </c>
      <c r="O651" s="21" t="str">
        <f aca="false">IF(H651="Yes",MONTH(I651),"")</f>
        <v/>
      </c>
      <c r="P651" s="21" t="str">
        <f aca="false">IF(H651="Yes",B651,"")</f>
        <v/>
      </c>
    </row>
    <row r="652" customFormat="false" ht="15" hidden="false" customHeight="false" outlineLevel="0" collapsed="false">
      <c r="A652" s="21" t="s">
        <v>1867</v>
      </c>
      <c r="B652" s="21" t="s">
        <v>251</v>
      </c>
      <c r="C652" s="21" t="s">
        <v>1187</v>
      </c>
      <c r="D652" s="21" t="s">
        <v>1240</v>
      </c>
      <c r="E652" s="33" t="n">
        <v>45282</v>
      </c>
      <c r="F652" s="21" t="s">
        <v>1218</v>
      </c>
      <c r="G652" s="32"/>
      <c r="H652" s="21"/>
      <c r="I652" s="33"/>
      <c r="J652" s="21" t="str">
        <f aca="false">INDEX(Students!$C$2:$C$601,MATCH(B652,Students!$A$2:$A$601,0))</f>
        <v>Batch 2024</v>
      </c>
      <c r="K652" s="21" t="str">
        <f aca="false">INDEX(Students!$D$2:$D$601,MATCH(B652,Students!$A$2:$A$601,0))</f>
        <v>Cybersecurity</v>
      </c>
      <c r="L652" s="21" t="str">
        <f aca="false">INDEX(Companies!$C$2:$C$31,MATCH(C652,Companies!$A$2:$A$31,0))</f>
        <v>Product</v>
      </c>
      <c r="M652" s="21" t="str">
        <f aca="false">INDEX(Companies!$D$2:$D$31,MATCH(C652,Companies!$A$2:$A$31,0))</f>
        <v>Tier 1</v>
      </c>
      <c r="N652" s="34" t="n">
        <f aca="false">MATCH(F652,Assumptions!$K$4:$K$8,0)</f>
        <v>4</v>
      </c>
      <c r="O652" s="21" t="str">
        <f aca="false">IF(H652="Yes",MONTH(I652),"")</f>
        <v/>
      </c>
      <c r="P652" s="21" t="str">
        <f aca="false">IF(H652="Yes",B652,"")</f>
        <v/>
      </c>
    </row>
    <row r="653" customFormat="false" ht="15" hidden="false" customHeight="false" outlineLevel="0" collapsed="false">
      <c r="A653" s="21" t="s">
        <v>1868</v>
      </c>
      <c r="B653" s="21" t="s">
        <v>397</v>
      </c>
      <c r="C653" s="21" t="s">
        <v>1201</v>
      </c>
      <c r="D653" s="21" t="s">
        <v>1191</v>
      </c>
      <c r="E653" s="33" t="n">
        <v>45282</v>
      </c>
      <c r="F653" s="21" t="s">
        <v>1185</v>
      </c>
      <c r="G653" s="32" t="n">
        <v>4.6</v>
      </c>
      <c r="H653" s="21" t="s">
        <v>113</v>
      </c>
      <c r="I653" s="33" t="n">
        <v>45304</v>
      </c>
      <c r="J653" s="21" t="str">
        <f aca="false">INDEX(Students!$C$2:$C$601,MATCH(B653,Students!$A$2:$A$601,0))</f>
        <v>Batch 2024</v>
      </c>
      <c r="K653" s="21" t="str">
        <f aca="false">INDEX(Students!$D$2:$D$601,MATCH(B653,Students!$A$2:$A$601,0))</f>
        <v>DSA with Java</v>
      </c>
      <c r="L653" s="21" t="str">
        <f aca="false">INDEX(Companies!$C$2:$C$31,MATCH(C653,Companies!$A$2:$A$31,0))</f>
        <v>IT Services</v>
      </c>
      <c r="M653" s="21" t="str">
        <f aca="false">INDEX(Companies!$D$2:$D$31,MATCH(C653,Companies!$A$2:$A$31,0))</f>
        <v>Tier 3</v>
      </c>
      <c r="N653" s="34" t="n">
        <f aca="false">MATCH(F653,Assumptions!$K$4:$K$8,0)</f>
        <v>5</v>
      </c>
      <c r="O653" s="21" t="str">
        <f aca="false">IF(H653="Yes",MONTH(I653),"")</f>
        <v/>
      </c>
      <c r="P653" s="21" t="str">
        <f aca="false">IF(H653="Yes",B653,"")</f>
        <v/>
      </c>
    </row>
    <row r="654" customFormat="false" ht="15" hidden="false" customHeight="false" outlineLevel="0" collapsed="false">
      <c r="A654" s="21" t="s">
        <v>1869</v>
      </c>
      <c r="B654" s="21" t="s">
        <v>131</v>
      </c>
      <c r="C654" s="21" t="s">
        <v>1290</v>
      </c>
      <c r="D654" s="21" t="s">
        <v>1181</v>
      </c>
      <c r="E654" s="33" t="n">
        <v>45282</v>
      </c>
      <c r="F654" s="21" t="s">
        <v>1178</v>
      </c>
      <c r="G654" s="32"/>
      <c r="H654" s="21"/>
      <c r="I654" s="33"/>
      <c r="J654" s="21" t="str">
        <f aca="false">INDEX(Students!$C$2:$C$601,MATCH(B654,Students!$A$2:$A$601,0))</f>
        <v>Batch 2024</v>
      </c>
      <c r="K654" s="21" t="str">
        <f aca="false">INDEX(Students!$D$2:$D$601,MATCH(B654,Students!$A$2:$A$601,0))</f>
        <v>Full Stack Development</v>
      </c>
      <c r="L654" s="21" t="str">
        <f aca="false">INDEX(Companies!$C$2:$C$31,MATCH(C654,Companies!$A$2:$A$31,0))</f>
        <v>Fintech</v>
      </c>
      <c r="M654" s="21" t="str">
        <f aca="false">INDEX(Companies!$D$2:$D$31,MATCH(C654,Companies!$A$2:$A$31,0))</f>
        <v>Tier 2</v>
      </c>
      <c r="N654" s="34" t="n">
        <f aca="false">MATCH(F654,Assumptions!$K$4:$K$8,0)</f>
        <v>2</v>
      </c>
      <c r="O654" s="21" t="str">
        <f aca="false">IF(H654="Yes",MONTH(I654),"")</f>
        <v/>
      </c>
      <c r="P654" s="21" t="str">
        <f aca="false">IF(H654="Yes",B654,"")</f>
        <v/>
      </c>
    </row>
    <row r="655" customFormat="false" ht="15" hidden="false" customHeight="false" outlineLevel="0" collapsed="false">
      <c r="A655" s="21" t="s">
        <v>1870</v>
      </c>
      <c r="B655" s="21" t="s">
        <v>233</v>
      </c>
      <c r="C655" s="21" t="s">
        <v>1266</v>
      </c>
      <c r="D655" s="21" t="s">
        <v>1174</v>
      </c>
      <c r="E655" s="33" t="n">
        <v>45283</v>
      </c>
      <c r="F655" s="21" t="s">
        <v>1178</v>
      </c>
      <c r="G655" s="32"/>
      <c r="H655" s="21"/>
      <c r="I655" s="33"/>
      <c r="J655" s="21" t="str">
        <f aca="false">INDEX(Students!$C$2:$C$601,MATCH(B655,Students!$A$2:$A$601,0))</f>
        <v>Batch 2024</v>
      </c>
      <c r="K655" s="21" t="str">
        <f aca="false">INDEX(Students!$D$2:$D$601,MATCH(B655,Students!$A$2:$A$601,0))</f>
        <v>Full Stack Development</v>
      </c>
      <c r="L655" s="21" t="str">
        <f aca="false">INDEX(Companies!$C$2:$C$31,MATCH(C655,Companies!$A$2:$A$31,0))</f>
        <v>IT Services</v>
      </c>
      <c r="M655" s="21" t="str">
        <f aca="false">INDEX(Companies!$D$2:$D$31,MATCH(C655,Companies!$A$2:$A$31,0))</f>
        <v>Tier 3</v>
      </c>
      <c r="N655" s="34" t="n">
        <f aca="false">MATCH(F655,Assumptions!$K$4:$K$8,0)</f>
        <v>2</v>
      </c>
      <c r="O655" s="21" t="str">
        <f aca="false">IF(H655="Yes",MONTH(I655),"")</f>
        <v/>
      </c>
      <c r="P655" s="21" t="str">
        <f aca="false">IF(H655="Yes",B655,"")</f>
        <v/>
      </c>
    </row>
    <row r="656" customFormat="false" ht="15" hidden="false" customHeight="false" outlineLevel="0" collapsed="false">
      <c r="A656" s="21" t="s">
        <v>1871</v>
      </c>
      <c r="B656" s="21" t="s">
        <v>358</v>
      </c>
      <c r="C656" s="21" t="s">
        <v>1173</v>
      </c>
      <c r="D656" s="21" t="s">
        <v>1243</v>
      </c>
      <c r="E656" s="33" t="n">
        <v>45283</v>
      </c>
      <c r="F656" s="21" t="s">
        <v>1175</v>
      </c>
      <c r="G656" s="32"/>
      <c r="H656" s="21"/>
      <c r="I656" s="33"/>
      <c r="J656" s="21" t="str">
        <f aca="false">INDEX(Students!$C$2:$C$601,MATCH(B656,Students!$A$2:$A$601,0))</f>
        <v>Batch 2024</v>
      </c>
      <c r="K656" s="21" t="str">
        <f aca="false">INDEX(Students!$D$2:$D$601,MATCH(B656,Students!$A$2:$A$601,0))</f>
        <v>Data Science &amp; ML</v>
      </c>
      <c r="L656" s="21" t="str">
        <f aca="false">INDEX(Companies!$C$2:$C$31,MATCH(C656,Companies!$A$2:$A$31,0))</f>
        <v>Cybersecurity</v>
      </c>
      <c r="M656" s="21" t="str">
        <f aca="false">INDEX(Companies!$D$2:$D$31,MATCH(C656,Companies!$A$2:$A$31,0))</f>
        <v>Tier 1</v>
      </c>
      <c r="N656" s="34" t="n">
        <f aca="false">MATCH(F656,Assumptions!$K$4:$K$8,0)</f>
        <v>1</v>
      </c>
      <c r="O656" s="21" t="str">
        <f aca="false">IF(H656="Yes",MONTH(I656),"")</f>
        <v/>
      </c>
      <c r="P656" s="21" t="str">
        <f aca="false">IF(H656="Yes",B656,"")</f>
        <v/>
      </c>
    </row>
    <row r="657" customFormat="false" ht="15" hidden="false" customHeight="false" outlineLevel="0" collapsed="false">
      <c r="A657" s="21" t="s">
        <v>1872</v>
      </c>
      <c r="B657" s="21" t="s">
        <v>149</v>
      </c>
      <c r="C657" s="21" t="s">
        <v>1180</v>
      </c>
      <c r="D657" s="21" t="s">
        <v>1174</v>
      </c>
      <c r="E657" s="33" t="n">
        <v>45283</v>
      </c>
      <c r="F657" s="21" t="s">
        <v>1185</v>
      </c>
      <c r="G657" s="32" t="n">
        <v>8.1</v>
      </c>
      <c r="H657" s="21" t="s">
        <v>113</v>
      </c>
      <c r="I657" s="33" t="n">
        <v>45304</v>
      </c>
      <c r="J657" s="21" t="str">
        <f aca="false">INDEX(Students!$C$2:$C$601,MATCH(B657,Students!$A$2:$A$601,0))</f>
        <v>Batch 2024</v>
      </c>
      <c r="K657" s="21" t="str">
        <f aca="false">INDEX(Students!$D$2:$D$601,MATCH(B657,Students!$A$2:$A$601,0))</f>
        <v>Full Stack Development</v>
      </c>
      <c r="L657" s="21" t="str">
        <f aca="false">INDEX(Companies!$C$2:$C$31,MATCH(C657,Companies!$A$2:$A$31,0))</f>
        <v>IT Services</v>
      </c>
      <c r="M657" s="21" t="str">
        <f aca="false">INDEX(Companies!$D$2:$D$31,MATCH(C657,Companies!$A$2:$A$31,0))</f>
        <v>Tier 3</v>
      </c>
      <c r="N657" s="34" t="n">
        <f aca="false">MATCH(F657,Assumptions!$K$4:$K$8,0)</f>
        <v>5</v>
      </c>
      <c r="O657" s="21" t="str">
        <f aca="false">IF(H657="Yes",MONTH(I657),"")</f>
        <v/>
      </c>
      <c r="P657" s="21" t="str">
        <f aca="false">IF(H657="Yes",B657,"")</f>
        <v/>
      </c>
    </row>
    <row r="658" customFormat="false" ht="15" hidden="false" customHeight="false" outlineLevel="0" collapsed="false">
      <c r="A658" s="21" t="s">
        <v>1873</v>
      </c>
      <c r="B658" s="21" t="s">
        <v>123</v>
      </c>
      <c r="C658" s="21" t="s">
        <v>1201</v>
      </c>
      <c r="D658" s="21" t="s">
        <v>1209</v>
      </c>
      <c r="E658" s="33" t="n">
        <v>45284</v>
      </c>
      <c r="F658" s="21" t="s">
        <v>1218</v>
      </c>
      <c r="G658" s="32"/>
      <c r="H658" s="21"/>
      <c r="I658" s="33"/>
      <c r="J658" s="21" t="str">
        <f aca="false">INDEX(Students!$C$2:$C$601,MATCH(B658,Students!$A$2:$A$601,0))</f>
        <v>Batch 2024</v>
      </c>
      <c r="K658" s="21" t="str">
        <f aca="false">INDEX(Students!$D$2:$D$601,MATCH(B658,Students!$A$2:$A$601,0))</f>
        <v>Data Analytics</v>
      </c>
      <c r="L658" s="21" t="str">
        <f aca="false">INDEX(Companies!$C$2:$C$31,MATCH(C658,Companies!$A$2:$A$31,0))</f>
        <v>IT Services</v>
      </c>
      <c r="M658" s="21" t="str">
        <f aca="false">INDEX(Companies!$D$2:$D$31,MATCH(C658,Companies!$A$2:$A$31,0))</f>
        <v>Tier 3</v>
      </c>
      <c r="N658" s="34" t="n">
        <f aca="false">MATCH(F658,Assumptions!$K$4:$K$8,0)</f>
        <v>4</v>
      </c>
      <c r="O658" s="21" t="str">
        <f aca="false">IF(H658="Yes",MONTH(I658),"")</f>
        <v/>
      </c>
      <c r="P658" s="21" t="str">
        <f aca="false">IF(H658="Yes",B658,"")</f>
        <v/>
      </c>
    </row>
    <row r="659" customFormat="false" ht="15" hidden="false" customHeight="false" outlineLevel="0" collapsed="false">
      <c r="A659" s="21" t="s">
        <v>1874</v>
      </c>
      <c r="B659" s="21" t="s">
        <v>155</v>
      </c>
      <c r="C659" s="21" t="s">
        <v>1203</v>
      </c>
      <c r="D659" s="21" t="s">
        <v>1174</v>
      </c>
      <c r="E659" s="33" t="n">
        <v>45284</v>
      </c>
      <c r="F659" s="21" t="s">
        <v>1185</v>
      </c>
      <c r="G659" s="32" t="n">
        <v>10.7</v>
      </c>
      <c r="H659" s="21" t="s">
        <v>120</v>
      </c>
      <c r="I659" s="33" t="n">
        <v>45332</v>
      </c>
      <c r="J659" s="21" t="str">
        <f aca="false">INDEX(Students!$C$2:$C$601,MATCH(B659,Students!$A$2:$A$601,0))</f>
        <v>Batch 2024</v>
      </c>
      <c r="K659" s="21" t="str">
        <f aca="false">INDEX(Students!$D$2:$D$601,MATCH(B659,Students!$A$2:$A$601,0))</f>
        <v>Full Stack Development</v>
      </c>
      <c r="L659" s="21" t="str">
        <f aca="false">INDEX(Companies!$C$2:$C$31,MATCH(C659,Companies!$A$2:$A$31,0))</f>
        <v>Healthtech</v>
      </c>
      <c r="M659" s="21" t="str">
        <f aca="false">INDEX(Companies!$D$2:$D$31,MATCH(C659,Companies!$A$2:$A$31,0))</f>
        <v>Tier 2</v>
      </c>
      <c r="N659" s="34" t="n">
        <f aca="false">MATCH(F659,Assumptions!$K$4:$K$8,0)</f>
        <v>5</v>
      </c>
      <c r="O659" s="21" t="n">
        <f aca="false">IF(H659="Yes",MONTH(I659),"")</f>
        <v>2</v>
      </c>
      <c r="P659" s="21" t="str">
        <f aca="false">IF(H659="Yes",B659,"")</f>
        <v>S0022</v>
      </c>
    </row>
    <row r="660" customFormat="false" ht="15" hidden="false" customHeight="false" outlineLevel="0" collapsed="false">
      <c r="A660" s="21" t="s">
        <v>1875</v>
      </c>
      <c r="B660" s="21" t="s">
        <v>443</v>
      </c>
      <c r="C660" s="21" t="s">
        <v>1187</v>
      </c>
      <c r="D660" s="21" t="s">
        <v>1181</v>
      </c>
      <c r="E660" s="33" t="n">
        <v>45284</v>
      </c>
      <c r="F660" s="21" t="s">
        <v>1175</v>
      </c>
      <c r="G660" s="32"/>
      <c r="H660" s="21"/>
      <c r="I660" s="33"/>
      <c r="J660" s="21" t="str">
        <f aca="false">INDEX(Students!$C$2:$C$601,MATCH(B660,Students!$A$2:$A$601,0))</f>
        <v>Batch 2024</v>
      </c>
      <c r="K660" s="21" t="str">
        <f aca="false">INDEX(Students!$D$2:$D$601,MATCH(B660,Students!$A$2:$A$601,0))</f>
        <v>Full Stack Development</v>
      </c>
      <c r="L660" s="21" t="str">
        <f aca="false">INDEX(Companies!$C$2:$C$31,MATCH(C660,Companies!$A$2:$A$31,0))</f>
        <v>Product</v>
      </c>
      <c r="M660" s="21" t="str">
        <f aca="false">INDEX(Companies!$D$2:$D$31,MATCH(C660,Companies!$A$2:$A$31,0))</f>
        <v>Tier 1</v>
      </c>
      <c r="N660" s="34" t="n">
        <f aca="false">MATCH(F660,Assumptions!$K$4:$K$8,0)</f>
        <v>1</v>
      </c>
      <c r="O660" s="21" t="str">
        <f aca="false">IF(H660="Yes",MONTH(I660),"")</f>
        <v/>
      </c>
      <c r="P660" s="21" t="str">
        <f aca="false">IF(H660="Yes",B660,"")</f>
        <v/>
      </c>
    </row>
    <row r="661" customFormat="false" ht="15" hidden="false" customHeight="false" outlineLevel="0" collapsed="false">
      <c r="A661" s="21" t="s">
        <v>1876</v>
      </c>
      <c r="B661" s="21" t="s">
        <v>239</v>
      </c>
      <c r="C661" s="21" t="s">
        <v>1234</v>
      </c>
      <c r="D661" s="21" t="s">
        <v>1181</v>
      </c>
      <c r="E661" s="33" t="n">
        <v>45284</v>
      </c>
      <c r="F661" s="21" t="s">
        <v>1175</v>
      </c>
      <c r="G661" s="32"/>
      <c r="H661" s="21"/>
      <c r="I661" s="33"/>
      <c r="J661" s="21" t="str">
        <f aca="false">INDEX(Students!$C$2:$C$601,MATCH(B661,Students!$A$2:$A$601,0))</f>
        <v>Batch 2024</v>
      </c>
      <c r="K661" s="21" t="str">
        <f aca="false">INDEX(Students!$D$2:$D$601,MATCH(B661,Students!$A$2:$A$601,0))</f>
        <v>Full Stack Development</v>
      </c>
      <c r="L661" s="21" t="str">
        <f aca="false">INDEX(Companies!$C$2:$C$31,MATCH(C661,Companies!$A$2:$A$31,0))</f>
        <v>EdTech</v>
      </c>
      <c r="M661" s="21" t="str">
        <f aca="false">INDEX(Companies!$D$2:$D$31,MATCH(C661,Companies!$A$2:$A$31,0))</f>
        <v>Tier 3</v>
      </c>
      <c r="N661" s="34" t="n">
        <f aca="false">MATCH(F661,Assumptions!$K$4:$K$8,0)</f>
        <v>1</v>
      </c>
      <c r="O661" s="21" t="str">
        <f aca="false">IF(H661="Yes",MONTH(I661),"")</f>
        <v/>
      </c>
      <c r="P661" s="21" t="str">
        <f aca="false">IF(H661="Yes",B661,"")</f>
        <v/>
      </c>
    </row>
    <row r="662" customFormat="false" ht="15" hidden="false" customHeight="false" outlineLevel="0" collapsed="false">
      <c r="A662" s="21" t="s">
        <v>1877</v>
      </c>
      <c r="B662" s="21" t="s">
        <v>231</v>
      </c>
      <c r="C662" s="21" t="s">
        <v>1196</v>
      </c>
      <c r="D662" s="21" t="s">
        <v>1181</v>
      </c>
      <c r="E662" s="33" t="n">
        <v>45284</v>
      </c>
      <c r="F662" s="21" t="s">
        <v>1175</v>
      </c>
      <c r="G662" s="32"/>
      <c r="H662" s="21"/>
      <c r="I662" s="33"/>
      <c r="J662" s="21" t="str">
        <f aca="false">INDEX(Students!$C$2:$C$601,MATCH(B662,Students!$A$2:$A$601,0))</f>
        <v>Batch 2024</v>
      </c>
      <c r="K662" s="21" t="str">
        <f aca="false">INDEX(Students!$D$2:$D$601,MATCH(B662,Students!$A$2:$A$601,0))</f>
        <v>Full Stack Development</v>
      </c>
      <c r="L662" s="21" t="str">
        <f aca="false">INDEX(Companies!$C$2:$C$31,MATCH(C662,Companies!$A$2:$A$31,0))</f>
        <v>IT Services</v>
      </c>
      <c r="M662" s="21" t="str">
        <f aca="false">INDEX(Companies!$D$2:$D$31,MATCH(C662,Companies!$A$2:$A$31,0))</f>
        <v>Tier 3</v>
      </c>
      <c r="N662" s="34" t="n">
        <f aca="false">MATCH(F662,Assumptions!$K$4:$K$8,0)</f>
        <v>1</v>
      </c>
      <c r="O662" s="21" t="str">
        <f aca="false">IF(H662="Yes",MONTH(I662),"")</f>
        <v/>
      </c>
      <c r="P662" s="21" t="str">
        <f aca="false">IF(H662="Yes",B662,"")</f>
        <v/>
      </c>
    </row>
    <row r="663" customFormat="false" ht="15" hidden="false" customHeight="false" outlineLevel="0" collapsed="false">
      <c r="A663" s="21" t="s">
        <v>1878</v>
      </c>
      <c r="B663" s="21" t="s">
        <v>283</v>
      </c>
      <c r="C663" s="21" t="s">
        <v>1201</v>
      </c>
      <c r="D663" s="21" t="s">
        <v>1184</v>
      </c>
      <c r="E663" s="33" t="n">
        <v>45285</v>
      </c>
      <c r="F663" s="21" t="s">
        <v>1175</v>
      </c>
      <c r="G663" s="32"/>
      <c r="H663" s="21"/>
      <c r="I663" s="33"/>
      <c r="J663" s="21" t="str">
        <f aca="false">INDEX(Students!$C$2:$C$601,MATCH(B663,Students!$A$2:$A$601,0))</f>
        <v>Batch 2024</v>
      </c>
      <c r="K663" s="21" t="str">
        <f aca="false">INDEX(Students!$D$2:$D$601,MATCH(B663,Students!$A$2:$A$601,0))</f>
        <v>DSA with Java</v>
      </c>
      <c r="L663" s="21" t="str">
        <f aca="false">INDEX(Companies!$C$2:$C$31,MATCH(C663,Companies!$A$2:$A$31,0))</f>
        <v>IT Services</v>
      </c>
      <c r="M663" s="21" t="str">
        <f aca="false">INDEX(Companies!$D$2:$D$31,MATCH(C663,Companies!$A$2:$A$31,0))</f>
        <v>Tier 3</v>
      </c>
      <c r="N663" s="34" t="n">
        <f aca="false">MATCH(F663,Assumptions!$K$4:$K$8,0)</f>
        <v>1</v>
      </c>
      <c r="O663" s="21" t="str">
        <f aca="false">IF(H663="Yes",MONTH(I663),"")</f>
        <v/>
      </c>
      <c r="P663" s="21" t="str">
        <f aca="false">IF(H663="Yes",B663,"")</f>
        <v/>
      </c>
    </row>
    <row r="664" customFormat="false" ht="15" hidden="false" customHeight="false" outlineLevel="0" collapsed="false">
      <c r="A664" s="21" t="s">
        <v>1879</v>
      </c>
      <c r="B664" s="21" t="s">
        <v>249</v>
      </c>
      <c r="C664" s="21" t="s">
        <v>1225</v>
      </c>
      <c r="D664" s="21" t="s">
        <v>1243</v>
      </c>
      <c r="E664" s="33" t="n">
        <v>45285</v>
      </c>
      <c r="F664" s="21" t="s">
        <v>1197</v>
      </c>
      <c r="G664" s="32"/>
      <c r="H664" s="21"/>
      <c r="I664" s="33"/>
      <c r="J664" s="21" t="str">
        <f aca="false">INDEX(Students!$C$2:$C$601,MATCH(B664,Students!$A$2:$A$601,0))</f>
        <v>Batch 2024</v>
      </c>
      <c r="K664" s="21" t="str">
        <f aca="false">INDEX(Students!$D$2:$D$601,MATCH(B664,Students!$A$2:$A$601,0))</f>
        <v>Data Science &amp; ML</v>
      </c>
      <c r="L664" s="21" t="str">
        <f aca="false">INDEX(Companies!$C$2:$C$31,MATCH(C664,Companies!$A$2:$A$31,0))</f>
        <v>EdTech</v>
      </c>
      <c r="M664" s="21" t="str">
        <f aca="false">INDEX(Companies!$D$2:$D$31,MATCH(C664,Companies!$A$2:$A$31,0))</f>
        <v>Tier 2</v>
      </c>
      <c r="N664" s="34" t="n">
        <f aca="false">MATCH(F664,Assumptions!$K$4:$K$8,0)</f>
        <v>3</v>
      </c>
      <c r="O664" s="21" t="str">
        <f aca="false">IF(H664="Yes",MONTH(I664),"")</f>
        <v/>
      </c>
      <c r="P664" s="21" t="str">
        <f aca="false">IF(H664="Yes",B664,"")</f>
        <v/>
      </c>
    </row>
    <row r="665" customFormat="false" ht="15" hidden="false" customHeight="false" outlineLevel="0" collapsed="false">
      <c r="A665" s="21" t="s">
        <v>1880</v>
      </c>
      <c r="B665" s="21" t="s">
        <v>378</v>
      </c>
      <c r="C665" s="21" t="s">
        <v>1180</v>
      </c>
      <c r="D665" s="21" t="s">
        <v>1184</v>
      </c>
      <c r="E665" s="33" t="n">
        <v>45286</v>
      </c>
      <c r="F665" s="21" t="s">
        <v>1185</v>
      </c>
      <c r="G665" s="32" t="n">
        <v>5.7</v>
      </c>
      <c r="H665" s="21" t="s">
        <v>113</v>
      </c>
      <c r="I665" s="33" t="n">
        <v>45334</v>
      </c>
      <c r="J665" s="21" t="str">
        <f aca="false">INDEX(Students!$C$2:$C$601,MATCH(B665,Students!$A$2:$A$601,0))</f>
        <v>Batch 2024</v>
      </c>
      <c r="K665" s="21" t="str">
        <f aca="false">INDEX(Students!$D$2:$D$601,MATCH(B665,Students!$A$2:$A$601,0))</f>
        <v>DSA with Java</v>
      </c>
      <c r="L665" s="21" t="str">
        <f aca="false">INDEX(Companies!$C$2:$C$31,MATCH(C665,Companies!$A$2:$A$31,0))</f>
        <v>IT Services</v>
      </c>
      <c r="M665" s="21" t="str">
        <f aca="false">INDEX(Companies!$D$2:$D$31,MATCH(C665,Companies!$A$2:$A$31,0))</f>
        <v>Tier 3</v>
      </c>
      <c r="N665" s="34" t="n">
        <f aca="false">MATCH(F665,Assumptions!$K$4:$K$8,0)</f>
        <v>5</v>
      </c>
      <c r="O665" s="21" t="str">
        <f aca="false">IF(H665="Yes",MONTH(I665),"")</f>
        <v/>
      </c>
      <c r="P665" s="21" t="str">
        <f aca="false">IF(H665="Yes",B665,"")</f>
        <v/>
      </c>
    </row>
    <row r="666" customFormat="false" ht="15" hidden="false" customHeight="false" outlineLevel="0" collapsed="false">
      <c r="A666" s="21" t="s">
        <v>1881</v>
      </c>
      <c r="B666" s="21" t="s">
        <v>402</v>
      </c>
      <c r="C666" s="21" t="s">
        <v>1173</v>
      </c>
      <c r="D666" s="21" t="s">
        <v>1181</v>
      </c>
      <c r="E666" s="33" t="n">
        <v>45286</v>
      </c>
      <c r="F666" s="21" t="s">
        <v>1178</v>
      </c>
      <c r="G666" s="32"/>
      <c r="H666" s="21"/>
      <c r="I666" s="33"/>
      <c r="J666" s="21" t="str">
        <f aca="false">INDEX(Students!$C$2:$C$601,MATCH(B666,Students!$A$2:$A$601,0))</f>
        <v>Batch 2024</v>
      </c>
      <c r="K666" s="21" t="str">
        <f aca="false">INDEX(Students!$D$2:$D$601,MATCH(B666,Students!$A$2:$A$601,0))</f>
        <v>Full Stack Development</v>
      </c>
      <c r="L666" s="21" t="str">
        <f aca="false">INDEX(Companies!$C$2:$C$31,MATCH(C666,Companies!$A$2:$A$31,0))</f>
        <v>Cybersecurity</v>
      </c>
      <c r="M666" s="21" t="str">
        <f aca="false">INDEX(Companies!$D$2:$D$31,MATCH(C666,Companies!$A$2:$A$31,0))</f>
        <v>Tier 1</v>
      </c>
      <c r="N666" s="34" t="n">
        <f aca="false">MATCH(F666,Assumptions!$K$4:$K$8,0)</f>
        <v>2</v>
      </c>
      <c r="O666" s="21" t="str">
        <f aca="false">IF(H666="Yes",MONTH(I666),"")</f>
        <v/>
      </c>
      <c r="P666" s="21" t="str">
        <f aca="false">IF(H666="Yes",B666,"")</f>
        <v/>
      </c>
    </row>
    <row r="667" customFormat="false" ht="15" hidden="false" customHeight="false" outlineLevel="0" collapsed="false">
      <c r="A667" s="21" t="s">
        <v>1882</v>
      </c>
      <c r="B667" s="21" t="s">
        <v>356</v>
      </c>
      <c r="C667" s="21" t="s">
        <v>1216</v>
      </c>
      <c r="D667" s="21" t="s">
        <v>1226</v>
      </c>
      <c r="E667" s="33" t="n">
        <v>45286</v>
      </c>
      <c r="F667" s="21" t="s">
        <v>1175</v>
      </c>
      <c r="G667" s="32"/>
      <c r="H667" s="21"/>
      <c r="I667" s="33"/>
      <c r="J667" s="21" t="str">
        <f aca="false">INDEX(Students!$C$2:$C$601,MATCH(B667,Students!$A$2:$A$601,0))</f>
        <v>Batch 2024</v>
      </c>
      <c r="K667" s="21" t="str">
        <f aca="false">INDEX(Students!$D$2:$D$601,MATCH(B667,Students!$A$2:$A$601,0))</f>
        <v>Cybersecurity</v>
      </c>
      <c r="L667" s="21" t="str">
        <f aca="false">INDEX(Companies!$C$2:$C$31,MATCH(C667,Companies!$A$2:$A$31,0))</f>
        <v>IT Services</v>
      </c>
      <c r="M667" s="21" t="str">
        <f aca="false">INDEX(Companies!$D$2:$D$31,MATCH(C667,Companies!$A$2:$A$31,0))</f>
        <v>Tier 3</v>
      </c>
      <c r="N667" s="34" t="n">
        <f aca="false">MATCH(F667,Assumptions!$K$4:$K$8,0)</f>
        <v>1</v>
      </c>
      <c r="O667" s="21" t="str">
        <f aca="false">IF(H667="Yes",MONTH(I667),"")</f>
        <v/>
      </c>
      <c r="P667" s="21" t="str">
        <f aca="false">IF(H667="Yes",B667,"")</f>
        <v/>
      </c>
    </row>
    <row r="668" customFormat="false" ht="15" hidden="false" customHeight="false" outlineLevel="0" collapsed="false">
      <c r="A668" s="21" t="s">
        <v>1883</v>
      </c>
      <c r="B668" s="21" t="s">
        <v>438</v>
      </c>
      <c r="C668" s="21" t="s">
        <v>1263</v>
      </c>
      <c r="D668" s="21" t="s">
        <v>1240</v>
      </c>
      <c r="E668" s="33" t="n">
        <v>45286</v>
      </c>
      <c r="F668" s="21" t="s">
        <v>1197</v>
      </c>
      <c r="G668" s="32"/>
      <c r="H668" s="21"/>
      <c r="I668" s="33"/>
      <c r="J668" s="21" t="str">
        <f aca="false">INDEX(Students!$C$2:$C$601,MATCH(B668,Students!$A$2:$A$601,0))</f>
        <v>Batch 2024</v>
      </c>
      <c r="K668" s="21" t="str">
        <f aca="false">INDEX(Students!$D$2:$D$601,MATCH(B668,Students!$A$2:$A$601,0))</f>
        <v>Cybersecurity</v>
      </c>
      <c r="L668" s="21" t="str">
        <f aca="false">INDEX(Companies!$C$2:$C$31,MATCH(C668,Companies!$A$2:$A$31,0))</f>
        <v>Analytics &amp; Consulting</v>
      </c>
      <c r="M668" s="21" t="str">
        <f aca="false">INDEX(Companies!$D$2:$D$31,MATCH(C668,Companies!$A$2:$A$31,0))</f>
        <v>Tier 2</v>
      </c>
      <c r="N668" s="34" t="n">
        <f aca="false">MATCH(F668,Assumptions!$K$4:$K$8,0)</f>
        <v>3</v>
      </c>
      <c r="O668" s="21" t="str">
        <f aca="false">IF(H668="Yes",MONTH(I668),"")</f>
        <v/>
      </c>
      <c r="P668" s="21" t="str">
        <f aca="false">IF(H668="Yes",B668,"")</f>
        <v/>
      </c>
    </row>
    <row r="669" customFormat="false" ht="15" hidden="false" customHeight="false" outlineLevel="0" collapsed="false">
      <c r="A669" s="21" t="s">
        <v>1884</v>
      </c>
      <c r="B669" s="21" t="s">
        <v>147</v>
      </c>
      <c r="C669" s="21" t="s">
        <v>1180</v>
      </c>
      <c r="D669" s="21" t="s">
        <v>1191</v>
      </c>
      <c r="E669" s="33" t="n">
        <v>45286</v>
      </c>
      <c r="F669" s="21" t="s">
        <v>1178</v>
      </c>
      <c r="G669" s="32"/>
      <c r="H669" s="21"/>
      <c r="I669" s="33"/>
      <c r="J669" s="21" t="str">
        <f aca="false">INDEX(Students!$C$2:$C$601,MATCH(B669,Students!$A$2:$A$601,0))</f>
        <v>Batch 2024</v>
      </c>
      <c r="K669" s="21" t="str">
        <f aca="false">INDEX(Students!$D$2:$D$601,MATCH(B669,Students!$A$2:$A$601,0))</f>
        <v>DSA with Java</v>
      </c>
      <c r="L669" s="21" t="str">
        <f aca="false">INDEX(Companies!$C$2:$C$31,MATCH(C669,Companies!$A$2:$A$31,0))</f>
        <v>IT Services</v>
      </c>
      <c r="M669" s="21" t="str">
        <f aca="false">INDEX(Companies!$D$2:$D$31,MATCH(C669,Companies!$A$2:$A$31,0))</f>
        <v>Tier 3</v>
      </c>
      <c r="N669" s="34" t="n">
        <f aca="false">MATCH(F669,Assumptions!$K$4:$K$8,0)</f>
        <v>2</v>
      </c>
      <c r="O669" s="21" t="str">
        <f aca="false">IF(H669="Yes",MONTH(I669),"")</f>
        <v/>
      </c>
      <c r="P669" s="21" t="str">
        <f aca="false">IF(H669="Yes",B669,"")</f>
        <v/>
      </c>
    </row>
    <row r="670" customFormat="false" ht="15" hidden="false" customHeight="false" outlineLevel="0" collapsed="false">
      <c r="A670" s="21" t="s">
        <v>1885</v>
      </c>
      <c r="B670" s="21" t="s">
        <v>233</v>
      </c>
      <c r="C670" s="21" t="s">
        <v>1228</v>
      </c>
      <c r="D670" s="21" t="s">
        <v>1181</v>
      </c>
      <c r="E670" s="33" t="n">
        <v>45286</v>
      </c>
      <c r="F670" s="21" t="s">
        <v>1175</v>
      </c>
      <c r="G670" s="32"/>
      <c r="H670" s="21"/>
      <c r="I670" s="33"/>
      <c r="J670" s="21" t="str">
        <f aca="false">INDEX(Students!$C$2:$C$601,MATCH(B670,Students!$A$2:$A$601,0))</f>
        <v>Batch 2024</v>
      </c>
      <c r="K670" s="21" t="str">
        <f aca="false">INDEX(Students!$D$2:$D$601,MATCH(B670,Students!$A$2:$A$601,0))</f>
        <v>Full Stack Development</v>
      </c>
      <c r="L670" s="21" t="str">
        <f aca="false">INDEX(Companies!$C$2:$C$31,MATCH(C670,Companies!$A$2:$A$31,0))</f>
        <v>Fintech</v>
      </c>
      <c r="M670" s="21" t="str">
        <f aca="false">INDEX(Companies!$D$2:$D$31,MATCH(C670,Companies!$A$2:$A$31,0))</f>
        <v>Tier 1</v>
      </c>
      <c r="N670" s="34" t="n">
        <f aca="false">MATCH(F670,Assumptions!$K$4:$K$8,0)</f>
        <v>1</v>
      </c>
      <c r="O670" s="21" t="str">
        <f aca="false">IF(H670="Yes",MONTH(I670),"")</f>
        <v/>
      </c>
      <c r="P670" s="21" t="str">
        <f aca="false">IF(H670="Yes",B670,"")</f>
        <v/>
      </c>
    </row>
    <row r="671" customFormat="false" ht="15" hidden="false" customHeight="false" outlineLevel="0" collapsed="false">
      <c r="A671" s="21" t="s">
        <v>1886</v>
      </c>
      <c r="B671" s="21" t="s">
        <v>270</v>
      </c>
      <c r="C671" s="21" t="s">
        <v>1201</v>
      </c>
      <c r="D671" s="21" t="s">
        <v>1174</v>
      </c>
      <c r="E671" s="33" t="n">
        <v>45286</v>
      </c>
      <c r="F671" s="21" t="s">
        <v>1197</v>
      </c>
      <c r="G671" s="32"/>
      <c r="H671" s="21"/>
      <c r="I671" s="33"/>
      <c r="J671" s="21" t="str">
        <f aca="false">INDEX(Students!$C$2:$C$601,MATCH(B671,Students!$A$2:$A$601,0))</f>
        <v>Batch 2024</v>
      </c>
      <c r="K671" s="21" t="str">
        <f aca="false">INDEX(Students!$D$2:$D$601,MATCH(B671,Students!$A$2:$A$601,0))</f>
        <v>Full Stack Development</v>
      </c>
      <c r="L671" s="21" t="str">
        <f aca="false">INDEX(Companies!$C$2:$C$31,MATCH(C671,Companies!$A$2:$A$31,0))</f>
        <v>IT Services</v>
      </c>
      <c r="M671" s="21" t="str">
        <f aca="false">INDEX(Companies!$D$2:$D$31,MATCH(C671,Companies!$A$2:$A$31,0))</f>
        <v>Tier 3</v>
      </c>
      <c r="N671" s="34" t="n">
        <f aca="false">MATCH(F671,Assumptions!$K$4:$K$8,0)</f>
        <v>3</v>
      </c>
      <c r="O671" s="21" t="str">
        <f aca="false">IF(H671="Yes",MONTH(I671),"")</f>
        <v/>
      </c>
      <c r="P671" s="21" t="str">
        <f aca="false">IF(H671="Yes",B671,"")</f>
        <v/>
      </c>
    </row>
    <row r="672" customFormat="false" ht="15" hidden="false" customHeight="false" outlineLevel="0" collapsed="false">
      <c r="A672" s="21" t="s">
        <v>1887</v>
      </c>
      <c r="B672" s="21" t="s">
        <v>215</v>
      </c>
      <c r="C672" s="21" t="s">
        <v>1234</v>
      </c>
      <c r="D672" s="21" t="s">
        <v>1194</v>
      </c>
      <c r="E672" s="33" t="n">
        <v>45286</v>
      </c>
      <c r="F672" s="21" t="s">
        <v>1185</v>
      </c>
      <c r="G672" s="32" t="n">
        <v>7.5</v>
      </c>
      <c r="H672" s="21" t="s">
        <v>120</v>
      </c>
      <c r="I672" s="33" t="n">
        <v>45318</v>
      </c>
      <c r="J672" s="21" t="str">
        <f aca="false">INDEX(Students!$C$2:$C$601,MATCH(B672,Students!$A$2:$A$601,0))</f>
        <v>Batch 2024</v>
      </c>
      <c r="K672" s="21" t="str">
        <f aca="false">INDEX(Students!$D$2:$D$601,MATCH(B672,Students!$A$2:$A$601,0))</f>
        <v>Data Science &amp; ML</v>
      </c>
      <c r="L672" s="21" t="str">
        <f aca="false">INDEX(Companies!$C$2:$C$31,MATCH(C672,Companies!$A$2:$A$31,0))</f>
        <v>EdTech</v>
      </c>
      <c r="M672" s="21" t="str">
        <f aca="false">INDEX(Companies!$D$2:$D$31,MATCH(C672,Companies!$A$2:$A$31,0))</f>
        <v>Tier 3</v>
      </c>
      <c r="N672" s="34" t="n">
        <f aca="false">MATCH(F672,Assumptions!$K$4:$K$8,0)</f>
        <v>5</v>
      </c>
      <c r="O672" s="21" t="n">
        <f aca="false">IF(H672="Yes",MONTH(I672),"")</f>
        <v>1</v>
      </c>
      <c r="P672" s="21" t="str">
        <f aca="false">IF(H672="Yes",B672,"")</f>
        <v>S0052</v>
      </c>
    </row>
    <row r="673" customFormat="false" ht="15" hidden="false" customHeight="false" outlineLevel="0" collapsed="false">
      <c r="A673" s="21" t="s">
        <v>1888</v>
      </c>
      <c r="B673" s="21" t="s">
        <v>205</v>
      </c>
      <c r="C673" s="21" t="s">
        <v>1196</v>
      </c>
      <c r="D673" s="21" t="s">
        <v>1188</v>
      </c>
      <c r="E673" s="33" t="n">
        <v>45286</v>
      </c>
      <c r="F673" s="21" t="s">
        <v>1197</v>
      </c>
      <c r="G673" s="32"/>
      <c r="H673" s="21"/>
      <c r="I673" s="33"/>
      <c r="J673" s="21" t="str">
        <f aca="false">INDEX(Students!$C$2:$C$601,MATCH(B673,Students!$A$2:$A$601,0))</f>
        <v>Batch 2024</v>
      </c>
      <c r="K673" s="21" t="str">
        <f aca="false">INDEX(Students!$D$2:$D$601,MATCH(B673,Students!$A$2:$A$601,0))</f>
        <v>Data Analytics</v>
      </c>
      <c r="L673" s="21" t="str">
        <f aca="false">INDEX(Companies!$C$2:$C$31,MATCH(C673,Companies!$A$2:$A$31,0))</f>
        <v>IT Services</v>
      </c>
      <c r="M673" s="21" t="str">
        <f aca="false">INDEX(Companies!$D$2:$D$31,MATCH(C673,Companies!$A$2:$A$31,0))</f>
        <v>Tier 3</v>
      </c>
      <c r="N673" s="34" t="n">
        <f aca="false">MATCH(F673,Assumptions!$K$4:$K$8,0)</f>
        <v>3</v>
      </c>
      <c r="O673" s="21" t="str">
        <f aca="false">IF(H673="Yes",MONTH(I673),"")</f>
        <v/>
      </c>
      <c r="P673" s="21" t="str">
        <f aca="false">IF(H673="Yes",B673,"")</f>
        <v/>
      </c>
    </row>
    <row r="674" customFormat="false" ht="15" hidden="false" customHeight="false" outlineLevel="0" collapsed="false">
      <c r="A674" s="21" t="s">
        <v>1889</v>
      </c>
      <c r="B674" s="21" t="s">
        <v>141</v>
      </c>
      <c r="C674" s="21" t="s">
        <v>1193</v>
      </c>
      <c r="D674" s="21" t="s">
        <v>1181</v>
      </c>
      <c r="E674" s="33" t="n">
        <v>45286</v>
      </c>
      <c r="F674" s="21" t="s">
        <v>1185</v>
      </c>
      <c r="G674" s="32" t="n">
        <v>13.2</v>
      </c>
      <c r="H674" s="21" t="s">
        <v>113</v>
      </c>
      <c r="I674" s="33" t="n">
        <v>45337</v>
      </c>
      <c r="J674" s="21" t="str">
        <f aca="false">INDEX(Students!$C$2:$C$601,MATCH(B674,Students!$A$2:$A$601,0))</f>
        <v>Batch 2024</v>
      </c>
      <c r="K674" s="21" t="str">
        <f aca="false">INDEX(Students!$D$2:$D$601,MATCH(B674,Students!$A$2:$A$601,0))</f>
        <v>Full Stack Development</v>
      </c>
      <c r="L674" s="21" t="str">
        <f aca="false">INDEX(Companies!$C$2:$C$31,MATCH(C674,Companies!$A$2:$A$31,0))</f>
        <v>Analytics &amp; Consulting</v>
      </c>
      <c r="M674" s="21" t="str">
        <f aca="false">INDEX(Companies!$D$2:$D$31,MATCH(C674,Companies!$A$2:$A$31,0))</f>
        <v>Tier 2</v>
      </c>
      <c r="N674" s="34" t="n">
        <f aca="false">MATCH(F674,Assumptions!$K$4:$K$8,0)</f>
        <v>5</v>
      </c>
      <c r="O674" s="21" t="str">
        <f aca="false">IF(H674="Yes",MONTH(I674),"")</f>
        <v/>
      </c>
      <c r="P674" s="21" t="str">
        <f aca="false">IF(H674="Yes",B674,"")</f>
        <v/>
      </c>
    </row>
    <row r="675" customFormat="false" ht="15" hidden="false" customHeight="false" outlineLevel="0" collapsed="false">
      <c r="A675" s="21" t="s">
        <v>1890</v>
      </c>
      <c r="B675" s="21" t="s">
        <v>311</v>
      </c>
      <c r="C675" s="21" t="s">
        <v>1208</v>
      </c>
      <c r="D675" s="21" t="s">
        <v>1181</v>
      </c>
      <c r="E675" s="33" t="n">
        <v>45287</v>
      </c>
      <c r="F675" s="21" t="s">
        <v>1178</v>
      </c>
      <c r="G675" s="32"/>
      <c r="H675" s="21"/>
      <c r="I675" s="33"/>
      <c r="J675" s="21" t="str">
        <f aca="false">INDEX(Students!$C$2:$C$601,MATCH(B675,Students!$A$2:$A$601,0))</f>
        <v>Batch 2024</v>
      </c>
      <c r="K675" s="21" t="str">
        <f aca="false">INDEX(Students!$D$2:$D$601,MATCH(B675,Students!$A$2:$A$601,0))</f>
        <v>Full Stack Development</v>
      </c>
      <c r="L675" s="21" t="str">
        <f aca="false">INDEX(Companies!$C$2:$C$31,MATCH(C675,Companies!$A$2:$A$31,0))</f>
        <v>E-commerce</v>
      </c>
      <c r="M675" s="21" t="str">
        <f aca="false">INDEX(Companies!$D$2:$D$31,MATCH(C675,Companies!$A$2:$A$31,0))</f>
        <v>Tier 1</v>
      </c>
      <c r="N675" s="34" t="n">
        <f aca="false">MATCH(F675,Assumptions!$K$4:$K$8,0)</f>
        <v>2</v>
      </c>
      <c r="O675" s="21" t="str">
        <f aca="false">IF(H675="Yes",MONTH(I675),"")</f>
        <v/>
      </c>
      <c r="P675" s="21" t="str">
        <f aca="false">IF(H675="Yes",B675,"")</f>
        <v/>
      </c>
    </row>
    <row r="676" customFormat="false" ht="15" hidden="false" customHeight="false" outlineLevel="0" collapsed="false">
      <c r="A676" s="21" t="s">
        <v>1891</v>
      </c>
      <c r="B676" s="21" t="s">
        <v>259</v>
      </c>
      <c r="C676" s="21" t="s">
        <v>1177</v>
      </c>
      <c r="D676" s="21" t="s">
        <v>1174</v>
      </c>
      <c r="E676" s="33" t="n">
        <v>45287</v>
      </c>
      <c r="F676" s="21" t="s">
        <v>1185</v>
      </c>
      <c r="G676" s="32" t="n">
        <v>7.5</v>
      </c>
      <c r="H676" s="21" t="s">
        <v>120</v>
      </c>
      <c r="I676" s="33" t="n">
        <v>45323</v>
      </c>
      <c r="J676" s="21" t="str">
        <f aca="false">INDEX(Students!$C$2:$C$601,MATCH(B676,Students!$A$2:$A$601,0))</f>
        <v>Batch 2024</v>
      </c>
      <c r="K676" s="21" t="str">
        <f aca="false">INDEX(Students!$D$2:$D$601,MATCH(B676,Students!$A$2:$A$601,0))</f>
        <v>Full Stack Development</v>
      </c>
      <c r="L676" s="21" t="str">
        <f aca="false">INDEX(Companies!$C$2:$C$31,MATCH(C676,Companies!$A$2:$A$31,0))</f>
        <v>IT Services</v>
      </c>
      <c r="M676" s="21" t="str">
        <f aca="false">INDEX(Companies!$D$2:$D$31,MATCH(C676,Companies!$A$2:$A$31,0))</f>
        <v>Tier 3</v>
      </c>
      <c r="N676" s="34" t="n">
        <f aca="false">MATCH(F676,Assumptions!$K$4:$K$8,0)</f>
        <v>5</v>
      </c>
      <c r="O676" s="21" t="n">
        <f aca="false">IF(H676="Yes",MONTH(I676),"")</f>
        <v>2</v>
      </c>
      <c r="P676" s="21" t="str">
        <f aca="false">IF(H676="Yes",B676,"")</f>
        <v>S0075</v>
      </c>
    </row>
    <row r="677" customFormat="false" ht="15" hidden="false" customHeight="false" outlineLevel="0" collapsed="false">
      <c r="A677" s="21" t="s">
        <v>1892</v>
      </c>
      <c r="B677" s="21" t="s">
        <v>349</v>
      </c>
      <c r="C677" s="21" t="s">
        <v>1255</v>
      </c>
      <c r="D677" s="21" t="s">
        <v>1194</v>
      </c>
      <c r="E677" s="33" t="n">
        <v>45287</v>
      </c>
      <c r="F677" s="21" t="s">
        <v>1185</v>
      </c>
      <c r="G677" s="32" t="n">
        <v>5</v>
      </c>
      <c r="H677" s="21" t="s">
        <v>120</v>
      </c>
      <c r="I677" s="33" t="n">
        <v>45341</v>
      </c>
      <c r="J677" s="21" t="str">
        <f aca="false">INDEX(Students!$C$2:$C$601,MATCH(B677,Students!$A$2:$A$601,0))</f>
        <v>Batch 2024</v>
      </c>
      <c r="K677" s="21" t="str">
        <f aca="false">INDEX(Students!$D$2:$D$601,MATCH(B677,Students!$A$2:$A$601,0))</f>
        <v>Data Science &amp; ML</v>
      </c>
      <c r="L677" s="21" t="str">
        <f aca="false">INDEX(Companies!$C$2:$C$31,MATCH(C677,Companies!$A$2:$A$31,0))</f>
        <v>IT Services</v>
      </c>
      <c r="M677" s="21" t="str">
        <f aca="false">INDEX(Companies!$D$2:$D$31,MATCH(C677,Companies!$A$2:$A$31,0))</f>
        <v>Tier 3</v>
      </c>
      <c r="N677" s="34" t="n">
        <f aca="false">MATCH(F677,Assumptions!$K$4:$K$8,0)</f>
        <v>5</v>
      </c>
      <c r="O677" s="21" t="n">
        <f aca="false">IF(H677="Yes",MONTH(I677),"")</f>
        <v>2</v>
      </c>
      <c r="P677" s="21" t="str">
        <f aca="false">IF(H677="Yes",B677,"")</f>
        <v>S0123</v>
      </c>
    </row>
    <row r="678" customFormat="false" ht="15" hidden="false" customHeight="false" outlineLevel="0" collapsed="false">
      <c r="A678" s="21" t="s">
        <v>1893</v>
      </c>
      <c r="B678" s="21" t="s">
        <v>274</v>
      </c>
      <c r="C678" s="21" t="s">
        <v>1263</v>
      </c>
      <c r="D678" s="21" t="s">
        <v>1191</v>
      </c>
      <c r="E678" s="33" t="n">
        <v>45287</v>
      </c>
      <c r="F678" s="21" t="s">
        <v>1218</v>
      </c>
      <c r="G678" s="32"/>
      <c r="H678" s="21"/>
      <c r="I678" s="33"/>
      <c r="J678" s="21" t="str">
        <f aca="false">INDEX(Students!$C$2:$C$601,MATCH(B678,Students!$A$2:$A$601,0))</f>
        <v>Batch 2024</v>
      </c>
      <c r="K678" s="21" t="str">
        <f aca="false">INDEX(Students!$D$2:$D$601,MATCH(B678,Students!$A$2:$A$601,0))</f>
        <v>DSA with Java</v>
      </c>
      <c r="L678" s="21" t="str">
        <f aca="false">INDEX(Companies!$C$2:$C$31,MATCH(C678,Companies!$A$2:$A$31,0))</f>
        <v>Analytics &amp; Consulting</v>
      </c>
      <c r="M678" s="21" t="str">
        <f aca="false">INDEX(Companies!$D$2:$D$31,MATCH(C678,Companies!$A$2:$A$31,0))</f>
        <v>Tier 2</v>
      </c>
      <c r="N678" s="34" t="n">
        <f aca="false">MATCH(F678,Assumptions!$K$4:$K$8,0)</f>
        <v>4</v>
      </c>
      <c r="O678" s="21" t="str">
        <f aca="false">IF(H678="Yes",MONTH(I678),"")</f>
        <v/>
      </c>
      <c r="P678" s="21" t="str">
        <f aca="false">IF(H678="Yes",B678,"")</f>
        <v/>
      </c>
    </row>
    <row r="679" customFormat="false" ht="15" hidden="false" customHeight="false" outlineLevel="0" collapsed="false">
      <c r="A679" s="21" t="s">
        <v>1894</v>
      </c>
      <c r="B679" s="21" t="s">
        <v>199</v>
      </c>
      <c r="C679" s="21" t="s">
        <v>1205</v>
      </c>
      <c r="D679" s="21" t="s">
        <v>1243</v>
      </c>
      <c r="E679" s="33" t="n">
        <v>45287</v>
      </c>
      <c r="F679" s="21" t="s">
        <v>1185</v>
      </c>
      <c r="G679" s="32" t="n">
        <v>6.3</v>
      </c>
      <c r="H679" s="21" t="s">
        <v>120</v>
      </c>
      <c r="I679" s="33" t="n">
        <v>45320</v>
      </c>
      <c r="J679" s="21" t="str">
        <f aca="false">INDEX(Students!$C$2:$C$601,MATCH(B679,Students!$A$2:$A$601,0))</f>
        <v>Batch 2024</v>
      </c>
      <c r="K679" s="21" t="str">
        <f aca="false">INDEX(Students!$D$2:$D$601,MATCH(B679,Students!$A$2:$A$601,0))</f>
        <v>Data Science &amp; ML</v>
      </c>
      <c r="L679" s="21" t="str">
        <f aca="false">INDEX(Companies!$C$2:$C$31,MATCH(C679,Companies!$A$2:$A$31,0))</f>
        <v>Healthtech</v>
      </c>
      <c r="M679" s="21" t="str">
        <f aca="false">INDEX(Companies!$D$2:$D$31,MATCH(C679,Companies!$A$2:$A$31,0))</f>
        <v>Tier 3</v>
      </c>
      <c r="N679" s="34" t="n">
        <f aca="false">MATCH(F679,Assumptions!$K$4:$K$8,0)</f>
        <v>5</v>
      </c>
      <c r="O679" s="21" t="n">
        <f aca="false">IF(H679="Yes",MONTH(I679),"")</f>
        <v>1</v>
      </c>
      <c r="P679" s="21" t="str">
        <f aca="false">IF(H679="Yes",B679,"")</f>
        <v>S0044</v>
      </c>
    </row>
    <row r="680" customFormat="false" ht="15" hidden="false" customHeight="false" outlineLevel="0" collapsed="false">
      <c r="A680" s="21" t="s">
        <v>1895</v>
      </c>
      <c r="B680" s="21" t="s">
        <v>249</v>
      </c>
      <c r="C680" s="21" t="s">
        <v>1222</v>
      </c>
      <c r="D680" s="21" t="s">
        <v>1194</v>
      </c>
      <c r="E680" s="33" t="n">
        <v>45288</v>
      </c>
      <c r="F680" s="21" t="s">
        <v>1197</v>
      </c>
      <c r="G680" s="32"/>
      <c r="H680" s="21"/>
      <c r="I680" s="33"/>
      <c r="J680" s="21" t="str">
        <f aca="false">INDEX(Students!$C$2:$C$601,MATCH(B680,Students!$A$2:$A$601,0))</f>
        <v>Batch 2024</v>
      </c>
      <c r="K680" s="21" t="str">
        <f aca="false">INDEX(Students!$D$2:$D$601,MATCH(B680,Students!$A$2:$A$601,0))</f>
        <v>Data Science &amp; ML</v>
      </c>
      <c r="L680" s="21" t="str">
        <f aca="false">INDEX(Companies!$C$2:$C$31,MATCH(C680,Companies!$A$2:$A$31,0))</f>
        <v>Product</v>
      </c>
      <c r="M680" s="21" t="str">
        <f aca="false">INDEX(Companies!$D$2:$D$31,MATCH(C680,Companies!$A$2:$A$31,0))</f>
        <v>Tier 2</v>
      </c>
      <c r="N680" s="34" t="n">
        <f aca="false">MATCH(F680,Assumptions!$K$4:$K$8,0)</f>
        <v>3</v>
      </c>
      <c r="O680" s="21" t="str">
        <f aca="false">IF(H680="Yes",MONTH(I680),"")</f>
        <v/>
      </c>
      <c r="P680" s="21" t="str">
        <f aca="false">IF(H680="Yes",B680,"")</f>
        <v/>
      </c>
    </row>
    <row r="681" customFormat="false" ht="15" hidden="false" customHeight="false" outlineLevel="0" collapsed="false">
      <c r="A681" s="21" t="s">
        <v>1896</v>
      </c>
      <c r="B681" s="21" t="s">
        <v>295</v>
      </c>
      <c r="C681" s="21" t="s">
        <v>1216</v>
      </c>
      <c r="D681" s="21" t="s">
        <v>1174</v>
      </c>
      <c r="E681" s="33" t="n">
        <v>45288</v>
      </c>
      <c r="F681" s="21" t="s">
        <v>1178</v>
      </c>
      <c r="G681" s="32"/>
      <c r="H681" s="21"/>
      <c r="I681" s="33"/>
      <c r="J681" s="21" t="str">
        <f aca="false">INDEX(Students!$C$2:$C$601,MATCH(B681,Students!$A$2:$A$601,0))</f>
        <v>Batch 2024</v>
      </c>
      <c r="K681" s="21" t="str">
        <f aca="false">INDEX(Students!$D$2:$D$601,MATCH(B681,Students!$A$2:$A$601,0))</f>
        <v>Full Stack Development</v>
      </c>
      <c r="L681" s="21" t="str">
        <f aca="false">INDEX(Companies!$C$2:$C$31,MATCH(C681,Companies!$A$2:$A$31,0))</f>
        <v>IT Services</v>
      </c>
      <c r="M681" s="21" t="str">
        <f aca="false">INDEX(Companies!$D$2:$D$31,MATCH(C681,Companies!$A$2:$A$31,0))</f>
        <v>Tier 3</v>
      </c>
      <c r="N681" s="34" t="n">
        <f aca="false">MATCH(F681,Assumptions!$K$4:$K$8,0)</f>
        <v>2</v>
      </c>
      <c r="O681" s="21" t="str">
        <f aca="false">IF(H681="Yes",MONTH(I681),"")</f>
        <v/>
      </c>
      <c r="P681" s="21" t="str">
        <f aca="false">IF(H681="Yes",B681,"")</f>
        <v/>
      </c>
    </row>
    <row r="682" customFormat="false" ht="15" hidden="false" customHeight="false" outlineLevel="0" collapsed="false">
      <c r="A682" s="21" t="s">
        <v>1897</v>
      </c>
      <c r="B682" s="21" t="s">
        <v>330</v>
      </c>
      <c r="C682" s="21" t="s">
        <v>1222</v>
      </c>
      <c r="D682" s="21" t="s">
        <v>1226</v>
      </c>
      <c r="E682" s="33" t="n">
        <v>45288</v>
      </c>
      <c r="F682" s="21" t="s">
        <v>1175</v>
      </c>
      <c r="G682" s="32"/>
      <c r="H682" s="21"/>
      <c r="I682" s="33"/>
      <c r="J682" s="21" t="str">
        <f aca="false">INDEX(Students!$C$2:$C$601,MATCH(B682,Students!$A$2:$A$601,0))</f>
        <v>Batch 2024</v>
      </c>
      <c r="K682" s="21" t="str">
        <f aca="false">INDEX(Students!$D$2:$D$601,MATCH(B682,Students!$A$2:$A$601,0))</f>
        <v>Cybersecurity</v>
      </c>
      <c r="L682" s="21" t="str">
        <f aca="false">INDEX(Companies!$C$2:$C$31,MATCH(C682,Companies!$A$2:$A$31,0))</f>
        <v>Product</v>
      </c>
      <c r="M682" s="21" t="str">
        <f aca="false">INDEX(Companies!$D$2:$D$31,MATCH(C682,Companies!$A$2:$A$31,0))</f>
        <v>Tier 2</v>
      </c>
      <c r="N682" s="34" t="n">
        <f aca="false">MATCH(F682,Assumptions!$K$4:$K$8,0)</f>
        <v>1</v>
      </c>
      <c r="O682" s="21" t="str">
        <f aca="false">IF(H682="Yes",MONTH(I682),"")</f>
        <v/>
      </c>
      <c r="P682" s="21" t="str">
        <f aca="false">IF(H682="Yes",B682,"")</f>
        <v/>
      </c>
    </row>
    <row r="683" customFormat="false" ht="15" hidden="false" customHeight="false" outlineLevel="0" collapsed="false">
      <c r="A683" s="21" t="s">
        <v>1898</v>
      </c>
      <c r="B683" s="21" t="s">
        <v>141</v>
      </c>
      <c r="C683" s="21" t="s">
        <v>1298</v>
      </c>
      <c r="D683" s="21" t="s">
        <v>1181</v>
      </c>
      <c r="E683" s="33" t="n">
        <v>45288</v>
      </c>
      <c r="F683" s="21" t="s">
        <v>1218</v>
      </c>
      <c r="G683" s="32"/>
      <c r="H683" s="21"/>
      <c r="I683" s="33"/>
      <c r="J683" s="21" t="str">
        <f aca="false">INDEX(Students!$C$2:$C$601,MATCH(B683,Students!$A$2:$A$601,0))</f>
        <v>Batch 2024</v>
      </c>
      <c r="K683" s="21" t="str">
        <f aca="false">INDEX(Students!$D$2:$D$601,MATCH(B683,Students!$A$2:$A$601,0))</f>
        <v>Full Stack Development</v>
      </c>
      <c r="L683" s="21" t="str">
        <f aca="false">INDEX(Companies!$C$2:$C$31,MATCH(C683,Companies!$A$2:$A$31,0))</f>
        <v>Fintech</v>
      </c>
      <c r="M683" s="21" t="str">
        <f aca="false">INDEX(Companies!$D$2:$D$31,MATCH(C683,Companies!$A$2:$A$31,0))</f>
        <v>Tier 2</v>
      </c>
      <c r="N683" s="34" t="n">
        <f aca="false">MATCH(F683,Assumptions!$K$4:$K$8,0)</f>
        <v>4</v>
      </c>
      <c r="O683" s="21" t="str">
        <f aca="false">IF(H683="Yes",MONTH(I683),"")</f>
        <v/>
      </c>
      <c r="P683" s="21" t="str">
        <f aca="false">IF(H683="Yes",B683,"")</f>
        <v/>
      </c>
    </row>
    <row r="684" customFormat="false" ht="15" hidden="false" customHeight="false" outlineLevel="0" collapsed="false">
      <c r="A684" s="21" t="s">
        <v>1899</v>
      </c>
      <c r="B684" s="21" t="s">
        <v>243</v>
      </c>
      <c r="C684" s="21" t="s">
        <v>1199</v>
      </c>
      <c r="D684" s="21" t="s">
        <v>1243</v>
      </c>
      <c r="E684" s="33" t="n">
        <v>45288</v>
      </c>
      <c r="F684" s="21" t="s">
        <v>1185</v>
      </c>
      <c r="G684" s="32" t="n">
        <v>8.3</v>
      </c>
      <c r="H684" s="21" t="s">
        <v>120</v>
      </c>
      <c r="I684" s="33" t="n">
        <v>45318</v>
      </c>
      <c r="J684" s="21" t="str">
        <f aca="false">INDEX(Students!$C$2:$C$601,MATCH(B684,Students!$A$2:$A$601,0))</f>
        <v>Batch 2024</v>
      </c>
      <c r="K684" s="21" t="str">
        <f aca="false">INDEX(Students!$D$2:$D$601,MATCH(B684,Students!$A$2:$A$601,0))</f>
        <v>Data Science &amp; ML</v>
      </c>
      <c r="L684" s="21" t="str">
        <f aca="false">INDEX(Companies!$C$2:$C$31,MATCH(C684,Companies!$A$2:$A$31,0))</f>
        <v>E-commerce</v>
      </c>
      <c r="M684" s="21" t="str">
        <f aca="false">INDEX(Companies!$D$2:$D$31,MATCH(C684,Companies!$A$2:$A$31,0))</f>
        <v>Tier 2</v>
      </c>
      <c r="N684" s="34" t="n">
        <f aca="false">MATCH(F684,Assumptions!$K$4:$K$8,0)</f>
        <v>5</v>
      </c>
      <c r="O684" s="21" t="n">
        <f aca="false">IF(H684="Yes",MONTH(I684),"")</f>
        <v>1</v>
      </c>
      <c r="P684" s="21" t="str">
        <f aca="false">IF(H684="Yes",B684,"")</f>
        <v>S0067</v>
      </c>
    </row>
    <row r="685" customFormat="false" ht="15" hidden="false" customHeight="false" outlineLevel="0" collapsed="false">
      <c r="A685" s="21" t="s">
        <v>1900</v>
      </c>
      <c r="B685" s="21" t="s">
        <v>368</v>
      </c>
      <c r="C685" s="21" t="s">
        <v>1193</v>
      </c>
      <c r="D685" s="21" t="s">
        <v>1188</v>
      </c>
      <c r="E685" s="33" t="n">
        <v>45289</v>
      </c>
      <c r="F685" s="21" t="s">
        <v>1178</v>
      </c>
      <c r="G685" s="32"/>
      <c r="H685" s="21"/>
      <c r="I685" s="33"/>
      <c r="J685" s="21" t="str">
        <f aca="false">INDEX(Students!$C$2:$C$601,MATCH(B685,Students!$A$2:$A$601,0))</f>
        <v>Batch 2024</v>
      </c>
      <c r="K685" s="21" t="str">
        <f aca="false">INDEX(Students!$D$2:$D$601,MATCH(B685,Students!$A$2:$A$601,0))</f>
        <v>Data Analytics</v>
      </c>
      <c r="L685" s="21" t="str">
        <f aca="false">INDEX(Companies!$C$2:$C$31,MATCH(C685,Companies!$A$2:$A$31,0))</f>
        <v>Analytics &amp; Consulting</v>
      </c>
      <c r="M685" s="21" t="str">
        <f aca="false">INDEX(Companies!$D$2:$D$31,MATCH(C685,Companies!$A$2:$A$31,0))</f>
        <v>Tier 2</v>
      </c>
      <c r="N685" s="34" t="n">
        <f aca="false">MATCH(F685,Assumptions!$K$4:$K$8,0)</f>
        <v>2</v>
      </c>
      <c r="O685" s="21" t="str">
        <f aca="false">IF(H685="Yes",MONTH(I685),"")</f>
        <v/>
      </c>
      <c r="P685" s="21" t="str">
        <f aca="false">IF(H685="Yes",B685,"")</f>
        <v/>
      </c>
    </row>
    <row r="686" customFormat="false" ht="15" hidden="false" customHeight="false" outlineLevel="0" collapsed="false">
      <c r="A686" s="21" t="s">
        <v>1901</v>
      </c>
      <c r="B686" s="21" t="s">
        <v>358</v>
      </c>
      <c r="C686" s="21" t="s">
        <v>1222</v>
      </c>
      <c r="D686" s="21" t="s">
        <v>1194</v>
      </c>
      <c r="E686" s="33" t="n">
        <v>45289</v>
      </c>
      <c r="F686" s="21" t="s">
        <v>1175</v>
      </c>
      <c r="G686" s="32"/>
      <c r="H686" s="21"/>
      <c r="I686" s="33"/>
      <c r="J686" s="21" t="str">
        <f aca="false">INDEX(Students!$C$2:$C$601,MATCH(B686,Students!$A$2:$A$601,0))</f>
        <v>Batch 2024</v>
      </c>
      <c r="K686" s="21" t="str">
        <f aca="false">INDEX(Students!$D$2:$D$601,MATCH(B686,Students!$A$2:$A$601,0))</f>
        <v>Data Science &amp; ML</v>
      </c>
      <c r="L686" s="21" t="str">
        <f aca="false">INDEX(Companies!$C$2:$C$31,MATCH(C686,Companies!$A$2:$A$31,0))</f>
        <v>Product</v>
      </c>
      <c r="M686" s="21" t="str">
        <f aca="false">INDEX(Companies!$D$2:$D$31,MATCH(C686,Companies!$A$2:$A$31,0))</f>
        <v>Tier 2</v>
      </c>
      <c r="N686" s="34" t="n">
        <f aca="false">MATCH(F686,Assumptions!$K$4:$K$8,0)</f>
        <v>1</v>
      </c>
      <c r="O686" s="21" t="str">
        <f aca="false">IF(H686="Yes",MONTH(I686),"")</f>
        <v/>
      </c>
      <c r="P686" s="21" t="str">
        <f aca="false">IF(H686="Yes",B686,"")</f>
        <v/>
      </c>
    </row>
    <row r="687" customFormat="false" ht="15" hidden="false" customHeight="false" outlineLevel="0" collapsed="false">
      <c r="A687" s="21" t="s">
        <v>1902</v>
      </c>
      <c r="B687" s="21" t="s">
        <v>114</v>
      </c>
      <c r="C687" s="21" t="s">
        <v>1275</v>
      </c>
      <c r="D687" s="21" t="s">
        <v>1184</v>
      </c>
      <c r="E687" s="33" t="n">
        <v>45289</v>
      </c>
      <c r="F687" s="21" t="s">
        <v>1175</v>
      </c>
      <c r="G687" s="32"/>
      <c r="H687" s="21"/>
      <c r="I687" s="33"/>
      <c r="J687" s="21" t="str">
        <f aca="false">INDEX(Students!$C$2:$C$601,MATCH(B687,Students!$A$2:$A$601,0))</f>
        <v>Batch 2024</v>
      </c>
      <c r="K687" s="21" t="str">
        <f aca="false">INDEX(Students!$D$2:$D$601,MATCH(B687,Students!$A$2:$A$601,0))</f>
        <v>DSA with Java</v>
      </c>
      <c r="L687" s="21" t="str">
        <f aca="false">INDEX(Companies!$C$2:$C$31,MATCH(C687,Companies!$A$2:$A$31,0))</f>
        <v>Cybersecurity</v>
      </c>
      <c r="M687" s="21" t="str">
        <f aca="false">INDEX(Companies!$D$2:$D$31,MATCH(C687,Companies!$A$2:$A$31,0))</f>
        <v>Tier 2</v>
      </c>
      <c r="N687" s="34" t="n">
        <f aca="false">MATCH(F687,Assumptions!$K$4:$K$8,0)</f>
        <v>1</v>
      </c>
      <c r="O687" s="21" t="str">
        <f aca="false">IF(H687="Yes",MONTH(I687),"")</f>
        <v/>
      </c>
      <c r="P687" s="21" t="str">
        <f aca="false">IF(H687="Yes",B687,"")</f>
        <v/>
      </c>
    </row>
    <row r="688" customFormat="false" ht="15" hidden="false" customHeight="false" outlineLevel="0" collapsed="false">
      <c r="A688" s="21" t="s">
        <v>1903</v>
      </c>
      <c r="B688" s="21" t="s">
        <v>309</v>
      </c>
      <c r="C688" s="21" t="s">
        <v>1222</v>
      </c>
      <c r="D688" s="21" t="s">
        <v>1209</v>
      </c>
      <c r="E688" s="33" t="n">
        <v>45289</v>
      </c>
      <c r="F688" s="21" t="s">
        <v>1175</v>
      </c>
      <c r="G688" s="32"/>
      <c r="H688" s="21"/>
      <c r="I688" s="33"/>
      <c r="J688" s="21" t="str">
        <f aca="false">INDEX(Students!$C$2:$C$601,MATCH(B688,Students!$A$2:$A$601,0))</f>
        <v>Batch 2024</v>
      </c>
      <c r="K688" s="21" t="str">
        <f aca="false">INDEX(Students!$D$2:$D$601,MATCH(B688,Students!$A$2:$A$601,0))</f>
        <v>Data Analytics</v>
      </c>
      <c r="L688" s="21" t="str">
        <f aca="false">INDEX(Companies!$C$2:$C$31,MATCH(C688,Companies!$A$2:$A$31,0))</f>
        <v>Product</v>
      </c>
      <c r="M688" s="21" t="str">
        <f aca="false">INDEX(Companies!$D$2:$D$31,MATCH(C688,Companies!$A$2:$A$31,0))</f>
        <v>Tier 2</v>
      </c>
      <c r="N688" s="34" t="n">
        <f aca="false">MATCH(F688,Assumptions!$K$4:$K$8,0)</f>
        <v>1</v>
      </c>
      <c r="O688" s="21" t="str">
        <f aca="false">IF(H688="Yes",MONTH(I688),"")</f>
        <v/>
      </c>
      <c r="P688" s="21" t="str">
        <f aca="false">IF(H688="Yes",B688,"")</f>
        <v/>
      </c>
    </row>
    <row r="689" customFormat="false" ht="15" hidden="false" customHeight="false" outlineLevel="0" collapsed="false">
      <c r="A689" s="21" t="s">
        <v>1904</v>
      </c>
      <c r="B689" s="21" t="s">
        <v>397</v>
      </c>
      <c r="C689" s="21" t="s">
        <v>1180</v>
      </c>
      <c r="D689" s="21" t="s">
        <v>1191</v>
      </c>
      <c r="E689" s="33" t="n">
        <v>45290</v>
      </c>
      <c r="F689" s="21" t="s">
        <v>1185</v>
      </c>
      <c r="G689" s="32" t="n">
        <v>6.1</v>
      </c>
      <c r="H689" s="21" t="s">
        <v>113</v>
      </c>
      <c r="I689" s="33" t="n">
        <v>45314</v>
      </c>
      <c r="J689" s="21" t="str">
        <f aca="false">INDEX(Students!$C$2:$C$601,MATCH(B689,Students!$A$2:$A$601,0))</f>
        <v>Batch 2024</v>
      </c>
      <c r="K689" s="21" t="str">
        <f aca="false">INDEX(Students!$D$2:$D$601,MATCH(B689,Students!$A$2:$A$601,0))</f>
        <v>DSA with Java</v>
      </c>
      <c r="L689" s="21" t="str">
        <f aca="false">INDEX(Companies!$C$2:$C$31,MATCH(C689,Companies!$A$2:$A$31,0))</f>
        <v>IT Services</v>
      </c>
      <c r="M689" s="21" t="str">
        <f aca="false">INDEX(Companies!$D$2:$D$31,MATCH(C689,Companies!$A$2:$A$31,0))</f>
        <v>Tier 3</v>
      </c>
      <c r="N689" s="34" t="n">
        <f aca="false">MATCH(F689,Assumptions!$K$4:$K$8,0)</f>
        <v>5</v>
      </c>
      <c r="O689" s="21" t="str">
        <f aca="false">IF(H689="Yes",MONTH(I689),"")</f>
        <v/>
      </c>
      <c r="P689" s="21" t="str">
        <f aca="false">IF(H689="Yes",B689,"")</f>
        <v/>
      </c>
    </row>
    <row r="690" customFormat="false" ht="15" hidden="false" customHeight="false" outlineLevel="0" collapsed="false">
      <c r="A690" s="21" t="s">
        <v>1905</v>
      </c>
      <c r="B690" s="21" t="s">
        <v>219</v>
      </c>
      <c r="C690" s="21" t="s">
        <v>1205</v>
      </c>
      <c r="D690" s="21" t="s">
        <v>1243</v>
      </c>
      <c r="E690" s="33" t="n">
        <v>45290</v>
      </c>
      <c r="F690" s="21" t="s">
        <v>1218</v>
      </c>
      <c r="G690" s="32"/>
      <c r="H690" s="21"/>
      <c r="I690" s="33"/>
      <c r="J690" s="21" t="str">
        <f aca="false">INDEX(Students!$C$2:$C$601,MATCH(B690,Students!$A$2:$A$601,0))</f>
        <v>Batch 2024</v>
      </c>
      <c r="K690" s="21" t="str">
        <f aca="false">INDEX(Students!$D$2:$D$601,MATCH(B690,Students!$A$2:$A$601,0))</f>
        <v>Data Science &amp; ML</v>
      </c>
      <c r="L690" s="21" t="str">
        <f aca="false">INDEX(Companies!$C$2:$C$31,MATCH(C690,Companies!$A$2:$A$31,0))</f>
        <v>Healthtech</v>
      </c>
      <c r="M690" s="21" t="str">
        <f aca="false">INDEX(Companies!$D$2:$D$31,MATCH(C690,Companies!$A$2:$A$31,0))</f>
        <v>Tier 3</v>
      </c>
      <c r="N690" s="34" t="n">
        <f aca="false">MATCH(F690,Assumptions!$K$4:$K$8,0)</f>
        <v>4</v>
      </c>
      <c r="O690" s="21" t="str">
        <f aca="false">IF(H690="Yes",MONTH(I690),"")</f>
        <v/>
      </c>
      <c r="P690" s="21" t="str">
        <f aca="false">IF(H690="Yes",B690,"")</f>
        <v/>
      </c>
    </row>
    <row r="691" customFormat="false" ht="15" hidden="false" customHeight="false" outlineLevel="0" collapsed="false">
      <c r="A691" s="21" t="s">
        <v>1906</v>
      </c>
      <c r="B691" s="21" t="s">
        <v>337</v>
      </c>
      <c r="C691" s="21" t="s">
        <v>1275</v>
      </c>
      <c r="D691" s="21" t="s">
        <v>1243</v>
      </c>
      <c r="E691" s="33" t="n">
        <v>45290</v>
      </c>
      <c r="F691" s="21" t="s">
        <v>1185</v>
      </c>
      <c r="G691" s="32" t="n">
        <v>7.9</v>
      </c>
      <c r="H691" s="21" t="s">
        <v>120</v>
      </c>
      <c r="I691" s="33" t="n">
        <v>45342</v>
      </c>
      <c r="J691" s="21" t="str">
        <f aca="false">INDEX(Students!$C$2:$C$601,MATCH(B691,Students!$A$2:$A$601,0))</f>
        <v>Batch 2024</v>
      </c>
      <c r="K691" s="21" t="str">
        <f aca="false">INDEX(Students!$D$2:$D$601,MATCH(B691,Students!$A$2:$A$601,0))</f>
        <v>Data Science &amp; ML</v>
      </c>
      <c r="L691" s="21" t="str">
        <f aca="false">INDEX(Companies!$C$2:$C$31,MATCH(C691,Companies!$A$2:$A$31,0))</f>
        <v>Cybersecurity</v>
      </c>
      <c r="M691" s="21" t="str">
        <f aca="false">INDEX(Companies!$D$2:$D$31,MATCH(C691,Companies!$A$2:$A$31,0))</f>
        <v>Tier 2</v>
      </c>
      <c r="N691" s="34" t="n">
        <f aca="false">MATCH(F691,Assumptions!$K$4:$K$8,0)</f>
        <v>5</v>
      </c>
      <c r="O691" s="21" t="n">
        <f aca="false">IF(H691="Yes",MONTH(I691),"")</f>
        <v>2</v>
      </c>
      <c r="P691" s="21" t="str">
        <f aca="false">IF(H691="Yes",B691,"")</f>
        <v>S0116</v>
      </c>
    </row>
    <row r="692" customFormat="false" ht="15" hidden="false" customHeight="false" outlineLevel="0" collapsed="false">
      <c r="A692" s="21" t="s">
        <v>1907</v>
      </c>
      <c r="B692" s="21" t="s">
        <v>217</v>
      </c>
      <c r="C692" s="21" t="s">
        <v>1193</v>
      </c>
      <c r="D692" s="21" t="s">
        <v>1194</v>
      </c>
      <c r="E692" s="33" t="n">
        <v>45290</v>
      </c>
      <c r="F692" s="21" t="s">
        <v>1197</v>
      </c>
      <c r="G692" s="32"/>
      <c r="H692" s="21"/>
      <c r="I692" s="33"/>
      <c r="J692" s="21" t="str">
        <f aca="false">INDEX(Students!$C$2:$C$601,MATCH(B692,Students!$A$2:$A$601,0))</f>
        <v>Batch 2024</v>
      </c>
      <c r="K692" s="21" t="str">
        <f aca="false">INDEX(Students!$D$2:$D$601,MATCH(B692,Students!$A$2:$A$601,0))</f>
        <v>Data Science &amp; ML</v>
      </c>
      <c r="L692" s="21" t="str">
        <f aca="false">INDEX(Companies!$C$2:$C$31,MATCH(C692,Companies!$A$2:$A$31,0))</f>
        <v>Analytics &amp; Consulting</v>
      </c>
      <c r="M692" s="21" t="str">
        <f aca="false">INDEX(Companies!$D$2:$D$31,MATCH(C692,Companies!$A$2:$A$31,0))</f>
        <v>Tier 2</v>
      </c>
      <c r="N692" s="34" t="n">
        <f aca="false">MATCH(F692,Assumptions!$K$4:$K$8,0)</f>
        <v>3</v>
      </c>
      <c r="O692" s="21" t="str">
        <f aca="false">IF(H692="Yes",MONTH(I692),"")</f>
        <v/>
      </c>
      <c r="P692" s="21" t="str">
        <f aca="false">IF(H692="Yes",B692,"")</f>
        <v/>
      </c>
    </row>
    <row r="693" customFormat="false" ht="15" hidden="false" customHeight="false" outlineLevel="0" collapsed="false">
      <c r="A693" s="21" t="s">
        <v>1908</v>
      </c>
      <c r="B693" s="21" t="s">
        <v>452</v>
      </c>
      <c r="C693" s="21" t="s">
        <v>1266</v>
      </c>
      <c r="D693" s="21" t="s">
        <v>1188</v>
      </c>
      <c r="E693" s="33" t="n">
        <v>45290</v>
      </c>
      <c r="F693" s="21" t="s">
        <v>1175</v>
      </c>
      <c r="G693" s="32"/>
      <c r="H693" s="21"/>
      <c r="I693" s="33"/>
      <c r="J693" s="21" t="str">
        <f aca="false">INDEX(Students!$C$2:$C$601,MATCH(B693,Students!$A$2:$A$601,0))</f>
        <v>Batch 2024</v>
      </c>
      <c r="K693" s="21" t="str">
        <f aca="false">INDEX(Students!$D$2:$D$601,MATCH(B693,Students!$A$2:$A$601,0))</f>
        <v>Data Analytics</v>
      </c>
      <c r="L693" s="21" t="str">
        <f aca="false">INDEX(Companies!$C$2:$C$31,MATCH(C693,Companies!$A$2:$A$31,0))</f>
        <v>IT Services</v>
      </c>
      <c r="M693" s="21" t="str">
        <f aca="false">INDEX(Companies!$D$2:$D$31,MATCH(C693,Companies!$A$2:$A$31,0))</f>
        <v>Tier 3</v>
      </c>
      <c r="N693" s="34" t="n">
        <f aca="false">MATCH(F693,Assumptions!$K$4:$K$8,0)</f>
        <v>1</v>
      </c>
      <c r="O693" s="21" t="str">
        <f aca="false">IF(H693="Yes",MONTH(I693),"")</f>
        <v/>
      </c>
      <c r="P693" s="21" t="str">
        <f aca="false">IF(H693="Yes",B693,"")</f>
        <v/>
      </c>
    </row>
    <row r="694" customFormat="false" ht="15" hidden="false" customHeight="false" outlineLevel="0" collapsed="false">
      <c r="A694" s="21" t="s">
        <v>1909</v>
      </c>
      <c r="B694" s="21" t="s">
        <v>400</v>
      </c>
      <c r="C694" s="21" t="s">
        <v>1234</v>
      </c>
      <c r="D694" s="21" t="s">
        <v>1243</v>
      </c>
      <c r="E694" s="33" t="n">
        <v>45290</v>
      </c>
      <c r="F694" s="21" t="s">
        <v>1185</v>
      </c>
      <c r="G694" s="32" t="n">
        <v>6.4</v>
      </c>
      <c r="H694" s="21" t="s">
        <v>113</v>
      </c>
      <c r="I694" s="33" t="n">
        <v>45317</v>
      </c>
      <c r="J694" s="21" t="str">
        <f aca="false">INDEX(Students!$C$2:$C$601,MATCH(B694,Students!$A$2:$A$601,0))</f>
        <v>Batch 2024</v>
      </c>
      <c r="K694" s="21" t="str">
        <f aca="false">INDEX(Students!$D$2:$D$601,MATCH(B694,Students!$A$2:$A$601,0))</f>
        <v>Data Science &amp; ML</v>
      </c>
      <c r="L694" s="21" t="str">
        <f aca="false">INDEX(Companies!$C$2:$C$31,MATCH(C694,Companies!$A$2:$A$31,0))</f>
        <v>EdTech</v>
      </c>
      <c r="M694" s="21" t="str">
        <f aca="false">INDEX(Companies!$D$2:$D$31,MATCH(C694,Companies!$A$2:$A$31,0))</f>
        <v>Tier 3</v>
      </c>
      <c r="N694" s="34" t="n">
        <f aca="false">MATCH(F694,Assumptions!$K$4:$K$8,0)</f>
        <v>5</v>
      </c>
      <c r="O694" s="21" t="str">
        <f aca="false">IF(H694="Yes",MONTH(I694),"")</f>
        <v/>
      </c>
      <c r="P694" s="21" t="str">
        <f aca="false">IF(H694="Yes",B694,"")</f>
        <v/>
      </c>
    </row>
    <row r="695" customFormat="false" ht="15" hidden="false" customHeight="false" outlineLevel="0" collapsed="false">
      <c r="A695" s="21" t="s">
        <v>1910</v>
      </c>
      <c r="B695" s="21" t="s">
        <v>341</v>
      </c>
      <c r="C695" s="21" t="s">
        <v>1216</v>
      </c>
      <c r="D695" s="21" t="s">
        <v>1188</v>
      </c>
      <c r="E695" s="33" t="n">
        <v>45290</v>
      </c>
      <c r="F695" s="21" t="s">
        <v>1197</v>
      </c>
      <c r="G695" s="32"/>
      <c r="H695" s="21"/>
      <c r="I695" s="33"/>
      <c r="J695" s="21" t="str">
        <f aca="false">INDEX(Students!$C$2:$C$601,MATCH(B695,Students!$A$2:$A$601,0))</f>
        <v>Batch 2024</v>
      </c>
      <c r="K695" s="21" t="str">
        <f aca="false">INDEX(Students!$D$2:$D$601,MATCH(B695,Students!$A$2:$A$601,0))</f>
        <v>Data Analytics</v>
      </c>
      <c r="L695" s="21" t="str">
        <f aca="false">INDEX(Companies!$C$2:$C$31,MATCH(C695,Companies!$A$2:$A$31,0))</f>
        <v>IT Services</v>
      </c>
      <c r="M695" s="21" t="str">
        <f aca="false">INDEX(Companies!$D$2:$D$31,MATCH(C695,Companies!$A$2:$A$31,0))</f>
        <v>Tier 3</v>
      </c>
      <c r="N695" s="34" t="n">
        <f aca="false">MATCH(F695,Assumptions!$K$4:$K$8,0)</f>
        <v>3</v>
      </c>
      <c r="O695" s="21" t="str">
        <f aca="false">IF(H695="Yes",MONTH(I695),"")</f>
        <v/>
      </c>
      <c r="P695" s="21" t="str">
        <f aca="false">IF(H695="Yes",B695,"")</f>
        <v/>
      </c>
    </row>
    <row r="696" customFormat="false" ht="15" hidden="false" customHeight="false" outlineLevel="0" collapsed="false">
      <c r="A696" s="21" t="s">
        <v>1911</v>
      </c>
      <c r="B696" s="21" t="s">
        <v>207</v>
      </c>
      <c r="C696" s="21" t="s">
        <v>1290</v>
      </c>
      <c r="D696" s="21" t="s">
        <v>1188</v>
      </c>
      <c r="E696" s="33" t="n">
        <v>45290</v>
      </c>
      <c r="F696" s="21" t="s">
        <v>1175</v>
      </c>
      <c r="G696" s="32"/>
      <c r="H696" s="21"/>
      <c r="I696" s="33"/>
      <c r="J696" s="21" t="str">
        <f aca="false">INDEX(Students!$C$2:$C$601,MATCH(B696,Students!$A$2:$A$601,0))</f>
        <v>Batch 2024</v>
      </c>
      <c r="K696" s="21" t="str">
        <f aca="false">INDEX(Students!$D$2:$D$601,MATCH(B696,Students!$A$2:$A$601,0))</f>
        <v>Data Analytics</v>
      </c>
      <c r="L696" s="21" t="str">
        <f aca="false">INDEX(Companies!$C$2:$C$31,MATCH(C696,Companies!$A$2:$A$31,0))</f>
        <v>Fintech</v>
      </c>
      <c r="M696" s="21" t="str">
        <f aca="false">INDEX(Companies!$D$2:$D$31,MATCH(C696,Companies!$A$2:$A$31,0))</f>
        <v>Tier 2</v>
      </c>
      <c r="N696" s="34" t="n">
        <f aca="false">MATCH(F696,Assumptions!$K$4:$K$8,0)</f>
        <v>1</v>
      </c>
      <c r="O696" s="21" t="str">
        <f aca="false">IF(H696="Yes",MONTH(I696),"")</f>
        <v/>
      </c>
      <c r="P696" s="21" t="str">
        <f aca="false">IF(H696="Yes",B696,"")</f>
        <v/>
      </c>
    </row>
    <row r="697" customFormat="false" ht="15" hidden="false" customHeight="false" outlineLevel="0" collapsed="false">
      <c r="A697" s="21" t="s">
        <v>1912</v>
      </c>
      <c r="B697" s="21" t="s">
        <v>123</v>
      </c>
      <c r="C697" s="21" t="s">
        <v>1211</v>
      </c>
      <c r="D697" s="21" t="s">
        <v>1209</v>
      </c>
      <c r="E697" s="33" t="n">
        <v>45291</v>
      </c>
      <c r="F697" s="21" t="s">
        <v>1178</v>
      </c>
      <c r="G697" s="32"/>
      <c r="H697" s="21"/>
      <c r="I697" s="33"/>
      <c r="J697" s="21" t="str">
        <f aca="false">INDEX(Students!$C$2:$C$601,MATCH(B697,Students!$A$2:$A$601,0))</f>
        <v>Batch 2024</v>
      </c>
      <c r="K697" s="21" t="str">
        <f aca="false">INDEX(Students!$D$2:$D$601,MATCH(B697,Students!$A$2:$A$601,0))</f>
        <v>Data Analytics</v>
      </c>
      <c r="L697" s="21" t="str">
        <f aca="false">INDEX(Companies!$C$2:$C$31,MATCH(C697,Companies!$A$2:$A$31,0))</f>
        <v>Analytics &amp; Consulting</v>
      </c>
      <c r="M697" s="21" t="str">
        <f aca="false">INDEX(Companies!$D$2:$D$31,MATCH(C697,Companies!$A$2:$A$31,0))</f>
        <v>Tier 3</v>
      </c>
      <c r="N697" s="34" t="n">
        <f aca="false">MATCH(F697,Assumptions!$K$4:$K$8,0)</f>
        <v>2</v>
      </c>
      <c r="O697" s="21" t="str">
        <f aca="false">IF(H697="Yes",MONTH(I697),"")</f>
        <v/>
      </c>
      <c r="P697" s="21" t="str">
        <f aca="false">IF(H697="Yes",B697,"")</f>
        <v/>
      </c>
    </row>
    <row r="698" customFormat="false" ht="15" hidden="false" customHeight="false" outlineLevel="0" collapsed="false">
      <c r="A698" s="21" t="s">
        <v>1913</v>
      </c>
      <c r="B698" s="21" t="s">
        <v>334</v>
      </c>
      <c r="C698" s="21" t="s">
        <v>1266</v>
      </c>
      <c r="D698" s="21" t="s">
        <v>1243</v>
      </c>
      <c r="E698" s="33" t="n">
        <v>45291</v>
      </c>
      <c r="F698" s="21" t="s">
        <v>1185</v>
      </c>
      <c r="G698" s="32" t="n">
        <v>6.1</v>
      </c>
      <c r="H698" s="21" t="s">
        <v>113</v>
      </c>
      <c r="I698" s="33" t="n">
        <v>45326</v>
      </c>
      <c r="J698" s="21" t="str">
        <f aca="false">INDEX(Students!$C$2:$C$601,MATCH(B698,Students!$A$2:$A$601,0))</f>
        <v>Batch 2024</v>
      </c>
      <c r="K698" s="21" t="str">
        <f aca="false">INDEX(Students!$D$2:$D$601,MATCH(B698,Students!$A$2:$A$601,0))</f>
        <v>Data Science &amp; ML</v>
      </c>
      <c r="L698" s="21" t="str">
        <f aca="false">INDEX(Companies!$C$2:$C$31,MATCH(C698,Companies!$A$2:$A$31,0))</f>
        <v>IT Services</v>
      </c>
      <c r="M698" s="21" t="str">
        <f aca="false">INDEX(Companies!$D$2:$D$31,MATCH(C698,Companies!$A$2:$A$31,0))</f>
        <v>Tier 3</v>
      </c>
      <c r="N698" s="34" t="n">
        <f aca="false">MATCH(F698,Assumptions!$K$4:$K$8,0)</f>
        <v>5</v>
      </c>
      <c r="O698" s="21" t="str">
        <f aca="false">IF(H698="Yes",MONTH(I698),"")</f>
        <v/>
      </c>
      <c r="P698" s="21" t="str">
        <f aca="false">IF(H698="Yes",B698,"")</f>
        <v/>
      </c>
    </row>
    <row r="699" customFormat="false" ht="15" hidden="false" customHeight="false" outlineLevel="0" collapsed="false">
      <c r="A699" s="21" t="s">
        <v>1914</v>
      </c>
      <c r="B699" s="21" t="s">
        <v>145</v>
      </c>
      <c r="C699" s="21" t="s">
        <v>1322</v>
      </c>
      <c r="D699" s="21" t="s">
        <v>1226</v>
      </c>
      <c r="E699" s="33" t="n">
        <v>45291</v>
      </c>
      <c r="F699" s="21" t="s">
        <v>1197</v>
      </c>
      <c r="G699" s="32"/>
      <c r="H699" s="21"/>
      <c r="I699" s="33"/>
      <c r="J699" s="21" t="str">
        <f aca="false">INDEX(Students!$C$2:$C$601,MATCH(B699,Students!$A$2:$A$601,0))</f>
        <v>Batch 2024</v>
      </c>
      <c r="K699" s="21" t="str">
        <f aca="false">INDEX(Students!$D$2:$D$601,MATCH(B699,Students!$A$2:$A$601,0))</f>
        <v>Cybersecurity</v>
      </c>
      <c r="L699" s="21" t="str">
        <f aca="false">INDEX(Companies!$C$2:$C$31,MATCH(C699,Companies!$A$2:$A$31,0))</f>
        <v>Healthtech</v>
      </c>
      <c r="M699" s="21" t="str">
        <f aca="false">INDEX(Companies!$D$2:$D$31,MATCH(C699,Companies!$A$2:$A$31,0))</f>
        <v>Tier 2</v>
      </c>
      <c r="N699" s="34" t="n">
        <f aca="false">MATCH(F699,Assumptions!$K$4:$K$8,0)</f>
        <v>3</v>
      </c>
      <c r="O699" s="21" t="str">
        <f aca="false">IF(H699="Yes",MONTH(I699),"")</f>
        <v/>
      </c>
      <c r="P699" s="21" t="str">
        <f aca="false">IF(H699="Yes",B699,"")</f>
        <v/>
      </c>
    </row>
    <row r="700" customFormat="false" ht="15" hidden="false" customHeight="false" outlineLevel="0" collapsed="false">
      <c r="A700" s="21" t="s">
        <v>1915</v>
      </c>
      <c r="B700" s="21" t="s">
        <v>287</v>
      </c>
      <c r="C700" s="21" t="s">
        <v>1239</v>
      </c>
      <c r="D700" s="21" t="s">
        <v>1188</v>
      </c>
      <c r="E700" s="33" t="n">
        <v>45291</v>
      </c>
      <c r="F700" s="21" t="s">
        <v>1185</v>
      </c>
      <c r="G700" s="32" t="n">
        <v>4.7</v>
      </c>
      <c r="H700" s="21" t="s">
        <v>113</v>
      </c>
      <c r="I700" s="33" t="n">
        <v>45316</v>
      </c>
      <c r="J700" s="21" t="str">
        <f aca="false">INDEX(Students!$C$2:$C$601,MATCH(B700,Students!$A$2:$A$601,0))</f>
        <v>Batch 2024</v>
      </c>
      <c r="K700" s="21" t="str">
        <f aca="false">INDEX(Students!$D$2:$D$601,MATCH(B700,Students!$A$2:$A$601,0))</f>
        <v>Data Analytics</v>
      </c>
      <c r="L700" s="21" t="str">
        <f aca="false">INDEX(Companies!$C$2:$C$31,MATCH(C700,Companies!$A$2:$A$31,0))</f>
        <v>E-commerce</v>
      </c>
      <c r="M700" s="21" t="str">
        <f aca="false">INDEX(Companies!$D$2:$D$31,MATCH(C700,Companies!$A$2:$A$31,0))</f>
        <v>Tier 3</v>
      </c>
      <c r="N700" s="34" t="n">
        <f aca="false">MATCH(F700,Assumptions!$K$4:$K$8,0)</f>
        <v>5</v>
      </c>
      <c r="O700" s="21" t="str">
        <f aca="false">IF(H700="Yes",MONTH(I700),"")</f>
        <v/>
      </c>
      <c r="P700" s="21" t="str">
        <f aca="false">IF(H700="Yes",B700,"")</f>
        <v/>
      </c>
    </row>
    <row r="701" customFormat="false" ht="15" hidden="false" customHeight="false" outlineLevel="0" collapsed="false">
      <c r="A701" s="21" t="s">
        <v>1916</v>
      </c>
      <c r="B701" s="21" t="s">
        <v>139</v>
      </c>
      <c r="C701" s="21" t="s">
        <v>1275</v>
      </c>
      <c r="D701" s="21" t="s">
        <v>1181</v>
      </c>
      <c r="E701" s="33" t="n">
        <v>45292</v>
      </c>
      <c r="F701" s="21" t="s">
        <v>1185</v>
      </c>
      <c r="G701" s="32" t="n">
        <v>13.5</v>
      </c>
      <c r="H701" s="21" t="s">
        <v>120</v>
      </c>
      <c r="I701" s="33" t="n">
        <v>45325</v>
      </c>
      <c r="J701" s="21" t="str">
        <f aca="false">INDEX(Students!$C$2:$C$601,MATCH(B701,Students!$A$2:$A$601,0))</f>
        <v>Batch 2024</v>
      </c>
      <c r="K701" s="21" t="str">
        <f aca="false">INDEX(Students!$D$2:$D$601,MATCH(B701,Students!$A$2:$A$601,0))</f>
        <v>Full Stack Development</v>
      </c>
      <c r="L701" s="21" t="str">
        <f aca="false">INDEX(Companies!$C$2:$C$31,MATCH(C701,Companies!$A$2:$A$31,0))</f>
        <v>Cybersecurity</v>
      </c>
      <c r="M701" s="21" t="str">
        <f aca="false">INDEX(Companies!$D$2:$D$31,MATCH(C701,Companies!$A$2:$A$31,0))</f>
        <v>Tier 2</v>
      </c>
      <c r="N701" s="34" t="n">
        <f aca="false">MATCH(F701,Assumptions!$K$4:$K$8,0)</f>
        <v>5</v>
      </c>
      <c r="O701" s="21" t="n">
        <f aca="false">IF(H701="Yes",MONTH(I701),"")</f>
        <v>2</v>
      </c>
      <c r="P701" s="21" t="str">
        <f aca="false">IF(H701="Yes",B701,"")</f>
        <v>S0014</v>
      </c>
    </row>
    <row r="702" customFormat="false" ht="15" hidden="false" customHeight="false" outlineLevel="0" collapsed="false">
      <c r="A702" s="21" t="s">
        <v>1917</v>
      </c>
      <c r="B702" s="21" t="s">
        <v>203</v>
      </c>
      <c r="C702" s="21" t="s">
        <v>1203</v>
      </c>
      <c r="D702" s="21" t="s">
        <v>1191</v>
      </c>
      <c r="E702" s="33" t="n">
        <v>45292</v>
      </c>
      <c r="F702" s="21" t="s">
        <v>1185</v>
      </c>
      <c r="G702" s="32" t="n">
        <v>11</v>
      </c>
      <c r="H702" s="21" t="s">
        <v>113</v>
      </c>
      <c r="I702" s="33" t="n">
        <v>45312</v>
      </c>
      <c r="J702" s="21" t="str">
        <f aca="false">INDEX(Students!$C$2:$C$601,MATCH(B702,Students!$A$2:$A$601,0))</f>
        <v>Batch 2024</v>
      </c>
      <c r="K702" s="21" t="str">
        <f aca="false">INDEX(Students!$D$2:$D$601,MATCH(B702,Students!$A$2:$A$601,0))</f>
        <v>DSA with Java</v>
      </c>
      <c r="L702" s="21" t="str">
        <f aca="false">INDEX(Companies!$C$2:$C$31,MATCH(C702,Companies!$A$2:$A$31,0))</f>
        <v>Healthtech</v>
      </c>
      <c r="M702" s="21" t="str">
        <f aca="false">INDEX(Companies!$D$2:$D$31,MATCH(C702,Companies!$A$2:$A$31,0))</f>
        <v>Tier 2</v>
      </c>
      <c r="N702" s="34" t="n">
        <f aca="false">MATCH(F702,Assumptions!$K$4:$K$8,0)</f>
        <v>5</v>
      </c>
      <c r="O702" s="21" t="str">
        <f aca="false">IF(H702="Yes",MONTH(I702),"")</f>
        <v/>
      </c>
      <c r="P702" s="21" t="str">
        <f aca="false">IF(H702="Yes",B702,"")</f>
        <v/>
      </c>
    </row>
    <row r="703" customFormat="false" ht="15" hidden="false" customHeight="false" outlineLevel="0" collapsed="false">
      <c r="A703" s="21" t="s">
        <v>1918</v>
      </c>
      <c r="B703" s="21" t="s">
        <v>281</v>
      </c>
      <c r="C703" s="21" t="s">
        <v>1225</v>
      </c>
      <c r="D703" s="21" t="s">
        <v>1188</v>
      </c>
      <c r="E703" s="33" t="n">
        <v>45292</v>
      </c>
      <c r="F703" s="21" t="s">
        <v>1175</v>
      </c>
      <c r="G703" s="32"/>
      <c r="H703" s="21"/>
      <c r="I703" s="33"/>
      <c r="J703" s="21" t="str">
        <f aca="false">INDEX(Students!$C$2:$C$601,MATCH(B703,Students!$A$2:$A$601,0))</f>
        <v>Batch 2024</v>
      </c>
      <c r="K703" s="21" t="str">
        <f aca="false">INDEX(Students!$D$2:$D$601,MATCH(B703,Students!$A$2:$A$601,0))</f>
        <v>Data Analytics</v>
      </c>
      <c r="L703" s="21" t="str">
        <f aca="false">INDEX(Companies!$C$2:$C$31,MATCH(C703,Companies!$A$2:$A$31,0))</f>
        <v>EdTech</v>
      </c>
      <c r="M703" s="21" t="str">
        <f aca="false">INDEX(Companies!$D$2:$D$31,MATCH(C703,Companies!$A$2:$A$31,0))</f>
        <v>Tier 2</v>
      </c>
      <c r="N703" s="34" t="n">
        <f aca="false">MATCH(F703,Assumptions!$K$4:$K$8,0)</f>
        <v>1</v>
      </c>
      <c r="O703" s="21" t="str">
        <f aca="false">IF(H703="Yes",MONTH(I703),"")</f>
        <v/>
      </c>
      <c r="P703" s="21" t="str">
        <f aca="false">IF(H703="Yes",B703,"")</f>
        <v/>
      </c>
    </row>
    <row r="704" customFormat="false" ht="15" hidden="false" customHeight="false" outlineLevel="0" collapsed="false">
      <c r="A704" s="21" t="s">
        <v>1919</v>
      </c>
      <c r="B704" s="21" t="s">
        <v>384</v>
      </c>
      <c r="C704" s="21" t="s">
        <v>1266</v>
      </c>
      <c r="D704" s="21" t="s">
        <v>1181</v>
      </c>
      <c r="E704" s="33" t="n">
        <v>45292</v>
      </c>
      <c r="F704" s="21" t="s">
        <v>1185</v>
      </c>
      <c r="G704" s="32" t="n">
        <v>6.5</v>
      </c>
      <c r="H704" s="21" t="s">
        <v>120</v>
      </c>
      <c r="I704" s="33" t="n">
        <v>45343</v>
      </c>
      <c r="J704" s="21" t="str">
        <f aca="false">INDEX(Students!$C$2:$C$601,MATCH(B704,Students!$A$2:$A$601,0))</f>
        <v>Batch 2024</v>
      </c>
      <c r="K704" s="21" t="str">
        <f aca="false">INDEX(Students!$D$2:$D$601,MATCH(B704,Students!$A$2:$A$601,0))</f>
        <v>Full Stack Development</v>
      </c>
      <c r="L704" s="21" t="str">
        <f aca="false">INDEX(Companies!$C$2:$C$31,MATCH(C704,Companies!$A$2:$A$31,0))</f>
        <v>IT Services</v>
      </c>
      <c r="M704" s="21" t="str">
        <f aca="false">INDEX(Companies!$D$2:$D$31,MATCH(C704,Companies!$A$2:$A$31,0))</f>
        <v>Tier 3</v>
      </c>
      <c r="N704" s="34" t="n">
        <f aca="false">MATCH(F704,Assumptions!$K$4:$K$8,0)</f>
        <v>5</v>
      </c>
      <c r="O704" s="21" t="n">
        <f aca="false">IF(H704="Yes",MONTH(I704),"")</f>
        <v>2</v>
      </c>
      <c r="P704" s="21" t="str">
        <f aca="false">IF(H704="Yes",B704,"")</f>
        <v>S0141</v>
      </c>
    </row>
    <row r="705" customFormat="false" ht="15" hidden="false" customHeight="false" outlineLevel="0" collapsed="false">
      <c r="A705" s="21" t="s">
        <v>1920</v>
      </c>
      <c r="B705" s="21" t="s">
        <v>239</v>
      </c>
      <c r="C705" s="21" t="s">
        <v>1205</v>
      </c>
      <c r="D705" s="21" t="s">
        <v>1181</v>
      </c>
      <c r="E705" s="33" t="n">
        <v>45292</v>
      </c>
      <c r="F705" s="21" t="s">
        <v>1178</v>
      </c>
      <c r="G705" s="32"/>
      <c r="H705" s="21"/>
      <c r="I705" s="33"/>
      <c r="J705" s="21" t="str">
        <f aca="false">INDEX(Students!$C$2:$C$601,MATCH(B705,Students!$A$2:$A$601,0))</f>
        <v>Batch 2024</v>
      </c>
      <c r="K705" s="21" t="str">
        <f aca="false">INDEX(Students!$D$2:$D$601,MATCH(B705,Students!$A$2:$A$601,0))</f>
        <v>Full Stack Development</v>
      </c>
      <c r="L705" s="21" t="str">
        <f aca="false">INDEX(Companies!$C$2:$C$31,MATCH(C705,Companies!$A$2:$A$31,0))</f>
        <v>Healthtech</v>
      </c>
      <c r="M705" s="21" t="str">
        <f aca="false">INDEX(Companies!$D$2:$D$31,MATCH(C705,Companies!$A$2:$A$31,0))</f>
        <v>Tier 3</v>
      </c>
      <c r="N705" s="34" t="n">
        <f aca="false">MATCH(F705,Assumptions!$K$4:$K$8,0)</f>
        <v>2</v>
      </c>
      <c r="O705" s="21" t="str">
        <f aca="false">IF(H705="Yes",MONTH(I705),"")</f>
        <v/>
      </c>
      <c r="P705" s="21" t="str">
        <f aca="false">IF(H705="Yes",B705,"")</f>
        <v/>
      </c>
    </row>
    <row r="706" customFormat="false" ht="15" hidden="false" customHeight="false" outlineLevel="0" collapsed="false">
      <c r="A706" s="21" t="s">
        <v>1921</v>
      </c>
      <c r="B706" s="21" t="s">
        <v>153</v>
      </c>
      <c r="C706" s="21" t="s">
        <v>1230</v>
      </c>
      <c r="D706" s="21" t="s">
        <v>1184</v>
      </c>
      <c r="E706" s="33" t="n">
        <v>45292</v>
      </c>
      <c r="F706" s="21" t="s">
        <v>1218</v>
      </c>
      <c r="G706" s="32"/>
      <c r="H706" s="21"/>
      <c r="I706" s="33"/>
      <c r="J706" s="21" t="str">
        <f aca="false">INDEX(Students!$C$2:$C$601,MATCH(B706,Students!$A$2:$A$601,0))</f>
        <v>Batch 2024</v>
      </c>
      <c r="K706" s="21" t="str">
        <f aca="false">INDEX(Students!$D$2:$D$601,MATCH(B706,Students!$A$2:$A$601,0))</f>
        <v>DSA with Java</v>
      </c>
      <c r="L706" s="21" t="str">
        <f aca="false">INDEX(Companies!$C$2:$C$31,MATCH(C706,Companies!$A$2:$A$31,0))</f>
        <v>IT Services</v>
      </c>
      <c r="M706" s="21" t="str">
        <f aca="false">INDEX(Companies!$D$2:$D$31,MATCH(C706,Companies!$A$2:$A$31,0))</f>
        <v>Tier 3</v>
      </c>
      <c r="N706" s="34" t="n">
        <f aca="false">MATCH(F706,Assumptions!$K$4:$K$8,0)</f>
        <v>4</v>
      </c>
      <c r="O706" s="21" t="str">
        <f aca="false">IF(H706="Yes",MONTH(I706),"")</f>
        <v/>
      </c>
      <c r="P706" s="21" t="str">
        <f aca="false">IF(H706="Yes",B706,"")</f>
        <v/>
      </c>
    </row>
    <row r="707" customFormat="false" ht="15" hidden="false" customHeight="false" outlineLevel="0" collapsed="false">
      <c r="A707" s="21" t="s">
        <v>1922</v>
      </c>
      <c r="B707" s="21" t="s">
        <v>368</v>
      </c>
      <c r="C707" s="21" t="s">
        <v>1275</v>
      </c>
      <c r="D707" s="21" t="s">
        <v>1188</v>
      </c>
      <c r="E707" s="33" t="n">
        <v>45292</v>
      </c>
      <c r="F707" s="21" t="s">
        <v>1185</v>
      </c>
      <c r="G707" s="32" t="n">
        <v>12.4</v>
      </c>
      <c r="H707" s="21" t="s">
        <v>120</v>
      </c>
      <c r="I707" s="33" t="n">
        <v>45320</v>
      </c>
      <c r="J707" s="21" t="str">
        <f aca="false">INDEX(Students!$C$2:$C$601,MATCH(B707,Students!$A$2:$A$601,0))</f>
        <v>Batch 2024</v>
      </c>
      <c r="K707" s="21" t="str">
        <f aca="false">INDEX(Students!$D$2:$D$601,MATCH(B707,Students!$A$2:$A$601,0))</f>
        <v>Data Analytics</v>
      </c>
      <c r="L707" s="21" t="str">
        <f aca="false">INDEX(Companies!$C$2:$C$31,MATCH(C707,Companies!$A$2:$A$31,0))</f>
        <v>Cybersecurity</v>
      </c>
      <c r="M707" s="21" t="str">
        <f aca="false">INDEX(Companies!$D$2:$D$31,MATCH(C707,Companies!$A$2:$A$31,0))</f>
        <v>Tier 2</v>
      </c>
      <c r="N707" s="34" t="n">
        <f aca="false">MATCH(F707,Assumptions!$K$4:$K$8,0)</f>
        <v>5</v>
      </c>
      <c r="O707" s="21" t="n">
        <f aca="false">IF(H707="Yes",MONTH(I707),"")</f>
        <v>1</v>
      </c>
      <c r="P707" s="21" t="str">
        <f aca="false">IF(H707="Yes",B707,"")</f>
        <v>S0133</v>
      </c>
    </row>
    <row r="708" customFormat="false" ht="15" hidden="false" customHeight="false" outlineLevel="0" collapsed="false">
      <c r="A708" s="21" t="s">
        <v>1923</v>
      </c>
      <c r="B708" s="21" t="s">
        <v>181</v>
      </c>
      <c r="C708" s="21" t="s">
        <v>1266</v>
      </c>
      <c r="D708" s="21" t="s">
        <v>1188</v>
      </c>
      <c r="E708" s="33" t="n">
        <v>45292</v>
      </c>
      <c r="F708" s="21" t="s">
        <v>1175</v>
      </c>
      <c r="G708" s="32"/>
      <c r="H708" s="21"/>
      <c r="I708" s="33"/>
      <c r="J708" s="21" t="str">
        <f aca="false">INDEX(Students!$C$2:$C$601,MATCH(B708,Students!$A$2:$A$601,0))</f>
        <v>Batch 2024</v>
      </c>
      <c r="K708" s="21" t="str">
        <f aca="false">INDEX(Students!$D$2:$D$601,MATCH(B708,Students!$A$2:$A$601,0))</f>
        <v>Data Analytics</v>
      </c>
      <c r="L708" s="21" t="str">
        <f aca="false">INDEX(Companies!$C$2:$C$31,MATCH(C708,Companies!$A$2:$A$31,0))</f>
        <v>IT Services</v>
      </c>
      <c r="M708" s="21" t="str">
        <f aca="false">INDEX(Companies!$D$2:$D$31,MATCH(C708,Companies!$A$2:$A$31,0))</f>
        <v>Tier 3</v>
      </c>
      <c r="N708" s="34" t="n">
        <f aca="false">MATCH(F708,Assumptions!$K$4:$K$8,0)</f>
        <v>1</v>
      </c>
      <c r="O708" s="21" t="str">
        <f aca="false">IF(H708="Yes",MONTH(I708),"")</f>
        <v/>
      </c>
      <c r="P708" s="21" t="str">
        <f aca="false">IF(H708="Yes",B708,"")</f>
        <v/>
      </c>
    </row>
    <row r="709" customFormat="false" ht="15" hidden="false" customHeight="false" outlineLevel="0" collapsed="false">
      <c r="A709" s="21" t="s">
        <v>1924</v>
      </c>
      <c r="B709" s="21" t="s">
        <v>179</v>
      </c>
      <c r="C709" s="21" t="s">
        <v>1196</v>
      </c>
      <c r="D709" s="21" t="s">
        <v>1191</v>
      </c>
      <c r="E709" s="33" t="n">
        <v>45292</v>
      </c>
      <c r="F709" s="21" t="s">
        <v>1185</v>
      </c>
      <c r="G709" s="32" t="n">
        <v>6.5</v>
      </c>
      <c r="H709" s="21" t="s">
        <v>113</v>
      </c>
      <c r="I709" s="33" t="n">
        <v>45344</v>
      </c>
      <c r="J709" s="21" t="str">
        <f aca="false">INDEX(Students!$C$2:$C$601,MATCH(B709,Students!$A$2:$A$601,0))</f>
        <v>Batch 2024</v>
      </c>
      <c r="K709" s="21" t="str">
        <f aca="false">INDEX(Students!$D$2:$D$601,MATCH(B709,Students!$A$2:$A$601,0))</f>
        <v>DSA with Java</v>
      </c>
      <c r="L709" s="21" t="str">
        <f aca="false">INDEX(Companies!$C$2:$C$31,MATCH(C709,Companies!$A$2:$A$31,0))</f>
        <v>IT Services</v>
      </c>
      <c r="M709" s="21" t="str">
        <f aca="false">INDEX(Companies!$D$2:$D$31,MATCH(C709,Companies!$A$2:$A$31,0))</f>
        <v>Tier 3</v>
      </c>
      <c r="N709" s="34" t="n">
        <f aca="false">MATCH(F709,Assumptions!$K$4:$K$8,0)</f>
        <v>5</v>
      </c>
      <c r="O709" s="21" t="str">
        <f aca="false">IF(H709="Yes",MONTH(I709),"")</f>
        <v/>
      </c>
      <c r="P709" s="21" t="str">
        <f aca="false">IF(H709="Yes",B709,"")</f>
        <v/>
      </c>
    </row>
    <row r="710" customFormat="false" ht="15" hidden="false" customHeight="false" outlineLevel="0" collapsed="false">
      <c r="A710" s="21" t="s">
        <v>1925</v>
      </c>
      <c r="B710" s="21" t="s">
        <v>313</v>
      </c>
      <c r="C710" s="21" t="s">
        <v>1183</v>
      </c>
      <c r="D710" s="21" t="s">
        <v>1184</v>
      </c>
      <c r="E710" s="33" t="n">
        <v>45293</v>
      </c>
      <c r="F710" s="21" t="s">
        <v>1178</v>
      </c>
      <c r="G710" s="32"/>
      <c r="H710" s="21"/>
      <c r="I710" s="33"/>
      <c r="J710" s="21" t="str">
        <f aca="false">INDEX(Students!$C$2:$C$601,MATCH(B710,Students!$A$2:$A$601,0))</f>
        <v>Batch 2024</v>
      </c>
      <c r="K710" s="21" t="str">
        <f aca="false">INDEX(Students!$D$2:$D$601,MATCH(B710,Students!$A$2:$A$601,0))</f>
        <v>DSA with Java</v>
      </c>
      <c r="L710" s="21" t="str">
        <f aca="false">INDEX(Companies!$C$2:$C$31,MATCH(C710,Companies!$A$2:$A$31,0))</f>
        <v>E-commerce</v>
      </c>
      <c r="M710" s="21" t="str">
        <f aca="false">INDEX(Companies!$D$2:$D$31,MATCH(C710,Companies!$A$2:$A$31,0))</f>
        <v>Tier 2</v>
      </c>
      <c r="N710" s="34" t="n">
        <f aca="false">MATCH(F710,Assumptions!$K$4:$K$8,0)</f>
        <v>2</v>
      </c>
      <c r="O710" s="21" t="str">
        <f aca="false">IF(H710="Yes",MONTH(I710),"")</f>
        <v/>
      </c>
      <c r="P710" s="21" t="str">
        <f aca="false">IF(H710="Yes",B710,"")</f>
        <v/>
      </c>
    </row>
    <row r="711" customFormat="false" ht="15" hidden="false" customHeight="false" outlineLevel="0" collapsed="false">
      <c r="A711" s="21" t="s">
        <v>1926</v>
      </c>
      <c r="B711" s="21" t="s">
        <v>283</v>
      </c>
      <c r="C711" s="21" t="s">
        <v>1180</v>
      </c>
      <c r="D711" s="21" t="s">
        <v>1191</v>
      </c>
      <c r="E711" s="33" t="n">
        <v>45293</v>
      </c>
      <c r="F711" s="21" t="s">
        <v>1178</v>
      </c>
      <c r="G711" s="32"/>
      <c r="H711" s="21"/>
      <c r="I711" s="33"/>
      <c r="J711" s="21" t="str">
        <f aca="false">INDEX(Students!$C$2:$C$601,MATCH(B711,Students!$A$2:$A$601,0))</f>
        <v>Batch 2024</v>
      </c>
      <c r="K711" s="21" t="str">
        <f aca="false">INDEX(Students!$D$2:$D$601,MATCH(B711,Students!$A$2:$A$601,0))</f>
        <v>DSA with Java</v>
      </c>
      <c r="L711" s="21" t="str">
        <f aca="false">INDEX(Companies!$C$2:$C$31,MATCH(C711,Companies!$A$2:$A$31,0))</f>
        <v>IT Services</v>
      </c>
      <c r="M711" s="21" t="str">
        <f aca="false">INDEX(Companies!$D$2:$D$31,MATCH(C711,Companies!$A$2:$A$31,0))</f>
        <v>Tier 3</v>
      </c>
      <c r="N711" s="34" t="n">
        <f aca="false">MATCH(F711,Assumptions!$K$4:$K$8,0)</f>
        <v>2</v>
      </c>
      <c r="O711" s="21" t="str">
        <f aca="false">IF(H711="Yes",MONTH(I711),"")</f>
        <v/>
      </c>
      <c r="P711" s="21" t="str">
        <f aca="false">IF(H711="Yes",B711,"")</f>
        <v/>
      </c>
    </row>
    <row r="712" customFormat="false" ht="15" hidden="false" customHeight="false" outlineLevel="0" collapsed="false">
      <c r="A712" s="21" t="s">
        <v>1927</v>
      </c>
      <c r="B712" s="21" t="s">
        <v>297</v>
      </c>
      <c r="C712" s="21" t="s">
        <v>1205</v>
      </c>
      <c r="D712" s="21" t="s">
        <v>1191</v>
      </c>
      <c r="E712" s="33" t="n">
        <v>45294</v>
      </c>
      <c r="F712" s="21" t="s">
        <v>1218</v>
      </c>
      <c r="G712" s="32"/>
      <c r="H712" s="21"/>
      <c r="I712" s="33"/>
      <c r="J712" s="21" t="str">
        <f aca="false">INDEX(Students!$C$2:$C$601,MATCH(B712,Students!$A$2:$A$601,0))</f>
        <v>Batch 2024</v>
      </c>
      <c r="K712" s="21" t="str">
        <f aca="false">INDEX(Students!$D$2:$D$601,MATCH(B712,Students!$A$2:$A$601,0))</f>
        <v>DSA with Java</v>
      </c>
      <c r="L712" s="21" t="str">
        <f aca="false">INDEX(Companies!$C$2:$C$31,MATCH(C712,Companies!$A$2:$A$31,0))</f>
        <v>Healthtech</v>
      </c>
      <c r="M712" s="21" t="str">
        <f aca="false">INDEX(Companies!$D$2:$D$31,MATCH(C712,Companies!$A$2:$A$31,0))</f>
        <v>Tier 3</v>
      </c>
      <c r="N712" s="34" t="n">
        <f aca="false">MATCH(F712,Assumptions!$K$4:$K$8,0)</f>
        <v>4</v>
      </c>
      <c r="O712" s="21" t="str">
        <f aca="false">IF(H712="Yes",MONTH(I712),"")</f>
        <v/>
      </c>
      <c r="P712" s="21" t="str">
        <f aca="false">IF(H712="Yes",B712,"")</f>
        <v/>
      </c>
    </row>
    <row r="713" customFormat="false" ht="15" hidden="false" customHeight="false" outlineLevel="0" collapsed="false">
      <c r="A713" s="21" t="s">
        <v>1928</v>
      </c>
      <c r="B713" s="21" t="s">
        <v>427</v>
      </c>
      <c r="C713" s="21" t="s">
        <v>1211</v>
      </c>
      <c r="D713" s="21" t="s">
        <v>1181</v>
      </c>
      <c r="E713" s="33" t="n">
        <v>45294</v>
      </c>
      <c r="F713" s="21" t="s">
        <v>1197</v>
      </c>
      <c r="G713" s="32"/>
      <c r="H713" s="21"/>
      <c r="I713" s="33"/>
      <c r="J713" s="21" t="str">
        <f aca="false">INDEX(Students!$C$2:$C$601,MATCH(B713,Students!$A$2:$A$601,0))</f>
        <v>Batch 2024</v>
      </c>
      <c r="K713" s="21" t="str">
        <f aca="false">INDEX(Students!$D$2:$D$601,MATCH(B713,Students!$A$2:$A$601,0))</f>
        <v>Full Stack Development</v>
      </c>
      <c r="L713" s="21" t="str">
        <f aca="false">INDEX(Companies!$C$2:$C$31,MATCH(C713,Companies!$A$2:$A$31,0))</f>
        <v>Analytics &amp; Consulting</v>
      </c>
      <c r="M713" s="21" t="str">
        <f aca="false">INDEX(Companies!$D$2:$D$31,MATCH(C713,Companies!$A$2:$A$31,0))</f>
        <v>Tier 3</v>
      </c>
      <c r="N713" s="34" t="n">
        <f aca="false">MATCH(F713,Assumptions!$K$4:$K$8,0)</f>
        <v>3</v>
      </c>
      <c r="O713" s="21" t="str">
        <f aca="false">IF(H713="Yes",MONTH(I713),"")</f>
        <v/>
      </c>
      <c r="P713" s="21" t="str">
        <f aca="false">IF(H713="Yes",B713,"")</f>
        <v/>
      </c>
    </row>
    <row r="714" customFormat="false" ht="15" hidden="false" customHeight="false" outlineLevel="0" collapsed="false">
      <c r="A714" s="21" t="s">
        <v>1929</v>
      </c>
      <c r="B714" s="21" t="s">
        <v>121</v>
      </c>
      <c r="C714" s="21" t="s">
        <v>1211</v>
      </c>
      <c r="D714" s="21" t="s">
        <v>1191</v>
      </c>
      <c r="E714" s="33" t="n">
        <v>45294</v>
      </c>
      <c r="F714" s="21" t="s">
        <v>1218</v>
      </c>
      <c r="G714" s="32"/>
      <c r="H714" s="21"/>
      <c r="I714" s="33"/>
      <c r="J714" s="21" t="str">
        <f aca="false">INDEX(Students!$C$2:$C$601,MATCH(B714,Students!$A$2:$A$601,0))</f>
        <v>Batch 2024</v>
      </c>
      <c r="K714" s="21" t="str">
        <f aca="false">INDEX(Students!$D$2:$D$601,MATCH(B714,Students!$A$2:$A$601,0))</f>
        <v>DSA with Java</v>
      </c>
      <c r="L714" s="21" t="str">
        <f aca="false">INDEX(Companies!$C$2:$C$31,MATCH(C714,Companies!$A$2:$A$31,0))</f>
        <v>Analytics &amp; Consulting</v>
      </c>
      <c r="M714" s="21" t="str">
        <f aca="false">INDEX(Companies!$D$2:$D$31,MATCH(C714,Companies!$A$2:$A$31,0))</f>
        <v>Tier 3</v>
      </c>
      <c r="N714" s="34" t="n">
        <f aca="false">MATCH(F714,Assumptions!$K$4:$K$8,0)</f>
        <v>4</v>
      </c>
      <c r="O714" s="21" t="str">
        <f aca="false">IF(H714="Yes",MONTH(I714),"")</f>
        <v/>
      </c>
      <c r="P714" s="21" t="str">
        <f aca="false">IF(H714="Yes",B714,"")</f>
        <v/>
      </c>
    </row>
    <row r="715" customFormat="false" ht="15" hidden="false" customHeight="false" outlineLevel="0" collapsed="false">
      <c r="A715" s="21" t="s">
        <v>1930</v>
      </c>
      <c r="B715" s="21" t="s">
        <v>399</v>
      </c>
      <c r="C715" s="21" t="s">
        <v>1183</v>
      </c>
      <c r="D715" s="21" t="s">
        <v>1243</v>
      </c>
      <c r="E715" s="33" t="n">
        <v>45294</v>
      </c>
      <c r="F715" s="21" t="s">
        <v>1178</v>
      </c>
      <c r="G715" s="32"/>
      <c r="H715" s="21"/>
      <c r="I715" s="33"/>
      <c r="J715" s="21" t="str">
        <f aca="false">INDEX(Students!$C$2:$C$601,MATCH(B715,Students!$A$2:$A$601,0))</f>
        <v>Batch 2024</v>
      </c>
      <c r="K715" s="21" t="str">
        <f aca="false">INDEX(Students!$D$2:$D$601,MATCH(B715,Students!$A$2:$A$601,0))</f>
        <v>Data Science &amp; ML</v>
      </c>
      <c r="L715" s="21" t="str">
        <f aca="false">INDEX(Companies!$C$2:$C$31,MATCH(C715,Companies!$A$2:$A$31,0))</f>
        <v>E-commerce</v>
      </c>
      <c r="M715" s="21" t="str">
        <f aca="false">INDEX(Companies!$D$2:$D$31,MATCH(C715,Companies!$A$2:$A$31,0))</f>
        <v>Tier 2</v>
      </c>
      <c r="N715" s="34" t="n">
        <f aca="false">MATCH(F715,Assumptions!$K$4:$K$8,0)</f>
        <v>2</v>
      </c>
      <c r="O715" s="21" t="str">
        <f aca="false">IF(H715="Yes",MONTH(I715),"")</f>
        <v/>
      </c>
      <c r="P715" s="21" t="str">
        <f aca="false">IF(H715="Yes",B715,"")</f>
        <v/>
      </c>
    </row>
    <row r="716" customFormat="false" ht="15" hidden="false" customHeight="false" outlineLevel="0" collapsed="false">
      <c r="A716" s="21" t="s">
        <v>1931</v>
      </c>
      <c r="B716" s="21" t="s">
        <v>274</v>
      </c>
      <c r="C716" s="21" t="s">
        <v>1180</v>
      </c>
      <c r="D716" s="21" t="s">
        <v>1184</v>
      </c>
      <c r="E716" s="33" t="n">
        <v>45295</v>
      </c>
      <c r="F716" s="21" t="s">
        <v>1185</v>
      </c>
      <c r="G716" s="32" t="n">
        <v>6.4</v>
      </c>
      <c r="H716" s="21" t="s">
        <v>113</v>
      </c>
      <c r="I716" s="33" t="n">
        <v>45322</v>
      </c>
      <c r="J716" s="21" t="str">
        <f aca="false">INDEX(Students!$C$2:$C$601,MATCH(B716,Students!$A$2:$A$601,0))</f>
        <v>Batch 2024</v>
      </c>
      <c r="K716" s="21" t="str">
        <f aca="false">INDEX(Students!$D$2:$D$601,MATCH(B716,Students!$A$2:$A$601,0))</f>
        <v>DSA with Java</v>
      </c>
      <c r="L716" s="21" t="str">
        <f aca="false">INDEX(Companies!$C$2:$C$31,MATCH(C716,Companies!$A$2:$A$31,0))</f>
        <v>IT Services</v>
      </c>
      <c r="M716" s="21" t="str">
        <f aca="false">INDEX(Companies!$D$2:$D$31,MATCH(C716,Companies!$A$2:$A$31,0))</f>
        <v>Tier 3</v>
      </c>
      <c r="N716" s="34" t="n">
        <f aca="false">MATCH(F716,Assumptions!$K$4:$K$8,0)</f>
        <v>5</v>
      </c>
      <c r="O716" s="21" t="str">
        <f aca="false">IF(H716="Yes",MONTH(I716),"")</f>
        <v/>
      </c>
      <c r="P716" s="21" t="str">
        <f aca="false">IF(H716="Yes",B716,"")</f>
        <v/>
      </c>
    </row>
    <row r="717" customFormat="false" ht="15" hidden="false" customHeight="false" outlineLevel="0" collapsed="false">
      <c r="A717" s="21" t="s">
        <v>1932</v>
      </c>
      <c r="B717" s="21" t="s">
        <v>225</v>
      </c>
      <c r="C717" s="21" t="s">
        <v>1298</v>
      </c>
      <c r="D717" s="21" t="s">
        <v>1181</v>
      </c>
      <c r="E717" s="33" t="n">
        <v>45295</v>
      </c>
      <c r="F717" s="21" t="s">
        <v>1178</v>
      </c>
      <c r="G717" s="32"/>
      <c r="H717" s="21"/>
      <c r="I717" s="33"/>
      <c r="J717" s="21" t="str">
        <f aca="false">INDEX(Students!$C$2:$C$601,MATCH(B717,Students!$A$2:$A$601,0))</f>
        <v>Batch 2024</v>
      </c>
      <c r="K717" s="21" t="str">
        <f aca="false">INDEX(Students!$D$2:$D$601,MATCH(B717,Students!$A$2:$A$601,0))</f>
        <v>Full Stack Development</v>
      </c>
      <c r="L717" s="21" t="str">
        <f aca="false">INDEX(Companies!$C$2:$C$31,MATCH(C717,Companies!$A$2:$A$31,0))</f>
        <v>Fintech</v>
      </c>
      <c r="M717" s="21" t="str">
        <f aca="false">INDEX(Companies!$D$2:$D$31,MATCH(C717,Companies!$A$2:$A$31,0))</f>
        <v>Tier 2</v>
      </c>
      <c r="N717" s="34" t="n">
        <f aca="false">MATCH(F717,Assumptions!$K$4:$K$8,0)</f>
        <v>2</v>
      </c>
      <c r="O717" s="21" t="str">
        <f aca="false">IF(H717="Yes",MONTH(I717),"")</f>
        <v/>
      </c>
      <c r="P717" s="21" t="str">
        <f aca="false">IF(H717="Yes",B717,"")</f>
        <v/>
      </c>
    </row>
    <row r="718" customFormat="false" ht="15" hidden="false" customHeight="false" outlineLevel="0" collapsed="false">
      <c r="A718" s="21" t="s">
        <v>1933</v>
      </c>
      <c r="B718" s="21" t="s">
        <v>393</v>
      </c>
      <c r="C718" s="21" t="s">
        <v>1266</v>
      </c>
      <c r="D718" s="21" t="s">
        <v>1209</v>
      </c>
      <c r="E718" s="33" t="n">
        <v>45295</v>
      </c>
      <c r="F718" s="21" t="s">
        <v>1218</v>
      </c>
      <c r="G718" s="32"/>
      <c r="H718" s="21"/>
      <c r="I718" s="33"/>
      <c r="J718" s="21" t="str">
        <f aca="false">INDEX(Students!$C$2:$C$601,MATCH(B718,Students!$A$2:$A$601,0))</f>
        <v>Batch 2024</v>
      </c>
      <c r="K718" s="21" t="str">
        <f aca="false">INDEX(Students!$D$2:$D$601,MATCH(B718,Students!$A$2:$A$601,0))</f>
        <v>Data Analytics</v>
      </c>
      <c r="L718" s="21" t="str">
        <f aca="false">INDEX(Companies!$C$2:$C$31,MATCH(C718,Companies!$A$2:$A$31,0))</f>
        <v>IT Services</v>
      </c>
      <c r="M718" s="21" t="str">
        <f aca="false">INDEX(Companies!$D$2:$D$31,MATCH(C718,Companies!$A$2:$A$31,0))</f>
        <v>Tier 3</v>
      </c>
      <c r="N718" s="34" t="n">
        <f aca="false">MATCH(F718,Assumptions!$K$4:$K$8,0)</f>
        <v>4</v>
      </c>
      <c r="O718" s="21" t="str">
        <f aca="false">IF(H718="Yes",MONTH(I718),"")</f>
        <v/>
      </c>
      <c r="P718" s="21" t="str">
        <f aca="false">IF(H718="Yes",B718,"")</f>
        <v/>
      </c>
    </row>
    <row r="719" customFormat="false" ht="15" hidden="false" customHeight="false" outlineLevel="0" collapsed="false">
      <c r="A719" s="21" t="s">
        <v>1934</v>
      </c>
      <c r="B719" s="21" t="s">
        <v>125</v>
      </c>
      <c r="C719" s="21" t="s">
        <v>1239</v>
      </c>
      <c r="D719" s="21" t="s">
        <v>1243</v>
      </c>
      <c r="E719" s="33" t="n">
        <v>45295</v>
      </c>
      <c r="F719" s="21" t="s">
        <v>1185</v>
      </c>
      <c r="G719" s="32" t="n">
        <v>6.9</v>
      </c>
      <c r="H719" s="21" t="s">
        <v>120</v>
      </c>
      <c r="I719" s="33" t="n">
        <v>45332</v>
      </c>
      <c r="J719" s="21" t="str">
        <f aca="false">INDEX(Students!$C$2:$C$601,MATCH(B719,Students!$A$2:$A$601,0))</f>
        <v>Batch 2024</v>
      </c>
      <c r="K719" s="21" t="str">
        <f aca="false">INDEX(Students!$D$2:$D$601,MATCH(B719,Students!$A$2:$A$601,0))</f>
        <v>Data Science &amp; ML</v>
      </c>
      <c r="L719" s="21" t="str">
        <f aca="false">INDEX(Companies!$C$2:$C$31,MATCH(C719,Companies!$A$2:$A$31,0))</f>
        <v>E-commerce</v>
      </c>
      <c r="M719" s="21" t="str">
        <f aca="false">INDEX(Companies!$D$2:$D$31,MATCH(C719,Companies!$A$2:$A$31,0))</f>
        <v>Tier 3</v>
      </c>
      <c r="N719" s="34" t="n">
        <f aca="false">MATCH(F719,Assumptions!$K$4:$K$8,0)</f>
        <v>5</v>
      </c>
      <c r="O719" s="21" t="n">
        <f aca="false">IF(H719="Yes",MONTH(I719),"")</f>
        <v>2</v>
      </c>
      <c r="P719" s="21" t="str">
        <f aca="false">IF(H719="Yes",B719,"")</f>
        <v>S0007</v>
      </c>
    </row>
    <row r="720" customFormat="false" ht="15" hidden="false" customHeight="false" outlineLevel="0" collapsed="false">
      <c r="A720" s="21" t="s">
        <v>1935</v>
      </c>
      <c r="B720" s="21" t="s">
        <v>205</v>
      </c>
      <c r="C720" s="21" t="s">
        <v>1275</v>
      </c>
      <c r="D720" s="21" t="s">
        <v>1209</v>
      </c>
      <c r="E720" s="33" t="n">
        <v>45295</v>
      </c>
      <c r="F720" s="21" t="s">
        <v>1178</v>
      </c>
      <c r="G720" s="32"/>
      <c r="H720" s="21"/>
      <c r="I720" s="33"/>
      <c r="J720" s="21" t="str">
        <f aca="false">INDEX(Students!$C$2:$C$601,MATCH(B720,Students!$A$2:$A$601,0))</f>
        <v>Batch 2024</v>
      </c>
      <c r="K720" s="21" t="str">
        <f aca="false">INDEX(Students!$D$2:$D$601,MATCH(B720,Students!$A$2:$A$601,0))</f>
        <v>Data Analytics</v>
      </c>
      <c r="L720" s="21" t="str">
        <f aca="false">INDEX(Companies!$C$2:$C$31,MATCH(C720,Companies!$A$2:$A$31,0))</f>
        <v>Cybersecurity</v>
      </c>
      <c r="M720" s="21" t="str">
        <f aca="false">INDEX(Companies!$D$2:$D$31,MATCH(C720,Companies!$A$2:$A$31,0))</f>
        <v>Tier 2</v>
      </c>
      <c r="N720" s="34" t="n">
        <f aca="false">MATCH(F720,Assumptions!$K$4:$K$8,0)</f>
        <v>2</v>
      </c>
      <c r="O720" s="21" t="str">
        <f aca="false">IF(H720="Yes",MONTH(I720),"")</f>
        <v/>
      </c>
      <c r="P720" s="21" t="str">
        <f aca="false">IF(H720="Yes",B720,"")</f>
        <v/>
      </c>
    </row>
    <row r="721" customFormat="false" ht="15" hidden="false" customHeight="false" outlineLevel="0" collapsed="false">
      <c r="A721" s="21" t="s">
        <v>1936</v>
      </c>
      <c r="B721" s="21" t="s">
        <v>350</v>
      </c>
      <c r="C721" s="21" t="s">
        <v>1230</v>
      </c>
      <c r="D721" s="21" t="s">
        <v>1209</v>
      </c>
      <c r="E721" s="33" t="n">
        <v>45296</v>
      </c>
      <c r="F721" s="21" t="s">
        <v>1175</v>
      </c>
      <c r="G721" s="32"/>
      <c r="H721" s="21"/>
      <c r="I721" s="33"/>
      <c r="J721" s="21" t="str">
        <f aca="false">INDEX(Students!$C$2:$C$601,MATCH(B721,Students!$A$2:$A$601,0))</f>
        <v>Batch 2024</v>
      </c>
      <c r="K721" s="21" t="str">
        <f aca="false">INDEX(Students!$D$2:$D$601,MATCH(B721,Students!$A$2:$A$601,0))</f>
        <v>Data Analytics</v>
      </c>
      <c r="L721" s="21" t="str">
        <f aca="false">INDEX(Companies!$C$2:$C$31,MATCH(C721,Companies!$A$2:$A$31,0))</f>
        <v>IT Services</v>
      </c>
      <c r="M721" s="21" t="str">
        <f aca="false">INDEX(Companies!$D$2:$D$31,MATCH(C721,Companies!$A$2:$A$31,0))</f>
        <v>Tier 3</v>
      </c>
      <c r="N721" s="34" t="n">
        <f aca="false">MATCH(F721,Assumptions!$K$4:$K$8,0)</f>
        <v>1</v>
      </c>
      <c r="O721" s="21" t="str">
        <f aca="false">IF(H721="Yes",MONTH(I721),"")</f>
        <v/>
      </c>
      <c r="P721" s="21" t="str">
        <f aca="false">IF(H721="Yes",B721,"")</f>
        <v/>
      </c>
    </row>
    <row r="722" customFormat="false" ht="15" hidden="false" customHeight="false" outlineLevel="0" collapsed="false">
      <c r="A722" s="21" t="s">
        <v>1937</v>
      </c>
      <c r="B722" s="21" t="s">
        <v>344</v>
      </c>
      <c r="C722" s="21" t="s">
        <v>1322</v>
      </c>
      <c r="D722" s="21" t="s">
        <v>1181</v>
      </c>
      <c r="E722" s="33" t="n">
        <v>45296</v>
      </c>
      <c r="F722" s="21" t="s">
        <v>1175</v>
      </c>
      <c r="G722" s="32"/>
      <c r="H722" s="21"/>
      <c r="I722" s="33"/>
      <c r="J722" s="21" t="str">
        <f aca="false">INDEX(Students!$C$2:$C$601,MATCH(B722,Students!$A$2:$A$601,0))</f>
        <v>Batch 2024</v>
      </c>
      <c r="K722" s="21" t="str">
        <f aca="false">INDEX(Students!$D$2:$D$601,MATCH(B722,Students!$A$2:$A$601,0))</f>
        <v>Full Stack Development</v>
      </c>
      <c r="L722" s="21" t="str">
        <f aca="false">INDEX(Companies!$C$2:$C$31,MATCH(C722,Companies!$A$2:$A$31,0))</f>
        <v>Healthtech</v>
      </c>
      <c r="M722" s="21" t="str">
        <f aca="false">INDEX(Companies!$D$2:$D$31,MATCH(C722,Companies!$A$2:$A$31,0))</f>
        <v>Tier 2</v>
      </c>
      <c r="N722" s="34" t="n">
        <f aca="false">MATCH(F722,Assumptions!$K$4:$K$8,0)</f>
        <v>1</v>
      </c>
      <c r="O722" s="21" t="str">
        <f aca="false">IF(H722="Yes",MONTH(I722),"")</f>
        <v/>
      </c>
      <c r="P722" s="21" t="str">
        <f aca="false">IF(H722="Yes",B722,"")</f>
        <v/>
      </c>
    </row>
    <row r="723" customFormat="false" ht="15" hidden="false" customHeight="false" outlineLevel="0" collapsed="false">
      <c r="A723" s="21" t="s">
        <v>1938</v>
      </c>
      <c r="B723" s="21" t="s">
        <v>319</v>
      </c>
      <c r="C723" s="21" t="s">
        <v>1201</v>
      </c>
      <c r="D723" s="21" t="s">
        <v>1184</v>
      </c>
      <c r="E723" s="33" t="n">
        <v>45296</v>
      </c>
      <c r="F723" s="21" t="s">
        <v>1178</v>
      </c>
      <c r="G723" s="32"/>
      <c r="H723" s="21"/>
      <c r="I723" s="33"/>
      <c r="J723" s="21" t="str">
        <f aca="false">INDEX(Students!$C$2:$C$601,MATCH(B723,Students!$A$2:$A$601,0))</f>
        <v>Batch 2024</v>
      </c>
      <c r="K723" s="21" t="str">
        <f aca="false">INDEX(Students!$D$2:$D$601,MATCH(B723,Students!$A$2:$A$601,0))</f>
        <v>DSA with Java</v>
      </c>
      <c r="L723" s="21" t="str">
        <f aca="false">INDEX(Companies!$C$2:$C$31,MATCH(C723,Companies!$A$2:$A$31,0))</f>
        <v>IT Services</v>
      </c>
      <c r="M723" s="21" t="str">
        <f aca="false">INDEX(Companies!$D$2:$D$31,MATCH(C723,Companies!$A$2:$A$31,0))</f>
        <v>Tier 3</v>
      </c>
      <c r="N723" s="34" t="n">
        <f aca="false">MATCH(F723,Assumptions!$K$4:$K$8,0)</f>
        <v>2</v>
      </c>
      <c r="O723" s="21" t="str">
        <f aca="false">IF(H723="Yes",MONTH(I723),"")</f>
        <v/>
      </c>
      <c r="P723" s="21" t="str">
        <f aca="false">IF(H723="Yes",B723,"")</f>
        <v/>
      </c>
    </row>
    <row r="724" customFormat="false" ht="15" hidden="false" customHeight="false" outlineLevel="0" collapsed="false">
      <c r="A724" s="21" t="s">
        <v>1939</v>
      </c>
      <c r="B724" s="21" t="s">
        <v>147</v>
      </c>
      <c r="C724" s="21" t="s">
        <v>1183</v>
      </c>
      <c r="D724" s="21" t="s">
        <v>1191</v>
      </c>
      <c r="E724" s="33" t="n">
        <v>45297</v>
      </c>
      <c r="F724" s="21" t="s">
        <v>1185</v>
      </c>
      <c r="G724" s="32" t="n">
        <v>14.7</v>
      </c>
      <c r="H724" s="21" t="s">
        <v>120</v>
      </c>
      <c r="I724" s="33" t="n">
        <v>45338</v>
      </c>
      <c r="J724" s="21" t="str">
        <f aca="false">INDEX(Students!$C$2:$C$601,MATCH(B724,Students!$A$2:$A$601,0))</f>
        <v>Batch 2024</v>
      </c>
      <c r="K724" s="21" t="str">
        <f aca="false">INDEX(Students!$D$2:$D$601,MATCH(B724,Students!$A$2:$A$601,0))</f>
        <v>DSA with Java</v>
      </c>
      <c r="L724" s="21" t="str">
        <f aca="false">INDEX(Companies!$C$2:$C$31,MATCH(C724,Companies!$A$2:$A$31,0))</f>
        <v>E-commerce</v>
      </c>
      <c r="M724" s="21" t="str">
        <f aca="false">INDEX(Companies!$D$2:$D$31,MATCH(C724,Companies!$A$2:$A$31,0))</f>
        <v>Tier 2</v>
      </c>
      <c r="N724" s="34" t="n">
        <f aca="false">MATCH(F724,Assumptions!$K$4:$K$8,0)</f>
        <v>5</v>
      </c>
      <c r="O724" s="21" t="n">
        <f aca="false">IF(H724="Yes",MONTH(I724),"")</f>
        <v>2</v>
      </c>
      <c r="P724" s="21" t="str">
        <f aca="false">IF(H724="Yes",B724,"")</f>
        <v>S0018</v>
      </c>
    </row>
    <row r="725" customFormat="false" ht="15" hidden="false" customHeight="false" outlineLevel="0" collapsed="false">
      <c r="A725" s="21" t="s">
        <v>1940</v>
      </c>
      <c r="B725" s="21" t="s">
        <v>341</v>
      </c>
      <c r="C725" s="21" t="s">
        <v>1266</v>
      </c>
      <c r="D725" s="21" t="s">
        <v>1209</v>
      </c>
      <c r="E725" s="33" t="n">
        <v>45297</v>
      </c>
      <c r="F725" s="21" t="s">
        <v>1175</v>
      </c>
      <c r="G725" s="32"/>
      <c r="H725" s="21"/>
      <c r="I725" s="33"/>
      <c r="J725" s="21" t="str">
        <f aca="false">INDEX(Students!$C$2:$C$601,MATCH(B725,Students!$A$2:$A$601,0))</f>
        <v>Batch 2024</v>
      </c>
      <c r="K725" s="21" t="str">
        <f aca="false">INDEX(Students!$D$2:$D$601,MATCH(B725,Students!$A$2:$A$601,0))</f>
        <v>Data Analytics</v>
      </c>
      <c r="L725" s="21" t="str">
        <f aca="false">INDEX(Companies!$C$2:$C$31,MATCH(C725,Companies!$A$2:$A$31,0))</f>
        <v>IT Services</v>
      </c>
      <c r="M725" s="21" t="str">
        <f aca="false">INDEX(Companies!$D$2:$D$31,MATCH(C725,Companies!$A$2:$A$31,0))</f>
        <v>Tier 3</v>
      </c>
      <c r="N725" s="34" t="n">
        <f aca="false">MATCH(F725,Assumptions!$K$4:$K$8,0)</f>
        <v>1</v>
      </c>
      <c r="O725" s="21" t="str">
        <f aca="false">IF(H725="Yes",MONTH(I725),"")</f>
        <v/>
      </c>
      <c r="P725" s="21" t="str">
        <f aca="false">IF(H725="Yes",B725,"")</f>
        <v/>
      </c>
    </row>
    <row r="726" customFormat="false" ht="15" hidden="false" customHeight="false" outlineLevel="0" collapsed="false">
      <c r="A726" s="21" t="s">
        <v>1941</v>
      </c>
      <c r="B726" s="21" t="s">
        <v>149</v>
      </c>
      <c r="C726" s="21" t="s">
        <v>1239</v>
      </c>
      <c r="D726" s="21" t="s">
        <v>1174</v>
      </c>
      <c r="E726" s="33" t="n">
        <v>45297</v>
      </c>
      <c r="F726" s="21" t="s">
        <v>1178</v>
      </c>
      <c r="G726" s="32"/>
      <c r="H726" s="21"/>
      <c r="I726" s="33"/>
      <c r="J726" s="21" t="str">
        <f aca="false">INDEX(Students!$C$2:$C$601,MATCH(B726,Students!$A$2:$A$601,0))</f>
        <v>Batch 2024</v>
      </c>
      <c r="K726" s="21" t="str">
        <f aca="false">INDEX(Students!$D$2:$D$601,MATCH(B726,Students!$A$2:$A$601,0))</f>
        <v>Full Stack Development</v>
      </c>
      <c r="L726" s="21" t="str">
        <f aca="false">INDEX(Companies!$C$2:$C$31,MATCH(C726,Companies!$A$2:$A$31,0))</f>
        <v>E-commerce</v>
      </c>
      <c r="M726" s="21" t="str">
        <f aca="false">INDEX(Companies!$D$2:$D$31,MATCH(C726,Companies!$A$2:$A$31,0))</f>
        <v>Tier 3</v>
      </c>
      <c r="N726" s="34" t="n">
        <f aca="false">MATCH(F726,Assumptions!$K$4:$K$8,0)</f>
        <v>2</v>
      </c>
      <c r="O726" s="21" t="str">
        <f aca="false">IF(H726="Yes",MONTH(I726),"")</f>
        <v/>
      </c>
      <c r="P726" s="21" t="str">
        <f aca="false">IF(H726="Yes",B726,"")</f>
        <v/>
      </c>
    </row>
    <row r="727" customFormat="false" ht="15" hidden="false" customHeight="false" outlineLevel="0" collapsed="false">
      <c r="A727" s="21" t="s">
        <v>1942</v>
      </c>
      <c r="B727" s="21" t="s">
        <v>321</v>
      </c>
      <c r="C727" s="21" t="s">
        <v>1177</v>
      </c>
      <c r="D727" s="21" t="s">
        <v>1184</v>
      </c>
      <c r="E727" s="33" t="n">
        <v>45297</v>
      </c>
      <c r="F727" s="21" t="s">
        <v>1185</v>
      </c>
      <c r="G727" s="32" t="n">
        <v>5.6</v>
      </c>
      <c r="H727" s="21" t="s">
        <v>120</v>
      </c>
      <c r="I727" s="33" t="n">
        <v>45344</v>
      </c>
      <c r="J727" s="21" t="str">
        <f aca="false">INDEX(Students!$C$2:$C$601,MATCH(B727,Students!$A$2:$A$601,0))</f>
        <v>Batch 2024</v>
      </c>
      <c r="K727" s="21" t="str">
        <f aca="false">INDEX(Students!$D$2:$D$601,MATCH(B727,Students!$A$2:$A$601,0))</f>
        <v>DSA with Java</v>
      </c>
      <c r="L727" s="21" t="str">
        <f aca="false">INDEX(Companies!$C$2:$C$31,MATCH(C727,Companies!$A$2:$A$31,0))</f>
        <v>IT Services</v>
      </c>
      <c r="M727" s="21" t="str">
        <f aca="false">INDEX(Companies!$D$2:$D$31,MATCH(C727,Companies!$A$2:$A$31,0))</f>
        <v>Tier 3</v>
      </c>
      <c r="N727" s="34" t="n">
        <f aca="false">MATCH(F727,Assumptions!$K$4:$K$8,0)</f>
        <v>5</v>
      </c>
      <c r="O727" s="21" t="n">
        <f aca="false">IF(H727="Yes",MONTH(I727),"")</f>
        <v>2</v>
      </c>
      <c r="P727" s="21" t="str">
        <f aca="false">IF(H727="Yes",B727,"")</f>
        <v>S0107</v>
      </c>
    </row>
    <row r="728" customFormat="false" ht="15" hidden="false" customHeight="false" outlineLevel="0" collapsed="false">
      <c r="A728" s="21" t="s">
        <v>1943</v>
      </c>
      <c r="B728" s="21" t="s">
        <v>334</v>
      </c>
      <c r="C728" s="21" t="s">
        <v>1263</v>
      </c>
      <c r="D728" s="21" t="s">
        <v>1194</v>
      </c>
      <c r="E728" s="33" t="n">
        <v>45297</v>
      </c>
      <c r="F728" s="21" t="s">
        <v>1185</v>
      </c>
      <c r="G728" s="32" t="n">
        <v>14.6</v>
      </c>
      <c r="H728" s="21" t="s">
        <v>120</v>
      </c>
      <c r="I728" s="33" t="n">
        <v>45318</v>
      </c>
      <c r="J728" s="21" t="str">
        <f aca="false">INDEX(Students!$C$2:$C$601,MATCH(B728,Students!$A$2:$A$601,0))</f>
        <v>Batch 2024</v>
      </c>
      <c r="K728" s="21" t="str">
        <f aca="false">INDEX(Students!$D$2:$D$601,MATCH(B728,Students!$A$2:$A$601,0))</f>
        <v>Data Science &amp; ML</v>
      </c>
      <c r="L728" s="21" t="str">
        <f aca="false">INDEX(Companies!$C$2:$C$31,MATCH(C728,Companies!$A$2:$A$31,0))</f>
        <v>Analytics &amp; Consulting</v>
      </c>
      <c r="M728" s="21" t="str">
        <f aca="false">INDEX(Companies!$D$2:$D$31,MATCH(C728,Companies!$A$2:$A$31,0))</f>
        <v>Tier 2</v>
      </c>
      <c r="N728" s="34" t="n">
        <f aca="false">MATCH(F728,Assumptions!$K$4:$K$8,0)</f>
        <v>5</v>
      </c>
      <c r="O728" s="21" t="n">
        <f aca="false">IF(H728="Yes",MONTH(I728),"")</f>
        <v>1</v>
      </c>
      <c r="P728" s="21" t="str">
        <f aca="false">IF(H728="Yes",B728,"")</f>
        <v>S0114</v>
      </c>
    </row>
    <row r="729" customFormat="false" ht="15" hidden="false" customHeight="false" outlineLevel="0" collapsed="false">
      <c r="A729" s="21" t="s">
        <v>1944</v>
      </c>
      <c r="B729" s="21" t="s">
        <v>339</v>
      </c>
      <c r="C729" s="21" t="s">
        <v>1203</v>
      </c>
      <c r="D729" s="21" t="s">
        <v>1240</v>
      </c>
      <c r="E729" s="33" t="n">
        <v>45298</v>
      </c>
      <c r="F729" s="21" t="s">
        <v>1178</v>
      </c>
      <c r="G729" s="32"/>
      <c r="H729" s="21"/>
      <c r="I729" s="33"/>
      <c r="J729" s="21" t="str">
        <f aca="false">INDEX(Students!$C$2:$C$601,MATCH(B729,Students!$A$2:$A$601,0))</f>
        <v>Batch 2024</v>
      </c>
      <c r="K729" s="21" t="str">
        <f aca="false">INDEX(Students!$D$2:$D$601,MATCH(B729,Students!$A$2:$A$601,0))</f>
        <v>Cybersecurity</v>
      </c>
      <c r="L729" s="21" t="str">
        <f aca="false">INDEX(Companies!$C$2:$C$31,MATCH(C729,Companies!$A$2:$A$31,0))</f>
        <v>Healthtech</v>
      </c>
      <c r="M729" s="21" t="str">
        <f aca="false">INDEX(Companies!$D$2:$D$31,MATCH(C729,Companies!$A$2:$A$31,0))</f>
        <v>Tier 2</v>
      </c>
      <c r="N729" s="34" t="n">
        <f aca="false">MATCH(F729,Assumptions!$K$4:$K$8,0)</f>
        <v>2</v>
      </c>
      <c r="O729" s="21" t="str">
        <f aca="false">IF(H729="Yes",MONTH(I729),"")</f>
        <v/>
      </c>
      <c r="P729" s="21" t="str">
        <f aca="false">IF(H729="Yes",B729,"")</f>
        <v/>
      </c>
    </row>
    <row r="730" customFormat="false" ht="15" hidden="false" customHeight="false" outlineLevel="0" collapsed="false">
      <c r="A730" s="21" t="s">
        <v>1945</v>
      </c>
      <c r="B730" s="21" t="s">
        <v>332</v>
      </c>
      <c r="C730" s="21" t="s">
        <v>1275</v>
      </c>
      <c r="D730" s="21" t="s">
        <v>1226</v>
      </c>
      <c r="E730" s="33" t="n">
        <v>45298</v>
      </c>
      <c r="F730" s="21" t="s">
        <v>1218</v>
      </c>
      <c r="G730" s="32"/>
      <c r="H730" s="21"/>
      <c r="I730" s="33"/>
      <c r="J730" s="21" t="str">
        <f aca="false">INDEX(Students!$C$2:$C$601,MATCH(B730,Students!$A$2:$A$601,0))</f>
        <v>Batch 2024</v>
      </c>
      <c r="K730" s="21" t="str">
        <f aca="false">INDEX(Students!$D$2:$D$601,MATCH(B730,Students!$A$2:$A$601,0))</f>
        <v>Cybersecurity</v>
      </c>
      <c r="L730" s="21" t="str">
        <f aca="false">INDEX(Companies!$C$2:$C$31,MATCH(C730,Companies!$A$2:$A$31,0))</f>
        <v>Cybersecurity</v>
      </c>
      <c r="M730" s="21" t="str">
        <f aca="false">INDEX(Companies!$D$2:$D$31,MATCH(C730,Companies!$A$2:$A$31,0))</f>
        <v>Tier 2</v>
      </c>
      <c r="N730" s="34" t="n">
        <f aca="false">MATCH(F730,Assumptions!$K$4:$K$8,0)</f>
        <v>4</v>
      </c>
      <c r="O730" s="21" t="str">
        <f aca="false">IF(H730="Yes",MONTH(I730),"")</f>
        <v/>
      </c>
      <c r="P730" s="21" t="str">
        <f aca="false">IF(H730="Yes",B730,"")</f>
        <v/>
      </c>
    </row>
    <row r="731" customFormat="false" ht="15" hidden="false" customHeight="false" outlineLevel="0" collapsed="false">
      <c r="A731" s="21" t="s">
        <v>1946</v>
      </c>
      <c r="B731" s="21" t="s">
        <v>167</v>
      </c>
      <c r="C731" s="21" t="s">
        <v>1180</v>
      </c>
      <c r="D731" s="21" t="s">
        <v>1209</v>
      </c>
      <c r="E731" s="33" t="n">
        <v>45298</v>
      </c>
      <c r="F731" s="21" t="s">
        <v>1185</v>
      </c>
      <c r="G731" s="32" t="n">
        <v>6.5</v>
      </c>
      <c r="H731" s="21" t="s">
        <v>113</v>
      </c>
      <c r="I731" s="33" t="n">
        <v>45338</v>
      </c>
      <c r="J731" s="21" t="str">
        <f aca="false">INDEX(Students!$C$2:$C$601,MATCH(B731,Students!$A$2:$A$601,0))</f>
        <v>Batch 2024</v>
      </c>
      <c r="K731" s="21" t="str">
        <f aca="false">INDEX(Students!$D$2:$D$601,MATCH(B731,Students!$A$2:$A$601,0))</f>
        <v>Data Analytics</v>
      </c>
      <c r="L731" s="21" t="str">
        <f aca="false">INDEX(Companies!$C$2:$C$31,MATCH(C731,Companies!$A$2:$A$31,0))</f>
        <v>IT Services</v>
      </c>
      <c r="M731" s="21" t="str">
        <f aca="false">INDEX(Companies!$D$2:$D$31,MATCH(C731,Companies!$A$2:$A$31,0))</f>
        <v>Tier 3</v>
      </c>
      <c r="N731" s="34" t="n">
        <f aca="false">MATCH(F731,Assumptions!$K$4:$K$8,0)</f>
        <v>5</v>
      </c>
      <c r="O731" s="21" t="str">
        <f aca="false">IF(H731="Yes",MONTH(I731),"")</f>
        <v/>
      </c>
      <c r="P731" s="21" t="str">
        <f aca="false">IF(H731="Yes",B731,"")</f>
        <v/>
      </c>
    </row>
    <row r="732" customFormat="false" ht="15" hidden="false" customHeight="false" outlineLevel="0" collapsed="false">
      <c r="A732" s="21" t="s">
        <v>1947</v>
      </c>
      <c r="B732" s="21" t="s">
        <v>213</v>
      </c>
      <c r="C732" s="21" t="s">
        <v>1234</v>
      </c>
      <c r="D732" s="21" t="s">
        <v>1184</v>
      </c>
      <c r="E732" s="33" t="n">
        <v>45299</v>
      </c>
      <c r="F732" s="21" t="s">
        <v>1185</v>
      </c>
      <c r="G732" s="32" t="n">
        <v>6.5</v>
      </c>
      <c r="H732" s="21" t="s">
        <v>113</v>
      </c>
      <c r="I732" s="33" t="n">
        <v>45354</v>
      </c>
      <c r="J732" s="21" t="str">
        <f aca="false">INDEX(Students!$C$2:$C$601,MATCH(B732,Students!$A$2:$A$601,0))</f>
        <v>Batch 2024</v>
      </c>
      <c r="K732" s="21" t="str">
        <f aca="false">INDEX(Students!$D$2:$D$601,MATCH(B732,Students!$A$2:$A$601,0))</f>
        <v>DSA with Java</v>
      </c>
      <c r="L732" s="21" t="str">
        <f aca="false">INDEX(Companies!$C$2:$C$31,MATCH(C732,Companies!$A$2:$A$31,0))</f>
        <v>EdTech</v>
      </c>
      <c r="M732" s="21" t="str">
        <f aca="false">INDEX(Companies!$D$2:$D$31,MATCH(C732,Companies!$A$2:$A$31,0))</f>
        <v>Tier 3</v>
      </c>
      <c r="N732" s="34" t="n">
        <f aca="false">MATCH(F732,Assumptions!$K$4:$K$8,0)</f>
        <v>5</v>
      </c>
      <c r="O732" s="21" t="str">
        <f aca="false">IF(H732="Yes",MONTH(I732),"")</f>
        <v/>
      </c>
      <c r="P732" s="21" t="str">
        <f aca="false">IF(H732="Yes",B732,"")</f>
        <v/>
      </c>
    </row>
    <row r="733" customFormat="false" ht="15" hidden="false" customHeight="false" outlineLevel="0" collapsed="false">
      <c r="A733" s="21" t="s">
        <v>1948</v>
      </c>
      <c r="B733" s="21" t="s">
        <v>336</v>
      </c>
      <c r="C733" s="21" t="s">
        <v>1239</v>
      </c>
      <c r="D733" s="21" t="s">
        <v>1181</v>
      </c>
      <c r="E733" s="33" t="n">
        <v>45299</v>
      </c>
      <c r="F733" s="21" t="s">
        <v>1175</v>
      </c>
      <c r="G733" s="32"/>
      <c r="H733" s="21"/>
      <c r="I733" s="33"/>
      <c r="J733" s="21" t="str">
        <f aca="false">INDEX(Students!$C$2:$C$601,MATCH(B733,Students!$A$2:$A$601,0))</f>
        <v>Batch 2024</v>
      </c>
      <c r="K733" s="21" t="str">
        <f aca="false">INDEX(Students!$D$2:$D$601,MATCH(B733,Students!$A$2:$A$601,0))</f>
        <v>Full Stack Development</v>
      </c>
      <c r="L733" s="21" t="str">
        <f aca="false">INDEX(Companies!$C$2:$C$31,MATCH(C733,Companies!$A$2:$A$31,0))</f>
        <v>E-commerce</v>
      </c>
      <c r="M733" s="21" t="str">
        <f aca="false">INDEX(Companies!$D$2:$D$31,MATCH(C733,Companies!$A$2:$A$31,0))</f>
        <v>Tier 3</v>
      </c>
      <c r="N733" s="34" t="n">
        <f aca="false">MATCH(F733,Assumptions!$K$4:$K$8,0)</f>
        <v>1</v>
      </c>
      <c r="O733" s="21" t="str">
        <f aca="false">IF(H733="Yes",MONTH(I733),"")</f>
        <v/>
      </c>
      <c r="P733" s="21" t="str">
        <f aca="false">IF(H733="Yes",B733,"")</f>
        <v/>
      </c>
    </row>
    <row r="734" customFormat="false" ht="15" hidden="false" customHeight="false" outlineLevel="0" collapsed="false">
      <c r="A734" s="21" t="s">
        <v>1949</v>
      </c>
      <c r="B734" s="21" t="s">
        <v>454</v>
      </c>
      <c r="C734" s="21" t="s">
        <v>1216</v>
      </c>
      <c r="D734" s="21" t="s">
        <v>1209</v>
      </c>
      <c r="E734" s="33" t="n">
        <v>45299</v>
      </c>
      <c r="F734" s="21" t="s">
        <v>1175</v>
      </c>
      <c r="G734" s="32"/>
      <c r="H734" s="21"/>
      <c r="I734" s="33"/>
      <c r="J734" s="21" t="str">
        <f aca="false">INDEX(Students!$C$2:$C$601,MATCH(B734,Students!$A$2:$A$601,0))</f>
        <v>Batch 2024</v>
      </c>
      <c r="K734" s="21" t="str">
        <f aca="false">INDEX(Students!$D$2:$D$601,MATCH(B734,Students!$A$2:$A$601,0))</f>
        <v>Data Analytics</v>
      </c>
      <c r="L734" s="21" t="str">
        <f aca="false">INDEX(Companies!$C$2:$C$31,MATCH(C734,Companies!$A$2:$A$31,0))</f>
        <v>IT Services</v>
      </c>
      <c r="M734" s="21" t="str">
        <f aca="false">INDEX(Companies!$D$2:$D$31,MATCH(C734,Companies!$A$2:$A$31,0))</f>
        <v>Tier 3</v>
      </c>
      <c r="N734" s="34" t="n">
        <f aca="false">MATCH(F734,Assumptions!$K$4:$K$8,0)</f>
        <v>1</v>
      </c>
      <c r="O734" s="21" t="str">
        <f aca="false">IF(H734="Yes",MONTH(I734),"")</f>
        <v/>
      </c>
      <c r="P734" s="21" t="str">
        <f aca="false">IF(H734="Yes",B734,"")</f>
        <v/>
      </c>
    </row>
    <row r="735" customFormat="false" ht="15" hidden="false" customHeight="false" outlineLevel="0" collapsed="false">
      <c r="A735" s="21" t="s">
        <v>1950</v>
      </c>
      <c r="B735" s="21" t="s">
        <v>133</v>
      </c>
      <c r="C735" s="21" t="s">
        <v>1201</v>
      </c>
      <c r="D735" s="21" t="s">
        <v>1209</v>
      </c>
      <c r="E735" s="33" t="n">
        <v>45299</v>
      </c>
      <c r="F735" s="21" t="s">
        <v>1178</v>
      </c>
      <c r="G735" s="32"/>
      <c r="H735" s="21"/>
      <c r="I735" s="33"/>
      <c r="J735" s="21" t="str">
        <f aca="false">INDEX(Students!$C$2:$C$601,MATCH(B735,Students!$A$2:$A$601,0))</f>
        <v>Batch 2024</v>
      </c>
      <c r="K735" s="21" t="str">
        <f aca="false">INDEX(Students!$D$2:$D$601,MATCH(B735,Students!$A$2:$A$601,0))</f>
        <v>Data Analytics</v>
      </c>
      <c r="L735" s="21" t="str">
        <f aca="false">INDEX(Companies!$C$2:$C$31,MATCH(C735,Companies!$A$2:$A$31,0))</f>
        <v>IT Services</v>
      </c>
      <c r="M735" s="21" t="str">
        <f aca="false">INDEX(Companies!$D$2:$D$31,MATCH(C735,Companies!$A$2:$A$31,0))</f>
        <v>Tier 3</v>
      </c>
      <c r="N735" s="34" t="n">
        <f aca="false">MATCH(F735,Assumptions!$K$4:$K$8,0)</f>
        <v>2</v>
      </c>
      <c r="O735" s="21" t="str">
        <f aca="false">IF(H735="Yes",MONTH(I735),"")</f>
        <v/>
      </c>
      <c r="P735" s="21" t="str">
        <f aca="false">IF(H735="Yes",B735,"")</f>
        <v/>
      </c>
    </row>
    <row r="736" customFormat="false" ht="15" hidden="false" customHeight="false" outlineLevel="0" collapsed="false">
      <c r="A736" s="21" t="s">
        <v>1951</v>
      </c>
      <c r="B736" s="21" t="s">
        <v>328</v>
      </c>
      <c r="C736" s="21" t="s">
        <v>1275</v>
      </c>
      <c r="D736" s="21" t="s">
        <v>1240</v>
      </c>
      <c r="E736" s="33" t="n">
        <v>45299</v>
      </c>
      <c r="F736" s="21" t="s">
        <v>1197</v>
      </c>
      <c r="G736" s="32"/>
      <c r="H736" s="21"/>
      <c r="I736" s="33"/>
      <c r="J736" s="21" t="str">
        <f aca="false">INDEX(Students!$C$2:$C$601,MATCH(B736,Students!$A$2:$A$601,0))</f>
        <v>Batch 2024</v>
      </c>
      <c r="K736" s="21" t="str">
        <f aca="false">INDEX(Students!$D$2:$D$601,MATCH(B736,Students!$A$2:$A$601,0))</f>
        <v>Cybersecurity</v>
      </c>
      <c r="L736" s="21" t="str">
        <f aca="false">INDEX(Companies!$C$2:$C$31,MATCH(C736,Companies!$A$2:$A$31,0))</f>
        <v>Cybersecurity</v>
      </c>
      <c r="M736" s="21" t="str">
        <f aca="false">INDEX(Companies!$D$2:$D$31,MATCH(C736,Companies!$A$2:$A$31,0))</f>
        <v>Tier 2</v>
      </c>
      <c r="N736" s="34" t="n">
        <f aca="false">MATCH(F736,Assumptions!$K$4:$K$8,0)</f>
        <v>3</v>
      </c>
      <c r="O736" s="21" t="str">
        <f aca="false">IF(H736="Yes",MONTH(I736),"")</f>
        <v/>
      </c>
      <c r="P736" s="21" t="str">
        <f aca="false">IF(H736="Yes",B736,"")</f>
        <v/>
      </c>
    </row>
    <row r="737" customFormat="false" ht="15" hidden="false" customHeight="false" outlineLevel="0" collapsed="false">
      <c r="A737" s="21" t="s">
        <v>1952</v>
      </c>
      <c r="B737" s="21" t="s">
        <v>264</v>
      </c>
      <c r="C737" s="21" t="s">
        <v>1228</v>
      </c>
      <c r="D737" s="21" t="s">
        <v>1243</v>
      </c>
      <c r="E737" s="33" t="n">
        <v>45299</v>
      </c>
      <c r="F737" s="21" t="s">
        <v>1175</v>
      </c>
      <c r="G737" s="32"/>
      <c r="H737" s="21"/>
      <c r="I737" s="33"/>
      <c r="J737" s="21" t="str">
        <f aca="false">INDEX(Students!$C$2:$C$601,MATCH(B737,Students!$A$2:$A$601,0))</f>
        <v>Batch 2024</v>
      </c>
      <c r="K737" s="21" t="str">
        <f aca="false">INDEX(Students!$D$2:$D$601,MATCH(B737,Students!$A$2:$A$601,0))</f>
        <v>Data Science &amp; ML</v>
      </c>
      <c r="L737" s="21" t="str">
        <f aca="false">INDEX(Companies!$C$2:$C$31,MATCH(C737,Companies!$A$2:$A$31,0))</f>
        <v>Fintech</v>
      </c>
      <c r="M737" s="21" t="str">
        <f aca="false">INDEX(Companies!$D$2:$D$31,MATCH(C737,Companies!$A$2:$A$31,0))</f>
        <v>Tier 1</v>
      </c>
      <c r="N737" s="34" t="n">
        <f aca="false">MATCH(F737,Assumptions!$K$4:$K$8,0)</f>
        <v>1</v>
      </c>
      <c r="O737" s="21" t="str">
        <f aca="false">IF(H737="Yes",MONTH(I737),"")</f>
        <v/>
      </c>
      <c r="P737" s="21" t="str">
        <f aca="false">IF(H737="Yes",B737,"")</f>
        <v/>
      </c>
    </row>
    <row r="738" customFormat="false" ht="15" hidden="false" customHeight="false" outlineLevel="0" collapsed="false">
      <c r="A738" s="21" t="s">
        <v>1953</v>
      </c>
      <c r="B738" s="21" t="s">
        <v>181</v>
      </c>
      <c r="C738" s="21" t="s">
        <v>1180</v>
      </c>
      <c r="D738" s="21" t="s">
        <v>1188</v>
      </c>
      <c r="E738" s="33" t="n">
        <v>45300</v>
      </c>
      <c r="F738" s="21" t="s">
        <v>1175</v>
      </c>
      <c r="G738" s="32"/>
      <c r="H738" s="21"/>
      <c r="I738" s="33"/>
      <c r="J738" s="21" t="str">
        <f aca="false">INDEX(Students!$C$2:$C$601,MATCH(B738,Students!$A$2:$A$601,0))</f>
        <v>Batch 2024</v>
      </c>
      <c r="K738" s="21" t="str">
        <f aca="false">INDEX(Students!$D$2:$D$601,MATCH(B738,Students!$A$2:$A$601,0))</f>
        <v>Data Analytics</v>
      </c>
      <c r="L738" s="21" t="str">
        <f aca="false">INDEX(Companies!$C$2:$C$31,MATCH(C738,Companies!$A$2:$A$31,0))</f>
        <v>IT Services</v>
      </c>
      <c r="M738" s="21" t="str">
        <f aca="false">INDEX(Companies!$D$2:$D$31,MATCH(C738,Companies!$A$2:$A$31,0))</f>
        <v>Tier 3</v>
      </c>
      <c r="N738" s="34" t="n">
        <f aca="false">MATCH(F738,Assumptions!$K$4:$K$8,0)</f>
        <v>1</v>
      </c>
      <c r="O738" s="21" t="str">
        <f aca="false">IF(H738="Yes",MONTH(I738),"")</f>
        <v/>
      </c>
      <c r="P738" s="21" t="str">
        <f aca="false">IF(H738="Yes",B738,"")</f>
        <v/>
      </c>
    </row>
    <row r="739" customFormat="false" ht="15" hidden="false" customHeight="false" outlineLevel="0" collapsed="false">
      <c r="A739" s="21" t="s">
        <v>1954</v>
      </c>
      <c r="B739" s="21" t="s">
        <v>378</v>
      </c>
      <c r="C739" s="21" t="s">
        <v>1239</v>
      </c>
      <c r="D739" s="21" t="s">
        <v>1191</v>
      </c>
      <c r="E739" s="33" t="n">
        <v>45300</v>
      </c>
      <c r="F739" s="21" t="s">
        <v>1185</v>
      </c>
      <c r="G739" s="32" t="n">
        <v>4.8</v>
      </c>
      <c r="H739" s="21" t="s">
        <v>113</v>
      </c>
      <c r="I739" s="33" t="n">
        <v>45341</v>
      </c>
      <c r="J739" s="21" t="str">
        <f aca="false">INDEX(Students!$C$2:$C$601,MATCH(B739,Students!$A$2:$A$601,0))</f>
        <v>Batch 2024</v>
      </c>
      <c r="K739" s="21" t="str">
        <f aca="false">INDEX(Students!$D$2:$D$601,MATCH(B739,Students!$A$2:$A$601,0))</f>
        <v>DSA with Java</v>
      </c>
      <c r="L739" s="21" t="str">
        <f aca="false">INDEX(Companies!$C$2:$C$31,MATCH(C739,Companies!$A$2:$A$31,0))</f>
        <v>E-commerce</v>
      </c>
      <c r="M739" s="21" t="str">
        <f aca="false">INDEX(Companies!$D$2:$D$31,MATCH(C739,Companies!$A$2:$A$31,0))</f>
        <v>Tier 3</v>
      </c>
      <c r="N739" s="34" t="n">
        <f aca="false">MATCH(F739,Assumptions!$K$4:$K$8,0)</f>
        <v>5</v>
      </c>
      <c r="O739" s="21" t="str">
        <f aca="false">IF(H739="Yes",MONTH(I739),"")</f>
        <v/>
      </c>
      <c r="P739" s="21" t="str">
        <f aca="false">IF(H739="Yes",B739,"")</f>
        <v/>
      </c>
    </row>
    <row r="740" customFormat="false" ht="15" hidden="false" customHeight="false" outlineLevel="0" collapsed="false">
      <c r="A740" s="21" t="s">
        <v>1955</v>
      </c>
      <c r="B740" s="21" t="s">
        <v>386</v>
      </c>
      <c r="C740" s="21" t="s">
        <v>1239</v>
      </c>
      <c r="D740" s="21" t="s">
        <v>1191</v>
      </c>
      <c r="E740" s="33" t="n">
        <v>45300</v>
      </c>
      <c r="F740" s="21" t="s">
        <v>1218</v>
      </c>
      <c r="G740" s="32"/>
      <c r="H740" s="21"/>
      <c r="I740" s="33"/>
      <c r="J740" s="21" t="str">
        <f aca="false">INDEX(Students!$C$2:$C$601,MATCH(B740,Students!$A$2:$A$601,0))</f>
        <v>Batch 2024</v>
      </c>
      <c r="K740" s="21" t="str">
        <f aca="false">INDEX(Students!$D$2:$D$601,MATCH(B740,Students!$A$2:$A$601,0))</f>
        <v>DSA with Java</v>
      </c>
      <c r="L740" s="21" t="str">
        <f aca="false">INDEX(Companies!$C$2:$C$31,MATCH(C740,Companies!$A$2:$A$31,0))</f>
        <v>E-commerce</v>
      </c>
      <c r="M740" s="21" t="str">
        <f aca="false">INDEX(Companies!$D$2:$D$31,MATCH(C740,Companies!$A$2:$A$31,0))</f>
        <v>Tier 3</v>
      </c>
      <c r="N740" s="34" t="n">
        <f aca="false">MATCH(F740,Assumptions!$K$4:$K$8,0)</f>
        <v>4</v>
      </c>
      <c r="O740" s="21" t="str">
        <f aca="false">IF(H740="Yes",MONTH(I740),"")</f>
        <v/>
      </c>
      <c r="P740" s="21" t="str">
        <f aca="false">IF(H740="Yes",B740,"")</f>
        <v/>
      </c>
    </row>
    <row r="741" customFormat="false" ht="15" hidden="false" customHeight="false" outlineLevel="0" collapsed="false">
      <c r="A741" s="21" t="s">
        <v>1956</v>
      </c>
      <c r="B741" s="21" t="s">
        <v>297</v>
      </c>
      <c r="C741" s="21" t="s">
        <v>1263</v>
      </c>
      <c r="D741" s="21" t="s">
        <v>1191</v>
      </c>
      <c r="E741" s="33" t="n">
        <v>45300</v>
      </c>
      <c r="F741" s="21" t="s">
        <v>1175</v>
      </c>
      <c r="G741" s="32"/>
      <c r="H741" s="21"/>
      <c r="I741" s="33"/>
      <c r="J741" s="21" t="str">
        <f aca="false">INDEX(Students!$C$2:$C$601,MATCH(B741,Students!$A$2:$A$601,0))</f>
        <v>Batch 2024</v>
      </c>
      <c r="K741" s="21" t="str">
        <f aca="false">INDEX(Students!$D$2:$D$601,MATCH(B741,Students!$A$2:$A$601,0))</f>
        <v>DSA with Java</v>
      </c>
      <c r="L741" s="21" t="str">
        <f aca="false">INDEX(Companies!$C$2:$C$31,MATCH(C741,Companies!$A$2:$A$31,0))</f>
        <v>Analytics &amp; Consulting</v>
      </c>
      <c r="M741" s="21" t="str">
        <f aca="false">INDEX(Companies!$D$2:$D$31,MATCH(C741,Companies!$A$2:$A$31,0))</f>
        <v>Tier 2</v>
      </c>
      <c r="N741" s="34" t="n">
        <f aca="false">MATCH(F741,Assumptions!$K$4:$K$8,0)</f>
        <v>1</v>
      </c>
      <c r="O741" s="21" t="str">
        <f aca="false">IF(H741="Yes",MONTH(I741),"")</f>
        <v/>
      </c>
      <c r="P741" s="21" t="str">
        <f aca="false">IF(H741="Yes",B741,"")</f>
        <v/>
      </c>
    </row>
    <row r="742" customFormat="false" ht="15" hidden="false" customHeight="false" outlineLevel="0" collapsed="false">
      <c r="A742" s="21" t="s">
        <v>1957</v>
      </c>
      <c r="B742" s="21" t="s">
        <v>347</v>
      </c>
      <c r="C742" s="21" t="s">
        <v>1211</v>
      </c>
      <c r="D742" s="21" t="s">
        <v>1209</v>
      </c>
      <c r="E742" s="33" t="n">
        <v>45300</v>
      </c>
      <c r="F742" s="21" t="s">
        <v>1185</v>
      </c>
      <c r="G742" s="32" t="n">
        <v>7.9</v>
      </c>
      <c r="H742" s="21" t="s">
        <v>113</v>
      </c>
      <c r="I742" s="33" t="n">
        <v>45341</v>
      </c>
      <c r="J742" s="21" t="str">
        <f aca="false">INDEX(Students!$C$2:$C$601,MATCH(B742,Students!$A$2:$A$601,0))</f>
        <v>Batch 2024</v>
      </c>
      <c r="K742" s="21" t="str">
        <f aca="false">INDEX(Students!$D$2:$D$601,MATCH(B742,Students!$A$2:$A$601,0))</f>
        <v>Data Analytics</v>
      </c>
      <c r="L742" s="21" t="str">
        <f aca="false">INDEX(Companies!$C$2:$C$31,MATCH(C742,Companies!$A$2:$A$31,0))</f>
        <v>Analytics &amp; Consulting</v>
      </c>
      <c r="M742" s="21" t="str">
        <f aca="false">INDEX(Companies!$D$2:$D$31,MATCH(C742,Companies!$A$2:$A$31,0))</f>
        <v>Tier 3</v>
      </c>
      <c r="N742" s="34" t="n">
        <f aca="false">MATCH(F742,Assumptions!$K$4:$K$8,0)</f>
        <v>5</v>
      </c>
      <c r="O742" s="21" t="str">
        <f aca="false">IF(H742="Yes",MONTH(I742),"")</f>
        <v/>
      </c>
      <c r="P742" s="21" t="str">
        <f aca="false">IF(H742="Yes",B742,"")</f>
        <v/>
      </c>
    </row>
    <row r="743" customFormat="false" ht="15" hidden="false" customHeight="false" outlineLevel="0" collapsed="false">
      <c r="A743" s="21" t="s">
        <v>1958</v>
      </c>
      <c r="B743" s="21" t="s">
        <v>451</v>
      </c>
      <c r="C743" s="21" t="s">
        <v>1263</v>
      </c>
      <c r="D743" s="21" t="s">
        <v>1181</v>
      </c>
      <c r="E743" s="33" t="n">
        <v>45301</v>
      </c>
      <c r="F743" s="21" t="s">
        <v>1185</v>
      </c>
      <c r="G743" s="32" t="n">
        <v>11.8</v>
      </c>
      <c r="H743" s="21" t="s">
        <v>113</v>
      </c>
      <c r="I743" s="33" t="n">
        <v>45354</v>
      </c>
      <c r="J743" s="21" t="str">
        <f aca="false">INDEX(Students!$C$2:$C$601,MATCH(B743,Students!$A$2:$A$601,0))</f>
        <v>Batch 2024</v>
      </c>
      <c r="K743" s="21" t="str">
        <f aca="false">INDEX(Students!$D$2:$D$601,MATCH(B743,Students!$A$2:$A$601,0))</f>
        <v>Full Stack Development</v>
      </c>
      <c r="L743" s="21" t="str">
        <f aca="false">INDEX(Companies!$C$2:$C$31,MATCH(C743,Companies!$A$2:$A$31,0))</f>
        <v>Analytics &amp; Consulting</v>
      </c>
      <c r="M743" s="21" t="str">
        <f aca="false">INDEX(Companies!$D$2:$D$31,MATCH(C743,Companies!$A$2:$A$31,0))</f>
        <v>Tier 2</v>
      </c>
      <c r="N743" s="34" t="n">
        <f aca="false">MATCH(F743,Assumptions!$K$4:$K$8,0)</f>
        <v>5</v>
      </c>
      <c r="O743" s="21" t="str">
        <f aca="false">IF(H743="Yes",MONTH(I743),"")</f>
        <v/>
      </c>
      <c r="P743" s="21" t="str">
        <f aca="false">IF(H743="Yes",B743,"")</f>
        <v/>
      </c>
    </row>
    <row r="744" customFormat="false" ht="15" hidden="false" customHeight="false" outlineLevel="0" collapsed="false">
      <c r="A744" s="21" t="s">
        <v>1959</v>
      </c>
      <c r="B744" s="21" t="s">
        <v>285</v>
      </c>
      <c r="C744" s="21" t="s">
        <v>1275</v>
      </c>
      <c r="D744" s="21" t="s">
        <v>1240</v>
      </c>
      <c r="E744" s="33" t="n">
        <v>45301</v>
      </c>
      <c r="F744" s="21" t="s">
        <v>1178</v>
      </c>
      <c r="G744" s="32"/>
      <c r="H744" s="21"/>
      <c r="I744" s="33"/>
      <c r="J744" s="21" t="str">
        <f aca="false">INDEX(Students!$C$2:$C$601,MATCH(B744,Students!$A$2:$A$601,0))</f>
        <v>Batch 2024</v>
      </c>
      <c r="K744" s="21" t="str">
        <f aca="false">INDEX(Students!$D$2:$D$601,MATCH(B744,Students!$A$2:$A$601,0))</f>
        <v>Cybersecurity</v>
      </c>
      <c r="L744" s="21" t="str">
        <f aca="false">INDEX(Companies!$C$2:$C$31,MATCH(C744,Companies!$A$2:$A$31,0))</f>
        <v>Cybersecurity</v>
      </c>
      <c r="M744" s="21" t="str">
        <f aca="false">INDEX(Companies!$D$2:$D$31,MATCH(C744,Companies!$A$2:$A$31,0))</f>
        <v>Tier 2</v>
      </c>
      <c r="N744" s="34" t="n">
        <f aca="false">MATCH(F744,Assumptions!$K$4:$K$8,0)</f>
        <v>2</v>
      </c>
      <c r="O744" s="21" t="str">
        <f aca="false">IF(H744="Yes",MONTH(I744),"")</f>
        <v/>
      </c>
      <c r="P744" s="21" t="str">
        <f aca="false">IF(H744="Yes",B744,"")</f>
        <v/>
      </c>
    </row>
    <row r="745" customFormat="false" ht="15" hidden="false" customHeight="false" outlineLevel="0" collapsed="false">
      <c r="A745" s="21" t="s">
        <v>1960</v>
      </c>
      <c r="B745" s="21" t="s">
        <v>215</v>
      </c>
      <c r="C745" s="21" t="s">
        <v>1266</v>
      </c>
      <c r="D745" s="21" t="s">
        <v>1243</v>
      </c>
      <c r="E745" s="33" t="n">
        <v>45301</v>
      </c>
      <c r="F745" s="21" t="s">
        <v>1185</v>
      </c>
      <c r="G745" s="32" t="n">
        <v>4.2</v>
      </c>
      <c r="H745" s="21" t="s">
        <v>113</v>
      </c>
      <c r="I745" s="33" t="n">
        <v>45346</v>
      </c>
      <c r="J745" s="21" t="str">
        <f aca="false">INDEX(Students!$C$2:$C$601,MATCH(B745,Students!$A$2:$A$601,0))</f>
        <v>Batch 2024</v>
      </c>
      <c r="K745" s="21" t="str">
        <f aca="false">INDEX(Students!$D$2:$D$601,MATCH(B745,Students!$A$2:$A$601,0))</f>
        <v>Data Science &amp; ML</v>
      </c>
      <c r="L745" s="21" t="str">
        <f aca="false">INDEX(Companies!$C$2:$C$31,MATCH(C745,Companies!$A$2:$A$31,0))</f>
        <v>IT Services</v>
      </c>
      <c r="M745" s="21" t="str">
        <f aca="false">INDEX(Companies!$D$2:$D$31,MATCH(C745,Companies!$A$2:$A$31,0))</f>
        <v>Tier 3</v>
      </c>
      <c r="N745" s="34" t="n">
        <f aca="false">MATCH(F745,Assumptions!$K$4:$K$8,0)</f>
        <v>5</v>
      </c>
      <c r="O745" s="21" t="str">
        <f aca="false">IF(H745="Yes",MONTH(I745),"")</f>
        <v/>
      </c>
      <c r="P745" s="21" t="str">
        <f aca="false">IF(H745="Yes",B745,"")</f>
        <v/>
      </c>
    </row>
    <row r="746" customFormat="false" ht="15" hidden="false" customHeight="false" outlineLevel="0" collapsed="false">
      <c r="A746" s="21" t="s">
        <v>1961</v>
      </c>
      <c r="B746" s="21" t="s">
        <v>153</v>
      </c>
      <c r="C746" s="21" t="s">
        <v>1239</v>
      </c>
      <c r="D746" s="21" t="s">
        <v>1191</v>
      </c>
      <c r="E746" s="33" t="n">
        <v>45301</v>
      </c>
      <c r="F746" s="21" t="s">
        <v>1185</v>
      </c>
      <c r="G746" s="32" t="n">
        <v>5.6</v>
      </c>
      <c r="H746" s="21" t="s">
        <v>113</v>
      </c>
      <c r="I746" s="33" t="n">
        <v>45354</v>
      </c>
      <c r="J746" s="21" t="str">
        <f aca="false">INDEX(Students!$C$2:$C$601,MATCH(B746,Students!$A$2:$A$601,0))</f>
        <v>Batch 2024</v>
      </c>
      <c r="K746" s="21" t="str">
        <f aca="false">INDEX(Students!$D$2:$D$601,MATCH(B746,Students!$A$2:$A$601,0))</f>
        <v>DSA with Java</v>
      </c>
      <c r="L746" s="21" t="str">
        <f aca="false">INDEX(Companies!$C$2:$C$31,MATCH(C746,Companies!$A$2:$A$31,0))</f>
        <v>E-commerce</v>
      </c>
      <c r="M746" s="21" t="str">
        <f aca="false">INDEX(Companies!$D$2:$D$31,MATCH(C746,Companies!$A$2:$A$31,0))</f>
        <v>Tier 3</v>
      </c>
      <c r="N746" s="34" t="n">
        <f aca="false">MATCH(F746,Assumptions!$K$4:$K$8,0)</f>
        <v>5</v>
      </c>
      <c r="O746" s="21" t="str">
        <f aca="false">IF(H746="Yes",MONTH(I746),"")</f>
        <v/>
      </c>
      <c r="P746" s="21" t="str">
        <f aca="false">IF(H746="Yes",B746,"")</f>
        <v/>
      </c>
    </row>
    <row r="747" customFormat="false" ht="15" hidden="false" customHeight="false" outlineLevel="0" collapsed="false">
      <c r="A747" s="21" t="s">
        <v>1962</v>
      </c>
      <c r="B747" s="21" t="s">
        <v>332</v>
      </c>
      <c r="C747" s="21" t="s">
        <v>1298</v>
      </c>
      <c r="D747" s="21" t="s">
        <v>1240</v>
      </c>
      <c r="E747" s="33" t="n">
        <v>45301</v>
      </c>
      <c r="F747" s="21" t="s">
        <v>1175</v>
      </c>
      <c r="G747" s="32"/>
      <c r="H747" s="21"/>
      <c r="I747" s="33"/>
      <c r="J747" s="21" t="str">
        <f aca="false">INDEX(Students!$C$2:$C$601,MATCH(B747,Students!$A$2:$A$601,0))</f>
        <v>Batch 2024</v>
      </c>
      <c r="K747" s="21" t="str">
        <f aca="false">INDEX(Students!$D$2:$D$601,MATCH(B747,Students!$A$2:$A$601,0))</f>
        <v>Cybersecurity</v>
      </c>
      <c r="L747" s="21" t="str">
        <f aca="false">INDEX(Companies!$C$2:$C$31,MATCH(C747,Companies!$A$2:$A$31,0))</f>
        <v>Fintech</v>
      </c>
      <c r="M747" s="21" t="str">
        <f aca="false">INDEX(Companies!$D$2:$D$31,MATCH(C747,Companies!$A$2:$A$31,0))</f>
        <v>Tier 2</v>
      </c>
      <c r="N747" s="34" t="n">
        <f aca="false">MATCH(F747,Assumptions!$K$4:$K$8,0)</f>
        <v>1</v>
      </c>
      <c r="O747" s="21" t="str">
        <f aca="false">IF(H747="Yes",MONTH(I747),"")</f>
        <v/>
      </c>
      <c r="P747" s="21" t="str">
        <f aca="false">IF(H747="Yes",B747,"")</f>
        <v/>
      </c>
    </row>
    <row r="748" customFormat="false" ht="15" hidden="false" customHeight="false" outlineLevel="0" collapsed="false">
      <c r="A748" s="21" t="s">
        <v>1963</v>
      </c>
      <c r="B748" s="21" t="s">
        <v>330</v>
      </c>
      <c r="C748" s="21" t="s">
        <v>1201</v>
      </c>
      <c r="D748" s="21" t="s">
        <v>1240</v>
      </c>
      <c r="E748" s="33" t="n">
        <v>45301</v>
      </c>
      <c r="F748" s="21" t="s">
        <v>1185</v>
      </c>
      <c r="G748" s="32" t="n">
        <v>4.8</v>
      </c>
      <c r="H748" s="21" t="s">
        <v>120</v>
      </c>
      <c r="I748" s="33" t="n">
        <v>45326</v>
      </c>
      <c r="J748" s="21" t="str">
        <f aca="false">INDEX(Students!$C$2:$C$601,MATCH(B748,Students!$A$2:$A$601,0))</f>
        <v>Batch 2024</v>
      </c>
      <c r="K748" s="21" t="str">
        <f aca="false">INDEX(Students!$D$2:$D$601,MATCH(B748,Students!$A$2:$A$601,0))</f>
        <v>Cybersecurity</v>
      </c>
      <c r="L748" s="21" t="str">
        <f aca="false">INDEX(Companies!$C$2:$C$31,MATCH(C748,Companies!$A$2:$A$31,0))</f>
        <v>IT Services</v>
      </c>
      <c r="M748" s="21" t="str">
        <f aca="false">INDEX(Companies!$D$2:$D$31,MATCH(C748,Companies!$A$2:$A$31,0))</f>
        <v>Tier 3</v>
      </c>
      <c r="N748" s="34" t="n">
        <f aca="false">MATCH(F748,Assumptions!$K$4:$K$8,0)</f>
        <v>5</v>
      </c>
      <c r="O748" s="21" t="n">
        <f aca="false">IF(H748="Yes",MONTH(I748),"")</f>
        <v>2</v>
      </c>
      <c r="P748" s="21" t="str">
        <f aca="false">IF(H748="Yes",B748,"")</f>
        <v>S0112</v>
      </c>
    </row>
    <row r="749" customFormat="false" ht="15" hidden="false" customHeight="false" outlineLevel="0" collapsed="false">
      <c r="A749" s="21" t="s">
        <v>1964</v>
      </c>
      <c r="B749" s="21" t="s">
        <v>313</v>
      </c>
      <c r="C749" s="21" t="s">
        <v>1177</v>
      </c>
      <c r="D749" s="21" t="s">
        <v>1191</v>
      </c>
      <c r="E749" s="33" t="n">
        <v>45301</v>
      </c>
      <c r="F749" s="21" t="s">
        <v>1178</v>
      </c>
      <c r="G749" s="32"/>
      <c r="H749" s="21"/>
      <c r="I749" s="33"/>
      <c r="J749" s="21" t="str">
        <f aca="false">INDEX(Students!$C$2:$C$601,MATCH(B749,Students!$A$2:$A$601,0))</f>
        <v>Batch 2024</v>
      </c>
      <c r="K749" s="21" t="str">
        <f aca="false">INDEX(Students!$D$2:$D$601,MATCH(B749,Students!$A$2:$A$601,0))</f>
        <v>DSA with Java</v>
      </c>
      <c r="L749" s="21" t="str">
        <f aca="false">INDEX(Companies!$C$2:$C$31,MATCH(C749,Companies!$A$2:$A$31,0))</f>
        <v>IT Services</v>
      </c>
      <c r="M749" s="21" t="str">
        <f aca="false">INDEX(Companies!$D$2:$D$31,MATCH(C749,Companies!$A$2:$A$31,0))</f>
        <v>Tier 3</v>
      </c>
      <c r="N749" s="34" t="n">
        <f aca="false">MATCH(F749,Assumptions!$K$4:$K$8,0)</f>
        <v>2</v>
      </c>
      <c r="O749" s="21" t="str">
        <f aca="false">IF(H749="Yes",MONTH(I749),"")</f>
        <v/>
      </c>
      <c r="P749" s="21" t="str">
        <f aca="false">IF(H749="Yes",B749,"")</f>
        <v/>
      </c>
    </row>
    <row r="750" customFormat="false" ht="15" hidden="false" customHeight="false" outlineLevel="0" collapsed="false">
      <c r="A750" s="21" t="s">
        <v>1965</v>
      </c>
      <c r="B750" s="21" t="s">
        <v>311</v>
      </c>
      <c r="C750" s="21" t="s">
        <v>1180</v>
      </c>
      <c r="D750" s="21" t="s">
        <v>1181</v>
      </c>
      <c r="E750" s="33" t="n">
        <v>45301</v>
      </c>
      <c r="F750" s="21" t="s">
        <v>1185</v>
      </c>
      <c r="G750" s="32" t="n">
        <v>7.1</v>
      </c>
      <c r="H750" s="21" t="s">
        <v>113</v>
      </c>
      <c r="I750" s="33" t="n">
        <v>45329</v>
      </c>
      <c r="J750" s="21" t="str">
        <f aca="false">INDEX(Students!$C$2:$C$601,MATCH(B750,Students!$A$2:$A$601,0))</f>
        <v>Batch 2024</v>
      </c>
      <c r="K750" s="21" t="str">
        <f aca="false">INDEX(Students!$D$2:$D$601,MATCH(B750,Students!$A$2:$A$601,0))</f>
        <v>Full Stack Development</v>
      </c>
      <c r="L750" s="21" t="str">
        <f aca="false">INDEX(Companies!$C$2:$C$31,MATCH(C750,Companies!$A$2:$A$31,0))</f>
        <v>IT Services</v>
      </c>
      <c r="M750" s="21" t="str">
        <f aca="false">INDEX(Companies!$D$2:$D$31,MATCH(C750,Companies!$A$2:$A$31,0))</f>
        <v>Tier 3</v>
      </c>
      <c r="N750" s="34" t="n">
        <f aca="false">MATCH(F750,Assumptions!$K$4:$K$8,0)</f>
        <v>5</v>
      </c>
      <c r="O750" s="21" t="str">
        <f aca="false">IF(H750="Yes",MONTH(I750),"")</f>
        <v/>
      </c>
      <c r="P750" s="21" t="str">
        <f aca="false">IF(H750="Yes",B750,"")</f>
        <v/>
      </c>
    </row>
    <row r="751" customFormat="false" ht="15" hidden="false" customHeight="false" outlineLevel="0" collapsed="false">
      <c r="A751" s="21" t="s">
        <v>1966</v>
      </c>
      <c r="B751" s="21" t="s">
        <v>237</v>
      </c>
      <c r="C751" s="21" t="s">
        <v>1205</v>
      </c>
      <c r="D751" s="21" t="s">
        <v>1174</v>
      </c>
      <c r="E751" s="33" t="n">
        <v>45301</v>
      </c>
      <c r="F751" s="21" t="s">
        <v>1175</v>
      </c>
      <c r="G751" s="32"/>
      <c r="H751" s="21"/>
      <c r="I751" s="33"/>
      <c r="J751" s="21" t="str">
        <f aca="false">INDEX(Students!$C$2:$C$601,MATCH(B751,Students!$A$2:$A$601,0))</f>
        <v>Batch 2024</v>
      </c>
      <c r="K751" s="21" t="str">
        <f aca="false">INDEX(Students!$D$2:$D$601,MATCH(B751,Students!$A$2:$A$601,0))</f>
        <v>Full Stack Development</v>
      </c>
      <c r="L751" s="21" t="str">
        <f aca="false">INDEX(Companies!$C$2:$C$31,MATCH(C751,Companies!$A$2:$A$31,0))</f>
        <v>Healthtech</v>
      </c>
      <c r="M751" s="21" t="str">
        <f aca="false">INDEX(Companies!$D$2:$D$31,MATCH(C751,Companies!$A$2:$A$31,0))</f>
        <v>Tier 3</v>
      </c>
      <c r="N751" s="34" t="n">
        <f aca="false">MATCH(F751,Assumptions!$K$4:$K$8,0)</f>
        <v>1</v>
      </c>
      <c r="O751" s="21" t="str">
        <f aca="false">IF(H751="Yes",MONTH(I751),"")</f>
        <v/>
      </c>
      <c r="P751" s="21" t="str">
        <f aca="false">IF(H751="Yes",B751,"")</f>
        <v/>
      </c>
    </row>
    <row r="752" customFormat="false" ht="15" hidden="false" customHeight="false" outlineLevel="0" collapsed="false">
      <c r="A752" s="21" t="s">
        <v>1967</v>
      </c>
      <c r="B752" s="21" t="s">
        <v>341</v>
      </c>
      <c r="C752" s="21" t="s">
        <v>1199</v>
      </c>
      <c r="D752" s="21" t="s">
        <v>1209</v>
      </c>
      <c r="E752" s="33" t="n">
        <v>45302</v>
      </c>
      <c r="F752" s="21" t="s">
        <v>1197</v>
      </c>
      <c r="G752" s="32"/>
      <c r="H752" s="21"/>
      <c r="I752" s="33"/>
      <c r="J752" s="21" t="str">
        <f aca="false">INDEX(Students!$C$2:$C$601,MATCH(B752,Students!$A$2:$A$601,0))</f>
        <v>Batch 2024</v>
      </c>
      <c r="K752" s="21" t="str">
        <f aca="false">INDEX(Students!$D$2:$D$601,MATCH(B752,Students!$A$2:$A$601,0))</f>
        <v>Data Analytics</v>
      </c>
      <c r="L752" s="21" t="str">
        <f aca="false">INDEX(Companies!$C$2:$C$31,MATCH(C752,Companies!$A$2:$A$31,0))</f>
        <v>E-commerce</v>
      </c>
      <c r="M752" s="21" t="str">
        <f aca="false">INDEX(Companies!$D$2:$D$31,MATCH(C752,Companies!$A$2:$A$31,0))</f>
        <v>Tier 2</v>
      </c>
      <c r="N752" s="34" t="n">
        <f aca="false">MATCH(F752,Assumptions!$K$4:$K$8,0)</f>
        <v>3</v>
      </c>
      <c r="O752" s="21" t="str">
        <f aca="false">IF(H752="Yes",MONTH(I752),"")</f>
        <v/>
      </c>
      <c r="P752" s="21" t="str">
        <f aca="false">IF(H752="Yes",B752,"")</f>
        <v/>
      </c>
    </row>
    <row r="753" customFormat="false" ht="15" hidden="false" customHeight="false" outlineLevel="0" collapsed="false">
      <c r="A753" s="21" t="s">
        <v>1968</v>
      </c>
      <c r="B753" s="21" t="s">
        <v>215</v>
      </c>
      <c r="C753" s="21" t="s">
        <v>1177</v>
      </c>
      <c r="D753" s="21" t="s">
        <v>1243</v>
      </c>
      <c r="E753" s="33" t="n">
        <v>45302</v>
      </c>
      <c r="F753" s="21" t="s">
        <v>1175</v>
      </c>
      <c r="G753" s="32"/>
      <c r="H753" s="21"/>
      <c r="I753" s="33"/>
      <c r="J753" s="21" t="str">
        <f aca="false">INDEX(Students!$C$2:$C$601,MATCH(B753,Students!$A$2:$A$601,0))</f>
        <v>Batch 2024</v>
      </c>
      <c r="K753" s="21" t="str">
        <f aca="false">INDEX(Students!$D$2:$D$601,MATCH(B753,Students!$A$2:$A$601,0))</f>
        <v>Data Science &amp; ML</v>
      </c>
      <c r="L753" s="21" t="str">
        <f aca="false">INDEX(Companies!$C$2:$C$31,MATCH(C753,Companies!$A$2:$A$31,0))</f>
        <v>IT Services</v>
      </c>
      <c r="M753" s="21" t="str">
        <f aca="false">INDEX(Companies!$D$2:$D$31,MATCH(C753,Companies!$A$2:$A$31,0))</f>
        <v>Tier 3</v>
      </c>
      <c r="N753" s="34" t="n">
        <f aca="false">MATCH(F753,Assumptions!$K$4:$K$8,0)</f>
        <v>1</v>
      </c>
      <c r="O753" s="21" t="str">
        <f aca="false">IF(H753="Yes",MONTH(I753),"")</f>
        <v/>
      </c>
      <c r="P753" s="21" t="str">
        <f aca="false">IF(H753="Yes",B753,"")</f>
        <v/>
      </c>
    </row>
    <row r="754" customFormat="false" ht="15" hidden="false" customHeight="false" outlineLevel="0" collapsed="false">
      <c r="A754" s="21" t="s">
        <v>1969</v>
      </c>
      <c r="B754" s="21" t="s">
        <v>443</v>
      </c>
      <c r="C754" s="21" t="s">
        <v>1322</v>
      </c>
      <c r="D754" s="21" t="s">
        <v>1181</v>
      </c>
      <c r="E754" s="33" t="n">
        <v>45302</v>
      </c>
      <c r="F754" s="21" t="s">
        <v>1197</v>
      </c>
      <c r="G754" s="32"/>
      <c r="H754" s="21"/>
      <c r="I754" s="33"/>
      <c r="J754" s="21" t="str">
        <f aca="false">INDEX(Students!$C$2:$C$601,MATCH(B754,Students!$A$2:$A$601,0))</f>
        <v>Batch 2024</v>
      </c>
      <c r="K754" s="21" t="str">
        <f aca="false">INDEX(Students!$D$2:$D$601,MATCH(B754,Students!$A$2:$A$601,0))</f>
        <v>Full Stack Development</v>
      </c>
      <c r="L754" s="21" t="str">
        <f aca="false">INDEX(Companies!$C$2:$C$31,MATCH(C754,Companies!$A$2:$A$31,0))</f>
        <v>Healthtech</v>
      </c>
      <c r="M754" s="21" t="str">
        <f aca="false">INDEX(Companies!$D$2:$D$31,MATCH(C754,Companies!$A$2:$A$31,0))</f>
        <v>Tier 2</v>
      </c>
      <c r="N754" s="34" t="n">
        <f aca="false">MATCH(F754,Assumptions!$K$4:$K$8,0)</f>
        <v>3</v>
      </c>
      <c r="O754" s="21" t="str">
        <f aca="false">IF(H754="Yes",MONTH(I754),"")</f>
        <v/>
      </c>
      <c r="P754" s="21" t="str">
        <f aca="false">IF(H754="Yes",B754,"")</f>
        <v/>
      </c>
    </row>
    <row r="755" customFormat="false" ht="15" hidden="false" customHeight="false" outlineLevel="0" collapsed="false">
      <c r="A755" s="21" t="s">
        <v>1970</v>
      </c>
      <c r="B755" s="21" t="s">
        <v>283</v>
      </c>
      <c r="C755" s="21" t="s">
        <v>1275</v>
      </c>
      <c r="D755" s="21" t="s">
        <v>1184</v>
      </c>
      <c r="E755" s="33" t="n">
        <v>45302</v>
      </c>
      <c r="F755" s="21" t="s">
        <v>1185</v>
      </c>
      <c r="G755" s="32" t="n">
        <v>13</v>
      </c>
      <c r="H755" s="21" t="s">
        <v>120</v>
      </c>
      <c r="I755" s="33" t="n">
        <v>45350</v>
      </c>
      <c r="J755" s="21" t="str">
        <f aca="false">INDEX(Students!$C$2:$C$601,MATCH(B755,Students!$A$2:$A$601,0))</f>
        <v>Batch 2024</v>
      </c>
      <c r="K755" s="21" t="str">
        <f aca="false">INDEX(Students!$D$2:$D$601,MATCH(B755,Students!$A$2:$A$601,0))</f>
        <v>DSA with Java</v>
      </c>
      <c r="L755" s="21" t="str">
        <f aca="false">INDEX(Companies!$C$2:$C$31,MATCH(C755,Companies!$A$2:$A$31,0))</f>
        <v>Cybersecurity</v>
      </c>
      <c r="M755" s="21" t="str">
        <f aca="false">INDEX(Companies!$D$2:$D$31,MATCH(C755,Companies!$A$2:$A$31,0))</f>
        <v>Tier 2</v>
      </c>
      <c r="N755" s="34" t="n">
        <f aca="false">MATCH(F755,Assumptions!$K$4:$K$8,0)</f>
        <v>5</v>
      </c>
      <c r="O755" s="21" t="n">
        <f aca="false">IF(H755="Yes",MONTH(I755),"")</f>
        <v>2</v>
      </c>
      <c r="P755" s="21" t="str">
        <f aca="false">IF(H755="Yes",B755,"")</f>
        <v>S0088</v>
      </c>
    </row>
    <row r="756" customFormat="false" ht="15" hidden="false" customHeight="false" outlineLevel="0" collapsed="false">
      <c r="A756" s="21" t="s">
        <v>1971</v>
      </c>
      <c r="B756" s="21" t="s">
        <v>384</v>
      </c>
      <c r="C756" s="21" t="s">
        <v>1298</v>
      </c>
      <c r="D756" s="21" t="s">
        <v>1181</v>
      </c>
      <c r="E756" s="33" t="n">
        <v>45302</v>
      </c>
      <c r="F756" s="21" t="s">
        <v>1178</v>
      </c>
      <c r="G756" s="32"/>
      <c r="H756" s="21"/>
      <c r="I756" s="33"/>
      <c r="J756" s="21" t="str">
        <f aca="false">INDEX(Students!$C$2:$C$601,MATCH(B756,Students!$A$2:$A$601,0))</f>
        <v>Batch 2024</v>
      </c>
      <c r="K756" s="21" t="str">
        <f aca="false">INDEX(Students!$D$2:$D$601,MATCH(B756,Students!$A$2:$A$601,0))</f>
        <v>Full Stack Development</v>
      </c>
      <c r="L756" s="21" t="str">
        <f aca="false">INDEX(Companies!$C$2:$C$31,MATCH(C756,Companies!$A$2:$A$31,0))</f>
        <v>Fintech</v>
      </c>
      <c r="M756" s="21" t="str">
        <f aca="false">INDEX(Companies!$D$2:$D$31,MATCH(C756,Companies!$A$2:$A$31,0))</f>
        <v>Tier 2</v>
      </c>
      <c r="N756" s="34" t="n">
        <f aca="false">MATCH(F756,Assumptions!$K$4:$K$8,0)</f>
        <v>2</v>
      </c>
      <c r="O756" s="21" t="str">
        <f aca="false">IF(H756="Yes",MONTH(I756),"")</f>
        <v/>
      </c>
      <c r="P756" s="21" t="str">
        <f aca="false">IF(H756="Yes",B756,"")</f>
        <v/>
      </c>
    </row>
    <row r="757" customFormat="false" ht="15" hidden="false" customHeight="false" outlineLevel="0" collapsed="false">
      <c r="A757" s="21" t="s">
        <v>1972</v>
      </c>
      <c r="B757" s="21" t="s">
        <v>173</v>
      </c>
      <c r="C757" s="21" t="s">
        <v>1180</v>
      </c>
      <c r="D757" s="21" t="s">
        <v>1181</v>
      </c>
      <c r="E757" s="33" t="n">
        <v>45302</v>
      </c>
      <c r="F757" s="21" t="s">
        <v>1185</v>
      </c>
      <c r="G757" s="32" t="n">
        <v>6.3</v>
      </c>
      <c r="H757" s="21" t="s">
        <v>113</v>
      </c>
      <c r="I757" s="33" t="n">
        <v>45338</v>
      </c>
      <c r="J757" s="21" t="str">
        <f aca="false">INDEX(Students!$C$2:$C$601,MATCH(B757,Students!$A$2:$A$601,0))</f>
        <v>Batch 2024</v>
      </c>
      <c r="K757" s="21" t="str">
        <f aca="false">INDEX(Students!$D$2:$D$601,MATCH(B757,Students!$A$2:$A$601,0))</f>
        <v>Full Stack Development</v>
      </c>
      <c r="L757" s="21" t="str">
        <f aca="false">INDEX(Companies!$C$2:$C$31,MATCH(C757,Companies!$A$2:$A$31,0))</f>
        <v>IT Services</v>
      </c>
      <c r="M757" s="21" t="str">
        <f aca="false">INDEX(Companies!$D$2:$D$31,MATCH(C757,Companies!$A$2:$A$31,0))</f>
        <v>Tier 3</v>
      </c>
      <c r="N757" s="34" t="n">
        <f aca="false">MATCH(F757,Assumptions!$K$4:$K$8,0)</f>
        <v>5</v>
      </c>
      <c r="O757" s="21" t="str">
        <f aca="false">IF(H757="Yes",MONTH(I757),"")</f>
        <v/>
      </c>
      <c r="P757" s="21" t="str">
        <f aca="false">IF(H757="Yes",B757,"")</f>
        <v/>
      </c>
    </row>
    <row r="758" customFormat="false" ht="15" hidden="false" customHeight="false" outlineLevel="0" collapsed="false">
      <c r="A758" s="21" t="s">
        <v>1973</v>
      </c>
      <c r="B758" s="21" t="s">
        <v>175</v>
      </c>
      <c r="C758" s="21" t="s">
        <v>1263</v>
      </c>
      <c r="D758" s="21" t="s">
        <v>1174</v>
      </c>
      <c r="E758" s="33" t="n">
        <v>45302</v>
      </c>
      <c r="F758" s="21" t="s">
        <v>1197</v>
      </c>
      <c r="G758" s="32"/>
      <c r="H758" s="21"/>
      <c r="I758" s="33"/>
      <c r="J758" s="21" t="str">
        <f aca="false">INDEX(Students!$C$2:$C$601,MATCH(B758,Students!$A$2:$A$601,0))</f>
        <v>Batch 2024</v>
      </c>
      <c r="K758" s="21" t="str">
        <f aca="false">INDEX(Students!$D$2:$D$601,MATCH(B758,Students!$A$2:$A$601,0))</f>
        <v>Full Stack Development</v>
      </c>
      <c r="L758" s="21" t="str">
        <f aca="false">INDEX(Companies!$C$2:$C$31,MATCH(C758,Companies!$A$2:$A$31,0))</f>
        <v>Analytics &amp; Consulting</v>
      </c>
      <c r="M758" s="21" t="str">
        <f aca="false">INDEX(Companies!$D$2:$D$31,MATCH(C758,Companies!$A$2:$A$31,0))</f>
        <v>Tier 2</v>
      </c>
      <c r="N758" s="34" t="n">
        <f aca="false">MATCH(F758,Assumptions!$K$4:$K$8,0)</f>
        <v>3</v>
      </c>
      <c r="O758" s="21" t="str">
        <f aca="false">IF(H758="Yes",MONTH(I758),"")</f>
        <v/>
      </c>
      <c r="P758" s="21" t="str">
        <f aca="false">IF(H758="Yes",B758,"")</f>
        <v/>
      </c>
    </row>
    <row r="759" customFormat="false" ht="15" hidden="false" customHeight="false" outlineLevel="0" collapsed="false">
      <c r="A759" s="21" t="s">
        <v>1974</v>
      </c>
      <c r="B759" s="21" t="s">
        <v>213</v>
      </c>
      <c r="C759" s="21" t="s">
        <v>1183</v>
      </c>
      <c r="D759" s="21" t="s">
        <v>1184</v>
      </c>
      <c r="E759" s="33" t="n">
        <v>45302</v>
      </c>
      <c r="F759" s="21" t="s">
        <v>1185</v>
      </c>
      <c r="G759" s="32" t="n">
        <v>9.4</v>
      </c>
      <c r="H759" s="21" t="s">
        <v>113</v>
      </c>
      <c r="I759" s="33" t="n">
        <v>45324</v>
      </c>
      <c r="J759" s="21" t="str">
        <f aca="false">INDEX(Students!$C$2:$C$601,MATCH(B759,Students!$A$2:$A$601,0))</f>
        <v>Batch 2024</v>
      </c>
      <c r="K759" s="21" t="str">
        <f aca="false">INDEX(Students!$D$2:$D$601,MATCH(B759,Students!$A$2:$A$601,0))</f>
        <v>DSA with Java</v>
      </c>
      <c r="L759" s="21" t="str">
        <f aca="false">INDEX(Companies!$C$2:$C$31,MATCH(C759,Companies!$A$2:$A$31,0))</f>
        <v>E-commerce</v>
      </c>
      <c r="M759" s="21" t="str">
        <f aca="false">INDEX(Companies!$D$2:$D$31,MATCH(C759,Companies!$A$2:$A$31,0))</f>
        <v>Tier 2</v>
      </c>
      <c r="N759" s="34" t="n">
        <f aca="false">MATCH(F759,Assumptions!$K$4:$K$8,0)</f>
        <v>5</v>
      </c>
      <c r="O759" s="21" t="str">
        <f aca="false">IF(H759="Yes",MONTH(I759),"")</f>
        <v/>
      </c>
      <c r="P759" s="21" t="str">
        <f aca="false">IF(H759="Yes",B759,"")</f>
        <v/>
      </c>
    </row>
    <row r="760" customFormat="false" ht="15" hidden="false" customHeight="false" outlineLevel="0" collapsed="false">
      <c r="A760" s="21" t="s">
        <v>1975</v>
      </c>
      <c r="B760" s="21" t="s">
        <v>352</v>
      </c>
      <c r="C760" s="21" t="s">
        <v>1173</v>
      </c>
      <c r="D760" s="21" t="s">
        <v>1243</v>
      </c>
      <c r="E760" s="33" t="n">
        <v>45302</v>
      </c>
      <c r="F760" s="21" t="s">
        <v>1197</v>
      </c>
      <c r="G760" s="32"/>
      <c r="H760" s="21"/>
      <c r="I760" s="33"/>
      <c r="J760" s="21" t="str">
        <f aca="false">INDEX(Students!$C$2:$C$601,MATCH(B760,Students!$A$2:$A$601,0))</f>
        <v>Batch 2024</v>
      </c>
      <c r="K760" s="21" t="str">
        <f aca="false">INDEX(Students!$D$2:$D$601,MATCH(B760,Students!$A$2:$A$601,0))</f>
        <v>Data Science &amp; ML</v>
      </c>
      <c r="L760" s="21" t="str">
        <f aca="false">INDEX(Companies!$C$2:$C$31,MATCH(C760,Companies!$A$2:$A$31,0))</f>
        <v>Cybersecurity</v>
      </c>
      <c r="M760" s="21" t="str">
        <f aca="false">INDEX(Companies!$D$2:$D$31,MATCH(C760,Companies!$A$2:$A$31,0))</f>
        <v>Tier 1</v>
      </c>
      <c r="N760" s="34" t="n">
        <f aca="false">MATCH(F760,Assumptions!$K$4:$K$8,0)</f>
        <v>3</v>
      </c>
      <c r="O760" s="21" t="str">
        <f aca="false">IF(H760="Yes",MONTH(I760),"")</f>
        <v/>
      </c>
      <c r="P760" s="21" t="str">
        <f aca="false">IF(H760="Yes",B760,"")</f>
        <v/>
      </c>
    </row>
    <row r="761" customFormat="false" ht="15" hidden="false" customHeight="false" outlineLevel="0" collapsed="false">
      <c r="A761" s="21" t="s">
        <v>1976</v>
      </c>
      <c r="B761" s="21" t="s">
        <v>305</v>
      </c>
      <c r="C761" s="21" t="s">
        <v>1205</v>
      </c>
      <c r="D761" s="21" t="s">
        <v>1194</v>
      </c>
      <c r="E761" s="33" t="n">
        <v>45302</v>
      </c>
      <c r="F761" s="21" t="s">
        <v>1185</v>
      </c>
      <c r="G761" s="32" t="n">
        <v>4.8</v>
      </c>
      <c r="H761" s="21" t="s">
        <v>113</v>
      </c>
      <c r="I761" s="33" t="n">
        <v>45345</v>
      </c>
      <c r="J761" s="21" t="str">
        <f aca="false">INDEX(Students!$C$2:$C$601,MATCH(B761,Students!$A$2:$A$601,0))</f>
        <v>Batch 2024</v>
      </c>
      <c r="K761" s="21" t="str">
        <f aca="false">INDEX(Students!$D$2:$D$601,MATCH(B761,Students!$A$2:$A$601,0))</f>
        <v>Data Science &amp; ML</v>
      </c>
      <c r="L761" s="21" t="str">
        <f aca="false">INDEX(Companies!$C$2:$C$31,MATCH(C761,Companies!$A$2:$A$31,0))</f>
        <v>Healthtech</v>
      </c>
      <c r="M761" s="21" t="str">
        <f aca="false">INDEX(Companies!$D$2:$D$31,MATCH(C761,Companies!$A$2:$A$31,0))</f>
        <v>Tier 3</v>
      </c>
      <c r="N761" s="34" t="n">
        <f aca="false">MATCH(F761,Assumptions!$K$4:$K$8,0)</f>
        <v>5</v>
      </c>
      <c r="O761" s="21" t="str">
        <f aca="false">IF(H761="Yes",MONTH(I761),"")</f>
        <v/>
      </c>
      <c r="P761" s="21" t="str">
        <f aca="false">IF(H761="Yes",B761,"")</f>
        <v/>
      </c>
    </row>
    <row r="762" customFormat="false" ht="15" hidden="false" customHeight="false" outlineLevel="0" collapsed="false">
      <c r="A762" s="21" t="s">
        <v>1977</v>
      </c>
      <c r="B762" s="21" t="s">
        <v>287</v>
      </c>
      <c r="C762" s="21" t="s">
        <v>1205</v>
      </c>
      <c r="D762" s="21" t="s">
        <v>1209</v>
      </c>
      <c r="E762" s="33" t="n">
        <v>45303</v>
      </c>
      <c r="F762" s="21" t="s">
        <v>1185</v>
      </c>
      <c r="G762" s="32" t="n">
        <v>5.9</v>
      </c>
      <c r="H762" s="21" t="s">
        <v>120</v>
      </c>
      <c r="I762" s="33" t="n">
        <v>45345</v>
      </c>
      <c r="J762" s="21" t="str">
        <f aca="false">INDEX(Students!$C$2:$C$601,MATCH(B762,Students!$A$2:$A$601,0))</f>
        <v>Batch 2024</v>
      </c>
      <c r="K762" s="21" t="str">
        <f aca="false">INDEX(Students!$D$2:$D$601,MATCH(B762,Students!$A$2:$A$601,0))</f>
        <v>Data Analytics</v>
      </c>
      <c r="L762" s="21" t="str">
        <f aca="false">INDEX(Companies!$C$2:$C$31,MATCH(C762,Companies!$A$2:$A$31,0))</f>
        <v>Healthtech</v>
      </c>
      <c r="M762" s="21" t="str">
        <f aca="false">INDEX(Companies!$D$2:$D$31,MATCH(C762,Companies!$A$2:$A$31,0))</f>
        <v>Tier 3</v>
      </c>
      <c r="N762" s="34" t="n">
        <f aca="false">MATCH(F762,Assumptions!$K$4:$K$8,0)</f>
        <v>5</v>
      </c>
      <c r="O762" s="21" t="n">
        <f aca="false">IF(H762="Yes",MONTH(I762),"")</f>
        <v>2</v>
      </c>
      <c r="P762" s="21" t="str">
        <f aca="false">IF(H762="Yes",B762,"")</f>
        <v>S0090</v>
      </c>
    </row>
    <row r="763" customFormat="false" ht="15" hidden="false" customHeight="false" outlineLevel="0" collapsed="false">
      <c r="A763" s="21" t="s">
        <v>1978</v>
      </c>
      <c r="B763" s="21" t="s">
        <v>187</v>
      </c>
      <c r="C763" s="21" t="s">
        <v>1193</v>
      </c>
      <c r="D763" s="21" t="s">
        <v>1194</v>
      </c>
      <c r="E763" s="33" t="n">
        <v>45303</v>
      </c>
      <c r="F763" s="21" t="s">
        <v>1197</v>
      </c>
      <c r="G763" s="32"/>
      <c r="H763" s="21"/>
      <c r="I763" s="33"/>
      <c r="J763" s="21" t="str">
        <f aca="false">INDEX(Students!$C$2:$C$601,MATCH(B763,Students!$A$2:$A$601,0))</f>
        <v>Batch 2024</v>
      </c>
      <c r="K763" s="21" t="str">
        <f aca="false">INDEX(Students!$D$2:$D$601,MATCH(B763,Students!$A$2:$A$601,0))</f>
        <v>Data Science &amp; ML</v>
      </c>
      <c r="L763" s="21" t="str">
        <f aca="false">INDEX(Companies!$C$2:$C$31,MATCH(C763,Companies!$A$2:$A$31,0))</f>
        <v>Analytics &amp; Consulting</v>
      </c>
      <c r="M763" s="21" t="str">
        <f aca="false">INDEX(Companies!$D$2:$D$31,MATCH(C763,Companies!$A$2:$A$31,0))</f>
        <v>Tier 2</v>
      </c>
      <c r="N763" s="34" t="n">
        <f aca="false">MATCH(F763,Assumptions!$K$4:$K$8,0)</f>
        <v>3</v>
      </c>
      <c r="O763" s="21" t="str">
        <f aca="false">IF(H763="Yes",MONTH(I763),"")</f>
        <v/>
      </c>
      <c r="P763" s="21" t="str">
        <f aca="false">IF(H763="Yes",B763,"")</f>
        <v/>
      </c>
    </row>
    <row r="764" customFormat="false" ht="15" hidden="false" customHeight="false" outlineLevel="0" collapsed="false">
      <c r="A764" s="21" t="s">
        <v>1979</v>
      </c>
      <c r="B764" s="21" t="s">
        <v>179</v>
      </c>
      <c r="C764" s="21" t="s">
        <v>1255</v>
      </c>
      <c r="D764" s="21" t="s">
        <v>1191</v>
      </c>
      <c r="E764" s="33" t="n">
        <v>45303</v>
      </c>
      <c r="F764" s="21" t="s">
        <v>1185</v>
      </c>
      <c r="G764" s="32" t="n">
        <v>7.4</v>
      </c>
      <c r="H764" s="21" t="s">
        <v>113</v>
      </c>
      <c r="I764" s="33" t="n">
        <v>45336</v>
      </c>
      <c r="J764" s="21" t="str">
        <f aca="false">INDEX(Students!$C$2:$C$601,MATCH(B764,Students!$A$2:$A$601,0))</f>
        <v>Batch 2024</v>
      </c>
      <c r="K764" s="21" t="str">
        <f aca="false">INDEX(Students!$D$2:$D$601,MATCH(B764,Students!$A$2:$A$601,0))</f>
        <v>DSA with Java</v>
      </c>
      <c r="L764" s="21" t="str">
        <f aca="false">INDEX(Companies!$C$2:$C$31,MATCH(C764,Companies!$A$2:$A$31,0))</f>
        <v>IT Services</v>
      </c>
      <c r="M764" s="21" t="str">
        <f aca="false">INDEX(Companies!$D$2:$D$31,MATCH(C764,Companies!$A$2:$A$31,0))</f>
        <v>Tier 3</v>
      </c>
      <c r="N764" s="34" t="n">
        <f aca="false">MATCH(F764,Assumptions!$K$4:$K$8,0)</f>
        <v>5</v>
      </c>
      <c r="O764" s="21" t="str">
        <f aca="false">IF(H764="Yes",MONTH(I764),"")</f>
        <v/>
      </c>
      <c r="P764" s="21" t="str">
        <f aca="false">IF(H764="Yes",B764,"")</f>
        <v/>
      </c>
    </row>
    <row r="765" customFormat="false" ht="15" hidden="false" customHeight="false" outlineLevel="0" collapsed="false">
      <c r="A765" s="21" t="s">
        <v>1980</v>
      </c>
      <c r="B765" s="21" t="s">
        <v>364</v>
      </c>
      <c r="C765" s="21" t="s">
        <v>1187</v>
      </c>
      <c r="D765" s="21" t="s">
        <v>1184</v>
      </c>
      <c r="E765" s="33" t="n">
        <v>45303</v>
      </c>
      <c r="F765" s="21" t="s">
        <v>1175</v>
      </c>
      <c r="G765" s="32"/>
      <c r="H765" s="21"/>
      <c r="I765" s="33"/>
      <c r="J765" s="21" t="str">
        <f aca="false">INDEX(Students!$C$2:$C$601,MATCH(B765,Students!$A$2:$A$601,0))</f>
        <v>Batch 2024</v>
      </c>
      <c r="K765" s="21" t="str">
        <f aca="false">INDEX(Students!$D$2:$D$601,MATCH(B765,Students!$A$2:$A$601,0))</f>
        <v>DSA with Java</v>
      </c>
      <c r="L765" s="21" t="str">
        <f aca="false">INDEX(Companies!$C$2:$C$31,MATCH(C765,Companies!$A$2:$A$31,0))</f>
        <v>Product</v>
      </c>
      <c r="M765" s="21" t="str">
        <f aca="false">INDEX(Companies!$D$2:$D$31,MATCH(C765,Companies!$A$2:$A$31,0))</f>
        <v>Tier 1</v>
      </c>
      <c r="N765" s="34" t="n">
        <f aca="false">MATCH(F765,Assumptions!$K$4:$K$8,0)</f>
        <v>1</v>
      </c>
      <c r="O765" s="21" t="str">
        <f aca="false">IF(H765="Yes",MONTH(I765),"")</f>
        <v/>
      </c>
      <c r="P765" s="21" t="str">
        <f aca="false">IF(H765="Yes",B765,"")</f>
        <v/>
      </c>
    </row>
    <row r="766" customFormat="false" ht="15" hidden="false" customHeight="false" outlineLevel="0" collapsed="false">
      <c r="A766" s="21" t="s">
        <v>1981</v>
      </c>
      <c r="B766" s="21" t="s">
        <v>436</v>
      </c>
      <c r="C766" s="21" t="s">
        <v>1290</v>
      </c>
      <c r="D766" s="21" t="s">
        <v>1181</v>
      </c>
      <c r="E766" s="33" t="n">
        <v>45303</v>
      </c>
      <c r="F766" s="21" t="s">
        <v>1175</v>
      </c>
      <c r="G766" s="32"/>
      <c r="H766" s="21"/>
      <c r="I766" s="33"/>
      <c r="J766" s="21" t="str">
        <f aca="false">INDEX(Students!$C$2:$C$601,MATCH(B766,Students!$A$2:$A$601,0))</f>
        <v>Batch 2024</v>
      </c>
      <c r="K766" s="21" t="str">
        <f aca="false">INDEX(Students!$D$2:$D$601,MATCH(B766,Students!$A$2:$A$601,0))</f>
        <v>Full Stack Development</v>
      </c>
      <c r="L766" s="21" t="str">
        <f aca="false">INDEX(Companies!$C$2:$C$31,MATCH(C766,Companies!$A$2:$A$31,0))</f>
        <v>Fintech</v>
      </c>
      <c r="M766" s="21" t="str">
        <f aca="false">INDEX(Companies!$D$2:$D$31,MATCH(C766,Companies!$A$2:$A$31,0))</f>
        <v>Tier 2</v>
      </c>
      <c r="N766" s="34" t="n">
        <f aca="false">MATCH(F766,Assumptions!$K$4:$K$8,0)</f>
        <v>1</v>
      </c>
      <c r="O766" s="21" t="str">
        <f aca="false">IF(H766="Yes",MONTH(I766),"")</f>
        <v/>
      </c>
      <c r="P766" s="21" t="str">
        <f aca="false">IF(H766="Yes",B766,"")</f>
        <v/>
      </c>
    </row>
    <row r="767" customFormat="false" ht="15" hidden="false" customHeight="false" outlineLevel="0" collapsed="false">
      <c r="A767" s="21" t="s">
        <v>1982</v>
      </c>
      <c r="B767" s="21" t="s">
        <v>447</v>
      </c>
      <c r="C767" s="21" t="s">
        <v>1193</v>
      </c>
      <c r="D767" s="21" t="s">
        <v>1184</v>
      </c>
      <c r="E767" s="33" t="n">
        <v>45303</v>
      </c>
      <c r="F767" s="21" t="s">
        <v>1175</v>
      </c>
      <c r="G767" s="32"/>
      <c r="H767" s="21"/>
      <c r="I767" s="33"/>
      <c r="J767" s="21" t="str">
        <f aca="false">INDEX(Students!$C$2:$C$601,MATCH(B767,Students!$A$2:$A$601,0))</f>
        <v>Batch 2024</v>
      </c>
      <c r="K767" s="21" t="str">
        <f aca="false">INDEX(Students!$D$2:$D$601,MATCH(B767,Students!$A$2:$A$601,0))</f>
        <v>DSA with Java</v>
      </c>
      <c r="L767" s="21" t="str">
        <f aca="false">INDEX(Companies!$C$2:$C$31,MATCH(C767,Companies!$A$2:$A$31,0))</f>
        <v>Analytics &amp; Consulting</v>
      </c>
      <c r="M767" s="21" t="str">
        <f aca="false">INDEX(Companies!$D$2:$D$31,MATCH(C767,Companies!$A$2:$A$31,0))</f>
        <v>Tier 2</v>
      </c>
      <c r="N767" s="34" t="n">
        <f aca="false">MATCH(F767,Assumptions!$K$4:$K$8,0)</f>
        <v>1</v>
      </c>
      <c r="O767" s="21" t="str">
        <f aca="false">IF(H767="Yes",MONTH(I767),"")</f>
        <v/>
      </c>
      <c r="P767" s="21" t="str">
        <f aca="false">IF(H767="Yes",B767,"")</f>
        <v/>
      </c>
    </row>
    <row r="768" customFormat="false" ht="15" hidden="false" customHeight="false" outlineLevel="0" collapsed="false">
      <c r="A768" s="21" t="s">
        <v>1983</v>
      </c>
      <c r="B768" s="21" t="s">
        <v>374</v>
      </c>
      <c r="C768" s="21" t="s">
        <v>1239</v>
      </c>
      <c r="D768" s="21" t="s">
        <v>1243</v>
      </c>
      <c r="E768" s="33" t="n">
        <v>45303</v>
      </c>
      <c r="F768" s="21" t="s">
        <v>1197</v>
      </c>
      <c r="G768" s="32"/>
      <c r="H768" s="21"/>
      <c r="I768" s="33"/>
      <c r="J768" s="21" t="str">
        <f aca="false">INDEX(Students!$C$2:$C$601,MATCH(B768,Students!$A$2:$A$601,0))</f>
        <v>Batch 2024</v>
      </c>
      <c r="K768" s="21" t="str">
        <f aca="false">INDEX(Students!$D$2:$D$601,MATCH(B768,Students!$A$2:$A$601,0))</f>
        <v>Data Science &amp; ML</v>
      </c>
      <c r="L768" s="21" t="str">
        <f aca="false">INDEX(Companies!$C$2:$C$31,MATCH(C768,Companies!$A$2:$A$31,0))</f>
        <v>E-commerce</v>
      </c>
      <c r="M768" s="21" t="str">
        <f aca="false">INDEX(Companies!$D$2:$D$31,MATCH(C768,Companies!$A$2:$A$31,0))</f>
        <v>Tier 3</v>
      </c>
      <c r="N768" s="34" t="n">
        <f aca="false">MATCH(F768,Assumptions!$K$4:$K$8,0)</f>
        <v>3</v>
      </c>
      <c r="O768" s="21" t="str">
        <f aca="false">IF(H768="Yes",MONTH(I768),"")</f>
        <v/>
      </c>
      <c r="P768" s="21" t="str">
        <f aca="false">IF(H768="Yes",B768,"")</f>
        <v/>
      </c>
    </row>
    <row r="769" customFormat="false" ht="15" hidden="false" customHeight="false" outlineLevel="0" collapsed="false">
      <c r="A769" s="21" t="s">
        <v>1984</v>
      </c>
      <c r="B769" s="21" t="s">
        <v>337</v>
      </c>
      <c r="C769" s="21" t="s">
        <v>1190</v>
      </c>
      <c r="D769" s="21" t="s">
        <v>1243</v>
      </c>
      <c r="E769" s="33" t="n">
        <v>45304</v>
      </c>
      <c r="F769" s="21" t="s">
        <v>1178</v>
      </c>
      <c r="G769" s="32"/>
      <c r="H769" s="21"/>
      <c r="I769" s="33"/>
      <c r="J769" s="21" t="str">
        <f aca="false">INDEX(Students!$C$2:$C$601,MATCH(B769,Students!$A$2:$A$601,0))</f>
        <v>Batch 2024</v>
      </c>
      <c r="K769" s="21" t="str">
        <f aca="false">INDEX(Students!$D$2:$D$601,MATCH(B769,Students!$A$2:$A$601,0))</f>
        <v>Data Science &amp; ML</v>
      </c>
      <c r="L769" s="21" t="str">
        <f aca="false">INDEX(Companies!$C$2:$C$31,MATCH(C769,Companies!$A$2:$A$31,0))</f>
        <v>Analytics &amp; Consulting</v>
      </c>
      <c r="M769" s="21" t="str">
        <f aca="false">INDEX(Companies!$D$2:$D$31,MATCH(C769,Companies!$A$2:$A$31,0))</f>
        <v>Tier 1</v>
      </c>
      <c r="N769" s="34" t="n">
        <f aca="false">MATCH(F769,Assumptions!$K$4:$K$8,0)</f>
        <v>2</v>
      </c>
      <c r="O769" s="21" t="str">
        <f aca="false">IF(H769="Yes",MONTH(I769),"")</f>
        <v/>
      </c>
      <c r="P769" s="21" t="str">
        <f aca="false">IF(H769="Yes",B769,"")</f>
        <v/>
      </c>
    </row>
    <row r="770" customFormat="false" ht="15" hidden="false" customHeight="false" outlineLevel="0" collapsed="false">
      <c r="A770" s="21" t="s">
        <v>1985</v>
      </c>
      <c r="B770" s="21" t="s">
        <v>230</v>
      </c>
      <c r="C770" s="21" t="s">
        <v>1183</v>
      </c>
      <c r="D770" s="21" t="s">
        <v>1174</v>
      </c>
      <c r="E770" s="33" t="n">
        <v>45305</v>
      </c>
      <c r="F770" s="21" t="s">
        <v>1175</v>
      </c>
      <c r="G770" s="32"/>
      <c r="H770" s="21"/>
      <c r="I770" s="33"/>
      <c r="J770" s="21" t="str">
        <f aca="false">INDEX(Students!$C$2:$C$601,MATCH(B770,Students!$A$2:$A$601,0))</f>
        <v>Batch 2024</v>
      </c>
      <c r="K770" s="21" t="str">
        <f aca="false">INDEX(Students!$D$2:$D$601,MATCH(B770,Students!$A$2:$A$601,0))</f>
        <v>Full Stack Development</v>
      </c>
      <c r="L770" s="21" t="str">
        <f aca="false">INDEX(Companies!$C$2:$C$31,MATCH(C770,Companies!$A$2:$A$31,0))</f>
        <v>E-commerce</v>
      </c>
      <c r="M770" s="21" t="str">
        <f aca="false">INDEX(Companies!$D$2:$D$31,MATCH(C770,Companies!$A$2:$A$31,0))</f>
        <v>Tier 2</v>
      </c>
      <c r="N770" s="34" t="n">
        <f aca="false">MATCH(F770,Assumptions!$K$4:$K$8,0)</f>
        <v>1</v>
      </c>
      <c r="O770" s="21" t="str">
        <f aca="false">IF(H770="Yes",MONTH(I770),"")</f>
        <v/>
      </c>
      <c r="P770" s="21" t="str">
        <f aca="false">IF(H770="Yes",B770,"")</f>
        <v/>
      </c>
    </row>
    <row r="771" customFormat="false" ht="15" hidden="false" customHeight="false" outlineLevel="0" collapsed="false">
      <c r="A771" s="21" t="s">
        <v>1986</v>
      </c>
      <c r="B771" s="21" t="s">
        <v>228</v>
      </c>
      <c r="C771" s="21" t="s">
        <v>1222</v>
      </c>
      <c r="D771" s="21" t="s">
        <v>1243</v>
      </c>
      <c r="E771" s="33" t="n">
        <v>45306</v>
      </c>
      <c r="F771" s="21" t="s">
        <v>1218</v>
      </c>
      <c r="G771" s="32"/>
      <c r="H771" s="21"/>
      <c r="I771" s="33"/>
      <c r="J771" s="21" t="str">
        <f aca="false">INDEX(Students!$C$2:$C$601,MATCH(B771,Students!$A$2:$A$601,0))</f>
        <v>Batch 2024</v>
      </c>
      <c r="K771" s="21" t="str">
        <f aca="false">INDEX(Students!$D$2:$D$601,MATCH(B771,Students!$A$2:$A$601,0))</f>
        <v>Data Science &amp; ML</v>
      </c>
      <c r="L771" s="21" t="str">
        <f aca="false">INDEX(Companies!$C$2:$C$31,MATCH(C771,Companies!$A$2:$A$31,0))</f>
        <v>Product</v>
      </c>
      <c r="M771" s="21" t="str">
        <f aca="false">INDEX(Companies!$D$2:$D$31,MATCH(C771,Companies!$A$2:$A$31,0))</f>
        <v>Tier 2</v>
      </c>
      <c r="N771" s="34" t="n">
        <f aca="false">MATCH(F771,Assumptions!$K$4:$K$8,0)</f>
        <v>4</v>
      </c>
      <c r="O771" s="21" t="str">
        <f aca="false">IF(H771="Yes",MONTH(I771),"")</f>
        <v/>
      </c>
      <c r="P771" s="21" t="str">
        <f aca="false">IF(H771="Yes",B771,"")</f>
        <v/>
      </c>
    </row>
    <row r="772" customFormat="false" ht="15" hidden="false" customHeight="false" outlineLevel="0" collapsed="false">
      <c r="A772" s="21" t="s">
        <v>1987</v>
      </c>
      <c r="B772" s="21" t="s">
        <v>207</v>
      </c>
      <c r="C772" s="21" t="s">
        <v>1177</v>
      </c>
      <c r="D772" s="21" t="s">
        <v>1188</v>
      </c>
      <c r="E772" s="33" t="n">
        <v>45306</v>
      </c>
      <c r="F772" s="21" t="s">
        <v>1185</v>
      </c>
      <c r="G772" s="32" t="n">
        <v>6.7</v>
      </c>
      <c r="H772" s="21" t="s">
        <v>120</v>
      </c>
      <c r="I772" s="33" t="n">
        <v>45352</v>
      </c>
      <c r="J772" s="21" t="str">
        <f aca="false">INDEX(Students!$C$2:$C$601,MATCH(B772,Students!$A$2:$A$601,0))</f>
        <v>Batch 2024</v>
      </c>
      <c r="K772" s="21" t="str">
        <f aca="false">INDEX(Students!$D$2:$D$601,MATCH(B772,Students!$A$2:$A$601,0))</f>
        <v>Data Analytics</v>
      </c>
      <c r="L772" s="21" t="str">
        <f aca="false">INDEX(Companies!$C$2:$C$31,MATCH(C772,Companies!$A$2:$A$31,0))</f>
        <v>IT Services</v>
      </c>
      <c r="M772" s="21" t="str">
        <f aca="false">INDEX(Companies!$D$2:$D$31,MATCH(C772,Companies!$A$2:$A$31,0))</f>
        <v>Tier 3</v>
      </c>
      <c r="N772" s="34" t="n">
        <f aca="false">MATCH(F772,Assumptions!$K$4:$K$8,0)</f>
        <v>5</v>
      </c>
      <c r="O772" s="21" t="n">
        <f aca="false">IF(H772="Yes",MONTH(I772),"")</f>
        <v>3</v>
      </c>
      <c r="P772" s="21" t="str">
        <f aca="false">IF(H772="Yes",B772,"")</f>
        <v>S0048</v>
      </c>
    </row>
    <row r="773" customFormat="false" ht="15" hidden="false" customHeight="false" outlineLevel="0" collapsed="false">
      <c r="A773" s="21" t="s">
        <v>1988</v>
      </c>
      <c r="B773" s="21" t="s">
        <v>297</v>
      </c>
      <c r="C773" s="21" t="s">
        <v>1177</v>
      </c>
      <c r="D773" s="21" t="s">
        <v>1191</v>
      </c>
      <c r="E773" s="33" t="n">
        <v>45306</v>
      </c>
      <c r="F773" s="21" t="s">
        <v>1197</v>
      </c>
      <c r="G773" s="32"/>
      <c r="H773" s="21"/>
      <c r="I773" s="33"/>
      <c r="J773" s="21" t="str">
        <f aca="false">INDEX(Students!$C$2:$C$601,MATCH(B773,Students!$A$2:$A$601,0))</f>
        <v>Batch 2024</v>
      </c>
      <c r="K773" s="21" t="str">
        <f aca="false">INDEX(Students!$D$2:$D$601,MATCH(B773,Students!$A$2:$A$601,0))</f>
        <v>DSA with Java</v>
      </c>
      <c r="L773" s="21" t="str">
        <f aca="false">INDEX(Companies!$C$2:$C$31,MATCH(C773,Companies!$A$2:$A$31,0))</f>
        <v>IT Services</v>
      </c>
      <c r="M773" s="21" t="str">
        <f aca="false">INDEX(Companies!$D$2:$D$31,MATCH(C773,Companies!$A$2:$A$31,0))</f>
        <v>Tier 3</v>
      </c>
      <c r="N773" s="34" t="n">
        <f aca="false">MATCH(F773,Assumptions!$K$4:$K$8,0)</f>
        <v>3</v>
      </c>
      <c r="O773" s="21" t="str">
        <f aca="false">IF(H773="Yes",MONTH(I773),"")</f>
        <v/>
      </c>
      <c r="P773" s="21" t="str">
        <f aca="false">IF(H773="Yes",B773,"")</f>
        <v/>
      </c>
    </row>
    <row r="774" customFormat="false" ht="15" hidden="false" customHeight="false" outlineLevel="0" collapsed="false">
      <c r="A774" s="21" t="s">
        <v>1989</v>
      </c>
      <c r="B774" s="21" t="s">
        <v>247</v>
      </c>
      <c r="C774" s="21" t="s">
        <v>1201</v>
      </c>
      <c r="D774" s="21" t="s">
        <v>1191</v>
      </c>
      <c r="E774" s="33" t="n">
        <v>45306</v>
      </c>
      <c r="F774" s="21" t="s">
        <v>1218</v>
      </c>
      <c r="G774" s="32"/>
      <c r="H774" s="21"/>
      <c r="I774" s="33"/>
      <c r="J774" s="21" t="str">
        <f aca="false">INDEX(Students!$C$2:$C$601,MATCH(B774,Students!$A$2:$A$601,0))</f>
        <v>Batch 2024</v>
      </c>
      <c r="K774" s="21" t="str">
        <f aca="false">INDEX(Students!$D$2:$D$601,MATCH(B774,Students!$A$2:$A$601,0))</f>
        <v>DSA with Java</v>
      </c>
      <c r="L774" s="21" t="str">
        <f aca="false">INDEX(Companies!$C$2:$C$31,MATCH(C774,Companies!$A$2:$A$31,0))</f>
        <v>IT Services</v>
      </c>
      <c r="M774" s="21" t="str">
        <f aca="false">INDEX(Companies!$D$2:$D$31,MATCH(C774,Companies!$A$2:$A$31,0))</f>
        <v>Tier 3</v>
      </c>
      <c r="N774" s="34" t="n">
        <f aca="false">MATCH(F774,Assumptions!$K$4:$K$8,0)</f>
        <v>4</v>
      </c>
      <c r="O774" s="21" t="str">
        <f aca="false">IF(H774="Yes",MONTH(I774),"")</f>
        <v/>
      </c>
      <c r="P774" s="21" t="str">
        <f aca="false">IF(H774="Yes",B774,"")</f>
        <v/>
      </c>
    </row>
    <row r="775" customFormat="false" ht="15" hidden="false" customHeight="false" outlineLevel="0" collapsed="false">
      <c r="A775" s="21" t="s">
        <v>1990</v>
      </c>
      <c r="B775" s="21" t="s">
        <v>183</v>
      </c>
      <c r="C775" s="21" t="s">
        <v>1205</v>
      </c>
      <c r="D775" s="21" t="s">
        <v>1191</v>
      </c>
      <c r="E775" s="33" t="n">
        <v>45306</v>
      </c>
      <c r="F775" s="21" t="s">
        <v>1197</v>
      </c>
      <c r="G775" s="32"/>
      <c r="H775" s="21"/>
      <c r="I775" s="33"/>
      <c r="J775" s="21" t="str">
        <f aca="false">INDEX(Students!$C$2:$C$601,MATCH(B775,Students!$A$2:$A$601,0))</f>
        <v>Batch 2024</v>
      </c>
      <c r="K775" s="21" t="str">
        <f aca="false">INDEX(Students!$D$2:$D$601,MATCH(B775,Students!$A$2:$A$601,0))</f>
        <v>DSA with Java</v>
      </c>
      <c r="L775" s="21" t="str">
        <f aca="false">INDEX(Companies!$C$2:$C$31,MATCH(C775,Companies!$A$2:$A$31,0))</f>
        <v>Healthtech</v>
      </c>
      <c r="M775" s="21" t="str">
        <f aca="false">INDEX(Companies!$D$2:$D$31,MATCH(C775,Companies!$A$2:$A$31,0))</f>
        <v>Tier 3</v>
      </c>
      <c r="N775" s="34" t="n">
        <f aca="false">MATCH(F775,Assumptions!$K$4:$K$8,0)</f>
        <v>3</v>
      </c>
      <c r="O775" s="21" t="str">
        <f aca="false">IF(H775="Yes",MONTH(I775),"")</f>
        <v/>
      </c>
      <c r="P775" s="21" t="str">
        <f aca="false">IF(H775="Yes",B775,"")</f>
        <v/>
      </c>
    </row>
    <row r="776" customFormat="false" ht="15" hidden="false" customHeight="false" outlineLevel="0" collapsed="false">
      <c r="A776" s="21" t="s">
        <v>1991</v>
      </c>
      <c r="B776" s="21" t="s">
        <v>137</v>
      </c>
      <c r="C776" s="21" t="s">
        <v>1183</v>
      </c>
      <c r="D776" s="21" t="s">
        <v>1184</v>
      </c>
      <c r="E776" s="33" t="n">
        <v>45306</v>
      </c>
      <c r="F776" s="21" t="s">
        <v>1178</v>
      </c>
      <c r="G776" s="32"/>
      <c r="H776" s="21"/>
      <c r="I776" s="33"/>
      <c r="J776" s="21" t="str">
        <f aca="false">INDEX(Students!$C$2:$C$601,MATCH(B776,Students!$A$2:$A$601,0))</f>
        <v>Batch 2024</v>
      </c>
      <c r="K776" s="21" t="str">
        <f aca="false">INDEX(Students!$D$2:$D$601,MATCH(B776,Students!$A$2:$A$601,0))</f>
        <v>DSA with Java</v>
      </c>
      <c r="L776" s="21" t="str">
        <f aca="false">INDEX(Companies!$C$2:$C$31,MATCH(C776,Companies!$A$2:$A$31,0))</f>
        <v>E-commerce</v>
      </c>
      <c r="M776" s="21" t="str">
        <f aca="false">INDEX(Companies!$D$2:$D$31,MATCH(C776,Companies!$A$2:$A$31,0))</f>
        <v>Tier 2</v>
      </c>
      <c r="N776" s="34" t="n">
        <f aca="false">MATCH(F776,Assumptions!$K$4:$K$8,0)</f>
        <v>2</v>
      </c>
      <c r="O776" s="21" t="str">
        <f aca="false">IF(H776="Yes",MONTH(I776),"")</f>
        <v/>
      </c>
      <c r="P776" s="21" t="str">
        <f aca="false">IF(H776="Yes",B776,"")</f>
        <v/>
      </c>
    </row>
    <row r="777" customFormat="false" ht="15" hidden="false" customHeight="false" outlineLevel="0" collapsed="false">
      <c r="A777" s="21" t="s">
        <v>1992</v>
      </c>
      <c r="B777" s="21" t="s">
        <v>408</v>
      </c>
      <c r="C777" s="21" t="s">
        <v>1230</v>
      </c>
      <c r="D777" s="21" t="s">
        <v>1243</v>
      </c>
      <c r="E777" s="33" t="n">
        <v>45307</v>
      </c>
      <c r="F777" s="21" t="s">
        <v>1175</v>
      </c>
      <c r="G777" s="32"/>
      <c r="H777" s="21"/>
      <c r="I777" s="33"/>
      <c r="J777" s="21" t="str">
        <f aca="false">INDEX(Students!$C$2:$C$601,MATCH(B777,Students!$A$2:$A$601,0))</f>
        <v>Batch 2024</v>
      </c>
      <c r="K777" s="21" t="str">
        <f aca="false">INDEX(Students!$D$2:$D$601,MATCH(B777,Students!$A$2:$A$601,0))</f>
        <v>Data Science &amp; ML</v>
      </c>
      <c r="L777" s="21" t="str">
        <f aca="false">INDEX(Companies!$C$2:$C$31,MATCH(C777,Companies!$A$2:$A$31,0))</f>
        <v>IT Services</v>
      </c>
      <c r="M777" s="21" t="str">
        <f aca="false">INDEX(Companies!$D$2:$D$31,MATCH(C777,Companies!$A$2:$A$31,0))</f>
        <v>Tier 3</v>
      </c>
      <c r="N777" s="34" t="n">
        <f aca="false">MATCH(F777,Assumptions!$K$4:$K$8,0)</f>
        <v>1</v>
      </c>
      <c r="O777" s="21" t="str">
        <f aca="false">IF(H777="Yes",MONTH(I777),"")</f>
        <v/>
      </c>
      <c r="P777" s="21" t="str">
        <f aca="false">IF(H777="Yes",B777,"")</f>
        <v/>
      </c>
    </row>
    <row r="778" customFormat="false" ht="15" hidden="false" customHeight="false" outlineLevel="0" collapsed="false">
      <c r="A778" s="21" t="s">
        <v>1993</v>
      </c>
      <c r="B778" s="21" t="s">
        <v>167</v>
      </c>
      <c r="C778" s="21" t="s">
        <v>1234</v>
      </c>
      <c r="D778" s="21" t="s">
        <v>1209</v>
      </c>
      <c r="E778" s="33" t="n">
        <v>45307</v>
      </c>
      <c r="F778" s="21" t="s">
        <v>1175</v>
      </c>
      <c r="G778" s="32"/>
      <c r="H778" s="21"/>
      <c r="I778" s="33"/>
      <c r="J778" s="21" t="str">
        <f aca="false">INDEX(Students!$C$2:$C$601,MATCH(B778,Students!$A$2:$A$601,0))</f>
        <v>Batch 2024</v>
      </c>
      <c r="K778" s="21" t="str">
        <f aca="false">INDEX(Students!$D$2:$D$601,MATCH(B778,Students!$A$2:$A$601,0))</f>
        <v>Data Analytics</v>
      </c>
      <c r="L778" s="21" t="str">
        <f aca="false">INDEX(Companies!$C$2:$C$31,MATCH(C778,Companies!$A$2:$A$31,0))</f>
        <v>EdTech</v>
      </c>
      <c r="M778" s="21" t="str">
        <f aca="false">INDEX(Companies!$D$2:$D$31,MATCH(C778,Companies!$A$2:$A$31,0))</f>
        <v>Tier 3</v>
      </c>
      <c r="N778" s="34" t="n">
        <f aca="false">MATCH(F778,Assumptions!$K$4:$K$8,0)</f>
        <v>1</v>
      </c>
      <c r="O778" s="21" t="str">
        <f aca="false">IF(H778="Yes",MONTH(I778),"")</f>
        <v/>
      </c>
      <c r="P778" s="21" t="str">
        <f aca="false">IF(H778="Yes",B778,"")</f>
        <v/>
      </c>
    </row>
    <row r="779" customFormat="false" ht="15" hidden="false" customHeight="false" outlineLevel="0" collapsed="false">
      <c r="A779" s="21" t="s">
        <v>1994</v>
      </c>
      <c r="B779" s="21" t="s">
        <v>225</v>
      </c>
      <c r="C779" s="21" t="s">
        <v>1230</v>
      </c>
      <c r="D779" s="21" t="s">
        <v>1174</v>
      </c>
      <c r="E779" s="33" t="n">
        <v>45307</v>
      </c>
      <c r="F779" s="21" t="s">
        <v>1175</v>
      </c>
      <c r="G779" s="32"/>
      <c r="H779" s="21"/>
      <c r="I779" s="33"/>
      <c r="J779" s="21" t="str">
        <f aca="false">INDEX(Students!$C$2:$C$601,MATCH(B779,Students!$A$2:$A$601,0))</f>
        <v>Batch 2024</v>
      </c>
      <c r="K779" s="21" t="str">
        <f aca="false">INDEX(Students!$D$2:$D$601,MATCH(B779,Students!$A$2:$A$601,0))</f>
        <v>Full Stack Development</v>
      </c>
      <c r="L779" s="21" t="str">
        <f aca="false">INDEX(Companies!$C$2:$C$31,MATCH(C779,Companies!$A$2:$A$31,0))</f>
        <v>IT Services</v>
      </c>
      <c r="M779" s="21" t="str">
        <f aca="false">INDEX(Companies!$D$2:$D$31,MATCH(C779,Companies!$A$2:$A$31,0))</f>
        <v>Tier 3</v>
      </c>
      <c r="N779" s="34" t="n">
        <f aca="false">MATCH(F779,Assumptions!$K$4:$K$8,0)</f>
        <v>1</v>
      </c>
      <c r="O779" s="21" t="str">
        <f aca="false">IF(H779="Yes",MONTH(I779),"")</f>
        <v/>
      </c>
      <c r="P779" s="21" t="str">
        <f aca="false">IF(H779="Yes",B779,"")</f>
        <v/>
      </c>
    </row>
    <row r="780" customFormat="false" ht="15" hidden="false" customHeight="false" outlineLevel="0" collapsed="false">
      <c r="A780" s="21" t="s">
        <v>1995</v>
      </c>
      <c r="B780" s="21" t="s">
        <v>211</v>
      </c>
      <c r="C780" s="21" t="s">
        <v>1180</v>
      </c>
      <c r="D780" s="21" t="s">
        <v>1240</v>
      </c>
      <c r="E780" s="33" t="n">
        <v>45307</v>
      </c>
      <c r="F780" s="21" t="s">
        <v>1185</v>
      </c>
      <c r="G780" s="32" t="n">
        <v>5.7</v>
      </c>
      <c r="H780" s="21" t="s">
        <v>113</v>
      </c>
      <c r="I780" s="33" t="n">
        <v>45352</v>
      </c>
      <c r="J780" s="21" t="str">
        <f aca="false">INDEX(Students!$C$2:$C$601,MATCH(B780,Students!$A$2:$A$601,0))</f>
        <v>Batch 2024</v>
      </c>
      <c r="K780" s="21" t="str">
        <f aca="false">INDEX(Students!$D$2:$D$601,MATCH(B780,Students!$A$2:$A$601,0))</f>
        <v>Cybersecurity</v>
      </c>
      <c r="L780" s="21" t="str">
        <f aca="false">INDEX(Companies!$C$2:$C$31,MATCH(C780,Companies!$A$2:$A$31,0))</f>
        <v>IT Services</v>
      </c>
      <c r="M780" s="21" t="str">
        <f aca="false">INDEX(Companies!$D$2:$D$31,MATCH(C780,Companies!$A$2:$A$31,0))</f>
        <v>Tier 3</v>
      </c>
      <c r="N780" s="34" t="n">
        <f aca="false">MATCH(F780,Assumptions!$K$4:$K$8,0)</f>
        <v>5</v>
      </c>
      <c r="O780" s="21" t="str">
        <f aca="false">IF(H780="Yes",MONTH(I780),"")</f>
        <v/>
      </c>
      <c r="P780" s="21" t="str">
        <f aca="false">IF(H780="Yes",B780,"")</f>
        <v/>
      </c>
    </row>
    <row r="781" customFormat="false" ht="15" hidden="false" customHeight="false" outlineLevel="0" collapsed="false">
      <c r="A781" s="21" t="s">
        <v>1996</v>
      </c>
      <c r="B781" s="21" t="s">
        <v>414</v>
      </c>
      <c r="C781" s="21" t="s">
        <v>1222</v>
      </c>
      <c r="D781" s="21" t="s">
        <v>1174</v>
      </c>
      <c r="E781" s="33" t="n">
        <v>45307</v>
      </c>
      <c r="F781" s="21" t="s">
        <v>1197</v>
      </c>
      <c r="G781" s="32"/>
      <c r="H781" s="21"/>
      <c r="I781" s="33"/>
      <c r="J781" s="21" t="str">
        <f aca="false">INDEX(Students!$C$2:$C$601,MATCH(B781,Students!$A$2:$A$601,0))</f>
        <v>Batch 2024</v>
      </c>
      <c r="K781" s="21" t="str">
        <f aca="false">INDEX(Students!$D$2:$D$601,MATCH(B781,Students!$A$2:$A$601,0))</f>
        <v>Full Stack Development</v>
      </c>
      <c r="L781" s="21" t="str">
        <f aca="false">INDEX(Companies!$C$2:$C$31,MATCH(C781,Companies!$A$2:$A$31,0))</f>
        <v>Product</v>
      </c>
      <c r="M781" s="21" t="str">
        <f aca="false">INDEX(Companies!$D$2:$D$31,MATCH(C781,Companies!$A$2:$A$31,0))</f>
        <v>Tier 2</v>
      </c>
      <c r="N781" s="34" t="n">
        <f aca="false">MATCH(F781,Assumptions!$K$4:$K$8,0)</f>
        <v>3</v>
      </c>
      <c r="O781" s="21" t="str">
        <f aca="false">IF(H781="Yes",MONTH(I781),"")</f>
        <v/>
      </c>
      <c r="P781" s="21" t="str">
        <f aca="false">IF(H781="Yes",B781,"")</f>
        <v/>
      </c>
    </row>
    <row r="782" customFormat="false" ht="15" hidden="false" customHeight="false" outlineLevel="0" collapsed="false">
      <c r="A782" s="21" t="s">
        <v>1997</v>
      </c>
      <c r="B782" s="21" t="s">
        <v>395</v>
      </c>
      <c r="C782" s="21" t="s">
        <v>1183</v>
      </c>
      <c r="D782" s="21" t="s">
        <v>1191</v>
      </c>
      <c r="E782" s="33" t="n">
        <v>45307</v>
      </c>
      <c r="F782" s="21" t="s">
        <v>1175</v>
      </c>
      <c r="G782" s="32"/>
      <c r="H782" s="21"/>
      <c r="I782" s="33"/>
      <c r="J782" s="21" t="str">
        <f aca="false">INDEX(Students!$C$2:$C$601,MATCH(B782,Students!$A$2:$A$601,0))</f>
        <v>Batch 2024</v>
      </c>
      <c r="K782" s="21" t="str">
        <f aca="false">INDEX(Students!$D$2:$D$601,MATCH(B782,Students!$A$2:$A$601,0))</f>
        <v>DSA with Java</v>
      </c>
      <c r="L782" s="21" t="str">
        <f aca="false">INDEX(Companies!$C$2:$C$31,MATCH(C782,Companies!$A$2:$A$31,0))</f>
        <v>E-commerce</v>
      </c>
      <c r="M782" s="21" t="str">
        <f aca="false">INDEX(Companies!$D$2:$D$31,MATCH(C782,Companies!$A$2:$A$31,0))</f>
        <v>Tier 2</v>
      </c>
      <c r="N782" s="34" t="n">
        <f aca="false">MATCH(F782,Assumptions!$K$4:$K$8,0)</f>
        <v>1</v>
      </c>
      <c r="O782" s="21" t="str">
        <f aca="false">IF(H782="Yes",MONTH(I782),"")</f>
        <v/>
      </c>
      <c r="P782" s="21" t="str">
        <f aca="false">IF(H782="Yes",B782,"")</f>
        <v/>
      </c>
    </row>
    <row r="783" customFormat="false" ht="15" hidden="false" customHeight="false" outlineLevel="0" collapsed="false">
      <c r="A783" s="21" t="s">
        <v>1998</v>
      </c>
      <c r="B783" s="21" t="s">
        <v>327</v>
      </c>
      <c r="C783" s="21" t="s">
        <v>1203</v>
      </c>
      <c r="D783" s="21" t="s">
        <v>1191</v>
      </c>
      <c r="E783" s="33" t="n">
        <v>45308</v>
      </c>
      <c r="F783" s="21" t="s">
        <v>1185</v>
      </c>
      <c r="G783" s="32" t="n">
        <v>10.7</v>
      </c>
      <c r="H783" s="21" t="s">
        <v>120</v>
      </c>
      <c r="I783" s="33" t="n">
        <v>45362</v>
      </c>
      <c r="J783" s="21" t="str">
        <f aca="false">INDEX(Students!$C$2:$C$601,MATCH(B783,Students!$A$2:$A$601,0))</f>
        <v>Batch 2024</v>
      </c>
      <c r="K783" s="21" t="str">
        <f aca="false">INDEX(Students!$D$2:$D$601,MATCH(B783,Students!$A$2:$A$601,0))</f>
        <v>DSA with Java</v>
      </c>
      <c r="L783" s="21" t="str">
        <f aca="false">INDEX(Companies!$C$2:$C$31,MATCH(C783,Companies!$A$2:$A$31,0))</f>
        <v>Healthtech</v>
      </c>
      <c r="M783" s="21" t="str">
        <f aca="false">INDEX(Companies!$D$2:$D$31,MATCH(C783,Companies!$A$2:$A$31,0))</f>
        <v>Tier 2</v>
      </c>
      <c r="N783" s="34" t="n">
        <f aca="false">MATCH(F783,Assumptions!$K$4:$K$8,0)</f>
        <v>5</v>
      </c>
      <c r="O783" s="21" t="n">
        <f aca="false">IF(H783="Yes",MONTH(I783),"")</f>
        <v>3</v>
      </c>
      <c r="P783" s="21" t="str">
        <f aca="false">IF(H783="Yes",B783,"")</f>
        <v>S0110</v>
      </c>
    </row>
    <row r="784" customFormat="false" ht="15" hidden="false" customHeight="false" outlineLevel="0" collapsed="false">
      <c r="A784" s="21" t="s">
        <v>1999</v>
      </c>
      <c r="B784" s="21" t="s">
        <v>270</v>
      </c>
      <c r="C784" s="21" t="s">
        <v>1239</v>
      </c>
      <c r="D784" s="21" t="s">
        <v>1181</v>
      </c>
      <c r="E784" s="33" t="n">
        <v>45308</v>
      </c>
      <c r="F784" s="21" t="s">
        <v>1185</v>
      </c>
      <c r="G784" s="32" t="n">
        <v>4.9</v>
      </c>
      <c r="H784" s="21" t="s">
        <v>113</v>
      </c>
      <c r="I784" s="33" t="n">
        <v>45363</v>
      </c>
      <c r="J784" s="21" t="str">
        <f aca="false">INDEX(Students!$C$2:$C$601,MATCH(B784,Students!$A$2:$A$601,0))</f>
        <v>Batch 2024</v>
      </c>
      <c r="K784" s="21" t="str">
        <f aca="false">INDEX(Students!$D$2:$D$601,MATCH(B784,Students!$A$2:$A$601,0))</f>
        <v>Full Stack Development</v>
      </c>
      <c r="L784" s="21" t="str">
        <f aca="false">INDEX(Companies!$C$2:$C$31,MATCH(C784,Companies!$A$2:$A$31,0))</f>
        <v>E-commerce</v>
      </c>
      <c r="M784" s="21" t="str">
        <f aca="false">INDEX(Companies!$D$2:$D$31,MATCH(C784,Companies!$A$2:$A$31,0))</f>
        <v>Tier 3</v>
      </c>
      <c r="N784" s="34" t="n">
        <f aca="false">MATCH(F784,Assumptions!$K$4:$K$8,0)</f>
        <v>5</v>
      </c>
      <c r="O784" s="21" t="str">
        <f aca="false">IF(H784="Yes",MONTH(I784),"")</f>
        <v/>
      </c>
      <c r="P784" s="21" t="str">
        <f aca="false">IF(H784="Yes",B784,"")</f>
        <v/>
      </c>
    </row>
    <row r="785" customFormat="false" ht="15" hidden="false" customHeight="false" outlineLevel="0" collapsed="false">
      <c r="A785" s="21" t="s">
        <v>2000</v>
      </c>
      <c r="B785" s="21" t="s">
        <v>211</v>
      </c>
      <c r="C785" s="21" t="s">
        <v>1205</v>
      </c>
      <c r="D785" s="21" t="s">
        <v>1226</v>
      </c>
      <c r="E785" s="33" t="n">
        <v>45308</v>
      </c>
      <c r="F785" s="21" t="s">
        <v>1175</v>
      </c>
      <c r="G785" s="32"/>
      <c r="H785" s="21"/>
      <c r="I785" s="33"/>
      <c r="J785" s="21" t="str">
        <f aca="false">INDEX(Students!$C$2:$C$601,MATCH(B785,Students!$A$2:$A$601,0))</f>
        <v>Batch 2024</v>
      </c>
      <c r="K785" s="21" t="str">
        <f aca="false">INDEX(Students!$D$2:$D$601,MATCH(B785,Students!$A$2:$A$601,0))</f>
        <v>Cybersecurity</v>
      </c>
      <c r="L785" s="21" t="str">
        <f aca="false">INDEX(Companies!$C$2:$C$31,MATCH(C785,Companies!$A$2:$A$31,0))</f>
        <v>Healthtech</v>
      </c>
      <c r="M785" s="21" t="str">
        <f aca="false">INDEX(Companies!$D$2:$D$31,MATCH(C785,Companies!$A$2:$A$31,0))</f>
        <v>Tier 3</v>
      </c>
      <c r="N785" s="34" t="n">
        <f aca="false">MATCH(F785,Assumptions!$K$4:$K$8,0)</f>
        <v>1</v>
      </c>
      <c r="O785" s="21" t="str">
        <f aca="false">IF(H785="Yes",MONTH(I785),"")</f>
        <v/>
      </c>
      <c r="P785" s="21" t="str">
        <f aca="false">IF(H785="Yes",B785,"")</f>
        <v/>
      </c>
    </row>
    <row r="786" customFormat="false" ht="15" hidden="false" customHeight="false" outlineLevel="0" collapsed="false">
      <c r="A786" s="21" t="s">
        <v>2001</v>
      </c>
      <c r="B786" s="21" t="s">
        <v>223</v>
      </c>
      <c r="C786" s="21" t="s">
        <v>1216</v>
      </c>
      <c r="D786" s="21" t="s">
        <v>1191</v>
      </c>
      <c r="E786" s="33" t="n">
        <v>45309</v>
      </c>
      <c r="F786" s="21" t="s">
        <v>1185</v>
      </c>
      <c r="G786" s="32" t="n">
        <v>6.5</v>
      </c>
      <c r="H786" s="21" t="s">
        <v>120</v>
      </c>
      <c r="I786" s="33" t="n">
        <v>45341</v>
      </c>
      <c r="J786" s="21" t="str">
        <f aca="false">INDEX(Students!$C$2:$C$601,MATCH(B786,Students!$A$2:$A$601,0))</f>
        <v>Batch 2024</v>
      </c>
      <c r="K786" s="21" t="str">
        <f aca="false">INDEX(Students!$D$2:$D$601,MATCH(B786,Students!$A$2:$A$601,0))</f>
        <v>DSA with Java</v>
      </c>
      <c r="L786" s="21" t="str">
        <f aca="false">INDEX(Companies!$C$2:$C$31,MATCH(C786,Companies!$A$2:$A$31,0))</f>
        <v>IT Services</v>
      </c>
      <c r="M786" s="21" t="str">
        <f aca="false">INDEX(Companies!$D$2:$D$31,MATCH(C786,Companies!$A$2:$A$31,0))</f>
        <v>Tier 3</v>
      </c>
      <c r="N786" s="34" t="n">
        <f aca="false">MATCH(F786,Assumptions!$K$4:$K$8,0)</f>
        <v>5</v>
      </c>
      <c r="O786" s="21" t="n">
        <f aca="false">IF(H786="Yes",MONTH(I786),"")</f>
        <v>2</v>
      </c>
      <c r="P786" s="21" t="str">
        <f aca="false">IF(H786="Yes",B786,"")</f>
        <v>S0056</v>
      </c>
    </row>
    <row r="787" customFormat="false" ht="15" hidden="false" customHeight="false" outlineLevel="0" collapsed="false">
      <c r="A787" s="21" t="s">
        <v>2002</v>
      </c>
      <c r="B787" s="21" t="s">
        <v>151</v>
      </c>
      <c r="C787" s="21" t="s">
        <v>1239</v>
      </c>
      <c r="D787" s="21" t="s">
        <v>1191</v>
      </c>
      <c r="E787" s="33" t="n">
        <v>45309</v>
      </c>
      <c r="F787" s="21" t="s">
        <v>1175</v>
      </c>
      <c r="G787" s="32"/>
      <c r="H787" s="21"/>
      <c r="I787" s="33"/>
      <c r="J787" s="21" t="str">
        <f aca="false">INDEX(Students!$C$2:$C$601,MATCH(B787,Students!$A$2:$A$601,0))</f>
        <v>Batch 2024</v>
      </c>
      <c r="K787" s="21" t="str">
        <f aca="false">INDEX(Students!$D$2:$D$601,MATCH(B787,Students!$A$2:$A$601,0))</f>
        <v>DSA with Java</v>
      </c>
      <c r="L787" s="21" t="str">
        <f aca="false">INDEX(Companies!$C$2:$C$31,MATCH(C787,Companies!$A$2:$A$31,0))</f>
        <v>E-commerce</v>
      </c>
      <c r="M787" s="21" t="str">
        <f aca="false">INDEX(Companies!$D$2:$D$31,MATCH(C787,Companies!$A$2:$A$31,0))</f>
        <v>Tier 3</v>
      </c>
      <c r="N787" s="34" t="n">
        <f aca="false">MATCH(F787,Assumptions!$K$4:$K$8,0)</f>
        <v>1</v>
      </c>
      <c r="O787" s="21" t="str">
        <f aca="false">IF(H787="Yes",MONTH(I787),"")</f>
        <v/>
      </c>
      <c r="P787" s="21" t="str">
        <f aca="false">IF(H787="Yes",B787,"")</f>
        <v/>
      </c>
    </row>
    <row r="788" customFormat="false" ht="15" hidden="false" customHeight="false" outlineLevel="0" collapsed="false">
      <c r="A788" s="21" t="s">
        <v>2003</v>
      </c>
      <c r="B788" s="21" t="s">
        <v>139</v>
      </c>
      <c r="C788" s="21" t="s">
        <v>1225</v>
      </c>
      <c r="D788" s="21" t="s">
        <v>1181</v>
      </c>
      <c r="E788" s="33" t="n">
        <v>45309</v>
      </c>
      <c r="F788" s="21" t="s">
        <v>1175</v>
      </c>
      <c r="G788" s="32"/>
      <c r="H788" s="21"/>
      <c r="I788" s="33"/>
      <c r="J788" s="21" t="str">
        <f aca="false">INDEX(Students!$C$2:$C$601,MATCH(B788,Students!$A$2:$A$601,0))</f>
        <v>Batch 2024</v>
      </c>
      <c r="K788" s="21" t="str">
        <f aca="false">INDEX(Students!$D$2:$D$601,MATCH(B788,Students!$A$2:$A$601,0))</f>
        <v>Full Stack Development</v>
      </c>
      <c r="L788" s="21" t="str">
        <f aca="false">INDEX(Companies!$C$2:$C$31,MATCH(C788,Companies!$A$2:$A$31,0))</f>
        <v>EdTech</v>
      </c>
      <c r="M788" s="21" t="str">
        <f aca="false">INDEX(Companies!$D$2:$D$31,MATCH(C788,Companies!$A$2:$A$31,0))</f>
        <v>Tier 2</v>
      </c>
      <c r="N788" s="34" t="n">
        <f aca="false">MATCH(F788,Assumptions!$K$4:$K$8,0)</f>
        <v>1</v>
      </c>
      <c r="O788" s="21" t="str">
        <f aca="false">IF(H788="Yes",MONTH(I788),"")</f>
        <v/>
      </c>
      <c r="P788" s="21" t="str">
        <f aca="false">IF(H788="Yes",B788,"")</f>
        <v/>
      </c>
    </row>
    <row r="789" customFormat="false" ht="15" hidden="false" customHeight="false" outlineLevel="0" collapsed="false">
      <c r="A789" s="21" t="s">
        <v>2004</v>
      </c>
      <c r="B789" s="21" t="s">
        <v>110</v>
      </c>
      <c r="C789" s="21" t="s">
        <v>1173</v>
      </c>
      <c r="D789" s="21" t="s">
        <v>1184</v>
      </c>
      <c r="E789" s="33" t="n">
        <v>45309</v>
      </c>
      <c r="F789" s="21" t="s">
        <v>1185</v>
      </c>
      <c r="G789" s="32" t="n">
        <v>23.9</v>
      </c>
      <c r="H789" s="21" t="s">
        <v>120</v>
      </c>
      <c r="I789" s="33" t="n">
        <v>45341</v>
      </c>
      <c r="J789" s="21" t="str">
        <f aca="false">INDEX(Students!$C$2:$C$601,MATCH(B789,Students!$A$2:$A$601,0))</f>
        <v>Batch 2024</v>
      </c>
      <c r="K789" s="21" t="str">
        <f aca="false">INDEX(Students!$D$2:$D$601,MATCH(B789,Students!$A$2:$A$601,0))</f>
        <v>DSA with Java</v>
      </c>
      <c r="L789" s="21" t="str">
        <f aca="false">INDEX(Companies!$C$2:$C$31,MATCH(C789,Companies!$A$2:$A$31,0))</f>
        <v>Cybersecurity</v>
      </c>
      <c r="M789" s="21" t="str">
        <f aca="false">INDEX(Companies!$D$2:$D$31,MATCH(C789,Companies!$A$2:$A$31,0))</f>
        <v>Tier 1</v>
      </c>
      <c r="N789" s="34" t="n">
        <f aca="false">MATCH(F789,Assumptions!$K$4:$K$8,0)</f>
        <v>5</v>
      </c>
      <c r="O789" s="21" t="n">
        <f aca="false">IF(H789="Yes",MONTH(I789),"")</f>
        <v>2</v>
      </c>
      <c r="P789" s="21" t="str">
        <f aca="false">IF(H789="Yes",B789,"")</f>
        <v>S0001</v>
      </c>
    </row>
    <row r="790" customFormat="false" ht="15" hidden="false" customHeight="false" outlineLevel="0" collapsed="false">
      <c r="A790" s="21" t="s">
        <v>2005</v>
      </c>
      <c r="B790" s="21" t="s">
        <v>334</v>
      </c>
      <c r="C790" s="21" t="s">
        <v>1203</v>
      </c>
      <c r="D790" s="21" t="s">
        <v>1194</v>
      </c>
      <c r="E790" s="33" t="n">
        <v>45310</v>
      </c>
      <c r="F790" s="21" t="s">
        <v>1175</v>
      </c>
      <c r="G790" s="32"/>
      <c r="H790" s="21"/>
      <c r="I790" s="33"/>
      <c r="J790" s="21" t="str">
        <f aca="false">INDEX(Students!$C$2:$C$601,MATCH(B790,Students!$A$2:$A$601,0))</f>
        <v>Batch 2024</v>
      </c>
      <c r="K790" s="21" t="str">
        <f aca="false">INDEX(Students!$D$2:$D$601,MATCH(B790,Students!$A$2:$A$601,0))</f>
        <v>Data Science &amp; ML</v>
      </c>
      <c r="L790" s="21" t="str">
        <f aca="false">INDEX(Companies!$C$2:$C$31,MATCH(C790,Companies!$A$2:$A$31,0))</f>
        <v>Healthtech</v>
      </c>
      <c r="M790" s="21" t="str">
        <f aca="false">INDEX(Companies!$D$2:$D$31,MATCH(C790,Companies!$A$2:$A$31,0))</f>
        <v>Tier 2</v>
      </c>
      <c r="N790" s="34" t="n">
        <f aca="false">MATCH(F790,Assumptions!$K$4:$K$8,0)</f>
        <v>1</v>
      </c>
      <c r="O790" s="21" t="str">
        <f aca="false">IF(H790="Yes",MONTH(I790),"")</f>
        <v/>
      </c>
      <c r="P790" s="21" t="str">
        <f aca="false">IF(H790="Yes",B790,"")</f>
        <v/>
      </c>
    </row>
    <row r="791" customFormat="false" ht="15" hidden="false" customHeight="false" outlineLevel="0" collapsed="false">
      <c r="A791" s="21" t="s">
        <v>2006</v>
      </c>
      <c r="B791" s="21" t="s">
        <v>139</v>
      </c>
      <c r="C791" s="21" t="s">
        <v>1266</v>
      </c>
      <c r="D791" s="21" t="s">
        <v>1174</v>
      </c>
      <c r="E791" s="33" t="n">
        <v>45310</v>
      </c>
      <c r="F791" s="21" t="s">
        <v>1218</v>
      </c>
      <c r="G791" s="32"/>
      <c r="H791" s="21"/>
      <c r="I791" s="33"/>
      <c r="J791" s="21" t="str">
        <f aca="false">INDEX(Students!$C$2:$C$601,MATCH(B791,Students!$A$2:$A$601,0))</f>
        <v>Batch 2024</v>
      </c>
      <c r="K791" s="21" t="str">
        <f aca="false">INDEX(Students!$D$2:$D$601,MATCH(B791,Students!$A$2:$A$601,0))</f>
        <v>Full Stack Development</v>
      </c>
      <c r="L791" s="21" t="str">
        <f aca="false">INDEX(Companies!$C$2:$C$31,MATCH(C791,Companies!$A$2:$A$31,0))</f>
        <v>IT Services</v>
      </c>
      <c r="M791" s="21" t="str">
        <f aca="false">INDEX(Companies!$D$2:$D$31,MATCH(C791,Companies!$A$2:$A$31,0))</f>
        <v>Tier 3</v>
      </c>
      <c r="N791" s="34" t="n">
        <f aca="false">MATCH(F791,Assumptions!$K$4:$K$8,0)</f>
        <v>4</v>
      </c>
      <c r="O791" s="21" t="str">
        <f aca="false">IF(H791="Yes",MONTH(I791),"")</f>
        <v/>
      </c>
      <c r="P791" s="21" t="str">
        <f aca="false">IF(H791="Yes",B791,"")</f>
        <v/>
      </c>
    </row>
    <row r="792" customFormat="false" ht="15" hidden="false" customHeight="false" outlineLevel="0" collapsed="false">
      <c r="A792" s="21" t="s">
        <v>2007</v>
      </c>
      <c r="B792" s="21" t="s">
        <v>303</v>
      </c>
      <c r="C792" s="21" t="s">
        <v>1199</v>
      </c>
      <c r="D792" s="21" t="s">
        <v>1181</v>
      </c>
      <c r="E792" s="33" t="n">
        <v>45310</v>
      </c>
      <c r="F792" s="21" t="s">
        <v>1197</v>
      </c>
      <c r="G792" s="32"/>
      <c r="H792" s="21"/>
      <c r="I792" s="33"/>
      <c r="J792" s="21" t="str">
        <f aca="false">INDEX(Students!$C$2:$C$601,MATCH(B792,Students!$A$2:$A$601,0))</f>
        <v>Batch 2024</v>
      </c>
      <c r="K792" s="21" t="str">
        <f aca="false">INDEX(Students!$D$2:$D$601,MATCH(B792,Students!$A$2:$A$601,0))</f>
        <v>Full Stack Development</v>
      </c>
      <c r="L792" s="21" t="str">
        <f aca="false">INDEX(Companies!$C$2:$C$31,MATCH(C792,Companies!$A$2:$A$31,0))</f>
        <v>E-commerce</v>
      </c>
      <c r="M792" s="21" t="str">
        <f aca="false">INDEX(Companies!$D$2:$D$31,MATCH(C792,Companies!$A$2:$A$31,0))</f>
        <v>Tier 2</v>
      </c>
      <c r="N792" s="34" t="n">
        <f aca="false">MATCH(F792,Assumptions!$K$4:$K$8,0)</f>
        <v>3</v>
      </c>
      <c r="O792" s="21" t="str">
        <f aca="false">IF(H792="Yes",MONTH(I792),"")</f>
        <v/>
      </c>
      <c r="P792" s="21" t="str">
        <f aca="false">IF(H792="Yes",B792,"")</f>
        <v/>
      </c>
    </row>
    <row r="793" customFormat="false" ht="15" hidden="false" customHeight="false" outlineLevel="0" collapsed="false">
      <c r="A793" s="21" t="s">
        <v>2008</v>
      </c>
      <c r="B793" s="21" t="s">
        <v>339</v>
      </c>
      <c r="C793" s="21" t="s">
        <v>1201</v>
      </c>
      <c r="D793" s="21" t="s">
        <v>1240</v>
      </c>
      <c r="E793" s="33" t="n">
        <v>45310</v>
      </c>
      <c r="F793" s="21" t="s">
        <v>1185</v>
      </c>
      <c r="G793" s="32" t="n">
        <v>6.9</v>
      </c>
      <c r="H793" s="21" t="s">
        <v>120</v>
      </c>
      <c r="I793" s="33" t="n">
        <v>45364</v>
      </c>
      <c r="J793" s="21" t="str">
        <f aca="false">INDEX(Students!$C$2:$C$601,MATCH(B793,Students!$A$2:$A$601,0))</f>
        <v>Batch 2024</v>
      </c>
      <c r="K793" s="21" t="str">
        <f aca="false">INDEX(Students!$D$2:$D$601,MATCH(B793,Students!$A$2:$A$601,0))</f>
        <v>Cybersecurity</v>
      </c>
      <c r="L793" s="21" t="str">
        <f aca="false">INDEX(Companies!$C$2:$C$31,MATCH(C793,Companies!$A$2:$A$31,0))</f>
        <v>IT Services</v>
      </c>
      <c r="M793" s="21" t="str">
        <f aca="false">INDEX(Companies!$D$2:$D$31,MATCH(C793,Companies!$A$2:$A$31,0))</f>
        <v>Tier 3</v>
      </c>
      <c r="N793" s="34" t="n">
        <f aca="false">MATCH(F793,Assumptions!$K$4:$K$8,0)</f>
        <v>5</v>
      </c>
      <c r="O793" s="21" t="n">
        <f aca="false">IF(H793="Yes",MONTH(I793),"")</f>
        <v>3</v>
      </c>
      <c r="P793" s="21" t="str">
        <f aca="false">IF(H793="Yes",B793,"")</f>
        <v>S0117</v>
      </c>
    </row>
    <row r="794" customFormat="false" ht="15" hidden="false" customHeight="false" outlineLevel="0" collapsed="false">
      <c r="A794" s="21" t="s">
        <v>2009</v>
      </c>
      <c r="B794" s="21" t="s">
        <v>425</v>
      </c>
      <c r="C794" s="21" t="s">
        <v>1230</v>
      </c>
      <c r="D794" s="21" t="s">
        <v>1181</v>
      </c>
      <c r="E794" s="33" t="n">
        <v>45310</v>
      </c>
      <c r="F794" s="21" t="s">
        <v>1185</v>
      </c>
      <c r="G794" s="32" t="n">
        <v>5</v>
      </c>
      <c r="H794" s="21" t="s">
        <v>113</v>
      </c>
      <c r="I794" s="33" t="n">
        <v>45340</v>
      </c>
      <c r="J794" s="21" t="str">
        <f aca="false">INDEX(Students!$C$2:$C$601,MATCH(B794,Students!$A$2:$A$601,0))</f>
        <v>Batch 2024</v>
      </c>
      <c r="K794" s="21" t="str">
        <f aca="false">INDEX(Students!$D$2:$D$601,MATCH(B794,Students!$A$2:$A$601,0))</f>
        <v>Full Stack Development</v>
      </c>
      <c r="L794" s="21" t="str">
        <f aca="false">INDEX(Companies!$C$2:$C$31,MATCH(C794,Companies!$A$2:$A$31,0))</f>
        <v>IT Services</v>
      </c>
      <c r="M794" s="21" t="str">
        <f aca="false">INDEX(Companies!$D$2:$D$31,MATCH(C794,Companies!$A$2:$A$31,0))</f>
        <v>Tier 3</v>
      </c>
      <c r="N794" s="34" t="n">
        <f aca="false">MATCH(F794,Assumptions!$K$4:$K$8,0)</f>
        <v>5</v>
      </c>
      <c r="O794" s="21" t="str">
        <f aca="false">IF(H794="Yes",MONTH(I794),"")</f>
        <v/>
      </c>
      <c r="P794" s="21" t="str">
        <f aca="false">IF(H794="Yes",B794,"")</f>
        <v/>
      </c>
    </row>
    <row r="795" customFormat="false" ht="15" hidden="false" customHeight="false" outlineLevel="0" collapsed="false">
      <c r="A795" s="21" t="s">
        <v>2010</v>
      </c>
      <c r="B795" s="21" t="s">
        <v>449</v>
      </c>
      <c r="C795" s="21" t="s">
        <v>1177</v>
      </c>
      <c r="D795" s="21" t="s">
        <v>1188</v>
      </c>
      <c r="E795" s="33" t="n">
        <v>45310</v>
      </c>
      <c r="F795" s="21" t="s">
        <v>1175</v>
      </c>
      <c r="G795" s="32"/>
      <c r="H795" s="21"/>
      <c r="I795" s="33"/>
      <c r="J795" s="21" t="str">
        <f aca="false">INDEX(Students!$C$2:$C$601,MATCH(B795,Students!$A$2:$A$601,0))</f>
        <v>Batch 2024</v>
      </c>
      <c r="K795" s="21" t="str">
        <f aca="false">INDEX(Students!$D$2:$D$601,MATCH(B795,Students!$A$2:$A$601,0))</f>
        <v>Data Analytics</v>
      </c>
      <c r="L795" s="21" t="str">
        <f aca="false">INDEX(Companies!$C$2:$C$31,MATCH(C795,Companies!$A$2:$A$31,0))</f>
        <v>IT Services</v>
      </c>
      <c r="M795" s="21" t="str">
        <f aca="false">INDEX(Companies!$D$2:$D$31,MATCH(C795,Companies!$A$2:$A$31,0))</f>
        <v>Tier 3</v>
      </c>
      <c r="N795" s="34" t="n">
        <f aca="false">MATCH(F795,Assumptions!$K$4:$K$8,0)</f>
        <v>1</v>
      </c>
      <c r="O795" s="21" t="str">
        <f aca="false">IF(H795="Yes",MONTH(I795),"")</f>
        <v/>
      </c>
      <c r="P795" s="21" t="str">
        <f aca="false">IF(H795="Yes",B795,"")</f>
        <v/>
      </c>
    </row>
    <row r="796" customFormat="false" ht="15" hidden="false" customHeight="false" outlineLevel="0" collapsed="false">
      <c r="A796" s="21" t="s">
        <v>2011</v>
      </c>
      <c r="B796" s="21" t="s">
        <v>295</v>
      </c>
      <c r="C796" s="21" t="s">
        <v>1225</v>
      </c>
      <c r="D796" s="21" t="s">
        <v>1181</v>
      </c>
      <c r="E796" s="33" t="n">
        <v>45310</v>
      </c>
      <c r="F796" s="21" t="s">
        <v>1197</v>
      </c>
      <c r="G796" s="32"/>
      <c r="H796" s="21"/>
      <c r="I796" s="33"/>
      <c r="J796" s="21" t="str">
        <f aca="false">INDEX(Students!$C$2:$C$601,MATCH(B796,Students!$A$2:$A$601,0))</f>
        <v>Batch 2024</v>
      </c>
      <c r="K796" s="21" t="str">
        <f aca="false">INDEX(Students!$D$2:$D$601,MATCH(B796,Students!$A$2:$A$601,0))</f>
        <v>Full Stack Development</v>
      </c>
      <c r="L796" s="21" t="str">
        <f aca="false">INDEX(Companies!$C$2:$C$31,MATCH(C796,Companies!$A$2:$A$31,0))</f>
        <v>EdTech</v>
      </c>
      <c r="M796" s="21" t="str">
        <f aca="false">INDEX(Companies!$D$2:$D$31,MATCH(C796,Companies!$A$2:$A$31,0))</f>
        <v>Tier 2</v>
      </c>
      <c r="N796" s="34" t="n">
        <f aca="false">MATCH(F796,Assumptions!$K$4:$K$8,0)</f>
        <v>3</v>
      </c>
      <c r="O796" s="21" t="str">
        <f aca="false">IF(H796="Yes",MONTH(I796),"")</f>
        <v/>
      </c>
      <c r="P796" s="21" t="str">
        <f aca="false">IF(H796="Yes",B796,"")</f>
        <v/>
      </c>
    </row>
    <row r="797" customFormat="false" ht="15" hidden="false" customHeight="false" outlineLevel="0" collapsed="false">
      <c r="A797" s="21" t="s">
        <v>2012</v>
      </c>
      <c r="B797" s="21" t="s">
        <v>125</v>
      </c>
      <c r="C797" s="21" t="s">
        <v>1177</v>
      </c>
      <c r="D797" s="21" t="s">
        <v>1194</v>
      </c>
      <c r="E797" s="33" t="n">
        <v>45311</v>
      </c>
      <c r="F797" s="21" t="s">
        <v>1185</v>
      </c>
      <c r="G797" s="32" t="n">
        <v>6.1</v>
      </c>
      <c r="H797" s="21" t="s">
        <v>113</v>
      </c>
      <c r="I797" s="33" t="n">
        <v>45353</v>
      </c>
      <c r="J797" s="21" t="str">
        <f aca="false">INDEX(Students!$C$2:$C$601,MATCH(B797,Students!$A$2:$A$601,0))</f>
        <v>Batch 2024</v>
      </c>
      <c r="K797" s="21" t="str">
        <f aca="false">INDEX(Students!$D$2:$D$601,MATCH(B797,Students!$A$2:$A$601,0))</f>
        <v>Data Science &amp; ML</v>
      </c>
      <c r="L797" s="21" t="str">
        <f aca="false">INDEX(Companies!$C$2:$C$31,MATCH(C797,Companies!$A$2:$A$31,0))</f>
        <v>IT Services</v>
      </c>
      <c r="M797" s="21" t="str">
        <f aca="false">INDEX(Companies!$D$2:$D$31,MATCH(C797,Companies!$A$2:$A$31,0))</f>
        <v>Tier 3</v>
      </c>
      <c r="N797" s="34" t="n">
        <f aca="false">MATCH(F797,Assumptions!$K$4:$K$8,0)</f>
        <v>5</v>
      </c>
      <c r="O797" s="21" t="str">
        <f aca="false">IF(H797="Yes",MONTH(I797),"")</f>
        <v/>
      </c>
      <c r="P797" s="21" t="str">
        <f aca="false">IF(H797="Yes",B797,"")</f>
        <v/>
      </c>
    </row>
    <row r="798" customFormat="false" ht="15" hidden="false" customHeight="false" outlineLevel="0" collapsed="false">
      <c r="A798" s="21" t="s">
        <v>2013</v>
      </c>
      <c r="B798" s="21" t="s">
        <v>334</v>
      </c>
      <c r="C798" s="21" t="s">
        <v>1222</v>
      </c>
      <c r="D798" s="21" t="s">
        <v>1194</v>
      </c>
      <c r="E798" s="33" t="n">
        <v>45311</v>
      </c>
      <c r="F798" s="21" t="s">
        <v>1197</v>
      </c>
      <c r="G798" s="32"/>
      <c r="H798" s="21"/>
      <c r="I798" s="33"/>
      <c r="J798" s="21" t="str">
        <f aca="false">INDEX(Students!$C$2:$C$601,MATCH(B798,Students!$A$2:$A$601,0))</f>
        <v>Batch 2024</v>
      </c>
      <c r="K798" s="21" t="str">
        <f aca="false">INDEX(Students!$D$2:$D$601,MATCH(B798,Students!$A$2:$A$601,0))</f>
        <v>Data Science &amp; ML</v>
      </c>
      <c r="L798" s="21" t="str">
        <f aca="false">INDEX(Companies!$C$2:$C$31,MATCH(C798,Companies!$A$2:$A$31,0))</f>
        <v>Product</v>
      </c>
      <c r="M798" s="21" t="str">
        <f aca="false">INDEX(Companies!$D$2:$D$31,MATCH(C798,Companies!$A$2:$A$31,0))</f>
        <v>Tier 2</v>
      </c>
      <c r="N798" s="34" t="n">
        <f aca="false">MATCH(F798,Assumptions!$K$4:$K$8,0)</f>
        <v>3</v>
      </c>
      <c r="O798" s="21" t="str">
        <f aca="false">IF(H798="Yes",MONTH(I798),"")</f>
        <v/>
      </c>
      <c r="P798" s="21" t="str">
        <f aca="false">IF(H798="Yes",B798,"")</f>
        <v/>
      </c>
    </row>
    <row r="799" customFormat="false" ht="15" hidden="false" customHeight="false" outlineLevel="0" collapsed="false">
      <c r="A799" s="21" t="s">
        <v>2014</v>
      </c>
      <c r="B799" s="21" t="s">
        <v>165</v>
      </c>
      <c r="C799" s="21" t="s">
        <v>1211</v>
      </c>
      <c r="D799" s="21" t="s">
        <v>1184</v>
      </c>
      <c r="E799" s="33" t="n">
        <v>45311</v>
      </c>
      <c r="F799" s="21" t="s">
        <v>1185</v>
      </c>
      <c r="G799" s="32" t="n">
        <v>5.2</v>
      </c>
      <c r="H799" s="21" t="s">
        <v>113</v>
      </c>
      <c r="I799" s="33" t="n">
        <v>45366</v>
      </c>
      <c r="J799" s="21" t="str">
        <f aca="false">INDEX(Students!$C$2:$C$601,MATCH(B799,Students!$A$2:$A$601,0))</f>
        <v>Batch 2024</v>
      </c>
      <c r="K799" s="21" t="str">
        <f aca="false">INDEX(Students!$D$2:$D$601,MATCH(B799,Students!$A$2:$A$601,0))</f>
        <v>DSA with Java</v>
      </c>
      <c r="L799" s="21" t="str">
        <f aca="false">INDEX(Companies!$C$2:$C$31,MATCH(C799,Companies!$A$2:$A$31,0))</f>
        <v>Analytics &amp; Consulting</v>
      </c>
      <c r="M799" s="21" t="str">
        <f aca="false">INDEX(Companies!$D$2:$D$31,MATCH(C799,Companies!$A$2:$A$31,0))</f>
        <v>Tier 3</v>
      </c>
      <c r="N799" s="34" t="n">
        <f aca="false">MATCH(F799,Assumptions!$K$4:$K$8,0)</f>
        <v>5</v>
      </c>
      <c r="O799" s="21" t="str">
        <f aca="false">IF(H799="Yes",MONTH(I799),"")</f>
        <v/>
      </c>
      <c r="P799" s="21" t="str">
        <f aca="false">IF(H799="Yes",B799,"")</f>
        <v/>
      </c>
    </row>
    <row r="800" customFormat="false" ht="15" hidden="false" customHeight="false" outlineLevel="0" collapsed="false">
      <c r="A800" s="21" t="s">
        <v>2015</v>
      </c>
      <c r="B800" s="21" t="s">
        <v>317</v>
      </c>
      <c r="C800" s="21" t="s">
        <v>1290</v>
      </c>
      <c r="D800" s="21" t="s">
        <v>1188</v>
      </c>
      <c r="E800" s="33" t="n">
        <v>45311</v>
      </c>
      <c r="F800" s="21" t="s">
        <v>1175</v>
      </c>
      <c r="G800" s="32"/>
      <c r="H800" s="21"/>
      <c r="I800" s="33"/>
      <c r="J800" s="21" t="str">
        <f aca="false">INDEX(Students!$C$2:$C$601,MATCH(B800,Students!$A$2:$A$601,0))</f>
        <v>Batch 2024</v>
      </c>
      <c r="K800" s="21" t="str">
        <f aca="false">INDEX(Students!$D$2:$D$601,MATCH(B800,Students!$A$2:$A$601,0))</f>
        <v>Data Analytics</v>
      </c>
      <c r="L800" s="21" t="str">
        <f aca="false">INDEX(Companies!$C$2:$C$31,MATCH(C800,Companies!$A$2:$A$31,0))</f>
        <v>Fintech</v>
      </c>
      <c r="M800" s="21" t="str">
        <f aca="false">INDEX(Companies!$D$2:$D$31,MATCH(C800,Companies!$A$2:$A$31,0))</f>
        <v>Tier 2</v>
      </c>
      <c r="N800" s="34" t="n">
        <f aca="false">MATCH(F800,Assumptions!$K$4:$K$8,0)</f>
        <v>1</v>
      </c>
      <c r="O800" s="21" t="str">
        <f aca="false">IF(H800="Yes",MONTH(I800),"")</f>
        <v/>
      </c>
      <c r="P800" s="21" t="str">
        <f aca="false">IF(H800="Yes",B800,"")</f>
        <v/>
      </c>
    </row>
    <row r="801" customFormat="false" ht="15" hidden="false" customHeight="false" outlineLevel="0" collapsed="false">
      <c r="A801" s="21" t="s">
        <v>2016</v>
      </c>
      <c r="B801" s="21" t="s">
        <v>187</v>
      </c>
      <c r="C801" s="21" t="s">
        <v>1309</v>
      </c>
      <c r="D801" s="21" t="s">
        <v>1243</v>
      </c>
      <c r="E801" s="33" t="n">
        <v>45312</v>
      </c>
      <c r="F801" s="21" t="s">
        <v>1175</v>
      </c>
      <c r="G801" s="32"/>
      <c r="H801" s="21"/>
      <c r="I801" s="33"/>
      <c r="J801" s="21" t="str">
        <f aca="false">INDEX(Students!$C$2:$C$601,MATCH(B801,Students!$A$2:$A$601,0))</f>
        <v>Batch 2024</v>
      </c>
      <c r="K801" s="21" t="str">
        <f aca="false">INDEX(Students!$D$2:$D$601,MATCH(B801,Students!$A$2:$A$601,0))</f>
        <v>Data Science &amp; ML</v>
      </c>
      <c r="L801" s="21" t="str">
        <f aca="false">INDEX(Companies!$C$2:$C$31,MATCH(C801,Companies!$A$2:$A$31,0))</f>
        <v>EdTech</v>
      </c>
      <c r="M801" s="21" t="str">
        <f aca="false">INDEX(Companies!$D$2:$D$31,MATCH(C801,Companies!$A$2:$A$31,0))</f>
        <v>Tier 2</v>
      </c>
      <c r="N801" s="34" t="n">
        <f aca="false">MATCH(F801,Assumptions!$K$4:$K$8,0)</f>
        <v>1</v>
      </c>
      <c r="O801" s="21" t="str">
        <f aca="false">IF(H801="Yes",MONTH(I801),"")</f>
        <v/>
      </c>
      <c r="P801" s="21" t="str">
        <f aca="false">IF(H801="Yes",B801,"")</f>
        <v/>
      </c>
    </row>
    <row r="802" customFormat="false" ht="15" hidden="false" customHeight="false" outlineLevel="0" collapsed="false">
      <c r="A802" s="21" t="s">
        <v>2017</v>
      </c>
      <c r="B802" s="21" t="s">
        <v>415</v>
      </c>
      <c r="C802" s="21" t="s">
        <v>1190</v>
      </c>
      <c r="D802" s="21" t="s">
        <v>1226</v>
      </c>
      <c r="E802" s="33" t="n">
        <v>45312</v>
      </c>
      <c r="F802" s="21" t="s">
        <v>1175</v>
      </c>
      <c r="G802" s="32"/>
      <c r="H802" s="21"/>
      <c r="I802" s="33"/>
      <c r="J802" s="21" t="str">
        <f aca="false">INDEX(Students!$C$2:$C$601,MATCH(B802,Students!$A$2:$A$601,0))</f>
        <v>Batch 2024</v>
      </c>
      <c r="K802" s="21" t="str">
        <f aca="false">INDEX(Students!$D$2:$D$601,MATCH(B802,Students!$A$2:$A$601,0))</f>
        <v>Cybersecurity</v>
      </c>
      <c r="L802" s="21" t="str">
        <f aca="false">INDEX(Companies!$C$2:$C$31,MATCH(C802,Companies!$A$2:$A$31,0))</f>
        <v>Analytics &amp; Consulting</v>
      </c>
      <c r="M802" s="21" t="str">
        <f aca="false">INDEX(Companies!$D$2:$D$31,MATCH(C802,Companies!$A$2:$A$31,0))</f>
        <v>Tier 1</v>
      </c>
      <c r="N802" s="34" t="n">
        <f aca="false">MATCH(F802,Assumptions!$K$4:$K$8,0)</f>
        <v>1</v>
      </c>
      <c r="O802" s="21" t="str">
        <f aca="false">IF(H802="Yes",MONTH(I802),"")</f>
        <v/>
      </c>
      <c r="P802" s="21" t="str">
        <f aca="false">IF(H802="Yes",B802,"")</f>
        <v/>
      </c>
    </row>
    <row r="803" customFormat="false" ht="15" hidden="false" customHeight="false" outlineLevel="0" collapsed="false">
      <c r="A803" s="21" t="s">
        <v>2018</v>
      </c>
      <c r="B803" s="21" t="s">
        <v>223</v>
      </c>
      <c r="C803" s="21" t="s">
        <v>1180</v>
      </c>
      <c r="D803" s="21" t="s">
        <v>1191</v>
      </c>
      <c r="E803" s="33" t="n">
        <v>45312</v>
      </c>
      <c r="F803" s="21" t="s">
        <v>1185</v>
      </c>
      <c r="G803" s="32" t="n">
        <v>6.4</v>
      </c>
      <c r="H803" s="21" t="s">
        <v>113</v>
      </c>
      <c r="I803" s="33" t="n">
        <v>45338</v>
      </c>
      <c r="J803" s="21" t="str">
        <f aca="false">INDEX(Students!$C$2:$C$601,MATCH(B803,Students!$A$2:$A$601,0))</f>
        <v>Batch 2024</v>
      </c>
      <c r="K803" s="21" t="str">
        <f aca="false">INDEX(Students!$D$2:$D$601,MATCH(B803,Students!$A$2:$A$601,0))</f>
        <v>DSA with Java</v>
      </c>
      <c r="L803" s="21" t="str">
        <f aca="false">INDEX(Companies!$C$2:$C$31,MATCH(C803,Companies!$A$2:$A$31,0))</f>
        <v>IT Services</v>
      </c>
      <c r="M803" s="21" t="str">
        <f aca="false">INDEX(Companies!$D$2:$D$31,MATCH(C803,Companies!$A$2:$A$31,0))</f>
        <v>Tier 3</v>
      </c>
      <c r="N803" s="34" t="n">
        <f aca="false">MATCH(F803,Assumptions!$K$4:$K$8,0)</f>
        <v>5</v>
      </c>
      <c r="O803" s="21" t="str">
        <f aca="false">IF(H803="Yes",MONTH(I803),"")</f>
        <v/>
      </c>
      <c r="P803" s="21" t="str">
        <f aca="false">IF(H803="Yes",B803,"")</f>
        <v/>
      </c>
    </row>
    <row r="804" customFormat="false" ht="15" hidden="false" customHeight="false" outlineLevel="0" collapsed="false">
      <c r="A804" s="21" t="s">
        <v>2019</v>
      </c>
      <c r="B804" s="21" t="s">
        <v>219</v>
      </c>
      <c r="C804" s="21" t="s">
        <v>1177</v>
      </c>
      <c r="D804" s="21" t="s">
        <v>1243</v>
      </c>
      <c r="E804" s="33" t="n">
        <v>45312</v>
      </c>
      <c r="F804" s="21" t="s">
        <v>1175</v>
      </c>
      <c r="G804" s="32"/>
      <c r="H804" s="21"/>
      <c r="I804" s="33"/>
      <c r="J804" s="21" t="str">
        <f aca="false">INDEX(Students!$C$2:$C$601,MATCH(B804,Students!$A$2:$A$601,0))</f>
        <v>Batch 2024</v>
      </c>
      <c r="K804" s="21" t="str">
        <f aca="false">INDEX(Students!$D$2:$D$601,MATCH(B804,Students!$A$2:$A$601,0))</f>
        <v>Data Science &amp; ML</v>
      </c>
      <c r="L804" s="21" t="str">
        <f aca="false">INDEX(Companies!$C$2:$C$31,MATCH(C804,Companies!$A$2:$A$31,0))</f>
        <v>IT Services</v>
      </c>
      <c r="M804" s="21" t="str">
        <f aca="false">INDEX(Companies!$D$2:$D$31,MATCH(C804,Companies!$A$2:$A$31,0))</f>
        <v>Tier 3</v>
      </c>
      <c r="N804" s="34" t="n">
        <f aca="false">MATCH(F804,Assumptions!$K$4:$K$8,0)</f>
        <v>1</v>
      </c>
      <c r="O804" s="21" t="str">
        <f aca="false">IF(H804="Yes",MONTH(I804),"")</f>
        <v/>
      </c>
      <c r="P804" s="21" t="str">
        <f aca="false">IF(H804="Yes",B804,"")</f>
        <v/>
      </c>
    </row>
    <row r="805" customFormat="false" ht="15" hidden="false" customHeight="false" outlineLevel="0" collapsed="false">
      <c r="A805" s="21" t="s">
        <v>2020</v>
      </c>
      <c r="B805" s="21" t="s">
        <v>241</v>
      </c>
      <c r="C805" s="21" t="s">
        <v>1214</v>
      </c>
      <c r="D805" s="21" t="s">
        <v>1194</v>
      </c>
      <c r="E805" s="33" t="n">
        <v>45312</v>
      </c>
      <c r="F805" s="21" t="s">
        <v>1175</v>
      </c>
      <c r="G805" s="32"/>
      <c r="H805" s="21"/>
      <c r="I805" s="33"/>
      <c r="J805" s="21" t="str">
        <f aca="false">INDEX(Students!$C$2:$C$601,MATCH(B805,Students!$A$2:$A$601,0))</f>
        <v>Batch 2024</v>
      </c>
      <c r="K805" s="21" t="str">
        <f aca="false">INDEX(Students!$D$2:$D$601,MATCH(B805,Students!$A$2:$A$601,0))</f>
        <v>Data Science &amp; ML</v>
      </c>
      <c r="L805" s="21" t="str">
        <f aca="false">INDEX(Companies!$C$2:$C$31,MATCH(C805,Companies!$A$2:$A$31,0))</f>
        <v>Product</v>
      </c>
      <c r="M805" s="21" t="str">
        <f aca="false">INDEX(Companies!$D$2:$D$31,MATCH(C805,Companies!$A$2:$A$31,0))</f>
        <v>Tier 1</v>
      </c>
      <c r="N805" s="34" t="n">
        <f aca="false">MATCH(F805,Assumptions!$K$4:$K$8,0)</f>
        <v>1</v>
      </c>
      <c r="O805" s="21" t="str">
        <f aca="false">IF(H805="Yes",MONTH(I805),"")</f>
        <v/>
      </c>
      <c r="P805" s="21" t="str">
        <f aca="false">IF(H805="Yes",B805,"")</f>
        <v/>
      </c>
    </row>
    <row r="806" customFormat="false" ht="15" hidden="false" customHeight="false" outlineLevel="0" collapsed="false">
      <c r="A806" s="21" t="s">
        <v>2021</v>
      </c>
      <c r="B806" s="21" t="s">
        <v>419</v>
      </c>
      <c r="C806" s="21" t="s">
        <v>1275</v>
      </c>
      <c r="D806" s="21" t="s">
        <v>1240</v>
      </c>
      <c r="E806" s="33" t="n">
        <v>45312</v>
      </c>
      <c r="F806" s="21" t="s">
        <v>1175</v>
      </c>
      <c r="G806" s="32"/>
      <c r="H806" s="21"/>
      <c r="I806" s="33"/>
      <c r="J806" s="21" t="str">
        <f aca="false">INDEX(Students!$C$2:$C$601,MATCH(B806,Students!$A$2:$A$601,0))</f>
        <v>Batch 2024</v>
      </c>
      <c r="K806" s="21" t="str">
        <f aca="false">INDEX(Students!$D$2:$D$601,MATCH(B806,Students!$A$2:$A$601,0))</f>
        <v>Cybersecurity</v>
      </c>
      <c r="L806" s="21" t="str">
        <f aca="false">INDEX(Companies!$C$2:$C$31,MATCH(C806,Companies!$A$2:$A$31,0))</f>
        <v>Cybersecurity</v>
      </c>
      <c r="M806" s="21" t="str">
        <f aca="false">INDEX(Companies!$D$2:$D$31,MATCH(C806,Companies!$A$2:$A$31,0))</f>
        <v>Tier 2</v>
      </c>
      <c r="N806" s="34" t="n">
        <f aca="false">MATCH(F806,Assumptions!$K$4:$K$8,0)</f>
        <v>1</v>
      </c>
      <c r="O806" s="21" t="str">
        <f aca="false">IF(H806="Yes",MONTH(I806),"")</f>
        <v/>
      </c>
      <c r="P806" s="21" t="str">
        <f aca="false">IF(H806="Yes",B806,"")</f>
        <v/>
      </c>
    </row>
    <row r="807" customFormat="false" ht="15" hidden="false" customHeight="false" outlineLevel="0" collapsed="false">
      <c r="A807" s="21" t="s">
        <v>2022</v>
      </c>
      <c r="B807" s="21" t="s">
        <v>399</v>
      </c>
      <c r="C807" s="21" t="s">
        <v>1263</v>
      </c>
      <c r="D807" s="21" t="s">
        <v>1194</v>
      </c>
      <c r="E807" s="33" t="n">
        <v>45312</v>
      </c>
      <c r="F807" s="21" t="s">
        <v>1175</v>
      </c>
      <c r="G807" s="32"/>
      <c r="H807" s="21"/>
      <c r="I807" s="33"/>
      <c r="J807" s="21" t="str">
        <f aca="false">INDEX(Students!$C$2:$C$601,MATCH(B807,Students!$A$2:$A$601,0))</f>
        <v>Batch 2024</v>
      </c>
      <c r="K807" s="21" t="str">
        <f aca="false">INDEX(Students!$D$2:$D$601,MATCH(B807,Students!$A$2:$A$601,0))</f>
        <v>Data Science &amp; ML</v>
      </c>
      <c r="L807" s="21" t="str">
        <f aca="false">INDEX(Companies!$C$2:$C$31,MATCH(C807,Companies!$A$2:$A$31,0))</f>
        <v>Analytics &amp; Consulting</v>
      </c>
      <c r="M807" s="21" t="str">
        <f aca="false">INDEX(Companies!$D$2:$D$31,MATCH(C807,Companies!$A$2:$A$31,0))</f>
        <v>Tier 2</v>
      </c>
      <c r="N807" s="34" t="n">
        <f aca="false">MATCH(F807,Assumptions!$K$4:$K$8,0)</f>
        <v>1</v>
      </c>
      <c r="O807" s="21" t="str">
        <f aca="false">IF(H807="Yes",MONTH(I807),"")</f>
        <v/>
      </c>
      <c r="P807" s="21" t="str">
        <f aca="false">IF(H807="Yes",B807,"")</f>
        <v/>
      </c>
    </row>
    <row r="808" customFormat="false" ht="15" hidden="false" customHeight="false" outlineLevel="0" collapsed="false">
      <c r="A808" s="21" t="s">
        <v>2023</v>
      </c>
      <c r="B808" s="21" t="s">
        <v>259</v>
      </c>
      <c r="C808" s="21" t="s">
        <v>1187</v>
      </c>
      <c r="D808" s="21" t="s">
        <v>1174</v>
      </c>
      <c r="E808" s="33" t="n">
        <v>45312</v>
      </c>
      <c r="F808" s="21" t="s">
        <v>1175</v>
      </c>
      <c r="G808" s="32"/>
      <c r="H808" s="21"/>
      <c r="I808" s="33"/>
      <c r="J808" s="21" t="str">
        <f aca="false">INDEX(Students!$C$2:$C$601,MATCH(B808,Students!$A$2:$A$601,0))</f>
        <v>Batch 2024</v>
      </c>
      <c r="K808" s="21" t="str">
        <f aca="false">INDEX(Students!$D$2:$D$601,MATCH(B808,Students!$A$2:$A$601,0))</f>
        <v>Full Stack Development</v>
      </c>
      <c r="L808" s="21" t="str">
        <f aca="false">INDEX(Companies!$C$2:$C$31,MATCH(C808,Companies!$A$2:$A$31,0))</f>
        <v>Product</v>
      </c>
      <c r="M808" s="21" t="str">
        <f aca="false">INDEX(Companies!$D$2:$D$31,MATCH(C808,Companies!$A$2:$A$31,0))</f>
        <v>Tier 1</v>
      </c>
      <c r="N808" s="34" t="n">
        <f aca="false">MATCH(F808,Assumptions!$K$4:$K$8,0)</f>
        <v>1</v>
      </c>
      <c r="O808" s="21" t="str">
        <f aca="false">IF(H808="Yes",MONTH(I808),"")</f>
        <v/>
      </c>
      <c r="P808" s="21" t="str">
        <f aca="false">IF(H808="Yes",B808,"")</f>
        <v/>
      </c>
    </row>
    <row r="809" customFormat="false" ht="15" hidden="false" customHeight="false" outlineLevel="0" collapsed="false">
      <c r="A809" s="21" t="s">
        <v>2024</v>
      </c>
      <c r="B809" s="21" t="s">
        <v>337</v>
      </c>
      <c r="C809" s="21" t="s">
        <v>1177</v>
      </c>
      <c r="D809" s="21" t="s">
        <v>1243</v>
      </c>
      <c r="E809" s="33" t="n">
        <v>45312</v>
      </c>
      <c r="F809" s="21" t="s">
        <v>1185</v>
      </c>
      <c r="G809" s="32" t="n">
        <v>5.9</v>
      </c>
      <c r="H809" s="21" t="s">
        <v>113</v>
      </c>
      <c r="I809" s="33" t="n">
        <v>45359</v>
      </c>
      <c r="J809" s="21" t="str">
        <f aca="false">INDEX(Students!$C$2:$C$601,MATCH(B809,Students!$A$2:$A$601,0))</f>
        <v>Batch 2024</v>
      </c>
      <c r="K809" s="21" t="str">
        <f aca="false">INDEX(Students!$D$2:$D$601,MATCH(B809,Students!$A$2:$A$601,0))</f>
        <v>Data Science &amp; ML</v>
      </c>
      <c r="L809" s="21" t="str">
        <f aca="false">INDEX(Companies!$C$2:$C$31,MATCH(C809,Companies!$A$2:$A$31,0))</f>
        <v>IT Services</v>
      </c>
      <c r="M809" s="21" t="str">
        <f aca="false">INDEX(Companies!$D$2:$D$31,MATCH(C809,Companies!$A$2:$A$31,0))</f>
        <v>Tier 3</v>
      </c>
      <c r="N809" s="34" t="n">
        <f aca="false">MATCH(F809,Assumptions!$K$4:$K$8,0)</f>
        <v>5</v>
      </c>
      <c r="O809" s="21" t="str">
        <f aca="false">IF(H809="Yes",MONTH(I809),"")</f>
        <v/>
      </c>
      <c r="P809" s="21" t="str">
        <f aca="false">IF(H809="Yes",B809,"")</f>
        <v/>
      </c>
    </row>
    <row r="810" customFormat="false" ht="15" hidden="false" customHeight="false" outlineLevel="0" collapsed="false">
      <c r="A810" s="21" t="s">
        <v>2025</v>
      </c>
      <c r="B810" s="21" t="s">
        <v>297</v>
      </c>
      <c r="C810" s="21" t="s">
        <v>1309</v>
      </c>
      <c r="D810" s="21" t="s">
        <v>1184</v>
      </c>
      <c r="E810" s="33" t="n">
        <v>45312</v>
      </c>
      <c r="F810" s="21" t="s">
        <v>1197</v>
      </c>
      <c r="G810" s="32"/>
      <c r="H810" s="21"/>
      <c r="I810" s="33"/>
      <c r="J810" s="21" t="str">
        <f aca="false">INDEX(Students!$C$2:$C$601,MATCH(B810,Students!$A$2:$A$601,0))</f>
        <v>Batch 2024</v>
      </c>
      <c r="K810" s="21" t="str">
        <f aca="false">INDEX(Students!$D$2:$D$601,MATCH(B810,Students!$A$2:$A$601,0))</f>
        <v>DSA with Java</v>
      </c>
      <c r="L810" s="21" t="str">
        <f aca="false">INDEX(Companies!$C$2:$C$31,MATCH(C810,Companies!$A$2:$A$31,0))</f>
        <v>EdTech</v>
      </c>
      <c r="M810" s="21" t="str">
        <f aca="false">INDEX(Companies!$D$2:$D$31,MATCH(C810,Companies!$A$2:$A$31,0))</f>
        <v>Tier 2</v>
      </c>
      <c r="N810" s="34" t="n">
        <f aca="false">MATCH(F810,Assumptions!$K$4:$K$8,0)</f>
        <v>3</v>
      </c>
      <c r="O810" s="21" t="str">
        <f aca="false">IF(H810="Yes",MONTH(I810),"")</f>
        <v/>
      </c>
      <c r="P810" s="21" t="str">
        <f aca="false">IF(H810="Yes",B810,"")</f>
        <v/>
      </c>
    </row>
    <row r="811" customFormat="false" ht="15" hidden="false" customHeight="false" outlineLevel="0" collapsed="false">
      <c r="A811" s="21" t="s">
        <v>2026</v>
      </c>
      <c r="B811" s="21" t="s">
        <v>157</v>
      </c>
      <c r="C811" s="21" t="s">
        <v>1228</v>
      </c>
      <c r="D811" s="21" t="s">
        <v>1174</v>
      </c>
      <c r="E811" s="33" t="n">
        <v>45313</v>
      </c>
      <c r="F811" s="21" t="s">
        <v>1175</v>
      </c>
      <c r="G811" s="32"/>
      <c r="H811" s="21"/>
      <c r="I811" s="33"/>
      <c r="J811" s="21" t="str">
        <f aca="false">INDEX(Students!$C$2:$C$601,MATCH(B811,Students!$A$2:$A$601,0))</f>
        <v>Batch 2024</v>
      </c>
      <c r="K811" s="21" t="str">
        <f aca="false">INDEX(Students!$D$2:$D$601,MATCH(B811,Students!$A$2:$A$601,0))</f>
        <v>Full Stack Development</v>
      </c>
      <c r="L811" s="21" t="str">
        <f aca="false">INDEX(Companies!$C$2:$C$31,MATCH(C811,Companies!$A$2:$A$31,0))</f>
        <v>Fintech</v>
      </c>
      <c r="M811" s="21" t="str">
        <f aca="false">INDEX(Companies!$D$2:$D$31,MATCH(C811,Companies!$A$2:$A$31,0))</f>
        <v>Tier 1</v>
      </c>
      <c r="N811" s="34" t="n">
        <f aca="false">MATCH(F811,Assumptions!$K$4:$K$8,0)</f>
        <v>1</v>
      </c>
      <c r="O811" s="21" t="str">
        <f aca="false">IF(H811="Yes",MONTH(I811),"")</f>
        <v/>
      </c>
      <c r="P811" s="21" t="str">
        <f aca="false">IF(H811="Yes",B811,"")</f>
        <v/>
      </c>
    </row>
    <row r="812" customFormat="false" ht="15" hidden="false" customHeight="false" outlineLevel="0" collapsed="false">
      <c r="A812" s="21" t="s">
        <v>2027</v>
      </c>
      <c r="B812" s="21" t="s">
        <v>177</v>
      </c>
      <c r="C812" s="21" t="s">
        <v>1225</v>
      </c>
      <c r="D812" s="21" t="s">
        <v>1181</v>
      </c>
      <c r="E812" s="33" t="n">
        <v>45314</v>
      </c>
      <c r="F812" s="21" t="s">
        <v>1178</v>
      </c>
      <c r="G812" s="32"/>
      <c r="H812" s="21"/>
      <c r="I812" s="33"/>
      <c r="J812" s="21" t="str">
        <f aca="false">INDEX(Students!$C$2:$C$601,MATCH(B812,Students!$A$2:$A$601,0))</f>
        <v>Batch 2024</v>
      </c>
      <c r="K812" s="21" t="str">
        <f aca="false">INDEX(Students!$D$2:$D$601,MATCH(B812,Students!$A$2:$A$601,0))</f>
        <v>Full Stack Development</v>
      </c>
      <c r="L812" s="21" t="str">
        <f aca="false">INDEX(Companies!$C$2:$C$31,MATCH(C812,Companies!$A$2:$A$31,0))</f>
        <v>EdTech</v>
      </c>
      <c r="M812" s="21" t="str">
        <f aca="false">INDEX(Companies!$D$2:$D$31,MATCH(C812,Companies!$A$2:$A$31,0))</f>
        <v>Tier 2</v>
      </c>
      <c r="N812" s="34" t="n">
        <f aca="false">MATCH(F812,Assumptions!$K$4:$K$8,0)</f>
        <v>2</v>
      </c>
      <c r="O812" s="21" t="str">
        <f aca="false">IF(H812="Yes",MONTH(I812),"")</f>
        <v/>
      </c>
      <c r="P812" s="21" t="str">
        <f aca="false">IF(H812="Yes",B812,"")</f>
        <v/>
      </c>
    </row>
    <row r="813" customFormat="false" ht="15" hidden="false" customHeight="false" outlineLevel="0" collapsed="false">
      <c r="A813" s="21" t="s">
        <v>2028</v>
      </c>
      <c r="B813" s="21" t="s">
        <v>191</v>
      </c>
      <c r="C813" s="21" t="s">
        <v>1214</v>
      </c>
      <c r="D813" s="21" t="s">
        <v>1184</v>
      </c>
      <c r="E813" s="33" t="n">
        <v>45314</v>
      </c>
      <c r="F813" s="21" t="s">
        <v>1175</v>
      </c>
      <c r="G813" s="32"/>
      <c r="H813" s="21"/>
      <c r="I813" s="33"/>
      <c r="J813" s="21" t="str">
        <f aca="false">INDEX(Students!$C$2:$C$601,MATCH(B813,Students!$A$2:$A$601,0))</f>
        <v>Batch 2024</v>
      </c>
      <c r="K813" s="21" t="str">
        <f aca="false">INDEX(Students!$D$2:$D$601,MATCH(B813,Students!$A$2:$A$601,0))</f>
        <v>DSA with Java</v>
      </c>
      <c r="L813" s="21" t="str">
        <f aca="false">INDEX(Companies!$C$2:$C$31,MATCH(C813,Companies!$A$2:$A$31,0))</f>
        <v>Product</v>
      </c>
      <c r="M813" s="21" t="str">
        <f aca="false">INDEX(Companies!$D$2:$D$31,MATCH(C813,Companies!$A$2:$A$31,0))</f>
        <v>Tier 1</v>
      </c>
      <c r="N813" s="34" t="n">
        <f aca="false">MATCH(F813,Assumptions!$K$4:$K$8,0)</f>
        <v>1</v>
      </c>
      <c r="O813" s="21" t="str">
        <f aca="false">IF(H813="Yes",MONTH(I813),"")</f>
        <v/>
      </c>
      <c r="P813" s="21" t="str">
        <f aca="false">IF(H813="Yes",B813,"")</f>
        <v/>
      </c>
    </row>
    <row r="814" customFormat="false" ht="15" hidden="false" customHeight="false" outlineLevel="0" collapsed="false">
      <c r="A814" s="21" t="s">
        <v>2029</v>
      </c>
      <c r="B814" s="21" t="s">
        <v>339</v>
      </c>
      <c r="C814" s="21" t="s">
        <v>1228</v>
      </c>
      <c r="D814" s="21" t="s">
        <v>1240</v>
      </c>
      <c r="E814" s="33" t="n">
        <v>45314</v>
      </c>
      <c r="F814" s="21" t="s">
        <v>1175</v>
      </c>
      <c r="G814" s="32"/>
      <c r="H814" s="21"/>
      <c r="I814" s="33"/>
      <c r="J814" s="21" t="str">
        <f aca="false">INDEX(Students!$C$2:$C$601,MATCH(B814,Students!$A$2:$A$601,0))</f>
        <v>Batch 2024</v>
      </c>
      <c r="K814" s="21" t="str">
        <f aca="false">INDEX(Students!$D$2:$D$601,MATCH(B814,Students!$A$2:$A$601,0))</f>
        <v>Cybersecurity</v>
      </c>
      <c r="L814" s="21" t="str">
        <f aca="false">INDEX(Companies!$C$2:$C$31,MATCH(C814,Companies!$A$2:$A$31,0))</f>
        <v>Fintech</v>
      </c>
      <c r="M814" s="21" t="str">
        <f aca="false">INDEX(Companies!$D$2:$D$31,MATCH(C814,Companies!$A$2:$A$31,0))</f>
        <v>Tier 1</v>
      </c>
      <c r="N814" s="34" t="n">
        <f aca="false">MATCH(F814,Assumptions!$K$4:$K$8,0)</f>
        <v>1</v>
      </c>
      <c r="O814" s="21" t="str">
        <f aca="false">IF(H814="Yes",MONTH(I814),"")</f>
        <v/>
      </c>
      <c r="P814" s="21" t="str">
        <f aca="false">IF(H814="Yes",B814,"")</f>
        <v/>
      </c>
    </row>
    <row r="815" customFormat="false" ht="15" hidden="false" customHeight="false" outlineLevel="0" collapsed="false">
      <c r="A815" s="21" t="s">
        <v>2030</v>
      </c>
      <c r="B815" s="21" t="s">
        <v>397</v>
      </c>
      <c r="C815" s="21" t="s">
        <v>1193</v>
      </c>
      <c r="D815" s="21" t="s">
        <v>1191</v>
      </c>
      <c r="E815" s="33" t="n">
        <v>45314</v>
      </c>
      <c r="F815" s="21" t="s">
        <v>1178</v>
      </c>
      <c r="G815" s="32"/>
      <c r="H815" s="21"/>
      <c r="I815" s="33"/>
      <c r="J815" s="21" t="str">
        <f aca="false">INDEX(Students!$C$2:$C$601,MATCH(B815,Students!$A$2:$A$601,0))</f>
        <v>Batch 2024</v>
      </c>
      <c r="K815" s="21" t="str">
        <f aca="false">INDEX(Students!$D$2:$D$601,MATCH(B815,Students!$A$2:$A$601,0))</f>
        <v>DSA with Java</v>
      </c>
      <c r="L815" s="21" t="str">
        <f aca="false">INDEX(Companies!$C$2:$C$31,MATCH(C815,Companies!$A$2:$A$31,0))</f>
        <v>Analytics &amp; Consulting</v>
      </c>
      <c r="M815" s="21" t="str">
        <f aca="false">INDEX(Companies!$D$2:$D$31,MATCH(C815,Companies!$A$2:$A$31,0))</f>
        <v>Tier 2</v>
      </c>
      <c r="N815" s="34" t="n">
        <f aca="false">MATCH(F815,Assumptions!$K$4:$K$8,0)</f>
        <v>2</v>
      </c>
      <c r="O815" s="21" t="str">
        <f aca="false">IF(H815="Yes",MONTH(I815),"")</f>
        <v/>
      </c>
      <c r="P815" s="21" t="str">
        <f aca="false">IF(H815="Yes",B815,"")</f>
        <v/>
      </c>
    </row>
    <row r="816" customFormat="false" ht="15" hidden="false" customHeight="false" outlineLevel="0" collapsed="false">
      <c r="A816" s="21" t="s">
        <v>2031</v>
      </c>
      <c r="B816" s="21" t="s">
        <v>159</v>
      </c>
      <c r="C816" s="21" t="s">
        <v>1183</v>
      </c>
      <c r="D816" s="21" t="s">
        <v>1240</v>
      </c>
      <c r="E816" s="33" t="n">
        <v>45315</v>
      </c>
      <c r="F816" s="21" t="s">
        <v>1185</v>
      </c>
      <c r="G816" s="32" t="n">
        <v>12.6</v>
      </c>
      <c r="H816" s="21" t="s">
        <v>120</v>
      </c>
      <c r="I816" s="33" t="n">
        <v>45346</v>
      </c>
      <c r="J816" s="21" t="str">
        <f aca="false">INDEX(Students!$C$2:$C$601,MATCH(B816,Students!$A$2:$A$601,0))</f>
        <v>Batch 2024</v>
      </c>
      <c r="K816" s="21" t="str">
        <f aca="false">INDEX(Students!$D$2:$D$601,MATCH(B816,Students!$A$2:$A$601,0))</f>
        <v>Cybersecurity</v>
      </c>
      <c r="L816" s="21" t="str">
        <f aca="false">INDEX(Companies!$C$2:$C$31,MATCH(C816,Companies!$A$2:$A$31,0))</f>
        <v>E-commerce</v>
      </c>
      <c r="M816" s="21" t="str">
        <f aca="false">INDEX(Companies!$D$2:$D$31,MATCH(C816,Companies!$A$2:$A$31,0))</f>
        <v>Tier 2</v>
      </c>
      <c r="N816" s="34" t="n">
        <f aca="false">MATCH(F816,Assumptions!$K$4:$K$8,0)</f>
        <v>5</v>
      </c>
      <c r="O816" s="21" t="n">
        <f aca="false">IF(H816="Yes",MONTH(I816),"")</f>
        <v>2</v>
      </c>
      <c r="P816" s="21" t="str">
        <f aca="false">IF(H816="Yes",B816,"")</f>
        <v>S0024</v>
      </c>
    </row>
    <row r="817" customFormat="false" ht="15" hidden="false" customHeight="false" outlineLevel="0" collapsed="false">
      <c r="A817" s="21" t="s">
        <v>2032</v>
      </c>
      <c r="B817" s="21" t="s">
        <v>440</v>
      </c>
      <c r="C817" s="21" t="s">
        <v>1263</v>
      </c>
      <c r="D817" s="21" t="s">
        <v>1174</v>
      </c>
      <c r="E817" s="33" t="n">
        <v>45315</v>
      </c>
      <c r="F817" s="21" t="s">
        <v>1175</v>
      </c>
      <c r="G817" s="32"/>
      <c r="H817" s="21"/>
      <c r="I817" s="33"/>
      <c r="J817" s="21" t="str">
        <f aca="false">INDEX(Students!$C$2:$C$601,MATCH(B817,Students!$A$2:$A$601,0))</f>
        <v>Batch 2024</v>
      </c>
      <c r="K817" s="21" t="str">
        <f aca="false">INDEX(Students!$D$2:$D$601,MATCH(B817,Students!$A$2:$A$601,0))</f>
        <v>Full Stack Development</v>
      </c>
      <c r="L817" s="21" t="str">
        <f aca="false">INDEX(Companies!$C$2:$C$31,MATCH(C817,Companies!$A$2:$A$31,0))</f>
        <v>Analytics &amp; Consulting</v>
      </c>
      <c r="M817" s="21" t="str">
        <f aca="false">INDEX(Companies!$D$2:$D$31,MATCH(C817,Companies!$A$2:$A$31,0))</f>
        <v>Tier 2</v>
      </c>
      <c r="N817" s="34" t="n">
        <f aca="false">MATCH(F817,Assumptions!$K$4:$K$8,0)</f>
        <v>1</v>
      </c>
      <c r="O817" s="21" t="str">
        <f aca="false">IF(H817="Yes",MONTH(I817),"")</f>
        <v/>
      </c>
      <c r="P817" s="21" t="str">
        <f aca="false">IF(H817="Yes",B817,"")</f>
        <v/>
      </c>
    </row>
    <row r="818" customFormat="false" ht="15" hidden="false" customHeight="false" outlineLevel="0" collapsed="false">
      <c r="A818" s="21" t="s">
        <v>2033</v>
      </c>
      <c r="B818" s="21" t="s">
        <v>447</v>
      </c>
      <c r="C818" s="21" t="s">
        <v>1201</v>
      </c>
      <c r="D818" s="21" t="s">
        <v>1191</v>
      </c>
      <c r="E818" s="33" t="n">
        <v>45315</v>
      </c>
      <c r="F818" s="21" t="s">
        <v>1185</v>
      </c>
      <c r="G818" s="32" t="n">
        <v>6.6</v>
      </c>
      <c r="H818" s="21" t="s">
        <v>113</v>
      </c>
      <c r="I818" s="33" t="n">
        <v>45348</v>
      </c>
      <c r="J818" s="21" t="str">
        <f aca="false">INDEX(Students!$C$2:$C$601,MATCH(B818,Students!$A$2:$A$601,0))</f>
        <v>Batch 2024</v>
      </c>
      <c r="K818" s="21" t="str">
        <f aca="false">INDEX(Students!$D$2:$D$601,MATCH(B818,Students!$A$2:$A$601,0))</f>
        <v>DSA with Java</v>
      </c>
      <c r="L818" s="21" t="str">
        <f aca="false">INDEX(Companies!$C$2:$C$31,MATCH(C818,Companies!$A$2:$A$31,0))</f>
        <v>IT Services</v>
      </c>
      <c r="M818" s="21" t="str">
        <f aca="false">INDEX(Companies!$D$2:$D$31,MATCH(C818,Companies!$A$2:$A$31,0))</f>
        <v>Tier 3</v>
      </c>
      <c r="N818" s="34" t="n">
        <f aca="false">MATCH(F818,Assumptions!$K$4:$K$8,0)</f>
        <v>5</v>
      </c>
      <c r="O818" s="21" t="str">
        <f aca="false">IF(H818="Yes",MONTH(I818),"")</f>
        <v/>
      </c>
      <c r="P818" s="21" t="str">
        <f aca="false">IF(H818="Yes",B818,"")</f>
        <v/>
      </c>
    </row>
    <row r="819" customFormat="false" ht="15" hidden="false" customHeight="false" outlineLevel="0" collapsed="false">
      <c r="A819" s="21" t="s">
        <v>2034</v>
      </c>
      <c r="B819" s="21" t="s">
        <v>141</v>
      </c>
      <c r="C819" s="21" t="s">
        <v>1234</v>
      </c>
      <c r="D819" s="21" t="s">
        <v>1174</v>
      </c>
      <c r="E819" s="33" t="n">
        <v>45315</v>
      </c>
      <c r="F819" s="21" t="s">
        <v>1185</v>
      </c>
      <c r="G819" s="32" t="n">
        <v>4.6</v>
      </c>
      <c r="H819" s="21" t="s">
        <v>113</v>
      </c>
      <c r="I819" s="33" t="n">
        <v>45346</v>
      </c>
      <c r="J819" s="21" t="str">
        <f aca="false">INDEX(Students!$C$2:$C$601,MATCH(B819,Students!$A$2:$A$601,0))</f>
        <v>Batch 2024</v>
      </c>
      <c r="K819" s="21" t="str">
        <f aca="false">INDEX(Students!$D$2:$D$601,MATCH(B819,Students!$A$2:$A$601,0))</f>
        <v>Full Stack Development</v>
      </c>
      <c r="L819" s="21" t="str">
        <f aca="false">INDEX(Companies!$C$2:$C$31,MATCH(C819,Companies!$A$2:$A$31,0))</f>
        <v>EdTech</v>
      </c>
      <c r="M819" s="21" t="str">
        <f aca="false">INDEX(Companies!$D$2:$D$31,MATCH(C819,Companies!$A$2:$A$31,0))</f>
        <v>Tier 3</v>
      </c>
      <c r="N819" s="34" t="n">
        <f aca="false">MATCH(F819,Assumptions!$K$4:$K$8,0)</f>
        <v>5</v>
      </c>
      <c r="O819" s="21" t="str">
        <f aca="false">IF(H819="Yes",MONTH(I819),"")</f>
        <v/>
      </c>
      <c r="P819" s="21" t="str">
        <f aca="false">IF(H819="Yes",B819,"")</f>
        <v/>
      </c>
    </row>
    <row r="820" customFormat="false" ht="15" hidden="false" customHeight="false" outlineLevel="0" collapsed="false">
      <c r="A820" s="21" t="s">
        <v>2035</v>
      </c>
      <c r="B820" s="21" t="s">
        <v>393</v>
      </c>
      <c r="C820" s="21" t="s">
        <v>1230</v>
      </c>
      <c r="D820" s="21" t="s">
        <v>1188</v>
      </c>
      <c r="E820" s="33" t="n">
        <v>45316</v>
      </c>
      <c r="F820" s="21" t="s">
        <v>1175</v>
      </c>
      <c r="G820" s="32"/>
      <c r="H820" s="21"/>
      <c r="I820" s="33"/>
      <c r="J820" s="21" t="str">
        <f aca="false">INDEX(Students!$C$2:$C$601,MATCH(B820,Students!$A$2:$A$601,0))</f>
        <v>Batch 2024</v>
      </c>
      <c r="K820" s="21" t="str">
        <f aca="false">INDEX(Students!$D$2:$D$601,MATCH(B820,Students!$A$2:$A$601,0))</f>
        <v>Data Analytics</v>
      </c>
      <c r="L820" s="21" t="str">
        <f aca="false">INDEX(Companies!$C$2:$C$31,MATCH(C820,Companies!$A$2:$A$31,0))</f>
        <v>IT Services</v>
      </c>
      <c r="M820" s="21" t="str">
        <f aca="false">INDEX(Companies!$D$2:$D$31,MATCH(C820,Companies!$A$2:$A$31,0))</f>
        <v>Tier 3</v>
      </c>
      <c r="N820" s="34" t="n">
        <f aca="false">MATCH(F820,Assumptions!$K$4:$K$8,0)</f>
        <v>1</v>
      </c>
      <c r="O820" s="21" t="str">
        <f aca="false">IF(H820="Yes",MONTH(I820),"")</f>
        <v/>
      </c>
      <c r="P820" s="21" t="str">
        <f aca="false">IF(H820="Yes",B820,"")</f>
        <v/>
      </c>
    </row>
    <row r="821" customFormat="false" ht="15" hidden="false" customHeight="false" outlineLevel="0" collapsed="false">
      <c r="A821" s="21" t="s">
        <v>2036</v>
      </c>
      <c r="B821" s="21" t="s">
        <v>382</v>
      </c>
      <c r="C821" s="21" t="s">
        <v>1180</v>
      </c>
      <c r="D821" s="21" t="s">
        <v>1240</v>
      </c>
      <c r="E821" s="33" t="n">
        <v>45316</v>
      </c>
      <c r="F821" s="21" t="s">
        <v>1175</v>
      </c>
      <c r="G821" s="32"/>
      <c r="H821" s="21"/>
      <c r="I821" s="33"/>
      <c r="J821" s="21" t="str">
        <f aca="false">INDEX(Students!$C$2:$C$601,MATCH(B821,Students!$A$2:$A$601,0))</f>
        <v>Batch 2024</v>
      </c>
      <c r="K821" s="21" t="str">
        <f aca="false">INDEX(Students!$D$2:$D$601,MATCH(B821,Students!$A$2:$A$601,0))</f>
        <v>Cybersecurity</v>
      </c>
      <c r="L821" s="21" t="str">
        <f aca="false">INDEX(Companies!$C$2:$C$31,MATCH(C821,Companies!$A$2:$A$31,0))</f>
        <v>IT Services</v>
      </c>
      <c r="M821" s="21" t="str">
        <f aca="false">INDEX(Companies!$D$2:$D$31,MATCH(C821,Companies!$A$2:$A$31,0))</f>
        <v>Tier 3</v>
      </c>
      <c r="N821" s="34" t="n">
        <f aca="false">MATCH(F821,Assumptions!$K$4:$K$8,0)</f>
        <v>1</v>
      </c>
      <c r="O821" s="21" t="str">
        <f aca="false">IF(H821="Yes",MONTH(I821),"")</f>
        <v/>
      </c>
      <c r="P821" s="21" t="str">
        <f aca="false">IF(H821="Yes",B821,"")</f>
        <v/>
      </c>
    </row>
    <row r="822" customFormat="false" ht="15" hidden="false" customHeight="false" outlineLevel="0" collapsed="false">
      <c r="A822" s="21" t="s">
        <v>2037</v>
      </c>
      <c r="B822" s="21" t="s">
        <v>285</v>
      </c>
      <c r="C822" s="21" t="s">
        <v>1230</v>
      </c>
      <c r="D822" s="21" t="s">
        <v>1240</v>
      </c>
      <c r="E822" s="33" t="n">
        <v>45316</v>
      </c>
      <c r="F822" s="21" t="s">
        <v>1178</v>
      </c>
      <c r="G822" s="32"/>
      <c r="H822" s="21"/>
      <c r="I822" s="33"/>
      <c r="J822" s="21" t="str">
        <f aca="false">INDEX(Students!$C$2:$C$601,MATCH(B822,Students!$A$2:$A$601,0))</f>
        <v>Batch 2024</v>
      </c>
      <c r="K822" s="21" t="str">
        <f aca="false">INDEX(Students!$D$2:$D$601,MATCH(B822,Students!$A$2:$A$601,0))</f>
        <v>Cybersecurity</v>
      </c>
      <c r="L822" s="21" t="str">
        <f aca="false">INDEX(Companies!$C$2:$C$31,MATCH(C822,Companies!$A$2:$A$31,0))</f>
        <v>IT Services</v>
      </c>
      <c r="M822" s="21" t="str">
        <f aca="false">INDEX(Companies!$D$2:$D$31,MATCH(C822,Companies!$A$2:$A$31,0))</f>
        <v>Tier 3</v>
      </c>
      <c r="N822" s="34" t="n">
        <f aca="false">MATCH(F822,Assumptions!$K$4:$K$8,0)</f>
        <v>2</v>
      </c>
      <c r="O822" s="21" t="str">
        <f aca="false">IF(H822="Yes",MONTH(I822),"")</f>
        <v/>
      </c>
      <c r="P822" s="21" t="str">
        <f aca="false">IF(H822="Yes",B822,"")</f>
        <v/>
      </c>
    </row>
    <row r="823" customFormat="false" ht="15" hidden="false" customHeight="false" outlineLevel="0" collapsed="false">
      <c r="A823" s="21" t="s">
        <v>2038</v>
      </c>
      <c r="B823" s="21" t="s">
        <v>393</v>
      </c>
      <c r="C823" s="21" t="s">
        <v>1275</v>
      </c>
      <c r="D823" s="21" t="s">
        <v>1188</v>
      </c>
      <c r="E823" s="33" t="n">
        <v>45316</v>
      </c>
      <c r="F823" s="21" t="s">
        <v>1197</v>
      </c>
      <c r="G823" s="32"/>
      <c r="H823" s="21"/>
      <c r="I823" s="33"/>
      <c r="J823" s="21" t="str">
        <f aca="false">INDEX(Students!$C$2:$C$601,MATCH(B823,Students!$A$2:$A$601,0))</f>
        <v>Batch 2024</v>
      </c>
      <c r="K823" s="21" t="str">
        <f aca="false">INDEX(Students!$D$2:$D$601,MATCH(B823,Students!$A$2:$A$601,0))</f>
        <v>Data Analytics</v>
      </c>
      <c r="L823" s="21" t="str">
        <f aca="false">INDEX(Companies!$C$2:$C$31,MATCH(C823,Companies!$A$2:$A$31,0))</f>
        <v>Cybersecurity</v>
      </c>
      <c r="M823" s="21" t="str">
        <f aca="false">INDEX(Companies!$D$2:$D$31,MATCH(C823,Companies!$A$2:$A$31,0))</f>
        <v>Tier 2</v>
      </c>
      <c r="N823" s="34" t="n">
        <f aca="false">MATCH(F823,Assumptions!$K$4:$K$8,0)</f>
        <v>3</v>
      </c>
      <c r="O823" s="21" t="str">
        <f aca="false">IF(H823="Yes",MONTH(I823),"")</f>
        <v/>
      </c>
      <c r="P823" s="21" t="str">
        <f aca="false">IF(H823="Yes",B823,"")</f>
        <v/>
      </c>
    </row>
    <row r="824" customFormat="false" ht="15" hidden="false" customHeight="false" outlineLevel="0" collapsed="false">
      <c r="A824" s="21" t="s">
        <v>2039</v>
      </c>
      <c r="B824" s="21" t="s">
        <v>386</v>
      </c>
      <c r="C824" s="21" t="s">
        <v>1222</v>
      </c>
      <c r="D824" s="21" t="s">
        <v>1184</v>
      </c>
      <c r="E824" s="33" t="n">
        <v>45316</v>
      </c>
      <c r="F824" s="21" t="s">
        <v>1185</v>
      </c>
      <c r="G824" s="32" t="n">
        <v>13.4</v>
      </c>
      <c r="H824" s="21" t="s">
        <v>120</v>
      </c>
      <c r="I824" s="33" t="n">
        <v>45354</v>
      </c>
      <c r="J824" s="21" t="str">
        <f aca="false">INDEX(Students!$C$2:$C$601,MATCH(B824,Students!$A$2:$A$601,0))</f>
        <v>Batch 2024</v>
      </c>
      <c r="K824" s="21" t="str">
        <f aca="false">INDEX(Students!$D$2:$D$601,MATCH(B824,Students!$A$2:$A$601,0))</f>
        <v>DSA with Java</v>
      </c>
      <c r="L824" s="21" t="str">
        <f aca="false">INDEX(Companies!$C$2:$C$31,MATCH(C824,Companies!$A$2:$A$31,0))</f>
        <v>Product</v>
      </c>
      <c r="M824" s="21" t="str">
        <f aca="false">INDEX(Companies!$D$2:$D$31,MATCH(C824,Companies!$A$2:$A$31,0))</f>
        <v>Tier 2</v>
      </c>
      <c r="N824" s="34" t="n">
        <f aca="false">MATCH(F824,Assumptions!$K$4:$K$8,0)</f>
        <v>5</v>
      </c>
      <c r="O824" s="21" t="n">
        <f aca="false">IF(H824="Yes",MONTH(I824),"")</f>
        <v>3</v>
      </c>
      <c r="P824" s="21" t="str">
        <f aca="false">IF(H824="Yes",B824,"")</f>
        <v>S0142</v>
      </c>
    </row>
    <row r="825" customFormat="false" ht="15" hidden="false" customHeight="false" outlineLevel="0" collapsed="false">
      <c r="A825" s="21" t="s">
        <v>2040</v>
      </c>
      <c r="B825" s="21" t="s">
        <v>374</v>
      </c>
      <c r="C825" s="21" t="s">
        <v>1222</v>
      </c>
      <c r="D825" s="21" t="s">
        <v>1194</v>
      </c>
      <c r="E825" s="33" t="n">
        <v>45317</v>
      </c>
      <c r="F825" s="21" t="s">
        <v>1185</v>
      </c>
      <c r="G825" s="32" t="n">
        <v>13.4</v>
      </c>
      <c r="H825" s="21" t="s">
        <v>120</v>
      </c>
      <c r="I825" s="33" t="n">
        <v>45372</v>
      </c>
      <c r="J825" s="21" t="str">
        <f aca="false">INDEX(Students!$C$2:$C$601,MATCH(B825,Students!$A$2:$A$601,0))</f>
        <v>Batch 2024</v>
      </c>
      <c r="K825" s="21" t="str">
        <f aca="false">INDEX(Students!$D$2:$D$601,MATCH(B825,Students!$A$2:$A$601,0))</f>
        <v>Data Science &amp; ML</v>
      </c>
      <c r="L825" s="21" t="str">
        <f aca="false">INDEX(Companies!$C$2:$C$31,MATCH(C825,Companies!$A$2:$A$31,0))</f>
        <v>Product</v>
      </c>
      <c r="M825" s="21" t="str">
        <f aca="false">INDEX(Companies!$D$2:$D$31,MATCH(C825,Companies!$A$2:$A$31,0))</f>
        <v>Tier 2</v>
      </c>
      <c r="N825" s="34" t="n">
        <f aca="false">MATCH(F825,Assumptions!$K$4:$K$8,0)</f>
        <v>5</v>
      </c>
      <c r="O825" s="21" t="n">
        <f aca="false">IF(H825="Yes",MONTH(I825),"")</f>
        <v>3</v>
      </c>
      <c r="P825" s="21" t="str">
        <f aca="false">IF(H825="Yes",B825,"")</f>
        <v>S0136</v>
      </c>
    </row>
    <row r="826" customFormat="false" ht="15" hidden="false" customHeight="false" outlineLevel="0" collapsed="false">
      <c r="A826" s="21" t="s">
        <v>2041</v>
      </c>
      <c r="B826" s="21" t="s">
        <v>114</v>
      </c>
      <c r="C826" s="21" t="s">
        <v>1225</v>
      </c>
      <c r="D826" s="21" t="s">
        <v>1191</v>
      </c>
      <c r="E826" s="33" t="n">
        <v>45317</v>
      </c>
      <c r="F826" s="21" t="s">
        <v>1185</v>
      </c>
      <c r="G826" s="32" t="n">
        <v>9.6</v>
      </c>
      <c r="H826" s="21" t="s">
        <v>120</v>
      </c>
      <c r="I826" s="33" t="n">
        <v>45354</v>
      </c>
      <c r="J826" s="21" t="str">
        <f aca="false">INDEX(Students!$C$2:$C$601,MATCH(B826,Students!$A$2:$A$601,0))</f>
        <v>Batch 2024</v>
      </c>
      <c r="K826" s="21" t="str">
        <f aca="false">INDEX(Students!$D$2:$D$601,MATCH(B826,Students!$A$2:$A$601,0))</f>
        <v>DSA with Java</v>
      </c>
      <c r="L826" s="21" t="str">
        <f aca="false">INDEX(Companies!$C$2:$C$31,MATCH(C826,Companies!$A$2:$A$31,0))</f>
        <v>EdTech</v>
      </c>
      <c r="M826" s="21" t="str">
        <f aca="false">INDEX(Companies!$D$2:$D$31,MATCH(C826,Companies!$A$2:$A$31,0))</f>
        <v>Tier 2</v>
      </c>
      <c r="N826" s="34" t="n">
        <f aca="false">MATCH(F826,Assumptions!$K$4:$K$8,0)</f>
        <v>5</v>
      </c>
      <c r="O826" s="21" t="n">
        <f aca="false">IF(H826="Yes",MONTH(I826),"")</f>
        <v>3</v>
      </c>
      <c r="P826" s="21" t="str">
        <f aca="false">IF(H826="Yes",B826,"")</f>
        <v>S0002</v>
      </c>
    </row>
    <row r="827" customFormat="false" ht="15" hidden="false" customHeight="false" outlineLevel="0" collapsed="false">
      <c r="A827" s="21" t="s">
        <v>2042</v>
      </c>
      <c r="B827" s="21" t="s">
        <v>445</v>
      </c>
      <c r="C827" s="21" t="s">
        <v>1230</v>
      </c>
      <c r="D827" s="21" t="s">
        <v>1174</v>
      </c>
      <c r="E827" s="33" t="n">
        <v>45317</v>
      </c>
      <c r="F827" s="21" t="s">
        <v>1175</v>
      </c>
      <c r="G827" s="32"/>
      <c r="H827" s="21"/>
      <c r="I827" s="33"/>
      <c r="J827" s="21" t="str">
        <f aca="false">INDEX(Students!$C$2:$C$601,MATCH(B827,Students!$A$2:$A$601,0))</f>
        <v>Batch 2024</v>
      </c>
      <c r="K827" s="21" t="str">
        <f aca="false">INDEX(Students!$D$2:$D$601,MATCH(B827,Students!$A$2:$A$601,0))</f>
        <v>Full Stack Development</v>
      </c>
      <c r="L827" s="21" t="str">
        <f aca="false">INDEX(Companies!$C$2:$C$31,MATCH(C827,Companies!$A$2:$A$31,0))</f>
        <v>IT Services</v>
      </c>
      <c r="M827" s="21" t="str">
        <f aca="false">INDEX(Companies!$D$2:$D$31,MATCH(C827,Companies!$A$2:$A$31,0))</f>
        <v>Tier 3</v>
      </c>
      <c r="N827" s="34" t="n">
        <f aca="false">MATCH(F827,Assumptions!$K$4:$K$8,0)</f>
        <v>1</v>
      </c>
      <c r="O827" s="21" t="str">
        <f aca="false">IF(H827="Yes",MONTH(I827),"")</f>
        <v/>
      </c>
      <c r="P827" s="21" t="str">
        <f aca="false">IF(H827="Yes",B827,"")</f>
        <v/>
      </c>
    </row>
    <row r="828" customFormat="false" ht="15" hidden="false" customHeight="false" outlineLevel="0" collapsed="false">
      <c r="A828" s="21" t="s">
        <v>2043</v>
      </c>
      <c r="B828" s="21" t="s">
        <v>436</v>
      </c>
      <c r="C828" s="21" t="s">
        <v>1216</v>
      </c>
      <c r="D828" s="21" t="s">
        <v>1181</v>
      </c>
      <c r="E828" s="33" t="n">
        <v>45317</v>
      </c>
      <c r="F828" s="21" t="s">
        <v>1178</v>
      </c>
      <c r="G828" s="32"/>
      <c r="H828" s="21"/>
      <c r="I828" s="33"/>
      <c r="J828" s="21" t="str">
        <f aca="false">INDEX(Students!$C$2:$C$601,MATCH(B828,Students!$A$2:$A$601,0))</f>
        <v>Batch 2024</v>
      </c>
      <c r="K828" s="21" t="str">
        <f aca="false">INDEX(Students!$D$2:$D$601,MATCH(B828,Students!$A$2:$A$601,0))</f>
        <v>Full Stack Development</v>
      </c>
      <c r="L828" s="21" t="str">
        <f aca="false">INDEX(Companies!$C$2:$C$31,MATCH(C828,Companies!$A$2:$A$31,0))</f>
        <v>IT Services</v>
      </c>
      <c r="M828" s="21" t="str">
        <f aca="false">INDEX(Companies!$D$2:$D$31,MATCH(C828,Companies!$A$2:$A$31,0))</f>
        <v>Tier 3</v>
      </c>
      <c r="N828" s="34" t="n">
        <f aca="false">MATCH(F828,Assumptions!$K$4:$K$8,0)</f>
        <v>2</v>
      </c>
      <c r="O828" s="21" t="str">
        <f aca="false">IF(H828="Yes",MONTH(I828),"")</f>
        <v/>
      </c>
      <c r="P828" s="21" t="str">
        <f aca="false">IF(H828="Yes",B828,"")</f>
        <v/>
      </c>
    </row>
    <row r="829" customFormat="false" ht="15" hidden="false" customHeight="false" outlineLevel="0" collapsed="false">
      <c r="A829" s="21" t="s">
        <v>2044</v>
      </c>
      <c r="B829" s="21" t="s">
        <v>427</v>
      </c>
      <c r="C829" s="21" t="s">
        <v>1230</v>
      </c>
      <c r="D829" s="21" t="s">
        <v>1181</v>
      </c>
      <c r="E829" s="33" t="n">
        <v>45318</v>
      </c>
      <c r="F829" s="21" t="s">
        <v>1185</v>
      </c>
      <c r="G829" s="32" t="n">
        <v>5.6</v>
      </c>
      <c r="H829" s="21" t="s">
        <v>113</v>
      </c>
      <c r="I829" s="33" t="n">
        <v>45372</v>
      </c>
      <c r="J829" s="21" t="str">
        <f aca="false">INDEX(Students!$C$2:$C$601,MATCH(B829,Students!$A$2:$A$601,0))</f>
        <v>Batch 2024</v>
      </c>
      <c r="K829" s="21" t="str">
        <f aca="false">INDEX(Students!$D$2:$D$601,MATCH(B829,Students!$A$2:$A$601,0))</f>
        <v>Full Stack Development</v>
      </c>
      <c r="L829" s="21" t="str">
        <f aca="false">INDEX(Companies!$C$2:$C$31,MATCH(C829,Companies!$A$2:$A$31,0))</f>
        <v>IT Services</v>
      </c>
      <c r="M829" s="21" t="str">
        <f aca="false">INDEX(Companies!$D$2:$D$31,MATCH(C829,Companies!$A$2:$A$31,0))</f>
        <v>Tier 3</v>
      </c>
      <c r="N829" s="34" t="n">
        <f aca="false">MATCH(F829,Assumptions!$K$4:$K$8,0)</f>
        <v>5</v>
      </c>
      <c r="O829" s="21" t="str">
        <f aca="false">IF(H829="Yes",MONTH(I829),"")</f>
        <v/>
      </c>
      <c r="P829" s="21" t="str">
        <f aca="false">IF(H829="Yes",B829,"")</f>
        <v/>
      </c>
    </row>
    <row r="830" customFormat="false" ht="15" hidden="false" customHeight="false" outlineLevel="0" collapsed="false">
      <c r="A830" s="21" t="s">
        <v>2045</v>
      </c>
      <c r="B830" s="21" t="s">
        <v>297</v>
      </c>
      <c r="C830" s="21" t="s">
        <v>1193</v>
      </c>
      <c r="D830" s="21" t="s">
        <v>1184</v>
      </c>
      <c r="E830" s="33" t="n">
        <v>45318</v>
      </c>
      <c r="F830" s="21" t="s">
        <v>1197</v>
      </c>
      <c r="G830" s="32"/>
      <c r="H830" s="21"/>
      <c r="I830" s="33"/>
      <c r="J830" s="21" t="str">
        <f aca="false">INDEX(Students!$C$2:$C$601,MATCH(B830,Students!$A$2:$A$601,0))</f>
        <v>Batch 2024</v>
      </c>
      <c r="K830" s="21" t="str">
        <f aca="false">INDEX(Students!$D$2:$D$601,MATCH(B830,Students!$A$2:$A$601,0))</f>
        <v>DSA with Java</v>
      </c>
      <c r="L830" s="21" t="str">
        <f aca="false">INDEX(Companies!$C$2:$C$31,MATCH(C830,Companies!$A$2:$A$31,0))</f>
        <v>Analytics &amp; Consulting</v>
      </c>
      <c r="M830" s="21" t="str">
        <f aca="false">INDEX(Companies!$D$2:$D$31,MATCH(C830,Companies!$A$2:$A$31,0))</f>
        <v>Tier 2</v>
      </c>
      <c r="N830" s="34" t="n">
        <f aca="false">MATCH(F830,Assumptions!$K$4:$K$8,0)</f>
        <v>3</v>
      </c>
      <c r="O830" s="21" t="str">
        <f aca="false">IF(H830="Yes",MONTH(I830),"")</f>
        <v/>
      </c>
      <c r="P830" s="21" t="str">
        <f aca="false">IF(H830="Yes",B830,"")</f>
        <v/>
      </c>
    </row>
    <row r="831" customFormat="false" ht="15" hidden="false" customHeight="false" outlineLevel="0" collapsed="false">
      <c r="A831" s="21" t="s">
        <v>2046</v>
      </c>
      <c r="B831" s="21" t="s">
        <v>354</v>
      </c>
      <c r="C831" s="21" t="s">
        <v>1290</v>
      </c>
      <c r="D831" s="21" t="s">
        <v>1194</v>
      </c>
      <c r="E831" s="33" t="n">
        <v>45318</v>
      </c>
      <c r="F831" s="21" t="s">
        <v>1175</v>
      </c>
      <c r="G831" s="32"/>
      <c r="H831" s="21"/>
      <c r="I831" s="33"/>
      <c r="J831" s="21" t="str">
        <f aca="false">INDEX(Students!$C$2:$C$601,MATCH(B831,Students!$A$2:$A$601,0))</f>
        <v>Batch 2024</v>
      </c>
      <c r="K831" s="21" t="str">
        <f aca="false">INDEX(Students!$D$2:$D$601,MATCH(B831,Students!$A$2:$A$601,0))</f>
        <v>Data Science &amp; ML</v>
      </c>
      <c r="L831" s="21" t="str">
        <f aca="false">INDEX(Companies!$C$2:$C$31,MATCH(C831,Companies!$A$2:$A$31,0))</f>
        <v>Fintech</v>
      </c>
      <c r="M831" s="21" t="str">
        <f aca="false">INDEX(Companies!$D$2:$D$31,MATCH(C831,Companies!$A$2:$A$31,0))</f>
        <v>Tier 2</v>
      </c>
      <c r="N831" s="34" t="n">
        <f aca="false">MATCH(F831,Assumptions!$K$4:$K$8,0)</f>
        <v>1</v>
      </c>
      <c r="O831" s="21" t="str">
        <f aca="false">IF(H831="Yes",MONTH(I831),"")</f>
        <v/>
      </c>
      <c r="P831" s="21" t="str">
        <f aca="false">IF(H831="Yes",B831,"")</f>
        <v/>
      </c>
    </row>
    <row r="832" customFormat="false" ht="15" hidden="false" customHeight="false" outlineLevel="0" collapsed="false">
      <c r="A832" s="21" t="s">
        <v>2047</v>
      </c>
      <c r="B832" s="21" t="s">
        <v>175</v>
      </c>
      <c r="C832" s="21" t="s">
        <v>1193</v>
      </c>
      <c r="D832" s="21" t="s">
        <v>1174</v>
      </c>
      <c r="E832" s="33" t="n">
        <v>45319</v>
      </c>
      <c r="F832" s="21" t="s">
        <v>1185</v>
      </c>
      <c r="G832" s="32" t="n">
        <v>12.3</v>
      </c>
      <c r="H832" s="21" t="s">
        <v>120</v>
      </c>
      <c r="I832" s="33" t="n">
        <v>45359</v>
      </c>
      <c r="J832" s="21" t="str">
        <f aca="false">INDEX(Students!$C$2:$C$601,MATCH(B832,Students!$A$2:$A$601,0))</f>
        <v>Batch 2024</v>
      </c>
      <c r="K832" s="21" t="str">
        <f aca="false">INDEX(Students!$D$2:$D$601,MATCH(B832,Students!$A$2:$A$601,0))</f>
        <v>Full Stack Development</v>
      </c>
      <c r="L832" s="21" t="str">
        <f aca="false">INDEX(Companies!$C$2:$C$31,MATCH(C832,Companies!$A$2:$A$31,0))</f>
        <v>Analytics &amp; Consulting</v>
      </c>
      <c r="M832" s="21" t="str">
        <f aca="false">INDEX(Companies!$D$2:$D$31,MATCH(C832,Companies!$A$2:$A$31,0))</f>
        <v>Tier 2</v>
      </c>
      <c r="N832" s="34" t="n">
        <f aca="false">MATCH(F832,Assumptions!$K$4:$K$8,0)</f>
        <v>5</v>
      </c>
      <c r="O832" s="21" t="n">
        <f aca="false">IF(H832="Yes",MONTH(I832),"")</f>
        <v>3</v>
      </c>
      <c r="P832" s="21" t="str">
        <f aca="false">IF(H832="Yes",B832,"")</f>
        <v>S0032</v>
      </c>
    </row>
    <row r="833" customFormat="false" ht="15" hidden="false" customHeight="false" outlineLevel="0" collapsed="false">
      <c r="A833" s="21" t="s">
        <v>2048</v>
      </c>
      <c r="B833" s="21" t="s">
        <v>400</v>
      </c>
      <c r="C833" s="21" t="s">
        <v>1298</v>
      </c>
      <c r="D833" s="21" t="s">
        <v>1243</v>
      </c>
      <c r="E833" s="33" t="n">
        <v>45319</v>
      </c>
      <c r="F833" s="21" t="s">
        <v>1175</v>
      </c>
      <c r="G833" s="32"/>
      <c r="H833" s="21"/>
      <c r="I833" s="33"/>
      <c r="J833" s="21" t="str">
        <f aca="false">INDEX(Students!$C$2:$C$601,MATCH(B833,Students!$A$2:$A$601,0))</f>
        <v>Batch 2024</v>
      </c>
      <c r="K833" s="21" t="str">
        <f aca="false">INDEX(Students!$D$2:$D$601,MATCH(B833,Students!$A$2:$A$601,0))</f>
        <v>Data Science &amp; ML</v>
      </c>
      <c r="L833" s="21" t="str">
        <f aca="false">INDEX(Companies!$C$2:$C$31,MATCH(C833,Companies!$A$2:$A$31,0))</f>
        <v>Fintech</v>
      </c>
      <c r="M833" s="21" t="str">
        <f aca="false">INDEX(Companies!$D$2:$D$31,MATCH(C833,Companies!$A$2:$A$31,0))</f>
        <v>Tier 2</v>
      </c>
      <c r="N833" s="34" t="n">
        <f aca="false">MATCH(F833,Assumptions!$K$4:$K$8,0)</f>
        <v>1</v>
      </c>
      <c r="O833" s="21" t="str">
        <f aca="false">IF(H833="Yes",MONTH(I833),"")</f>
        <v/>
      </c>
      <c r="P833" s="21" t="str">
        <f aca="false">IF(H833="Yes",B833,"")</f>
        <v/>
      </c>
    </row>
    <row r="834" customFormat="false" ht="15" hidden="false" customHeight="false" outlineLevel="0" collapsed="false">
      <c r="A834" s="21" t="s">
        <v>2049</v>
      </c>
      <c r="B834" s="21" t="s">
        <v>427</v>
      </c>
      <c r="C834" s="21" t="s">
        <v>1255</v>
      </c>
      <c r="D834" s="21" t="s">
        <v>1181</v>
      </c>
      <c r="E834" s="33" t="n">
        <v>45319</v>
      </c>
      <c r="F834" s="21" t="s">
        <v>1185</v>
      </c>
      <c r="G834" s="32" t="n">
        <v>5.9</v>
      </c>
      <c r="H834" s="21" t="s">
        <v>120</v>
      </c>
      <c r="I834" s="33" t="n">
        <v>45373</v>
      </c>
      <c r="J834" s="21" t="str">
        <f aca="false">INDEX(Students!$C$2:$C$601,MATCH(B834,Students!$A$2:$A$601,0))</f>
        <v>Batch 2024</v>
      </c>
      <c r="K834" s="21" t="str">
        <f aca="false">INDEX(Students!$D$2:$D$601,MATCH(B834,Students!$A$2:$A$601,0))</f>
        <v>Full Stack Development</v>
      </c>
      <c r="L834" s="21" t="str">
        <f aca="false">INDEX(Companies!$C$2:$C$31,MATCH(C834,Companies!$A$2:$A$31,0))</f>
        <v>IT Services</v>
      </c>
      <c r="M834" s="21" t="str">
        <f aca="false">INDEX(Companies!$D$2:$D$31,MATCH(C834,Companies!$A$2:$A$31,0))</f>
        <v>Tier 3</v>
      </c>
      <c r="N834" s="34" t="n">
        <f aca="false">MATCH(F834,Assumptions!$K$4:$K$8,0)</f>
        <v>5</v>
      </c>
      <c r="O834" s="21" t="n">
        <f aca="false">IF(H834="Yes",MONTH(I834),"")</f>
        <v>3</v>
      </c>
      <c r="P834" s="21" t="str">
        <f aca="false">IF(H834="Yes",B834,"")</f>
        <v>S0165</v>
      </c>
    </row>
    <row r="835" customFormat="false" ht="15" hidden="false" customHeight="false" outlineLevel="0" collapsed="false">
      <c r="A835" s="21" t="s">
        <v>2050</v>
      </c>
      <c r="B835" s="21" t="s">
        <v>360</v>
      </c>
      <c r="C835" s="21" t="s">
        <v>1322</v>
      </c>
      <c r="D835" s="21" t="s">
        <v>1181</v>
      </c>
      <c r="E835" s="33" t="n">
        <v>45319</v>
      </c>
      <c r="F835" s="21" t="s">
        <v>1175</v>
      </c>
      <c r="G835" s="32"/>
      <c r="H835" s="21"/>
      <c r="I835" s="33"/>
      <c r="J835" s="21" t="str">
        <f aca="false">INDEX(Students!$C$2:$C$601,MATCH(B835,Students!$A$2:$A$601,0))</f>
        <v>Batch 2024</v>
      </c>
      <c r="K835" s="21" t="str">
        <f aca="false">INDEX(Students!$D$2:$D$601,MATCH(B835,Students!$A$2:$A$601,0))</f>
        <v>Full Stack Development</v>
      </c>
      <c r="L835" s="21" t="str">
        <f aca="false">INDEX(Companies!$C$2:$C$31,MATCH(C835,Companies!$A$2:$A$31,0))</f>
        <v>Healthtech</v>
      </c>
      <c r="M835" s="21" t="str">
        <f aca="false">INDEX(Companies!$D$2:$D$31,MATCH(C835,Companies!$A$2:$A$31,0))</f>
        <v>Tier 2</v>
      </c>
      <c r="N835" s="34" t="n">
        <f aca="false">MATCH(F835,Assumptions!$K$4:$K$8,0)</f>
        <v>1</v>
      </c>
      <c r="O835" s="21" t="str">
        <f aca="false">IF(H835="Yes",MONTH(I835),"")</f>
        <v/>
      </c>
      <c r="P835" s="21" t="str">
        <f aca="false">IF(H835="Yes",B835,"")</f>
        <v/>
      </c>
    </row>
    <row r="836" customFormat="false" ht="15" hidden="false" customHeight="false" outlineLevel="0" collapsed="false">
      <c r="A836" s="21" t="s">
        <v>2051</v>
      </c>
      <c r="B836" s="21" t="s">
        <v>163</v>
      </c>
      <c r="C836" s="21" t="s">
        <v>1225</v>
      </c>
      <c r="D836" s="21" t="s">
        <v>1191</v>
      </c>
      <c r="E836" s="33" t="n">
        <v>45319</v>
      </c>
      <c r="F836" s="21" t="s">
        <v>1197</v>
      </c>
      <c r="G836" s="32"/>
      <c r="H836" s="21"/>
      <c r="I836" s="33"/>
      <c r="J836" s="21" t="str">
        <f aca="false">INDEX(Students!$C$2:$C$601,MATCH(B836,Students!$A$2:$A$601,0))</f>
        <v>Batch 2024</v>
      </c>
      <c r="K836" s="21" t="str">
        <f aca="false">INDEX(Students!$D$2:$D$601,MATCH(B836,Students!$A$2:$A$601,0))</f>
        <v>DSA with Java</v>
      </c>
      <c r="L836" s="21" t="str">
        <f aca="false">INDEX(Companies!$C$2:$C$31,MATCH(C836,Companies!$A$2:$A$31,0))</f>
        <v>EdTech</v>
      </c>
      <c r="M836" s="21" t="str">
        <f aca="false">INDEX(Companies!$D$2:$D$31,MATCH(C836,Companies!$A$2:$A$31,0))</f>
        <v>Tier 2</v>
      </c>
      <c r="N836" s="34" t="n">
        <f aca="false">MATCH(F836,Assumptions!$K$4:$K$8,0)</f>
        <v>3</v>
      </c>
      <c r="O836" s="21" t="str">
        <f aca="false">IF(H836="Yes",MONTH(I836),"")</f>
        <v/>
      </c>
      <c r="P836" s="21" t="str">
        <f aca="false">IF(H836="Yes",B836,"")</f>
        <v/>
      </c>
    </row>
    <row r="837" customFormat="false" ht="15" hidden="false" customHeight="false" outlineLevel="0" collapsed="false">
      <c r="A837" s="21" t="s">
        <v>2052</v>
      </c>
      <c r="B837" s="21" t="s">
        <v>330</v>
      </c>
      <c r="C837" s="21" t="s">
        <v>1193</v>
      </c>
      <c r="D837" s="21" t="s">
        <v>1240</v>
      </c>
      <c r="E837" s="33" t="n">
        <v>45319</v>
      </c>
      <c r="F837" s="21" t="s">
        <v>1178</v>
      </c>
      <c r="G837" s="32"/>
      <c r="H837" s="21"/>
      <c r="I837" s="33"/>
      <c r="J837" s="21" t="str">
        <f aca="false">INDEX(Students!$C$2:$C$601,MATCH(B837,Students!$A$2:$A$601,0))</f>
        <v>Batch 2024</v>
      </c>
      <c r="K837" s="21" t="str">
        <f aca="false">INDEX(Students!$D$2:$D$601,MATCH(B837,Students!$A$2:$A$601,0))</f>
        <v>Cybersecurity</v>
      </c>
      <c r="L837" s="21" t="str">
        <f aca="false">INDEX(Companies!$C$2:$C$31,MATCH(C837,Companies!$A$2:$A$31,0))</f>
        <v>Analytics &amp; Consulting</v>
      </c>
      <c r="M837" s="21" t="str">
        <f aca="false">INDEX(Companies!$D$2:$D$31,MATCH(C837,Companies!$A$2:$A$31,0))</f>
        <v>Tier 2</v>
      </c>
      <c r="N837" s="34" t="n">
        <f aca="false">MATCH(F837,Assumptions!$K$4:$K$8,0)</f>
        <v>2</v>
      </c>
      <c r="O837" s="21" t="str">
        <f aca="false">IF(H837="Yes",MONTH(I837),"")</f>
        <v/>
      </c>
      <c r="P837" s="21" t="str">
        <f aca="false">IF(H837="Yes",B837,"")</f>
        <v/>
      </c>
    </row>
    <row r="838" customFormat="false" ht="15" hidden="false" customHeight="false" outlineLevel="0" collapsed="false">
      <c r="A838" s="21" t="s">
        <v>2053</v>
      </c>
      <c r="B838" s="21" t="s">
        <v>135</v>
      </c>
      <c r="C838" s="21" t="s">
        <v>1177</v>
      </c>
      <c r="D838" s="21" t="s">
        <v>1191</v>
      </c>
      <c r="E838" s="33" t="n">
        <v>45319</v>
      </c>
      <c r="F838" s="21" t="s">
        <v>1185</v>
      </c>
      <c r="G838" s="32" t="n">
        <v>6.6</v>
      </c>
      <c r="H838" s="21" t="s">
        <v>113</v>
      </c>
      <c r="I838" s="33" t="n">
        <v>45340</v>
      </c>
      <c r="J838" s="21" t="str">
        <f aca="false">INDEX(Students!$C$2:$C$601,MATCH(B838,Students!$A$2:$A$601,0))</f>
        <v>Batch 2024</v>
      </c>
      <c r="K838" s="21" t="str">
        <f aca="false">INDEX(Students!$D$2:$D$601,MATCH(B838,Students!$A$2:$A$601,0))</f>
        <v>DSA with Java</v>
      </c>
      <c r="L838" s="21" t="str">
        <f aca="false">INDEX(Companies!$C$2:$C$31,MATCH(C838,Companies!$A$2:$A$31,0))</f>
        <v>IT Services</v>
      </c>
      <c r="M838" s="21" t="str">
        <f aca="false">INDEX(Companies!$D$2:$D$31,MATCH(C838,Companies!$A$2:$A$31,0))</f>
        <v>Tier 3</v>
      </c>
      <c r="N838" s="34" t="n">
        <f aca="false">MATCH(F838,Assumptions!$K$4:$K$8,0)</f>
        <v>5</v>
      </c>
      <c r="O838" s="21" t="str">
        <f aca="false">IF(H838="Yes",MONTH(I838),"")</f>
        <v/>
      </c>
      <c r="P838" s="21" t="str">
        <f aca="false">IF(H838="Yes",B838,"")</f>
        <v/>
      </c>
    </row>
    <row r="839" customFormat="false" ht="15" hidden="false" customHeight="false" outlineLevel="0" collapsed="false">
      <c r="A839" s="21" t="s">
        <v>2054</v>
      </c>
      <c r="B839" s="21" t="s">
        <v>382</v>
      </c>
      <c r="C839" s="21" t="s">
        <v>1177</v>
      </c>
      <c r="D839" s="21" t="s">
        <v>1240</v>
      </c>
      <c r="E839" s="33" t="n">
        <v>45319</v>
      </c>
      <c r="F839" s="21" t="s">
        <v>1197</v>
      </c>
      <c r="G839" s="32"/>
      <c r="H839" s="21"/>
      <c r="I839" s="33"/>
      <c r="J839" s="21" t="str">
        <f aca="false">INDEX(Students!$C$2:$C$601,MATCH(B839,Students!$A$2:$A$601,0))</f>
        <v>Batch 2024</v>
      </c>
      <c r="K839" s="21" t="str">
        <f aca="false">INDEX(Students!$D$2:$D$601,MATCH(B839,Students!$A$2:$A$601,0))</f>
        <v>Cybersecurity</v>
      </c>
      <c r="L839" s="21" t="str">
        <f aca="false">INDEX(Companies!$C$2:$C$31,MATCH(C839,Companies!$A$2:$A$31,0))</f>
        <v>IT Services</v>
      </c>
      <c r="M839" s="21" t="str">
        <f aca="false">INDEX(Companies!$D$2:$D$31,MATCH(C839,Companies!$A$2:$A$31,0))</f>
        <v>Tier 3</v>
      </c>
      <c r="N839" s="34" t="n">
        <f aca="false">MATCH(F839,Assumptions!$K$4:$K$8,0)</f>
        <v>3</v>
      </c>
      <c r="O839" s="21" t="str">
        <f aca="false">IF(H839="Yes",MONTH(I839),"")</f>
        <v/>
      </c>
      <c r="P839" s="21" t="str">
        <f aca="false">IF(H839="Yes",B839,"")</f>
        <v/>
      </c>
    </row>
    <row r="840" customFormat="false" ht="15" hidden="false" customHeight="false" outlineLevel="0" collapsed="false">
      <c r="A840" s="21" t="s">
        <v>2055</v>
      </c>
      <c r="B840" s="21" t="s">
        <v>350</v>
      </c>
      <c r="C840" s="21" t="s">
        <v>1216</v>
      </c>
      <c r="D840" s="21" t="s">
        <v>1209</v>
      </c>
      <c r="E840" s="33" t="n">
        <v>45319</v>
      </c>
      <c r="F840" s="21" t="s">
        <v>1218</v>
      </c>
      <c r="G840" s="32"/>
      <c r="H840" s="21"/>
      <c r="I840" s="33"/>
      <c r="J840" s="21" t="str">
        <f aca="false">INDEX(Students!$C$2:$C$601,MATCH(B840,Students!$A$2:$A$601,0))</f>
        <v>Batch 2024</v>
      </c>
      <c r="K840" s="21" t="str">
        <f aca="false">INDEX(Students!$D$2:$D$601,MATCH(B840,Students!$A$2:$A$601,0))</f>
        <v>Data Analytics</v>
      </c>
      <c r="L840" s="21" t="str">
        <f aca="false">INDEX(Companies!$C$2:$C$31,MATCH(C840,Companies!$A$2:$A$31,0))</f>
        <v>IT Services</v>
      </c>
      <c r="M840" s="21" t="str">
        <f aca="false">INDEX(Companies!$D$2:$D$31,MATCH(C840,Companies!$A$2:$A$31,0))</f>
        <v>Tier 3</v>
      </c>
      <c r="N840" s="34" t="n">
        <f aca="false">MATCH(F840,Assumptions!$K$4:$K$8,0)</f>
        <v>4</v>
      </c>
      <c r="O840" s="21" t="str">
        <f aca="false">IF(H840="Yes",MONTH(I840),"")</f>
        <v/>
      </c>
      <c r="P840" s="21" t="str">
        <f aca="false">IF(H840="Yes",B840,"")</f>
        <v/>
      </c>
    </row>
    <row r="841" customFormat="false" ht="15" hidden="false" customHeight="false" outlineLevel="0" collapsed="false">
      <c r="A841" s="21" t="s">
        <v>2056</v>
      </c>
      <c r="B841" s="21" t="s">
        <v>384</v>
      </c>
      <c r="C841" s="21" t="s">
        <v>1190</v>
      </c>
      <c r="D841" s="21" t="s">
        <v>1174</v>
      </c>
      <c r="E841" s="33" t="n">
        <v>45319</v>
      </c>
      <c r="F841" s="21" t="s">
        <v>1175</v>
      </c>
      <c r="G841" s="32"/>
      <c r="H841" s="21"/>
      <c r="I841" s="33"/>
      <c r="J841" s="21" t="str">
        <f aca="false">INDEX(Students!$C$2:$C$601,MATCH(B841,Students!$A$2:$A$601,0))</f>
        <v>Batch 2024</v>
      </c>
      <c r="K841" s="21" t="str">
        <f aca="false">INDEX(Students!$D$2:$D$601,MATCH(B841,Students!$A$2:$A$601,0))</f>
        <v>Full Stack Development</v>
      </c>
      <c r="L841" s="21" t="str">
        <f aca="false">INDEX(Companies!$C$2:$C$31,MATCH(C841,Companies!$A$2:$A$31,0))</f>
        <v>Analytics &amp; Consulting</v>
      </c>
      <c r="M841" s="21" t="str">
        <f aca="false">INDEX(Companies!$D$2:$D$31,MATCH(C841,Companies!$A$2:$A$31,0))</f>
        <v>Tier 1</v>
      </c>
      <c r="N841" s="34" t="n">
        <f aca="false">MATCH(F841,Assumptions!$K$4:$K$8,0)</f>
        <v>1</v>
      </c>
      <c r="O841" s="21" t="str">
        <f aca="false">IF(H841="Yes",MONTH(I841),"")</f>
        <v/>
      </c>
      <c r="P841" s="21" t="str">
        <f aca="false">IF(H841="Yes",B841,"")</f>
        <v/>
      </c>
    </row>
    <row r="842" customFormat="false" ht="15" hidden="false" customHeight="false" outlineLevel="0" collapsed="false">
      <c r="A842" s="21" t="s">
        <v>2057</v>
      </c>
      <c r="B842" s="21" t="s">
        <v>169</v>
      </c>
      <c r="C842" s="21" t="s">
        <v>1187</v>
      </c>
      <c r="D842" s="21" t="s">
        <v>1191</v>
      </c>
      <c r="E842" s="33" t="n">
        <v>45320</v>
      </c>
      <c r="F842" s="21" t="s">
        <v>1178</v>
      </c>
      <c r="G842" s="32"/>
      <c r="H842" s="21"/>
      <c r="I842" s="33"/>
      <c r="J842" s="21" t="str">
        <f aca="false">INDEX(Students!$C$2:$C$601,MATCH(B842,Students!$A$2:$A$601,0))</f>
        <v>Batch 2024</v>
      </c>
      <c r="K842" s="21" t="str">
        <f aca="false">INDEX(Students!$D$2:$D$601,MATCH(B842,Students!$A$2:$A$601,0))</f>
        <v>DSA with Java</v>
      </c>
      <c r="L842" s="21" t="str">
        <f aca="false">INDEX(Companies!$C$2:$C$31,MATCH(C842,Companies!$A$2:$A$31,0))</f>
        <v>Product</v>
      </c>
      <c r="M842" s="21" t="str">
        <f aca="false">INDEX(Companies!$D$2:$D$31,MATCH(C842,Companies!$A$2:$A$31,0))</f>
        <v>Tier 1</v>
      </c>
      <c r="N842" s="34" t="n">
        <f aca="false">MATCH(F842,Assumptions!$K$4:$K$8,0)</f>
        <v>2</v>
      </c>
      <c r="O842" s="21" t="str">
        <f aca="false">IF(H842="Yes",MONTH(I842),"")</f>
        <v/>
      </c>
      <c r="P842" s="21" t="str">
        <f aca="false">IF(H842="Yes",B842,"")</f>
        <v/>
      </c>
    </row>
    <row r="843" customFormat="false" ht="15" hidden="false" customHeight="false" outlineLevel="0" collapsed="false">
      <c r="A843" s="21" t="s">
        <v>2058</v>
      </c>
      <c r="B843" s="21" t="s">
        <v>167</v>
      </c>
      <c r="C843" s="21" t="s">
        <v>1201</v>
      </c>
      <c r="D843" s="21" t="s">
        <v>1188</v>
      </c>
      <c r="E843" s="33" t="n">
        <v>45321</v>
      </c>
      <c r="F843" s="21" t="s">
        <v>1185</v>
      </c>
      <c r="G843" s="32" t="n">
        <v>6.1</v>
      </c>
      <c r="H843" s="21" t="s">
        <v>113</v>
      </c>
      <c r="I843" s="33" t="n">
        <v>45346</v>
      </c>
      <c r="J843" s="21" t="str">
        <f aca="false">INDEX(Students!$C$2:$C$601,MATCH(B843,Students!$A$2:$A$601,0))</f>
        <v>Batch 2024</v>
      </c>
      <c r="K843" s="21" t="str">
        <f aca="false">INDEX(Students!$D$2:$D$601,MATCH(B843,Students!$A$2:$A$601,0))</f>
        <v>Data Analytics</v>
      </c>
      <c r="L843" s="21" t="str">
        <f aca="false">INDEX(Companies!$C$2:$C$31,MATCH(C843,Companies!$A$2:$A$31,0))</f>
        <v>IT Services</v>
      </c>
      <c r="M843" s="21" t="str">
        <f aca="false">INDEX(Companies!$D$2:$D$31,MATCH(C843,Companies!$A$2:$A$31,0))</f>
        <v>Tier 3</v>
      </c>
      <c r="N843" s="34" t="n">
        <f aca="false">MATCH(F843,Assumptions!$K$4:$K$8,0)</f>
        <v>5</v>
      </c>
      <c r="O843" s="21" t="str">
        <f aca="false">IF(H843="Yes",MONTH(I843),"")</f>
        <v/>
      </c>
      <c r="P843" s="21" t="str">
        <f aca="false">IF(H843="Yes",B843,"")</f>
        <v/>
      </c>
    </row>
    <row r="844" customFormat="false" ht="15" hidden="false" customHeight="false" outlineLevel="0" collapsed="false">
      <c r="A844" s="21" t="s">
        <v>2059</v>
      </c>
      <c r="B844" s="21" t="s">
        <v>147</v>
      </c>
      <c r="C844" s="21" t="s">
        <v>1196</v>
      </c>
      <c r="D844" s="21" t="s">
        <v>1191</v>
      </c>
      <c r="E844" s="33" t="n">
        <v>45321</v>
      </c>
      <c r="F844" s="21" t="s">
        <v>1185</v>
      </c>
      <c r="G844" s="32" t="n">
        <v>5.4</v>
      </c>
      <c r="H844" s="21" t="s">
        <v>113</v>
      </c>
      <c r="I844" s="33" t="n">
        <v>45352</v>
      </c>
      <c r="J844" s="21" t="str">
        <f aca="false">INDEX(Students!$C$2:$C$601,MATCH(B844,Students!$A$2:$A$601,0))</f>
        <v>Batch 2024</v>
      </c>
      <c r="K844" s="21" t="str">
        <f aca="false">INDEX(Students!$D$2:$D$601,MATCH(B844,Students!$A$2:$A$601,0))</f>
        <v>DSA with Java</v>
      </c>
      <c r="L844" s="21" t="str">
        <f aca="false">INDEX(Companies!$C$2:$C$31,MATCH(C844,Companies!$A$2:$A$31,0))</f>
        <v>IT Services</v>
      </c>
      <c r="M844" s="21" t="str">
        <f aca="false">INDEX(Companies!$D$2:$D$31,MATCH(C844,Companies!$A$2:$A$31,0))</f>
        <v>Tier 3</v>
      </c>
      <c r="N844" s="34" t="n">
        <f aca="false">MATCH(F844,Assumptions!$K$4:$K$8,0)</f>
        <v>5</v>
      </c>
      <c r="O844" s="21" t="str">
        <f aca="false">IF(H844="Yes",MONTH(I844),"")</f>
        <v/>
      </c>
      <c r="P844" s="21" t="str">
        <f aca="false">IF(H844="Yes",B844,"")</f>
        <v/>
      </c>
    </row>
    <row r="845" customFormat="false" ht="15" hidden="false" customHeight="false" outlineLevel="0" collapsed="false">
      <c r="A845" s="21" t="s">
        <v>2060</v>
      </c>
      <c r="B845" s="21" t="s">
        <v>289</v>
      </c>
      <c r="C845" s="21" t="s">
        <v>1177</v>
      </c>
      <c r="D845" s="21" t="s">
        <v>1191</v>
      </c>
      <c r="E845" s="33" t="n">
        <v>45321</v>
      </c>
      <c r="F845" s="21" t="s">
        <v>1185</v>
      </c>
      <c r="G845" s="32" t="n">
        <v>7.3</v>
      </c>
      <c r="H845" s="21" t="s">
        <v>113</v>
      </c>
      <c r="I845" s="33" t="n">
        <v>45341</v>
      </c>
      <c r="J845" s="21" t="str">
        <f aca="false">INDEX(Students!$C$2:$C$601,MATCH(B845,Students!$A$2:$A$601,0))</f>
        <v>Batch 2024</v>
      </c>
      <c r="K845" s="21" t="str">
        <f aca="false">INDEX(Students!$D$2:$D$601,MATCH(B845,Students!$A$2:$A$601,0))</f>
        <v>DSA with Java</v>
      </c>
      <c r="L845" s="21" t="str">
        <f aca="false">INDEX(Companies!$C$2:$C$31,MATCH(C845,Companies!$A$2:$A$31,0))</f>
        <v>IT Services</v>
      </c>
      <c r="M845" s="21" t="str">
        <f aca="false">INDEX(Companies!$D$2:$D$31,MATCH(C845,Companies!$A$2:$A$31,0))</f>
        <v>Tier 3</v>
      </c>
      <c r="N845" s="34" t="n">
        <f aca="false">MATCH(F845,Assumptions!$K$4:$K$8,0)</f>
        <v>5</v>
      </c>
      <c r="O845" s="21" t="str">
        <f aca="false">IF(H845="Yes",MONTH(I845),"")</f>
        <v/>
      </c>
      <c r="P845" s="21" t="str">
        <f aca="false">IF(H845="Yes",B845,"")</f>
        <v/>
      </c>
    </row>
    <row r="846" customFormat="false" ht="15" hidden="false" customHeight="false" outlineLevel="0" collapsed="false">
      <c r="A846" s="21" t="s">
        <v>2061</v>
      </c>
      <c r="B846" s="21" t="s">
        <v>319</v>
      </c>
      <c r="C846" s="21" t="s">
        <v>1266</v>
      </c>
      <c r="D846" s="21" t="s">
        <v>1191</v>
      </c>
      <c r="E846" s="33" t="n">
        <v>45321</v>
      </c>
      <c r="F846" s="21" t="s">
        <v>1197</v>
      </c>
      <c r="G846" s="32"/>
      <c r="H846" s="21"/>
      <c r="I846" s="33"/>
      <c r="J846" s="21" t="str">
        <f aca="false">INDEX(Students!$C$2:$C$601,MATCH(B846,Students!$A$2:$A$601,0))</f>
        <v>Batch 2024</v>
      </c>
      <c r="K846" s="21" t="str">
        <f aca="false">INDEX(Students!$D$2:$D$601,MATCH(B846,Students!$A$2:$A$601,0))</f>
        <v>DSA with Java</v>
      </c>
      <c r="L846" s="21" t="str">
        <f aca="false">INDEX(Companies!$C$2:$C$31,MATCH(C846,Companies!$A$2:$A$31,0))</f>
        <v>IT Services</v>
      </c>
      <c r="M846" s="21" t="str">
        <f aca="false">INDEX(Companies!$D$2:$D$31,MATCH(C846,Companies!$A$2:$A$31,0))</f>
        <v>Tier 3</v>
      </c>
      <c r="N846" s="34" t="n">
        <f aca="false">MATCH(F846,Assumptions!$K$4:$K$8,0)</f>
        <v>3</v>
      </c>
      <c r="O846" s="21" t="str">
        <f aca="false">IF(H846="Yes",MONTH(I846),"")</f>
        <v/>
      </c>
      <c r="P846" s="21" t="str">
        <f aca="false">IF(H846="Yes",B846,"")</f>
        <v/>
      </c>
    </row>
    <row r="847" customFormat="false" ht="15" hidden="false" customHeight="false" outlineLevel="0" collapsed="false">
      <c r="A847" s="21" t="s">
        <v>2062</v>
      </c>
      <c r="B847" s="21" t="s">
        <v>179</v>
      </c>
      <c r="C847" s="21" t="s">
        <v>1230</v>
      </c>
      <c r="D847" s="21" t="s">
        <v>1191</v>
      </c>
      <c r="E847" s="33" t="n">
        <v>45322</v>
      </c>
      <c r="F847" s="21" t="s">
        <v>1175</v>
      </c>
      <c r="G847" s="32"/>
      <c r="H847" s="21"/>
      <c r="I847" s="33"/>
      <c r="J847" s="21" t="str">
        <f aca="false">INDEX(Students!$C$2:$C$601,MATCH(B847,Students!$A$2:$A$601,0))</f>
        <v>Batch 2024</v>
      </c>
      <c r="K847" s="21" t="str">
        <f aca="false">INDEX(Students!$D$2:$D$601,MATCH(B847,Students!$A$2:$A$601,0))</f>
        <v>DSA with Java</v>
      </c>
      <c r="L847" s="21" t="str">
        <f aca="false">INDEX(Companies!$C$2:$C$31,MATCH(C847,Companies!$A$2:$A$31,0))</f>
        <v>IT Services</v>
      </c>
      <c r="M847" s="21" t="str">
        <f aca="false">INDEX(Companies!$D$2:$D$31,MATCH(C847,Companies!$A$2:$A$31,0))</f>
        <v>Tier 3</v>
      </c>
      <c r="N847" s="34" t="n">
        <f aca="false">MATCH(F847,Assumptions!$K$4:$K$8,0)</f>
        <v>1</v>
      </c>
      <c r="O847" s="21" t="str">
        <f aca="false">IF(H847="Yes",MONTH(I847),"")</f>
        <v/>
      </c>
      <c r="P847" s="21" t="str">
        <f aca="false">IF(H847="Yes",B847,"")</f>
        <v/>
      </c>
    </row>
    <row r="848" customFormat="false" ht="15" hidden="false" customHeight="false" outlineLevel="0" collapsed="false">
      <c r="A848" s="21" t="s">
        <v>2063</v>
      </c>
      <c r="B848" s="21" t="s">
        <v>283</v>
      </c>
      <c r="C848" s="21" t="s">
        <v>1322</v>
      </c>
      <c r="D848" s="21" t="s">
        <v>1191</v>
      </c>
      <c r="E848" s="33" t="n">
        <v>45322</v>
      </c>
      <c r="F848" s="21" t="s">
        <v>1197</v>
      </c>
      <c r="G848" s="32"/>
      <c r="H848" s="21"/>
      <c r="I848" s="33"/>
      <c r="J848" s="21" t="str">
        <f aca="false">INDEX(Students!$C$2:$C$601,MATCH(B848,Students!$A$2:$A$601,0))</f>
        <v>Batch 2024</v>
      </c>
      <c r="K848" s="21" t="str">
        <f aca="false">INDEX(Students!$D$2:$D$601,MATCH(B848,Students!$A$2:$A$601,0))</f>
        <v>DSA with Java</v>
      </c>
      <c r="L848" s="21" t="str">
        <f aca="false">INDEX(Companies!$C$2:$C$31,MATCH(C848,Companies!$A$2:$A$31,0))</f>
        <v>Healthtech</v>
      </c>
      <c r="M848" s="21" t="str">
        <f aca="false">INDEX(Companies!$D$2:$D$31,MATCH(C848,Companies!$A$2:$A$31,0))</f>
        <v>Tier 2</v>
      </c>
      <c r="N848" s="34" t="n">
        <f aca="false">MATCH(F848,Assumptions!$K$4:$K$8,0)</f>
        <v>3</v>
      </c>
      <c r="O848" s="21" t="str">
        <f aca="false">IF(H848="Yes",MONTH(I848),"")</f>
        <v/>
      </c>
      <c r="P848" s="21" t="str">
        <f aca="false">IF(H848="Yes",B848,"")</f>
        <v/>
      </c>
    </row>
    <row r="849" customFormat="false" ht="15" hidden="false" customHeight="false" outlineLevel="0" collapsed="false">
      <c r="A849" s="21" t="s">
        <v>2064</v>
      </c>
      <c r="B849" s="21" t="s">
        <v>167</v>
      </c>
      <c r="C849" s="21" t="s">
        <v>1205</v>
      </c>
      <c r="D849" s="21" t="s">
        <v>1209</v>
      </c>
      <c r="E849" s="33" t="n">
        <v>45322</v>
      </c>
      <c r="F849" s="21" t="s">
        <v>1185</v>
      </c>
      <c r="G849" s="32" t="n">
        <v>5</v>
      </c>
      <c r="H849" s="21" t="s">
        <v>113</v>
      </c>
      <c r="I849" s="33" t="n">
        <v>45344</v>
      </c>
      <c r="J849" s="21" t="str">
        <f aca="false">INDEX(Students!$C$2:$C$601,MATCH(B849,Students!$A$2:$A$601,0))</f>
        <v>Batch 2024</v>
      </c>
      <c r="K849" s="21" t="str">
        <f aca="false">INDEX(Students!$D$2:$D$601,MATCH(B849,Students!$A$2:$A$601,0))</f>
        <v>Data Analytics</v>
      </c>
      <c r="L849" s="21" t="str">
        <f aca="false">INDEX(Companies!$C$2:$C$31,MATCH(C849,Companies!$A$2:$A$31,0))</f>
        <v>Healthtech</v>
      </c>
      <c r="M849" s="21" t="str">
        <f aca="false">INDEX(Companies!$D$2:$D$31,MATCH(C849,Companies!$A$2:$A$31,0))</f>
        <v>Tier 3</v>
      </c>
      <c r="N849" s="34" t="n">
        <f aca="false">MATCH(F849,Assumptions!$K$4:$K$8,0)</f>
        <v>5</v>
      </c>
      <c r="O849" s="21" t="str">
        <f aca="false">IF(H849="Yes",MONTH(I849),"")</f>
        <v/>
      </c>
      <c r="P849" s="21" t="str">
        <f aca="false">IF(H849="Yes",B849,"")</f>
        <v/>
      </c>
    </row>
    <row r="850" customFormat="false" ht="15" hidden="false" customHeight="false" outlineLevel="0" collapsed="false">
      <c r="A850" s="21" t="s">
        <v>2065</v>
      </c>
      <c r="B850" s="21" t="s">
        <v>311</v>
      </c>
      <c r="C850" s="21" t="s">
        <v>1193</v>
      </c>
      <c r="D850" s="21" t="s">
        <v>1181</v>
      </c>
      <c r="E850" s="33" t="n">
        <v>45323</v>
      </c>
      <c r="F850" s="21" t="s">
        <v>1185</v>
      </c>
      <c r="G850" s="32" t="n">
        <v>10.1</v>
      </c>
      <c r="H850" s="21" t="s">
        <v>120</v>
      </c>
      <c r="I850" s="33" t="n">
        <v>45351</v>
      </c>
      <c r="J850" s="21" t="str">
        <f aca="false">INDEX(Students!$C$2:$C$601,MATCH(B850,Students!$A$2:$A$601,0))</f>
        <v>Batch 2024</v>
      </c>
      <c r="K850" s="21" t="str">
        <f aca="false">INDEX(Students!$D$2:$D$601,MATCH(B850,Students!$A$2:$A$601,0))</f>
        <v>Full Stack Development</v>
      </c>
      <c r="L850" s="21" t="str">
        <f aca="false">INDEX(Companies!$C$2:$C$31,MATCH(C850,Companies!$A$2:$A$31,0))</f>
        <v>Analytics &amp; Consulting</v>
      </c>
      <c r="M850" s="21" t="str">
        <f aca="false">INDEX(Companies!$D$2:$D$31,MATCH(C850,Companies!$A$2:$A$31,0))</f>
        <v>Tier 2</v>
      </c>
      <c r="N850" s="34" t="n">
        <f aca="false">MATCH(F850,Assumptions!$K$4:$K$8,0)</f>
        <v>5</v>
      </c>
      <c r="O850" s="21" t="n">
        <f aca="false">IF(H850="Yes",MONTH(I850),"")</f>
        <v>2</v>
      </c>
      <c r="P850" s="21" t="str">
        <f aca="false">IF(H850="Yes",B850,"")</f>
        <v>S0102</v>
      </c>
    </row>
    <row r="851" customFormat="false" ht="15" hidden="false" customHeight="false" outlineLevel="0" collapsed="false">
      <c r="A851" s="21" t="s">
        <v>2066</v>
      </c>
      <c r="B851" s="21" t="s">
        <v>217</v>
      </c>
      <c r="C851" s="21" t="s">
        <v>1222</v>
      </c>
      <c r="D851" s="21" t="s">
        <v>1243</v>
      </c>
      <c r="E851" s="33" t="n">
        <v>45323</v>
      </c>
      <c r="F851" s="21" t="s">
        <v>1197</v>
      </c>
      <c r="G851" s="32"/>
      <c r="H851" s="21"/>
      <c r="I851" s="33"/>
      <c r="J851" s="21" t="str">
        <f aca="false">INDEX(Students!$C$2:$C$601,MATCH(B851,Students!$A$2:$A$601,0))</f>
        <v>Batch 2024</v>
      </c>
      <c r="K851" s="21" t="str">
        <f aca="false">INDEX(Students!$D$2:$D$601,MATCH(B851,Students!$A$2:$A$601,0))</f>
        <v>Data Science &amp; ML</v>
      </c>
      <c r="L851" s="21" t="str">
        <f aca="false">INDEX(Companies!$C$2:$C$31,MATCH(C851,Companies!$A$2:$A$31,0))</f>
        <v>Product</v>
      </c>
      <c r="M851" s="21" t="str">
        <f aca="false">INDEX(Companies!$D$2:$D$31,MATCH(C851,Companies!$A$2:$A$31,0))</f>
        <v>Tier 2</v>
      </c>
      <c r="N851" s="34" t="n">
        <f aca="false">MATCH(F851,Assumptions!$K$4:$K$8,0)</f>
        <v>3</v>
      </c>
      <c r="O851" s="21" t="str">
        <f aca="false">IF(H851="Yes",MONTH(I851),"")</f>
        <v/>
      </c>
      <c r="P851" s="21" t="str">
        <f aca="false">IF(H851="Yes",B851,"")</f>
        <v/>
      </c>
    </row>
    <row r="852" customFormat="false" ht="15" hidden="false" customHeight="false" outlineLevel="0" collapsed="false">
      <c r="A852" s="21" t="s">
        <v>2067</v>
      </c>
      <c r="B852" s="21" t="s">
        <v>135</v>
      </c>
      <c r="C852" s="21" t="s">
        <v>1225</v>
      </c>
      <c r="D852" s="21" t="s">
        <v>1191</v>
      </c>
      <c r="E852" s="33" t="n">
        <v>45323</v>
      </c>
      <c r="F852" s="21" t="s">
        <v>1185</v>
      </c>
      <c r="G852" s="32" t="n">
        <v>12.1</v>
      </c>
      <c r="H852" s="21" t="s">
        <v>120</v>
      </c>
      <c r="I852" s="33" t="n">
        <v>45376</v>
      </c>
      <c r="J852" s="21" t="str">
        <f aca="false">INDEX(Students!$C$2:$C$601,MATCH(B852,Students!$A$2:$A$601,0))</f>
        <v>Batch 2024</v>
      </c>
      <c r="K852" s="21" t="str">
        <f aca="false">INDEX(Students!$D$2:$D$601,MATCH(B852,Students!$A$2:$A$601,0))</f>
        <v>DSA with Java</v>
      </c>
      <c r="L852" s="21" t="str">
        <f aca="false">INDEX(Companies!$C$2:$C$31,MATCH(C852,Companies!$A$2:$A$31,0))</f>
        <v>EdTech</v>
      </c>
      <c r="M852" s="21" t="str">
        <f aca="false">INDEX(Companies!$D$2:$D$31,MATCH(C852,Companies!$A$2:$A$31,0))</f>
        <v>Tier 2</v>
      </c>
      <c r="N852" s="34" t="n">
        <f aca="false">MATCH(F852,Assumptions!$K$4:$K$8,0)</f>
        <v>5</v>
      </c>
      <c r="O852" s="21" t="n">
        <f aca="false">IF(H852="Yes",MONTH(I852),"")</f>
        <v>3</v>
      </c>
      <c r="P852" s="21" t="str">
        <f aca="false">IF(H852="Yes",B852,"")</f>
        <v>S0012</v>
      </c>
    </row>
    <row r="853" customFormat="false" ht="15" hidden="false" customHeight="false" outlineLevel="0" collapsed="false">
      <c r="A853" s="21" t="s">
        <v>2068</v>
      </c>
      <c r="B853" s="21" t="s">
        <v>274</v>
      </c>
      <c r="C853" s="21" t="s">
        <v>1203</v>
      </c>
      <c r="D853" s="21" t="s">
        <v>1191</v>
      </c>
      <c r="E853" s="33" t="n">
        <v>45323</v>
      </c>
      <c r="F853" s="21" t="s">
        <v>1185</v>
      </c>
      <c r="G853" s="32" t="n">
        <v>12.2</v>
      </c>
      <c r="H853" s="21" t="s">
        <v>120</v>
      </c>
      <c r="I853" s="33" t="n">
        <v>45365</v>
      </c>
      <c r="J853" s="21" t="str">
        <f aca="false">INDEX(Students!$C$2:$C$601,MATCH(B853,Students!$A$2:$A$601,0))</f>
        <v>Batch 2024</v>
      </c>
      <c r="K853" s="21" t="str">
        <f aca="false">INDEX(Students!$D$2:$D$601,MATCH(B853,Students!$A$2:$A$601,0))</f>
        <v>DSA with Java</v>
      </c>
      <c r="L853" s="21" t="str">
        <f aca="false">INDEX(Companies!$C$2:$C$31,MATCH(C853,Companies!$A$2:$A$31,0))</f>
        <v>Healthtech</v>
      </c>
      <c r="M853" s="21" t="str">
        <f aca="false">INDEX(Companies!$D$2:$D$31,MATCH(C853,Companies!$A$2:$A$31,0))</f>
        <v>Tier 2</v>
      </c>
      <c r="N853" s="34" t="n">
        <f aca="false">MATCH(F853,Assumptions!$K$4:$K$8,0)</f>
        <v>5</v>
      </c>
      <c r="O853" s="21" t="n">
        <f aca="false">IF(H853="Yes",MONTH(I853),"")</f>
        <v>3</v>
      </c>
      <c r="P853" s="21" t="str">
        <f aca="false">IF(H853="Yes",B853,"")</f>
        <v>S0083</v>
      </c>
    </row>
    <row r="854" customFormat="false" ht="15" hidden="false" customHeight="false" outlineLevel="0" collapsed="false">
      <c r="A854" s="21" t="s">
        <v>2069</v>
      </c>
      <c r="B854" s="21" t="s">
        <v>447</v>
      </c>
      <c r="C854" s="21" t="s">
        <v>1234</v>
      </c>
      <c r="D854" s="21" t="s">
        <v>1191</v>
      </c>
      <c r="E854" s="33" t="n">
        <v>45324</v>
      </c>
      <c r="F854" s="21" t="s">
        <v>1185</v>
      </c>
      <c r="G854" s="32" t="n">
        <v>5.9</v>
      </c>
      <c r="H854" s="21" t="s">
        <v>113</v>
      </c>
      <c r="I854" s="33" t="n">
        <v>45350</v>
      </c>
      <c r="J854" s="21" t="str">
        <f aca="false">INDEX(Students!$C$2:$C$601,MATCH(B854,Students!$A$2:$A$601,0))</f>
        <v>Batch 2024</v>
      </c>
      <c r="K854" s="21" t="str">
        <f aca="false">INDEX(Students!$D$2:$D$601,MATCH(B854,Students!$A$2:$A$601,0))</f>
        <v>DSA with Java</v>
      </c>
      <c r="L854" s="21" t="str">
        <f aca="false">INDEX(Companies!$C$2:$C$31,MATCH(C854,Companies!$A$2:$A$31,0))</f>
        <v>EdTech</v>
      </c>
      <c r="M854" s="21" t="str">
        <f aca="false">INDEX(Companies!$D$2:$D$31,MATCH(C854,Companies!$A$2:$A$31,0))</f>
        <v>Tier 3</v>
      </c>
      <c r="N854" s="34" t="n">
        <f aca="false">MATCH(F854,Assumptions!$K$4:$K$8,0)</f>
        <v>5</v>
      </c>
      <c r="O854" s="21" t="str">
        <f aca="false">IF(H854="Yes",MONTH(I854),"")</f>
        <v/>
      </c>
      <c r="P854" s="21" t="str">
        <f aca="false">IF(H854="Yes",B854,"")</f>
        <v/>
      </c>
    </row>
    <row r="855" customFormat="false" ht="15" hidden="false" customHeight="false" outlineLevel="0" collapsed="false">
      <c r="A855" s="21" t="s">
        <v>2070</v>
      </c>
      <c r="B855" s="21" t="s">
        <v>415</v>
      </c>
      <c r="C855" s="21" t="s">
        <v>1228</v>
      </c>
      <c r="D855" s="21" t="s">
        <v>1226</v>
      </c>
      <c r="E855" s="33" t="n">
        <v>45324</v>
      </c>
      <c r="F855" s="21" t="s">
        <v>1175</v>
      </c>
      <c r="G855" s="32"/>
      <c r="H855" s="21"/>
      <c r="I855" s="33"/>
      <c r="J855" s="21" t="str">
        <f aca="false">INDEX(Students!$C$2:$C$601,MATCH(B855,Students!$A$2:$A$601,0))</f>
        <v>Batch 2024</v>
      </c>
      <c r="K855" s="21" t="str">
        <f aca="false">INDEX(Students!$D$2:$D$601,MATCH(B855,Students!$A$2:$A$601,0))</f>
        <v>Cybersecurity</v>
      </c>
      <c r="L855" s="21" t="str">
        <f aca="false">INDEX(Companies!$C$2:$C$31,MATCH(C855,Companies!$A$2:$A$31,0))</f>
        <v>Fintech</v>
      </c>
      <c r="M855" s="21" t="str">
        <f aca="false">INDEX(Companies!$D$2:$D$31,MATCH(C855,Companies!$A$2:$A$31,0))</f>
        <v>Tier 1</v>
      </c>
      <c r="N855" s="34" t="n">
        <f aca="false">MATCH(F855,Assumptions!$K$4:$K$8,0)</f>
        <v>1</v>
      </c>
      <c r="O855" s="21" t="str">
        <f aca="false">IF(H855="Yes",MONTH(I855),"")</f>
        <v/>
      </c>
      <c r="P855" s="21" t="str">
        <f aca="false">IF(H855="Yes",B855,"")</f>
        <v/>
      </c>
    </row>
    <row r="856" customFormat="false" ht="15" hidden="false" customHeight="false" outlineLevel="0" collapsed="false">
      <c r="A856" s="21" t="s">
        <v>2071</v>
      </c>
      <c r="B856" s="21" t="s">
        <v>133</v>
      </c>
      <c r="C856" s="21" t="s">
        <v>1193</v>
      </c>
      <c r="D856" s="21" t="s">
        <v>1209</v>
      </c>
      <c r="E856" s="33" t="n">
        <v>45324</v>
      </c>
      <c r="F856" s="21" t="s">
        <v>1197</v>
      </c>
      <c r="G856" s="32"/>
      <c r="H856" s="21"/>
      <c r="I856" s="33"/>
      <c r="J856" s="21" t="str">
        <f aca="false">INDEX(Students!$C$2:$C$601,MATCH(B856,Students!$A$2:$A$601,0))</f>
        <v>Batch 2024</v>
      </c>
      <c r="K856" s="21" t="str">
        <f aca="false">INDEX(Students!$D$2:$D$601,MATCH(B856,Students!$A$2:$A$601,0))</f>
        <v>Data Analytics</v>
      </c>
      <c r="L856" s="21" t="str">
        <f aca="false">INDEX(Companies!$C$2:$C$31,MATCH(C856,Companies!$A$2:$A$31,0))</f>
        <v>Analytics &amp; Consulting</v>
      </c>
      <c r="M856" s="21" t="str">
        <f aca="false">INDEX(Companies!$D$2:$D$31,MATCH(C856,Companies!$A$2:$A$31,0))</f>
        <v>Tier 2</v>
      </c>
      <c r="N856" s="34" t="n">
        <f aca="false">MATCH(F856,Assumptions!$K$4:$K$8,0)</f>
        <v>3</v>
      </c>
      <c r="O856" s="21" t="str">
        <f aca="false">IF(H856="Yes",MONTH(I856),"")</f>
        <v/>
      </c>
      <c r="P856" s="21" t="str">
        <f aca="false">IF(H856="Yes",B856,"")</f>
        <v/>
      </c>
    </row>
    <row r="857" customFormat="false" ht="15" hidden="false" customHeight="false" outlineLevel="0" collapsed="false">
      <c r="A857" s="21" t="s">
        <v>2072</v>
      </c>
      <c r="B857" s="21" t="s">
        <v>163</v>
      </c>
      <c r="C857" s="21" t="s">
        <v>1230</v>
      </c>
      <c r="D857" s="21" t="s">
        <v>1191</v>
      </c>
      <c r="E857" s="33" t="n">
        <v>45324</v>
      </c>
      <c r="F857" s="21" t="s">
        <v>1185</v>
      </c>
      <c r="G857" s="32" t="n">
        <v>5.8</v>
      </c>
      <c r="H857" s="21" t="s">
        <v>120</v>
      </c>
      <c r="I857" s="33" t="n">
        <v>45365</v>
      </c>
      <c r="J857" s="21" t="str">
        <f aca="false">INDEX(Students!$C$2:$C$601,MATCH(B857,Students!$A$2:$A$601,0))</f>
        <v>Batch 2024</v>
      </c>
      <c r="K857" s="21" t="str">
        <f aca="false">INDEX(Students!$D$2:$D$601,MATCH(B857,Students!$A$2:$A$601,0))</f>
        <v>DSA with Java</v>
      </c>
      <c r="L857" s="21" t="str">
        <f aca="false">INDEX(Companies!$C$2:$C$31,MATCH(C857,Companies!$A$2:$A$31,0))</f>
        <v>IT Services</v>
      </c>
      <c r="M857" s="21" t="str">
        <f aca="false">INDEX(Companies!$D$2:$D$31,MATCH(C857,Companies!$A$2:$A$31,0))</f>
        <v>Tier 3</v>
      </c>
      <c r="N857" s="34" t="n">
        <f aca="false">MATCH(F857,Assumptions!$K$4:$K$8,0)</f>
        <v>5</v>
      </c>
      <c r="O857" s="21" t="n">
        <f aca="false">IF(H857="Yes",MONTH(I857),"")</f>
        <v>3</v>
      </c>
      <c r="P857" s="21" t="str">
        <f aca="false">IF(H857="Yes",B857,"")</f>
        <v>S0026</v>
      </c>
    </row>
    <row r="858" customFormat="false" ht="15" hidden="false" customHeight="false" outlineLevel="0" collapsed="false">
      <c r="A858" s="21" t="s">
        <v>2073</v>
      </c>
      <c r="B858" s="21" t="s">
        <v>336</v>
      </c>
      <c r="C858" s="21" t="s">
        <v>1199</v>
      </c>
      <c r="D858" s="21" t="s">
        <v>1181</v>
      </c>
      <c r="E858" s="33" t="n">
        <v>45324</v>
      </c>
      <c r="F858" s="21" t="s">
        <v>1185</v>
      </c>
      <c r="G858" s="32" t="n">
        <v>16.3</v>
      </c>
      <c r="H858" s="21" t="s">
        <v>113</v>
      </c>
      <c r="I858" s="33" t="n">
        <v>45344</v>
      </c>
      <c r="J858" s="21" t="str">
        <f aca="false">INDEX(Students!$C$2:$C$601,MATCH(B858,Students!$A$2:$A$601,0))</f>
        <v>Batch 2024</v>
      </c>
      <c r="K858" s="21" t="str">
        <f aca="false">INDEX(Students!$D$2:$D$601,MATCH(B858,Students!$A$2:$A$601,0))</f>
        <v>Full Stack Development</v>
      </c>
      <c r="L858" s="21" t="str">
        <f aca="false">INDEX(Companies!$C$2:$C$31,MATCH(C858,Companies!$A$2:$A$31,0))</f>
        <v>E-commerce</v>
      </c>
      <c r="M858" s="21" t="str">
        <f aca="false">INDEX(Companies!$D$2:$D$31,MATCH(C858,Companies!$A$2:$A$31,0))</f>
        <v>Tier 2</v>
      </c>
      <c r="N858" s="34" t="n">
        <f aca="false">MATCH(F858,Assumptions!$K$4:$K$8,0)</f>
        <v>5</v>
      </c>
      <c r="O858" s="21" t="str">
        <f aca="false">IF(H858="Yes",MONTH(I858),"")</f>
        <v/>
      </c>
      <c r="P858" s="21" t="str">
        <f aca="false">IF(H858="Yes",B858,"")</f>
        <v/>
      </c>
    </row>
    <row r="859" customFormat="false" ht="15" hidden="false" customHeight="false" outlineLevel="0" collapsed="false">
      <c r="A859" s="21" t="s">
        <v>2074</v>
      </c>
      <c r="B859" s="21" t="s">
        <v>247</v>
      </c>
      <c r="C859" s="21" t="s">
        <v>1309</v>
      </c>
      <c r="D859" s="21" t="s">
        <v>1191</v>
      </c>
      <c r="E859" s="33" t="n">
        <v>45324</v>
      </c>
      <c r="F859" s="21" t="s">
        <v>1175</v>
      </c>
      <c r="G859" s="32"/>
      <c r="H859" s="21"/>
      <c r="I859" s="33"/>
      <c r="J859" s="21" t="str">
        <f aca="false">INDEX(Students!$C$2:$C$601,MATCH(B859,Students!$A$2:$A$601,0))</f>
        <v>Batch 2024</v>
      </c>
      <c r="K859" s="21" t="str">
        <f aca="false">INDEX(Students!$D$2:$D$601,MATCH(B859,Students!$A$2:$A$601,0))</f>
        <v>DSA with Java</v>
      </c>
      <c r="L859" s="21" t="str">
        <f aca="false">INDEX(Companies!$C$2:$C$31,MATCH(C859,Companies!$A$2:$A$31,0))</f>
        <v>EdTech</v>
      </c>
      <c r="M859" s="21" t="str">
        <f aca="false">INDEX(Companies!$D$2:$D$31,MATCH(C859,Companies!$A$2:$A$31,0))</f>
        <v>Tier 2</v>
      </c>
      <c r="N859" s="34" t="n">
        <f aca="false">MATCH(F859,Assumptions!$K$4:$K$8,0)</f>
        <v>1</v>
      </c>
      <c r="O859" s="21" t="str">
        <f aca="false">IF(H859="Yes",MONTH(I859),"")</f>
        <v/>
      </c>
      <c r="P859" s="21" t="str">
        <f aca="false">IF(H859="Yes",B859,"")</f>
        <v/>
      </c>
    </row>
    <row r="860" customFormat="false" ht="15" hidden="false" customHeight="false" outlineLevel="0" collapsed="false">
      <c r="A860" s="21" t="s">
        <v>2075</v>
      </c>
      <c r="B860" s="21" t="s">
        <v>323</v>
      </c>
      <c r="C860" s="21" t="s">
        <v>1290</v>
      </c>
      <c r="D860" s="21" t="s">
        <v>1243</v>
      </c>
      <c r="E860" s="33" t="n">
        <v>45324</v>
      </c>
      <c r="F860" s="21" t="s">
        <v>1197</v>
      </c>
      <c r="G860" s="32"/>
      <c r="H860" s="21"/>
      <c r="I860" s="33"/>
      <c r="J860" s="21" t="str">
        <f aca="false">INDEX(Students!$C$2:$C$601,MATCH(B860,Students!$A$2:$A$601,0))</f>
        <v>Batch 2024</v>
      </c>
      <c r="K860" s="21" t="str">
        <f aca="false">INDEX(Students!$D$2:$D$601,MATCH(B860,Students!$A$2:$A$601,0))</f>
        <v>Data Science &amp; ML</v>
      </c>
      <c r="L860" s="21" t="str">
        <f aca="false">INDEX(Companies!$C$2:$C$31,MATCH(C860,Companies!$A$2:$A$31,0))</f>
        <v>Fintech</v>
      </c>
      <c r="M860" s="21" t="str">
        <f aca="false">INDEX(Companies!$D$2:$D$31,MATCH(C860,Companies!$A$2:$A$31,0))</f>
        <v>Tier 2</v>
      </c>
      <c r="N860" s="34" t="n">
        <f aca="false">MATCH(F860,Assumptions!$K$4:$K$8,0)</f>
        <v>3</v>
      </c>
      <c r="O860" s="21" t="str">
        <f aca="false">IF(H860="Yes",MONTH(I860),"")</f>
        <v/>
      </c>
      <c r="P860" s="21" t="str">
        <f aca="false">IF(H860="Yes",B860,"")</f>
        <v/>
      </c>
    </row>
    <row r="861" customFormat="false" ht="15" hidden="false" customHeight="false" outlineLevel="0" collapsed="false">
      <c r="A861" s="21" t="s">
        <v>2076</v>
      </c>
      <c r="B861" s="21" t="s">
        <v>219</v>
      </c>
      <c r="C861" s="21" t="s">
        <v>1208</v>
      </c>
      <c r="D861" s="21" t="s">
        <v>1194</v>
      </c>
      <c r="E861" s="33" t="n">
        <v>45324</v>
      </c>
      <c r="F861" s="21" t="s">
        <v>1197</v>
      </c>
      <c r="G861" s="32"/>
      <c r="H861" s="21"/>
      <c r="I861" s="33"/>
      <c r="J861" s="21" t="str">
        <f aca="false">INDEX(Students!$C$2:$C$601,MATCH(B861,Students!$A$2:$A$601,0))</f>
        <v>Batch 2024</v>
      </c>
      <c r="K861" s="21" t="str">
        <f aca="false">INDEX(Students!$D$2:$D$601,MATCH(B861,Students!$A$2:$A$601,0))</f>
        <v>Data Science &amp; ML</v>
      </c>
      <c r="L861" s="21" t="str">
        <f aca="false">INDEX(Companies!$C$2:$C$31,MATCH(C861,Companies!$A$2:$A$31,0))</f>
        <v>E-commerce</v>
      </c>
      <c r="M861" s="21" t="str">
        <f aca="false">INDEX(Companies!$D$2:$D$31,MATCH(C861,Companies!$A$2:$A$31,0))</f>
        <v>Tier 1</v>
      </c>
      <c r="N861" s="34" t="n">
        <f aca="false">MATCH(F861,Assumptions!$K$4:$K$8,0)</f>
        <v>3</v>
      </c>
      <c r="O861" s="21" t="str">
        <f aca="false">IF(H861="Yes",MONTH(I861),"")</f>
        <v/>
      </c>
      <c r="P861" s="21" t="str">
        <f aca="false">IF(H861="Yes",B861,"")</f>
        <v/>
      </c>
    </row>
    <row r="862" customFormat="false" ht="15" hidden="false" customHeight="false" outlineLevel="0" collapsed="false">
      <c r="A862" s="21" t="s">
        <v>2077</v>
      </c>
      <c r="B862" s="21" t="s">
        <v>199</v>
      </c>
      <c r="C862" s="21" t="s">
        <v>1298</v>
      </c>
      <c r="D862" s="21" t="s">
        <v>1243</v>
      </c>
      <c r="E862" s="33" t="n">
        <v>45325</v>
      </c>
      <c r="F862" s="21" t="s">
        <v>1178</v>
      </c>
      <c r="G862" s="32"/>
      <c r="H862" s="21"/>
      <c r="I862" s="33"/>
      <c r="J862" s="21" t="str">
        <f aca="false">INDEX(Students!$C$2:$C$601,MATCH(B862,Students!$A$2:$A$601,0))</f>
        <v>Batch 2024</v>
      </c>
      <c r="K862" s="21" t="str">
        <f aca="false">INDEX(Students!$D$2:$D$601,MATCH(B862,Students!$A$2:$A$601,0))</f>
        <v>Data Science &amp; ML</v>
      </c>
      <c r="L862" s="21" t="str">
        <f aca="false">INDEX(Companies!$C$2:$C$31,MATCH(C862,Companies!$A$2:$A$31,0))</f>
        <v>Fintech</v>
      </c>
      <c r="M862" s="21" t="str">
        <f aca="false">INDEX(Companies!$D$2:$D$31,MATCH(C862,Companies!$A$2:$A$31,0))</f>
        <v>Tier 2</v>
      </c>
      <c r="N862" s="34" t="n">
        <f aca="false">MATCH(F862,Assumptions!$K$4:$K$8,0)</f>
        <v>2</v>
      </c>
      <c r="O862" s="21" t="str">
        <f aca="false">IF(H862="Yes",MONTH(I862),"")</f>
        <v/>
      </c>
      <c r="P862" s="21" t="str">
        <f aca="false">IF(H862="Yes",B862,"")</f>
        <v/>
      </c>
    </row>
    <row r="863" customFormat="false" ht="15" hidden="false" customHeight="false" outlineLevel="0" collapsed="false">
      <c r="A863" s="21" t="s">
        <v>2078</v>
      </c>
      <c r="B863" s="21" t="s">
        <v>225</v>
      </c>
      <c r="C863" s="21" t="s">
        <v>1177</v>
      </c>
      <c r="D863" s="21" t="s">
        <v>1181</v>
      </c>
      <c r="E863" s="33" t="n">
        <v>45325</v>
      </c>
      <c r="F863" s="21" t="s">
        <v>1218</v>
      </c>
      <c r="G863" s="32"/>
      <c r="H863" s="21"/>
      <c r="I863" s="33"/>
      <c r="J863" s="21" t="str">
        <f aca="false">INDEX(Students!$C$2:$C$601,MATCH(B863,Students!$A$2:$A$601,0))</f>
        <v>Batch 2024</v>
      </c>
      <c r="K863" s="21" t="str">
        <f aca="false">INDEX(Students!$D$2:$D$601,MATCH(B863,Students!$A$2:$A$601,0))</f>
        <v>Full Stack Development</v>
      </c>
      <c r="L863" s="21" t="str">
        <f aca="false">INDEX(Companies!$C$2:$C$31,MATCH(C863,Companies!$A$2:$A$31,0))</f>
        <v>IT Services</v>
      </c>
      <c r="M863" s="21" t="str">
        <f aca="false">INDEX(Companies!$D$2:$D$31,MATCH(C863,Companies!$A$2:$A$31,0))</f>
        <v>Tier 3</v>
      </c>
      <c r="N863" s="34" t="n">
        <f aca="false">MATCH(F863,Assumptions!$K$4:$K$8,0)</f>
        <v>4</v>
      </c>
      <c r="O863" s="21" t="str">
        <f aca="false">IF(H863="Yes",MONTH(I863),"")</f>
        <v/>
      </c>
      <c r="P863" s="21" t="str">
        <f aca="false">IF(H863="Yes",B863,"")</f>
        <v/>
      </c>
    </row>
    <row r="864" customFormat="false" ht="15" hidden="false" customHeight="false" outlineLevel="0" collapsed="false">
      <c r="A864" s="21" t="s">
        <v>2079</v>
      </c>
      <c r="B864" s="21" t="s">
        <v>223</v>
      </c>
      <c r="C864" s="21" t="s">
        <v>1205</v>
      </c>
      <c r="D864" s="21" t="s">
        <v>1184</v>
      </c>
      <c r="E864" s="33" t="n">
        <v>45325</v>
      </c>
      <c r="F864" s="21" t="s">
        <v>1178</v>
      </c>
      <c r="G864" s="32"/>
      <c r="H864" s="21"/>
      <c r="I864" s="33"/>
      <c r="J864" s="21" t="str">
        <f aca="false">INDEX(Students!$C$2:$C$601,MATCH(B864,Students!$A$2:$A$601,0))</f>
        <v>Batch 2024</v>
      </c>
      <c r="K864" s="21" t="str">
        <f aca="false">INDEX(Students!$D$2:$D$601,MATCH(B864,Students!$A$2:$A$601,0))</f>
        <v>DSA with Java</v>
      </c>
      <c r="L864" s="21" t="str">
        <f aca="false">INDEX(Companies!$C$2:$C$31,MATCH(C864,Companies!$A$2:$A$31,0))</f>
        <v>Healthtech</v>
      </c>
      <c r="M864" s="21" t="str">
        <f aca="false">INDEX(Companies!$D$2:$D$31,MATCH(C864,Companies!$A$2:$A$31,0))</f>
        <v>Tier 3</v>
      </c>
      <c r="N864" s="34" t="n">
        <f aca="false">MATCH(F864,Assumptions!$K$4:$K$8,0)</f>
        <v>2</v>
      </c>
      <c r="O864" s="21" t="str">
        <f aca="false">IF(H864="Yes",MONTH(I864),"")</f>
        <v/>
      </c>
      <c r="P864" s="21" t="str">
        <f aca="false">IF(H864="Yes",B864,"")</f>
        <v/>
      </c>
    </row>
    <row r="865" customFormat="false" ht="15" hidden="false" customHeight="false" outlineLevel="0" collapsed="false">
      <c r="A865" s="21" t="s">
        <v>2080</v>
      </c>
      <c r="B865" s="21" t="s">
        <v>123</v>
      </c>
      <c r="C865" s="21" t="s">
        <v>1255</v>
      </c>
      <c r="D865" s="21" t="s">
        <v>1209</v>
      </c>
      <c r="E865" s="33" t="n">
        <v>45325</v>
      </c>
      <c r="F865" s="21" t="s">
        <v>1218</v>
      </c>
      <c r="G865" s="32"/>
      <c r="H865" s="21"/>
      <c r="I865" s="33"/>
      <c r="J865" s="21" t="str">
        <f aca="false">INDEX(Students!$C$2:$C$601,MATCH(B865,Students!$A$2:$A$601,0))</f>
        <v>Batch 2024</v>
      </c>
      <c r="K865" s="21" t="str">
        <f aca="false">INDEX(Students!$D$2:$D$601,MATCH(B865,Students!$A$2:$A$601,0))</f>
        <v>Data Analytics</v>
      </c>
      <c r="L865" s="21" t="str">
        <f aca="false">INDEX(Companies!$C$2:$C$31,MATCH(C865,Companies!$A$2:$A$31,0))</f>
        <v>IT Services</v>
      </c>
      <c r="M865" s="21" t="str">
        <f aca="false">INDEX(Companies!$D$2:$D$31,MATCH(C865,Companies!$A$2:$A$31,0))</f>
        <v>Tier 3</v>
      </c>
      <c r="N865" s="34" t="n">
        <f aca="false">MATCH(F865,Assumptions!$K$4:$K$8,0)</f>
        <v>4</v>
      </c>
      <c r="O865" s="21" t="str">
        <f aca="false">IF(H865="Yes",MONTH(I865),"")</f>
        <v/>
      </c>
      <c r="P865" s="21" t="str">
        <f aca="false">IF(H865="Yes",B865,"")</f>
        <v/>
      </c>
    </row>
    <row r="866" customFormat="false" ht="15" hidden="false" customHeight="false" outlineLevel="0" collapsed="false">
      <c r="A866" s="21" t="s">
        <v>2081</v>
      </c>
      <c r="B866" s="21" t="s">
        <v>285</v>
      </c>
      <c r="C866" s="21" t="s">
        <v>1211</v>
      </c>
      <c r="D866" s="21" t="s">
        <v>1226</v>
      </c>
      <c r="E866" s="33" t="n">
        <v>45325</v>
      </c>
      <c r="F866" s="21" t="s">
        <v>1185</v>
      </c>
      <c r="G866" s="32" t="n">
        <v>4.7</v>
      </c>
      <c r="H866" s="21" t="s">
        <v>113</v>
      </c>
      <c r="I866" s="33" t="n">
        <v>45351</v>
      </c>
      <c r="J866" s="21" t="str">
        <f aca="false">INDEX(Students!$C$2:$C$601,MATCH(B866,Students!$A$2:$A$601,0))</f>
        <v>Batch 2024</v>
      </c>
      <c r="K866" s="21" t="str">
        <f aca="false">INDEX(Students!$D$2:$D$601,MATCH(B866,Students!$A$2:$A$601,0))</f>
        <v>Cybersecurity</v>
      </c>
      <c r="L866" s="21" t="str">
        <f aca="false">INDEX(Companies!$C$2:$C$31,MATCH(C866,Companies!$A$2:$A$31,0))</f>
        <v>Analytics &amp; Consulting</v>
      </c>
      <c r="M866" s="21" t="str">
        <f aca="false">INDEX(Companies!$D$2:$D$31,MATCH(C866,Companies!$A$2:$A$31,0))</f>
        <v>Tier 3</v>
      </c>
      <c r="N866" s="34" t="n">
        <f aca="false">MATCH(F866,Assumptions!$K$4:$K$8,0)</f>
        <v>5</v>
      </c>
      <c r="O866" s="21" t="str">
        <f aca="false">IF(H866="Yes",MONTH(I866),"")</f>
        <v/>
      </c>
      <c r="P866" s="21" t="str">
        <f aca="false">IF(H866="Yes",B866,"")</f>
        <v/>
      </c>
    </row>
    <row r="867" customFormat="false" ht="15" hidden="false" customHeight="false" outlineLevel="0" collapsed="false">
      <c r="A867" s="21" t="s">
        <v>2082</v>
      </c>
      <c r="B867" s="21" t="s">
        <v>417</v>
      </c>
      <c r="C867" s="21" t="s">
        <v>1190</v>
      </c>
      <c r="D867" s="21" t="s">
        <v>1181</v>
      </c>
      <c r="E867" s="33" t="n">
        <v>45325</v>
      </c>
      <c r="F867" s="21" t="s">
        <v>1175</v>
      </c>
      <c r="G867" s="32"/>
      <c r="H867" s="21"/>
      <c r="I867" s="33"/>
      <c r="J867" s="21" t="str">
        <f aca="false">INDEX(Students!$C$2:$C$601,MATCH(B867,Students!$A$2:$A$601,0))</f>
        <v>Batch 2024</v>
      </c>
      <c r="K867" s="21" t="str">
        <f aca="false">INDEX(Students!$D$2:$D$601,MATCH(B867,Students!$A$2:$A$601,0))</f>
        <v>Full Stack Development</v>
      </c>
      <c r="L867" s="21" t="str">
        <f aca="false">INDEX(Companies!$C$2:$C$31,MATCH(C867,Companies!$A$2:$A$31,0))</f>
        <v>Analytics &amp; Consulting</v>
      </c>
      <c r="M867" s="21" t="str">
        <f aca="false">INDEX(Companies!$D$2:$D$31,MATCH(C867,Companies!$A$2:$A$31,0))</f>
        <v>Tier 1</v>
      </c>
      <c r="N867" s="34" t="n">
        <f aca="false">MATCH(F867,Assumptions!$K$4:$K$8,0)</f>
        <v>1</v>
      </c>
      <c r="O867" s="21" t="str">
        <f aca="false">IF(H867="Yes",MONTH(I867),"")</f>
        <v/>
      </c>
      <c r="P867" s="21" t="str">
        <f aca="false">IF(H867="Yes",B867,"")</f>
        <v/>
      </c>
    </row>
    <row r="868" customFormat="false" ht="15" hidden="false" customHeight="false" outlineLevel="0" collapsed="false">
      <c r="A868" s="21" t="s">
        <v>2083</v>
      </c>
      <c r="B868" s="21" t="s">
        <v>452</v>
      </c>
      <c r="C868" s="21" t="s">
        <v>1177</v>
      </c>
      <c r="D868" s="21" t="s">
        <v>1209</v>
      </c>
      <c r="E868" s="33" t="n">
        <v>45326</v>
      </c>
      <c r="F868" s="21" t="s">
        <v>1175</v>
      </c>
      <c r="G868" s="32"/>
      <c r="H868" s="21"/>
      <c r="I868" s="33"/>
      <c r="J868" s="21" t="str">
        <f aca="false">INDEX(Students!$C$2:$C$601,MATCH(B868,Students!$A$2:$A$601,0))</f>
        <v>Batch 2024</v>
      </c>
      <c r="K868" s="21" t="str">
        <f aca="false">INDEX(Students!$D$2:$D$601,MATCH(B868,Students!$A$2:$A$601,0))</f>
        <v>Data Analytics</v>
      </c>
      <c r="L868" s="21" t="str">
        <f aca="false">INDEX(Companies!$C$2:$C$31,MATCH(C868,Companies!$A$2:$A$31,0))</f>
        <v>IT Services</v>
      </c>
      <c r="M868" s="21" t="str">
        <f aca="false">INDEX(Companies!$D$2:$D$31,MATCH(C868,Companies!$A$2:$A$31,0))</f>
        <v>Tier 3</v>
      </c>
      <c r="N868" s="34" t="n">
        <f aca="false">MATCH(F868,Assumptions!$K$4:$K$8,0)</f>
        <v>1</v>
      </c>
      <c r="O868" s="21" t="str">
        <f aca="false">IF(H868="Yes",MONTH(I868),"")</f>
        <v/>
      </c>
      <c r="P868" s="21" t="str">
        <f aca="false">IF(H868="Yes",B868,"")</f>
        <v/>
      </c>
    </row>
    <row r="869" customFormat="false" ht="15" hidden="false" customHeight="false" outlineLevel="0" collapsed="false">
      <c r="A869" s="21" t="s">
        <v>2084</v>
      </c>
      <c r="B869" s="21" t="s">
        <v>441</v>
      </c>
      <c r="C869" s="21" t="s">
        <v>1322</v>
      </c>
      <c r="D869" s="21" t="s">
        <v>1243</v>
      </c>
      <c r="E869" s="33" t="n">
        <v>45326</v>
      </c>
      <c r="F869" s="21" t="s">
        <v>1197</v>
      </c>
      <c r="G869" s="32"/>
      <c r="H869" s="21"/>
      <c r="I869" s="33"/>
      <c r="J869" s="21" t="str">
        <f aca="false">INDEX(Students!$C$2:$C$601,MATCH(B869,Students!$A$2:$A$601,0))</f>
        <v>Batch 2024</v>
      </c>
      <c r="K869" s="21" t="str">
        <f aca="false">INDEX(Students!$D$2:$D$601,MATCH(B869,Students!$A$2:$A$601,0))</f>
        <v>Data Science &amp; ML</v>
      </c>
      <c r="L869" s="21" t="str">
        <f aca="false">INDEX(Companies!$C$2:$C$31,MATCH(C869,Companies!$A$2:$A$31,0))</f>
        <v>Healthtech</v>
      </c>
      <c r="M869" s="21" t="str">
        <f aca="false">INDEX(Companies!$D$2:$D$31,MATCH(C869,Companies!$A$2:$A$31,0))</f>
        <v>Tier 2</v>
      </c>
      <c r="N869" s="34" t="n">
        <f aca="false">MATCH(F869,Assumptions!$K$4:$K$8,0)</f>
        <v>3</v>
      </c>
      <c r="O869" s="21" t="str">
        <f aca="false">IF(H869="Yes",MONTH(I869),"")</f>
        <v/>
      </c>
      <c r="P869" s="21" t="str">
        <f aca="false">IF(H869="Yes",B869,"")</f>
        <v/>
      </c>
    </row>
    <row r="870" customFormat="false" ht="15" hidden="false" customHeight="false" outlineLevel="0" collapsed="false">
      <c r="A870" s="21" t="s">
        <v>2085</v>
      </c>
      <c r="B870" s="21" t="s">
        <v>230</v>
      </c>
      <c r="C870" s="21" t="s">
        <v>1225</v>
      </c>
      <c r="D870" s="21" t="s">
        <v>1181</v>
      </c>
      <c r="E870" s="33" t="n">
        <v>45326</v>
      </c>
      <c r="F870" s="21" t="s">
        <v>1218</v>
      </c>
      <c r="G870" s="32"/>
      <c r="H870" s="21"/>
      <c r="I870" s="33"/>
      <c r="J870" s="21" t="str">
        <f aca="false">INDEX(Students!$C$2:$C$601,MATCH(B870,Students!$A$2:$A$601,0))</f>
        <v>Batch 2024</v>
      </c>
      <c r="K870" s="21" t="str">
        <f aca="false">INDEX(Students!$D$2:$D$601,MATCH(B870,Students!$A$2:$A$601,0))</f>
        <v>Full Stack Development</v>
      </c>
      <c r="L870" s="21" t="str">
        <f aca="false">INDEX(Companies!$C$2:$C$31,MATCH(C870,Companies!$A$2:$A$31,0))</f>
        <v>EdTech</v>
      </c>
      <c r="M870" s="21" t="str">
        <f aca="false">INDEX(Companies!$D$2:$D$31,MATCH(C870,Companies!$A$2:$A$31,0))</f>
        <v>Tier 2</v>
      </c>
      <c r="N870" s="34" t="n">
        <f aca="false">MATCH(F870,Assumptions!$K$4:$K$8,0)</f>
        <v>4</v>
      </c>
      <c r="O870" s="21" t="str">
        <f aca="false">IF(H870="Yes",MONTH(I870),"")</f>
        <v/>
      </c>
      <c r="P870" s="21" t="str">
        <f aca="false">IF(H870="Yes",B870,"")</f>
        <v/>
      </c>
    </row>
    <row r="871" customFormat="false" ht="15" hidden="false" customHeight="false" outlineLevel="0" collapsed="false">
      <c r="A871" s="21" t="s">
        <v>2086</v>
      </c>
      <c r="B871" s="21" t="s">
        <v>414</v>
      </c>
      <c r="C871" s="21" t="s">
        <v>1211</v>
      </c>
      <c r="D871" s="21" t="s">
        <v>1181</v>
      </c>
      <c r="E871" s="33" t="n">
        <v>45326</v>
      </c>
      <c r="F871" s="21" t="s">
        <v>1197</v>
      </c>
      <c r="G871" s="32"/>
      <c r="H871" s="21"/>
      <c r="I871" s="33"/>
      <c r="J871" s="21" t="str">
        <f aca="false">INDEX(Students!$C$2:$C$601,MATCH(B871,Students!$A$2:$A$601,0))</f>
        <v>Batch 2024</v>
      </c>
      <c r="K871" s="21" t="str">
        <f aca="false">INDEX(Students!$D$2:$D$601,MATCH(B871,Students!$A$2:$A$601,0))</f>
        <v>Full Stack Development</v>
      </c>
      <c r="L871" s="21" t="str">
        <f aca="false">INDEX(Companies!$C$2:$C$31,MATCH(C871,Companies!$A$2:$A$31,0))</f>
        <v>Analytics &amp; Consulting</v>
      </c>
      <c r="M871" s="21" t="str">
        <f aca="false">INDEX(Companies!$D$2:$D$31,MATCH(C871,Companies!$A$2:$A$31,0))</f>
        <v>Tier 3</v>
      </c>
      <c r="N871" s="34" t="n">
        <f aca="false">MATCH(F871,Assumptions!$K$4:$K$8,0)</f>
        <v>3</v>
      </c>
      <c r="O871" s="21" t="str">
        <f aca="false">IF(H871="Yes",MONTH(I871),"")</f>
        <v/>
      </c>
      <c r="P871" s="21" t="str">
        <f aca="false">IF(H871="Yes",B871,"")</f>
        <v/>
      </c>
    </row>
    <row r="872" customFormat="false" ht="15" hidden="false" customHeight="false" outlineLevel="0" collapsed="false">
      <c r="A872" s="21" t="s">
        <v>2087</v>
      </c>
      <c r="B872" s="21" t="s">
        <v>121</v>
      </c>
      <c r="C872" s="21" t="s">
        <v>1196</v>
      </c>
      <c r="D872" s="21" t="s">
        <v>1184</v>
      </c>
      <c r="E872" s="33" t="n">
        <v>45326</v>
      </c>
      <c r="F872" s="21" t="s">
        <v>1218</v>
      </c>
      <c r="G872" s="32"/>
      <c r="H872" s="21"/>
      <c r="I872" s="33"/>
      <c r="J872" s="21" t="str">
        <f aca="false">INDEX(Students!$C$2:$C$601,MATCH(B872,Students!$A$2:$A$601,0))</f>
        <v>Batch 2024</v>
      </c>
      <c r="K872" s="21" t="str">
        <f aca="false">INDEX(Students!$D$2:$D$601,MATCH(B872,Students!$A$2:$A$601,0))</f>
        <v>DSA with Java</v>
      </c>
      <c r="L872" s="21" t="str">
        <f aca="false">INDEX(Companies!$C$2:$C$31,MATCH(C872,Companies!$A$2:$A$31,0))</f>
        <v>IT Services</v>
      </c>
      <c r="M872" s="21" t="str">
        <f aca="false">INDEX(Companies!$D$2:$D$31,MATCH(C872,Companies!$A$2:$A$31,0))</f>
        <v>Tier 3</v>
      </c>
      <c r="N872" s="34" t="n">
        <f aca="false">MATCH(F872,Assumptions!$K$4:$K$8,0)</f>
        <v>4</v>
      </c>
      <c r="O872" s="21" t="str">
        <f aca="false">IF(H872="Yes",MONTH(I872),"")</f>
        <v/>
      </c>
      <c r="P872" s="21" t="str">
        <f aca="false">IF(H872="Yes",B872,"")</f>
        <v/>
      </c>
    </row>
    <row r="873" customFormat="false" ht="15" hidden="false" customHeight="false" outlineLevel="0" collapsed="false">
      <c r="A873" s="21" t="s">
        <v>2088</v>
      </c>
      <c r="B873" s="21" t="s">
        <v>391</v>
      </c>
      <c r="C873" s="21" t="s">
        <v>1180</v>
      </c>
      <c r="D873" s="21" t="s">
        <v>1188</v>
      </c>
      <c r="E873" s="33" t="n">
        <v>45326</v>
      </c>
      <c r="F873" s="21" t="s">
        <v>1178</v>
      </c>
      <c r="G873" s="32"/>
      <c r="H873" s="21"/>
      <c r="I873" s="33"/>
      <c r="J873" s="21" t="str">
        <f aca="false">INDEX(Students!$C$2:$C$601,MATCH(B873,Students!$A$2:$A$601,0))</f>
        <v>Batch 2024</v>
      </c>
      <c r="K873" s="21" t="str">
        <f aca="false">INDEX(Students!$D$2:$D$601,MATCH(B873,Students!$A$2:$A$601,0))</f>
        <v>Data Analytics</v>
      </c>
      <c r="L873" s="21" t="str">
        <f aca="false">INDEX(Companies!$C$2:$C$31,MATCH(C873,Companies!$A$2:$A$31,0))</f>
        <v>IT Services</v>
      </c>
      <c r="M873" s="21" t="str">
        <f aca="false">INDEX(Companies!$D$2:$D$31,MATCH(C873,Companies!$A$2:$A$31,0))</f>
        <v>Tier 3</v>
      </c>
      <c r="N873" s="34" t="n">
        <f aca="false">MATCH(F873,Assumptions!$K$4:$K$8,0)</f>
        <v>2</v>
      </c>
      <c r="O873" s="21" t="str">
        <f aca="false">IF(H873="Yes",MONTH(I873),"")</f>
        <v/>
      </c>
      <c r="P873" s="21" t="str">
        <f aca="false">IF(H873="Yes",B873,"")</f>
        <v/>
      </c>
    </row>
    <row r="874" customFormat="false" ht="15" hidden="false" customHeight="false" outlineLevel="0" collapsed="false">
      <c r="A874" s="21" t="s">
        <v>2089</v>
      </c>
      <c r="B874" s="21" t="s">
        <v>147</v>
      </c>
      <c r="C874" s="21" t="s">
        <v>1275</v>
      </c>
      <c r="D874" s="21" t="s">
        <v>1191</v>
      </c>
      <c r="E874" s="33" t="n">
        <v>45327</v>
      </c>
      <c r="F874" s="21" t="s">
        <v>1178</v>
      </c>
      <c r="G874" s="32"/>
      <c r="H874" s="21"/>
      <c r="I874" s="33"/>
      <c r="J874" s="21" t="str">
        <f aca="false">INDEX(Students!$C$2:$C$601,MATCH(B874,Students!$A$2:$A$601,0))</f>
        <v>Batch 2024</v>
      </c>
      <c r="K874" s="21" t="str">
        <f aca="false">INDEX(Students!$D$2:$D$601,MATCH(B874,Students!$A$2:$A$601,0))</f>
        <v>DSA with Java</v>
      </c>
      <c r="L874" s="21" t="str">
        <f aca="false">INDEX(Companies!$C$2:$C$31,MATCH(C874,Companies!$A$2:$A$31,0))</f>
        <v>Cybersecurity</v>
      </c>
      <c r="M874" s="21" t="str">
        <f aca="false">INDEX(Companies!$D$2:$D$31,MATCH(C874,Companies!$A$2:$A$31,0))</f>
        <v>Tier 2</v>
      </c>
      <c r="N874" s="34" t="n">
        <f aca="false">MATCH(F874,Assumptions!$K$4:$K$8,0)</f>
        <v>2</v>
      </c>
      <c r="O874" s="21" t="str">
        <f aca="false">IF(H874="Yes",MONTH(I874),"")</f>
        <v/>
      </c>
      <c r="P874" s="21" t="str">
        <f aca="false">IF(H874="Yes",B874,"")</f>
        <v/>
      </c>
    </row>
    <row r="875" customFormat="false" ht="15" hidden="false" customHeight="false" outlineLevel="0" collapsed="false">
      <c r="A875" s="21" t="s">
        <v>2090</v>
      </c>
      <c r="B875" s="21" t="s">
        <v>291</v>
      </c>
      <c r="C875" s="21" t="s">
        <v>1201</v>
      </c>
      <c r="D875" s="21" t="s">
        <v>1174</v>
      </c>
      <c r="E875" s="33" t="n">
        <v>45327</v>
      </c>
      <c r="F875" s="21" t="s">
        <v>1178</v>
      </c>
      <c r="G875" s="32"/>
      <c r="H875" s="21"/>
      <c r="I875" s="33"/>
      <c r="J875" s="21" t="str">
        <f aca="false">INDEX(Students!$C$2:$C$601,MATCH(B875,Students!$A$2:$A$601,0))</f>
        <v>Batch 2024</v>
      </c>
      <c r="K875" s="21" t="str">
        <f aca="false">INDEX(Students!$D$2:$D$601,MATCH(B875,Students!$A$2:$A$601,0))</f>
        <v>Full Stack Development</v>
      </c>
      <c r="L875" s="21" t="str">
        <f aca="false">INDEX(Companies!$C$2:$C$31,MATCH(C875,Companies!$A$2:$A$31,0))</f>
        <v>IT Services</v>
      </c>
      <c r="M875" s="21" t="str">
        <f aca="false">INDEX(Companies!$D$2:$D$31,MATCH(C875,Companies!$A$2:$A$31,0))</f>
        <v>Tier 3</v>
      </c>
      <c r="N875" s="34" t="n">
        <f aca="false">MATCH(F875,Assumptions!$K$4:$K$8,0)</f>
        <v>2</v>
      </c>
      <c r="O875" s="21" t="str">
        <f aca="false">IF(H875="Yes",MONTH(I875),"")</f>
        <v/>
      </c>
      <c r="P875" s="21" t="str">
        <f aca="false">IF(H875="Yes",B875,"")</f>
        <v/>
      </c>
    </row>
    <row r="876" customFormat="false" ht="15" hidden="false" customHeight="false" outlineLevel="0" collapsed="false">
      <c r="A876" s="21" t="s">
        <v>2091</v>
      </c>
      <c r="B876" s="21" t="s">
        <v>285</v>
      </c>
      <c r="C876" s="21" t="s">
        <v>1196</v>
      </c>
      <c r="D876" s="21" t="s">
        <v>1240</v>
      </c>
      <c r="E876" s="33" t="n">
        <v>45327</v>
      </c>
      <c r="F876" s="21" t="s">
        <v>1197</v>
      </c>
      <c r="G876" s="32"/>
      <c r="H876" s="21"/>
      <c r="I876" s="33"/>
      <c r="J876" s="21" t="str">
        <f aca="false">INDEX(Students!$C$2:$C$601,MATCH(B876,Students!$A$2:$A$601,0))</f>
        <v>Batch 2024</v>
      </c>
      <c r="K876" s="21" t="str">
        <f aca="false">INDEX(Students!$D$2:$D$601,MATCH(B876,Students!$A$2:$A$601,0))</f>
        <v>Cybersecurity</v>
      </c>
      <c r="L876" s="21" t="str">
        <f aca="false">INDEX(Companies!$C$2:$C$31,MATCH(C876,Companies!$A$2:$A$31,0))</f>
        <v>IT Services</v>
      </c>
      <c r="M876" s="21" t="str">
        <f aca="false">INDEX(Companies!$D$2:$D$31,MATCH(C876,Companies!$A$2:$A$31,0))</f>
        <v>Tier 3</v>
      </c>
      <c r="N876" s="34" t="n">
        <f aca="false">MATCH(F876,Assumptions!$K$4:$K$8,0)</f>
        <v>3</v>
      </c>
      <c r="O876" s="21" t="str">
        <f aca="false">IF(H876="Yes",MONTH(I876),"")</f>
        <v/>
      </c>
      <c r="P876" s="21" t="str">
        <f aca="false">IF(H876="Yes",B876,"")</f>
        <v/>
      </c>
    </row>
    <row r="877" customFormat="false" ht="15" hidden="false" customHeight="false" outlineLevel="0" collapsed="false">
      <c r="A877" s="21" t="s">
        <v>2092</v>
      </c>
      <c r="B877" s="21" t="s">
        <v>276</v>
      </c>
      <c r="C877" s="21" t="s">
        <v>1225</v>
      </c>
      <c r="D877" s="21" t="s">
        <v>1243</v>
      </c>
      <c r="E877" s="33" t="n">
        <v>45327</v>
      </c>
      <c r="F877" s="21" t="s">
        <v>1175</v>
      </c>
      <c r="G877" s="32"/>
      <c r="H877" s="21"/>
      <c r="I877" s="33"/>
      <c r="J877" s="21" t="str">
        <f aca="false">INDEX(Students!$C$2:$C$601,MATCH(B877,Students!$A$2:$A$601,0))</f>
        <v>Batch 2024</v>
      </c>
      <c r="K877" s="21" t="str">
        <f aca="false">INDEX(Students!$D$2:$D$601,MATCH(B877,Students!$A$2:$A$601,0))</f>
        <v>Data Science &amp; ML</v>
      </c>
      <c r="L877" s="21" t="str">
        <f aca="false">INDEX(Companies!$C$2:$C$31,MATCH(C877,Companies!$A$2:$A$31,0))</f>
        <v>EdTech</v>
      </c>
      <c r="M877" s="21" t="str">
        <f aca="false">INDEX(Companies!$D$2:$D$31,MATCH(C877,Companies!$A$2:$A$31,0))</f>
        <v>Tier 2</v>
      </c>
      <c r="N877" s="34" t="n">
        <f aca="false">MATCH(F877,Assumptions!$K$4:$K$8,0)</f>
        <v>1</v>
      </c>
      <c r="O877" s="21" t="str">
        <f aca="false">IF(H877="Yes",MONTH(I877),"")</f>
        <v/>
      </c>
      <c r="P877" s="21" t="str">
        <f aca="false">IF(H877="Yes",B877,"")</f>
        <v/>
      </c>
    </row>
    <row r="878" customFormat="false" ht="15" hidden="false" customHeight="false" outlineLevel="0" collapsed="false">
      <c r="A878" s="21" t="s">
        <v>2093</v>
      </c>
      <c r="B878" s="21" t="s">
        <v>163</v>
      </c>
      <c r="C878" s="21" t="s">
        <v>1180</v>
      </c>
      <c r="D878" s="21" t="s">
        <v>1184</v>
      </c>
      <c r="E878" s="33" t="n">
        <v>45327</v>
      </c>
      <c r="F878" s="21" t="s">
        <v>1178</v>
      </c>
      <c r="G878" s="32"/>
      <c r="H878" s="21"/>
      <c r="I878" s="33"/>
      <c r="J878" s="21" t="str">
        <f aca="false">INDEX(Students!$C$2:$C$601,MATCH(B878,Students!$A$2:$A$601,0))</f>
        <v>Batch 2024</v>
      </c>
      <c r="K878" s="21" t="str">
        <f aca="false">INDEX(Students!$D$2:$D$601,MATCH(B878,Students!$A$2:$A$601,0))</f>
        <v>DSA with Java</v>
      </c>
      <c r="L878" s="21" t="str">
        <f aca="false">INDEX(Companies!$C$2:$C$31,MATCH(C878,Companies!$A$2:$A$31,0))</f>
        <v>IT Services</v>
      </c>
      <c r="M878" s="21" t="str">
        <f aca="false">INDEX(Companies!$D$2:$D$31,MATCH(C878,Companies!$A$2:$A$31,0))</f>
        <v>Tier 3</v>
      </c>
      <c r="N878" s="34" t="n">
        <f aca="false">MATCH(F878,Assumptions!$K$4:$K$8,0)</f>
        <v>2</v>
      </c>
      <c r="O878" s="21" t="str">
        <f aca="false">IF(H878="Yes",MONTH(I878),"")</f>
        <v/>
      </c>
      <c r="P878" s="21" t="str">
        <f aca="false">IF(H878="Yes",B878,"")</f>
        <v/>
      </c>
    </row>
    <row r="879" customFormat="false" ht="15" hidden="false" customHeight="false" outlineLevel="0" collapsed="false">
      <c r="A879" s="21" t="s">
        <v>2094</v>
      </c>
      <c r="B879" s="21" t="s">
        <v>219</v>
      </c>
      <c r="C879" s="21" t="s">
        <v>1216</v>
      </c>
      <c r="D879" s="21" t="s">
        <v>1243</v>
      </c>
      <c r="E879" s="33" t="n">
        <v>45327</v>
      </c>
      <c r="F879" s="21" t="s">
        <v>1185</v>
      </c>
      <c r="G879" s="32" t="n">
        <v>5.7</v>
      </c>
      <c r="H879" s="21" t="s">
        <v>113</v>
      </c>
      <c r="I879" s="33" t="n">
        <v>45372</v>
      </c>
      <c r="J879" s="21" t="str">
        <f aca="false">INDEX(Students!$C$2:$C$601,MATCH(B879,Students!$A$2:$A$601,0))</f>
        <v>Batch 2024</v>
      </c>
      <c r="K879" s="21" t="str">
        <f aca="false">INDEX(Students!$D$2:$D$601,MATCH(B879,Students!$A$2:$A$601,0))</f>
        <v>Data Science &amp; ML</v>
      </c>
      <c r="L879" s="21" t="str">
        <f aca="false">INDEX(Companies!$C$2:$C$31,MATCH(C879,Companies!$A$2:$A$31,0))</f>
        <v>IT Services</v>
      </c>
      <c r="M879" s="21" t="str">
        <f aca="false">INDEX(Companies!$D$2:$D$31,MATCH(C879,Companies!$A$2:$A$31,0))</f>
        <v>Tier 3</v>
      </c>
      <c r="N879" s="34" t="n">
        <f aca="false">MATCH(F879,Assumptions!$K$4:$K$8,0)</f>
        <v>5</v>
      </c>
      <c r="O879" s="21" t="str">
        <f aca="false">IF(H879="Yes",MONTH(I879),"")</f>
        <v/>
      </c>
      <c r="P879" s="21" t="str">
        <f aca="false">IF(H879="Yes",B879,"")</f>
        <v/>
      </c>
    </row>
    <row r="880" customFormat="false" ht="15" hidden="false" customHeight="false" outlineLevel="0" collapsed="false">
      <c r="A880" s="21" t="s">
        <v>2095</v>
      </c>
      <c r="B880" s="21" t="s">
        <v>341</v>
      </c>
      <c r="C880" s="21" t="s">
        <v>1322</v>
      </c>
      <c r="D880" s="21" t="s">
        <v>1209</v>
      </c>
      <c r="E880" s="33" t="n">
        <v>45328</v>
      </c>
      <c r="F880" s="21" t="s">
        <v>1175</v>
      </c>
      <c r="G880" s="32"/>
      <c r="H880" s="21"/>
      <c r="I880" s="33"/>
      <c r="J880" s="21" t="str">
        <f aca="false">INDEX(Students!$C$2:$C$601,MATCH(B880,Students!$A$2:$A$601,0))</f>
        <v>Batch 2024</v>
      </c>
      <c r="K880" s="21" t="str">
        <f aca="false">INDEX(Students!$D$2:$D$601,MATCH(B880,Students!$A$2:$A$601,0))</f>
        <v>Data Analytics</v>
      </c>
      <c r="L880" s="21" t="str">
        <f aca="false">INDEX(Companies!$C$2:$C$31,MATCH(C880,Companies!$A$2:$A$31,0))</f>
        <v>Healthtech</v>
      </c>
      <c r="M880" s="21" t="str">
        <f aca="false">INDEX(Companies!$D$2:$D$31,MATCH(C880,Companies!$A$2:$A$31,0))</f>
        <v>Tier 2</v>
      </c>
      <c r="N880" s="34" t="n">
        <f aca="false">MATCH(F880,Assumptions!$K$4:$K$8,0)</f>
        <v>1</v>
      </c>
      <c r="O880" s="21" t="str">
        <f aca="false">IF(H880="Yes",MONTH(I880),"")</f>
        <v/>
      </c>
      <c r="P880" s="21" t="str">
        <f aca="false">IF(H880="Yes",B880,"")</f>
        <v/>
      </c>
    </row>
    <row r="881" customFormat="false" ht="15" hidden="false" customHeight="false" outlineLevel="0" collapsed="false">
      <c r="A881" s="21" t="s">
        <v>2096</v>
      </c>
      <c r="B881" s="21" t="s">
        <v>227</v>
      </c>
      <c r="C881" s="21" t="s">
        <v>1239</v>
      </c>
      <c r="D881" s="21" t="s">
        <v>1191</v>
      </c>
      <c r="E881" s="33" t="n">
        <v>45328</v>
      </c>
      <c r="F881" s="21" t="s">
        <v>1197</v>
      </c>
      <c r="G881" s="32"/>
      <c r="H881" s="21"/>
      <c r="I881" s="33"/>
      <c r="J881" s="21" t="str">
        <f aca="false">INDEX(Students!$C$2:$C$601,MATCH(B881,Students!$A$2:$A$601,0))</f>
        <v>Batch 2024</v>
      </c>
      <c r="K881" s="21" t="str">
        <f aca="false">INDEX(Students!$D$2:$D$601,MATCH(B881,Students!$A$2:$A$601,0))</f>
        <v>DSA with Java</v>
      </c>
      <c r="L881" s="21" t="str">
        <f aca="false">INDEX(Companies!$C$2:$C$31,MATCH(C881,Companies!$A$2:$A$31,0))</f>
        <v>E-commerce</v>
      </c>
      <c r="M881" s="21" t="str">
        <f aca="false">INDEX(Companies!$D$2:$D$31,MATCH(C881,Companies!$A$2:$A$31,0))</f>
        <v>Tier 3</v>
      </c>
      <c r="N881" s="34" t="n">
        <f aca="false">MATCH(F881,Assumptions!$K$4:$K$8,0)</f>
        <v>3</v>
      </c>
      <c r="O881" s="21" t="str">
        <f aca="false">IF(H881="Yes",MONTH(I881),"")</f>
        <v/>
      </c>
      <c r="P881" s="21" t="str">
        <f aca="false">IF(H881="Yes",B881,"")</f>
        <v/>
      </c>
    </row>
    <row r="882" customFormat="false" ht="15" hidden="false" customHeight="false" outlineLevel="0" collapsed="false">
      <c r="A882" s="21" t="s">
        <v>2097</v>
      </c>
      <c r="B882" s="21" t="s">
        <v>424</v>
      </c>
      <c r="C882" s="21" t="s">
        <v>1322</v>
      </c>
      <c r="D882" s="21" t="s">
        <v>1194</v>
      </c>
      <c r="E882" s="33" t="n">
        <v>45328</v>
      </c>
      <c r="F882" s="21" t="s">
        <v>1197</v>
      </c>
      <c r="G882" s="32"/>
      <c r="H882" s="21"/>
      <c r="I882" s="33"/>
      <c r="J882" s="21" t="str">
        <f aca="false">INDEX(Students!$C$2:$C$601,MATCH(B882,Students!$A$2:$A$601,0))</f>
        <v>Batch 2024</v>
      </c>
      <c r="K882" s="21" t="str">
        <f aca="false">INDEX(Students!$D$2:$D$601,MATCH(B882,Students!$A$2:$A$601,0))</f>
        <v>Data Science &amp; ML</v>
      </c>
      <c r="L882" s="21" t="str">
        <f aca="false">INDEX(Companies!$C$2:$C$31,MATCH(C882,Companies!$A$2:$A$31,0))</f>
        <v>Healthtech</v>
      </c>
      <c r="M882" s="21" t="str">
        <f aca="false">INDEX(Companies!$D$2:$D$31,MATCH(C882,Companies!$A$2:$A$31,0))</f>
        <v>Tier 2</v>
      </c>
      <c r="N882" s="34" t="n">
        <f aca="false">MATCH(F882,Assumptions!$K$4:$K$8,0)</f>
        <v>3</v>
      </c>
      <c r="O882" s="21" t="str">
        <f aca="false">IF(H882="Yes",MONTH(I882),"")</f>
        <v/>
      </c>
      <c r="P882" s="21" t="str">
        <f aca="false">IF(H882="Yes",B882,"")</f>
        <v/>
      </c>
    </row>
    <row r="883" customFormat="false" ht="15" hidden="false" customHeight="false" outlineLevel="0" collapsed="false">
      <c r="A883" s="21" t="s">
        <v>2098</v>
      </c>
      <c r="B883" s="21" t="s">
        <v>123</v>
      </c>
      <c r="C883" s="21" t="s">
        <v>1228</v>
      </c>
      <c r="D883" s="21" t="s">
        <v>1209</v>
      </c>
      <c r="E883" s="33" t="n">
        <v>45328</v>
      </c>
      <c r="F883" s="21" t="s">
        <v>1175</v>
      </c>
      <c r="G883" s="32"/>
      <c r="H883" s="21"/>
      <c r="I883" s="33"/>
      <c r="J883" s="21" t="str">
        <f aca="false">INDEX(Students!$C$2:$C$601,MATCH(B883,Students!$A$2:$A$601,0))</f>
        <v>Batch 2024</v>
      </c>
      <c r="K883" s="21" t="str">
        <f aca="false">INDEX(Students!$D$2:$D$601,MATCH(B883,Students!$A$2:$A$601,0))</f>
        <v>Data Analytics</v>
      </c>
      <c r="L883" s="21" t="str">
        <f aca="false">INDEX(Companies!$C$2:$C$31,MATCH(C883,Companies!$A$2:$A$31,0))</f>
        <v>Fintech</v>
      </c>
      <c r="M883" s="21" t="str">
        <f aca="false">INDEX(Companies!$D$2:$D$31,MATCH(C883,Companies!$A$2:$A$31,0))</f>
        <v>Tier 1</v>
      </c>
      <c r="N883" s="34" t="n">
        <f aca="false">MATCH(F883,Assumptions!$K$4:$K$8,0)</f>
        <v>1</v>
      </c>
      <c r="O883" s="21" t="str">
        <f aca="false">IF(H883="Yes",MONTH(I883),"")</f>
        <v/>
      </c>
      <c r="P883" s="21" t="str">
        <f aca="false">IF(H883="Yes",B883,"")</f>
        <v/>
      </c>
    </row>
    <row r="884" customFormat="false" ht="15" hidden="false" customHeight="false" outlineLevel="0" collapsed="false">
      <c r="A884" s="21" t="s">
        <v>2099</v>
      </c>
      <c r="B884" s="21" t="s">
        <v>440</v>
      </c>
      <c r="C884" s="21" t="s">
        <v>1230</v>
      </c>
      <c r="D884" s="21" t="s">
        <v>1174</v>
      </c>
      <c r="E884" s="33" t="n">
        <v>45328</v>
      </c>
      <c r="F884" s="21" t="s">
        <v>1185</v>
      </c>
      <c r="G884" s="32" t="n">
        <v>5.8</v>
      </c>
      <c r="H884" s="21" t="s">
        <v>120</v>
      </c>
      <c r="I884" s="33" t="n">
        <v>45369</v>
      </c>
      <c r="J884" s="21" t="str">
        <f aca="false">INDEX(Students!$C$2:$C$601,MATCH(B884,Students!$A$2:$A$601,0))</f>
        <v>Batch 2024</v>
      </c>
      <c r="K884" s="21" t="str">
        <f aca="false">INDEX(Students!$D$2:$D$601,MATCH(B884,Students!$A$2:$A$601,0))</f>
        <v>Full Stack Development</v>
      </c>
      <c r="L884" s="21" t="str">
        <f aca="false">INDEX(Companies!$C$2:$C$31,MATCH(C884,Companies!$A$2:$A$31,0))</f>
        <v>IT Services</v>
      </c>
      <c r="M884" s="21" t="str">
        <f aca="false">INDEX(Companies!$D$2:$D$31,MATCH(C884,Companies!$A$2:$A$31,0))</f>
        <v>Tier 3</v>
      </c>
      <c r="N884" s="34" t="n">
        <f aca="false">MATCH(F884,Assumptions!$K$4:$K$8,0)</f>
        <v>5</v>
      </c>
      <c r="O884" s="21" t="n">
        <f aca="false">IF(H884="Yes",MONTH(I884),"")</f>
        <v>3</v>
      </c>
      <c r="P884" s="21" t="str">
        <f aca="false">IF(H884="Yes",B884,"")</f>
        <v>S0172</v>
      </c>
    </row>
    <row r="885" customFormat="false" ht="15" hidden="false" customHeight="false" outlineLevel="0" collapsed="false">
      <c r="A885" s="21" t="s">
        <v>2100</v>
      </c>
      <c r="B885" s="21" t="s">
        <v>207</v>
      </c>
      <c r="C885" s="21" t="s">
        <v>1211</v>
      </c>
      <c r="D885" s="21" t="s">
        <v>1188</v>
      </c>
      <c r="E885" s="33" t="n">
        <v>45328</v>
      </c>
      <c r="F885" s="21" t="s">
        <v>1175</v>
      </c>
      <c r="G885" s="32"/>
      <c r="H885" s="21"/>
      <c r="I885" s="33"/>
      <c r="J885" s="21" t="str">
        <f aca="false">INDEX(Students!$C$2:$C$601,MATCH(B885,Students!$A$2:$A$601,0))</f>
        <v>Batch 2024</v>
      </c>
      <c r="K885" s="21" t="str">
        <f aca="false">INDEX(Students!$D$2:$D$601,MATCH(B885,Students!$A$2:$A$601,0))</f>
        <v>Data Analytics</v>
      </c>
      <c r="L885" s="21" t="str">
        <f aca="false">INDEX(Companies!$C$2:$C$31,MATCH(C885,Companies!$A$2:$A$31,0))</f>
        <v>Analytics &amp; Consulting</v>
      </c>
      <c r="M885" s="21" t="str">
        <f aca="false">INDEX(Companies!$D$2:$D$31,MATCH(C885,Companies!$A$2:$A$31,0))</f>
        <v>Tier 3</v>
      </c>
      <c r="N885" s="34" t="n">
        <f aca="false">MATCH(F885,Assumptions!$K$4:$K$8,0)</f>
        <v>1</v>
      </c>
      <c r="O885" s="21" t="str">
        <f aca="false">IF(H885="Yes",MONTH(I885),"")</f>
        <v/>
      </c>
      <c r="P885" s="21" t="str">
        <f aca="false">IF(H885="Yes",B885,"")</f>
        <v/>
      </c>
    </row>
    <row r="886" customFormat="false" ht="15" hidden="false" customHeight="false" outlineLevel="0" collapsed="false">
      <c r="A886" s="21" t="s">
        <v>2101</v>
      </c>
      <c r="B886" s="21" t="s">
        <v>344</v>
      </c>
      <c r="C886" s="21" t="s">
        <v>1239</v>
      </c>
      <c r="D886" s="21" t="s">
        <v>1181</v>
      </c>
      <c r="E886" s="33" t="n">
        <v>45328</v>
      </c>
      <c r="F886" s="21" t="s">
        <v>1185</v>
      </c>
      <c r="G886" s="32" t="n">
        <v>5.8</v>
      </c>
      <c r="H886" s="21" t="s">
        <v>113</v>
      </c>
      <c r="I886" s="33" t="n">
        <v>45352</v>
      </c>
      <c r="J886" s="21" t="str">
        <f aca="false">INDEX(Students!$C$2:$C$601,MATCH(B886,Students!$A$2:$A$601,0))</f>
        <v>Batch 2024</v>
      </c>
      <c r="K886" s="21" t="str">
        <f aca="false">INDEX(Students!$D$2:$D$601,MATCH(B886,Students!$A$2:$A$601,0))</f>
        <v>Full Stack Development</v>
      </c>
      <c r="L886" s="21" t="str">
        <f aca="false">INDEX(Companies!$C$2:$C$31,MATCH(C886,Companies!$A$2:$A$31,0))</f>
        <v>E-commerce</v>
      </c>
      <c r="M886" s="21" t="str">
        <f aca="false">INDEX(Companies!$D$2:$D$31,MATCH(C886,Companies!$A$2:$A$31,0))</f>
        <v>Tier 3</v>
      </c>
      <c r="N886" s="34" t="n">
        <f aca="false">MATCH(F886,Assumptions!$K$4:$K$8,0)</f>
        <v>5</v>
      </c>
      <c r="O886" s="21" t="str">
        <f aca="false">IF(H886="Yes",MONTH(I886),"")</f>
        <v/>
      </c>
      <c r="P886" s="21" t="str">
        <f aca="false">IF(H886="Yes",B886,"")</f>
        <v/>
      </c>
    </row>
    <row r="887" customFormat="false" ht="15" hidden="false" customHeight="false" outlineLevel="0" collapsed="false">
      <c r="A887" s="21" t="s">
        <v>2102</v>
      </c>
      <c r="B887" s="21" t="s">
        <v>276</v>
      </c>
      <c r="C887" s="21" t="s">
        <v>1228</v>
      </c>
      <c r="D887" s="21" t="s">
        <v>1243</v>
      </c>
      <c r="E887" s="33" t="n">
        <v>45329</v>
      </c>
      <c r="F887" s="21" t="s">
        <v>1197</v>
      </c>
      <c r="G887" s="32"/>
      <c r="H887" s="21"/>
      <c r="I887" s="33"/>
      <c r="J887" s="21" t="str">
        <f aca="false">INDEX(Students!$C$2:$C$601,MATCH(B887,Students!$A$2:$A$601,0))</f>
        <v>Batch 2024</v>
      </c>
      <c r="K887" s="21" t="str">
        <f aca="false">INDEX(Students!$D$2:$D$601,MATCH(B887,Students!$A$2:$A$601,0))</f>
        <v>Data Science &amp; ML</v>
      </c>
      <c r="L887" s="21" t="str">
        <f aca="false">INDEX(Companies!$C$2:$C$31,MATCH(C887,Companies!$A$2:$A$31,0))</f>
        <v>Fintech</v>
      </c>
      <c r="M887" s="21" t="str">
        <f aca="false">INDEX(Companies!$D$2:$D$31,MATCH(C887,Companies!$A$2:$A$31,0))</f>
        <v>Tier 1</v>
      </c>
      <c r="N887" s="34" t="n">
        <f aca="false">MATCH(F887,Assumptions!$K$4:$K$8,0)</f>
        <v>3</v>
      </c>
      <c r="O887" s="21" t="str">
        <f aca="false">IF(H887="Yes",MONTH(I887),"")</f>
        <v/>
      </c>
      <c r="P887" s="21" t="str">
        <f aca="false">IF(H887="Yes",B887,"")</f>
        <v/>
      </c>
    </row>
    <row r="888" customFormat="false" ht="15" hidden="false" customHeight="false" outlineLevel="0" collapsed="false">
      <c r="A888" s="21" t="s">
        <v>2103</v>
      </c>
      <c r="B888" s="21" t="s">
        <v>438</v>
      </c>
      <c r="C888" s="21" t="s">
        <v>1177</v>
      </c>
      <c r="D888" s="21" t="s">
        <v>1226</v>
      </c>
      <c r="E888" s="33" t="n">
        <v>45329</v>
      </c>
      <c r="F888" s="21" t="s">
        <v>1218</v>
      </c>
      <c r="G888" s="32"/>
      <c r="H888" s="21"/>
      <c r="I888" s="33"/>
      <c r="J888" s="21" t="str">
        <f aca="false">INDEX(Students!$C$2:$C$601,MATCH(B888,Students!$A$2:$A$601,0))</f>
        <v>Batch 2024</v>
      </c>
      <c r="K888" s="21" t="str">
        <f aca="false">INDEX(Students!$D$2:$D$601,MATCH(B888,Students!$A$2:$A$601,0))</f>
        <v>Cybersecurity</v>
      </c>
      <c r="L888" s="21" t="str">
        <f aca="false">INDEX(Companies!$C$2:$C$31,MATCH(C888,Companies!$A$2:$A$31,0))</f>
        <v>IT Services</v>
      </c>
      <c r="M888" s="21" t="str">
        <f aca="false">INDEX(Companies!$D$2:$D$31,MATCH(C888,Companies!$A$2:$A$31,0))</f>
        <v>Tier 3</v>
      </c>
      <c r="N888" s="34" t="n">
        <f aca="false">MATCH(F888,Assumptions!$K$4:$K$8,0)</f>
        <v>4</v>
      </c>
      <c r="O888" s="21" t="str">
        <f aca="false">IF(H888="Yes",MONTH(I888),"")</f>
        <v/>
      </c>
      <c r="P888" s="21" t="str">
        <f aca="false">IF(H888="Yes",B888,"")</f>
        <v/>
      </c>
    </row>
    <row r="889" customFormat="false" ht="15" hidden="false" customHeight="false" outlineLevel="0" collapsed="false">
      <c r="A889" s="21" t="s">
        <v>2104</v>
      </c>
      <c r="B889" s="21" t="s">
        <v>243</v>
      </c>
      <c r="C889" s="21" t="s">
        <v>1222</v>
      </c>
      <c r="D889" s="21" t="s">
        <v>1194</v>
      </c>
      <c r="E889" s="33" t="n">
        <v>45329</v>
      </c>
      <c r="F889" s="21" t="s">
        <v>1197</v>
      </c>
      <c r="G889" s="32"/>
      <c r="H889" s="21"/>
      <c r="I889" s="33"/>
      <c r="J889" s="21" t="str">
        <f aca="false">INDEX(Students!$C$2:$C$601,MATCH(B889,Students!$A$2:$A$601,0))</f>
        <v>Batch 2024</v>
      </c>
      <c r="K889" s="21" t="str">
        <f aca="false">INDEX(Students!$D$2:$D$601,MATCH(B889,Students!$A$2:$A$601,0))</f>
        <v>Data Science &amp; ML</v>
      </c>
      <c r="L889" s="21" t="str">
        <f aca="false">INDEX(Companies!$C$2:$C$31,MATCH(C889,Companies!$A$2:$A$31,0))</f>
        <v>Product</v>
      </c>
      <c r="M889" s="21" t="str">
        <f aca="false">INDEX(Companies!$D$2:$D$31,MATCH(C889,Companies!$A$2:$A$31,0))</f>
        <v>Tier 2</v>
      </c>
      <c r="N889" s="34" t="n">
        <f aca="false">MATCH(F889,Assumptions!$K$4:$K$8,0)</f>
        <v>3</v>
      </c>
      <c r="O889" s="21" t="str">
        <f aca="false">IF(H889="Yes",MONTH(I889),"")</f>
        <v/>
      </c>
      <c r="P889" s="21" t="str">
        <f aca="false">IF(H889="Yes",B889,"")</f>
        <v/>
      </c>
    </row>
    <row r="890" customFormat="false" ht="15" hidden="false" customHeight="false" outlineLevel="0" collapsed="false">
      <c r="A890" s="21" t="s">
        <v>2105</v>
      </c>
      <c r="B890" s="21" t="s">
        <v>402</v>
      </c>
      <c r="C890" s="21" t="s">
        <v>1222</v>
      </c>
      <c r="D890" s="21" t="s">
        <v>1181</v>
      </c>
      <c r="E890" s="33" t="n">
        <v>45329</v>
      </c>
      <c r="F890" s="21" t="s">
        <v>1197</v>
      </c>
      <c r="G890" s="32"/>
      <c r="H890" s="21"/>
      <c r="I890" s="33"/>
      <c r="J890" s="21" t="str">
        <f aca="false">INDEX(Students!$C$2:$C$601,MATCH(B890,Students!$A$2:$A$601,0))</f>
        <v>Batch 2024</v>
      </c>
      <c r="K890" s="21" t="str">
        <f aca="false">INDEX(Students!$D$2:$D$601,MATCH(B890,Students!$A$2:$A$601,0))</f>
        <v>Full Stack Development</v>
      </c>
      <c r="L890" s="21" t="str">
        <f aca="false">INDEX(Companies!$C$2:$C$31,MATCH(C890,Companies!$A$2:$A$31,0))</f>
        <v>Product</v>
      </c>
      <c r="M890" s="21" t="str">
        <f aca="false">INDEX(Companies!$D$2:$D$31,MATCH(C890,Companies!$A$2:$A$31,0))</f>
        <v>Tier 2</v>
      </c>
      <c r="N890" s="34" t="n">
        <f aca="false">MATCH(F890,Assumptions!$K$4:$K$8,0)</f>
        <v>3</v>
      </c>
      <c r="O890" s="21" t="str">
        <f aca="false">IF(H890="Yes",MONTH(I890),"")</f>
        <v/>
      </c>
      <c r="P890" s="21" t="str">
        <f aca="false">IF(H890="Yes",B890,"")</f>
        <v/>
      </c>
    </row>
    <row r="891" customFormat="false" ht="15" hidden="false" customHeight="false" outlineLevel="0" collapsed="false">
      <c r="A891" s="21" t="s">
        <v>2106</v>
      </c>
      <c r="B891" s="21" t="s">
        <v>364</v>
      </c>
      <c r="C891" s="21" t="s">
        <v>1234</v>
      </c>
      <c r="D891" s="21" t="s">
        <v>1191</v>
      </c>
      <c r="E891" s="33" t="n">
        <v>45330</v>
      </c>
      <c r="F891" s="21" t="s">
        <v>1185</v>
      </c>
      <c r="G891" s="32" t="n">
        <v>6</v>
      </c>
      <c r="H891" s="21" t="s">
        <v>113</v>
      </c>
      <c r="I891" s="33" t="n">
        <v>45354</v>
      </c>
      <c r="J891" s="21" t="str">
        <f aca="false">INDEX(Students!$C$2:$C$601,MATCH(B891,Students!$A$2:$A$601,0))</f>
        <v>Batch 2024</v>
      </c>
      <c r="K891" s="21" t="str">
        <f aca="false">INDEX(Students!$D$2:$D$601,MATCH(B891,Students!$A$2:$A$601,0))</f>
        <v>DSA with Java</v>
      </c>
      <c r="L891" s="21" t="str">
        <f aca="false">INDEX(Companies!$C$2:$C$31,MATCH(C891,Companies!$A$2:$A$31,0))</f>
        <v>EdTech</v>
      </c>
      <c r="M891" s="21" t="str">
        <f aca="false">INDEX(Companies!$D$2:$D$31,MATCH(C891,Companies!$A$2:$A$31,0))</f>
        <v>Tier 3</v>
      </c>
      <c r="N891" s="34" t="n">
        <f aca="false">MATCH(F891,Assumptions!$K$4:$K$8,0)</f>
        <v>5</v>
      </c>
      <c r="O891" s="21" t="str">
        <f aca="false">IF(H891="Yes",MONTH(I891),"")</f>
        <v/>
      </c>
      <c r="P891" s="21" t="str">
        <f aca="false">IF(H891="Yes",B891,"")</f>
        <v/>
      </c>
    </row>
    <row r="892" customFormat="false" ht="15" hidden="false" customHeight="false" outlineLevel="0" collapsed="false">
      <c r="A892" s="21" t="s">
        <v>2107</v>
      </c>
      <c r="B892" s="21" t="s">
        <v>211</v>
      </c>
      <c r="C892" s="21" t="s">
        <v>1263</v>
      </c>
      <c r="D892" s="21" t="s">
        <v>1226</v>
      </c>
      <c r="E892" s="33" t="n">
        <v>45330</v>
      </c>
      <c r="F892" s="21" t="s">
        <v>1185</v>
      </c>
      <c r="G892" s="32" t="n">
        <v>13.1</v>
      </c>
      <c r="H892" s="21" t="s">
        <v>120</v>
      </c>
      <c r="I892" s="33" t="n">
        <v>45370</v>
      </c>
      <c r="J892" s="21" t="str">
        <f aca="false">INDEX(Students!$C$2:$C$601,MATCH(B892,Students!$A$2:$A$601,0))</f>
        <v>Batch 2024</v>
      </c>
      <c r="K892" s="21" t="str">
        <f aca="false">INDEX(Students!$D$2:$D$601,MATCH(B892,Students!$A$2:$A$601,0))</f>
        <v>Cybersecurity</v>
      </c>
      <c r="L892" s="21" t="str">
        <f aca="false">INDEX(Companies!$C$2:$C$31,MATCH(C892,Companies!$A$2:$A$31,0))</f>
        <v>Analytics &amp; Consulting</v>
      </c>
      <c r="M892" s="21" t="str">
        <f aca="false">INDEX(Companies!$D$2:$D$31,MATCH(C892,Companies!$A$2:$A$31,0))</f>
        <v>Tier 2</v>
      </c>
      <c r="N892" s="34" t="n">
        <f aca="false">MATCH(F892,Assumptions!$K$4:$K$8,0)</f>
        <v>5</v>
      </c>
      <c r="O892" s="21" t="n">
        <f aca="false">IF(H892="Yes",MONTH(I892),"")</f>
        <v>3</v>
      </c>
      <c r="P892" s="21" t="str">
        <f aca="false">IF(H892="Yes",B892,"")</f>
        <v>S0050</v>
      </c>
    </row>
    <row r="893" customFormat="false" ht="15" hidden="false" customHeight="false" outlineLevel="0" collapsed="false">
      <c r="A893" s="21" t="s">
        <v>2108</v>
      </c>
      <c r="B893" s="21" t="s">
        <v>125</v>
      </c>
      <c r="C893" s="21" t="s">
        <v>1196</v>
      </c>
      <c r="D893" s="21" t="s">
        <v>1194</v>
      </c>
      <c r="E893" s="33" t="n">
        <v>45330</v>
      </c>
      <c r="F893" s="21" t="s">
        <v>1175</v>
      </c>
      <c r="G893" s="32"/>
      <c r="H893" s="21"/>
      <c r="I893" s="33"/>
      <c r="J893" s="21" t="str">
        <f aca="false">INDEX(Students!$C$2:$C$601,MATCH(B893,Students!$A$2:$A$601,0))</f>
        <v>Batch 2024</v>
      </c>
      <c r="K893" s="21" t="str">
        <f aca="false">INDEX(Students!$D$2:$D$601,MATCH(B893,Students!$A$2:$A$601,0))</f>
        <v>Data Science &amp; ML</v>
      </c>
      <c r="L893" s="21" t="str">
        <f aca="false">INDEX(Companies!$C$2:$C$31,MATCH(C893,Companies!$A$2:$A$31,0))</f>
        <v>IT Services</v>
      </c>
      <c r="M893" s="21" t="str">
        <f aca="false">INDEX(Companies!$D$2:$D$31,MATCH(C893,Companies!$A$2:$A$31,0))</f>
        <v>Tier 3</v>
      </c>
      <c r="N893" s="34" t="n">
        <f aca="false">MATCH(F893,Assumptions!$K$4:$K$8,0)</f>
        <v>1</v>
      </c>
      <c r="O893" s="21" t="str">
        <f aca="false">IF(H893="Yes",MONTH(I893),"")</f>
        <v/>
      </c>
      <c r="P893" s="21" t="str">
        <f aca="false">IF(H893="Yes",B893,"")</f>
        <v/>
      </c>
    </row>
    <row r="894" customFormat="false" ht="15" hidden="false" customHeight="false" outlineLevel="0" collapsed="false">
      <c r="A894" s="21" t="s">
        <v>2109</v>
      </c>
      <c r="B894" s="21" t="s">
        <v>274</v>
      </c>
      <c r="C894" s="21" t="s">
        <v>1228</v>
      </c>
      <c r="D894" s="21" t="s">
        <v>1191</v>
      </c>
      <c r="E894" s="33" t="n">
        <v>45331</v>
      </c>
      <c r="F894" s="21" t="s">
        <v>1178</v>
      </c>
      <c r="G894" s="32"/>
      <c r="H894" s="21"/>
      <c r="I894" s="33"/>
      <c r="J894" s="21" t="str">
        <f aca="false">INDEX(Students!$C$2:$C$601,MATCH(B894,Students!$A$2:$A$601,0))</f>
        <v>Batch 2024</v>
      </c>
      <c r="K894" s="21" t="str">
        <f aca="false">INDEX(Students!$D$2:$D$601,MATCH(B894,Students!$A$2:$A$601,0))</f>
        <v>DSA with Java</v>
      </c>
      <c r="L894" s="21" t="str">
        <f aca="false">INDEX(Companies!$C$2:$C$31,MATCH(C894,Companies!$A$2:$A$31,0))</f>
        <v>Fintech</v>
      </c>
      <c r="M894" s="21" t="str">
        <f aca="false">INDEX(Companies!$D$2:$D$31,MATCH(C894,Companies!$A$2:$A$31,0))</f>
        <v>Tier 1</v>
      </c>
      <c r="N894" s="34" t="n">
        <f aca="false">MATCH(F894,Assumptions!$K$4:$K$8,0)</f>
        <v>2</v>
      </c>
      <c r="O894" s="21" t="str">
        <f aca="false">IF(H894="Yes",MONTH(I894),"")</f>
        <v/>
      </c>
      <c r="P894" s="21" t="str">
        <f aca="false">IF(H894="Yes",B894,"")</f>
        <v/>
      </c>
    </row>
    <row r="895" customFormat="false" ht="15" hidden="false" customHeight="false" outlineLevel="0" collapsed="false">
      <c r="A895" s="21" t="s">
        <v>2110</v>
      </c>
      <c r="B895" s="21" t="s">
        <v>230</v>
      </c>
      <c r="C895" s="21" t="s">
        <v>1211</v>
      </c>
      <c r="D895" s="21" t="s">
        <v>1181</v>
      </c>
      <c r="E895" s="33" t="n">
        <v>45331</v>
      </c>
      <c r="F895" s="21" t="s">
        <v>1178</v>
      </c>
      <c r="G895" s="32"/>
      <c r="H895" s="21"/>
      <c r="I895" s="33"/>
      <c r="J895" s="21" t="str">
        <f aca="false">INDEX(Students!$C$2:$C$601,MATCH(B895,Students!$A$2:$A$601,0))</f>
        <v>Batch 2024</v>
      </c>
      <c r="K895" s="21" t="str">
        <f aca="false">INDEX(Students!$D$2:$D$601,MATCH(B895,Students!$A$2:$A$601,0))</f>
        <v>Full Stack Development</v>
      </c>
      <c r="L895" s="21" t="str">
        <f aca="false">INDEX(Companies!$C$2:$C$31,MATCH(C895,Companies!$A$2:$A$31,0))</f>
        <v>Analytics &amp; Consulting</v>
      </c>
      <c r="M895" s="21" t="str">
        <f aca="false">INDEX(Companies!$D$2:$D$31,MATCH(C895,Companies!$A$2:$A$31,0))</f>
        <v>Tier 3</v>
      </c>
      <c r="N895" s="34" t="n">
        <f aca="false">MATCH(F895,Assumptions!$K$4:$K$8,0)</f>
        <v>2</v>
      </c>
      <c r="O895" s="21" t="str">
        <f aca="false">IF(H895="Yes",MONTH(I895),"")</f>
        <v/>
      </c>
      <c r="P895" s="21" t="str">
        <f aca="false">IF(H895="Yes",B895,"")</f>
        <v/>
      </c>
    </row>
    <row r="896" customFormat="false" ht="15" hidden="false" customHeight="false" outlineLevel="0" collapsed="false">
      <c r="A896" s="21" t="s">
        <v>2111</v>
      </c>
      <c r="B896" s="21" t="s">
        <v>311</v>
      </c>
      <c r="C896" s="21" t="s">
        <v>1199</v>
      </c>
      <c r="D896" s="21" t="s">
        <v>1174</v>
      </c>
      <c r="E896" s="33" t="n">
        <v>45332</v>
      </c>
      <c r="F896" s="21" t="s">
        <v>1185</v>
      </c>
      <c r="G896" s="32" t="n">
        <v>9.2</v>
      </c>
      <c r="H896" s="21" t="s">
        <v>113</v>
      </c>
      <c r="I896" s="33" t="n">
        <v>45371</v>
      </c>
      <c r="J896" s="21" t="str">
        <f aca="false">INDEX(Students!$C$2:$C$601,MATCH(B896,Students!$A$2:$A$601,0))</f>
        <v>Batch 2024</v>
      </c>
      <c r="K896" s="21" t="str">
        <f aca="false">INDEX(Students!$D$2:$D$601,MATCH(B896,Students!$A$2:$A$601,0))</f>
        <v>Full Stack Development</v>
      </c>
      <c r="L896" s="21" t="str">
        <f aca="false">INDEX(Companies!$C$2:$C$31,MATCH(C896,Companies!$A$2:$A$31,0))</f>
        <v>E-commerce</v>
      </c>
      <c r="M896" s="21" t="str">
        <f aca="false">INDEX(Companies!$D$2:$D$31,MATCH(C896,Companies!$A$2:$A$31,0))</f>
        <v>Tier 2</v>
      </c>
      <c r="N896" s="34" t="n">
        <f aca="false">MATCH(F896,Assumptions!$K$4:$K$8,0)</f>
        <v>5</v>
      </c>
      <c r="O896" s="21" t="str">
        <f aca="false">IF(H896="Yes",MONTH(I896),"")</f>
        <v/>
      </c>
      <c r="P896" s="21" t="str">
        <f aca="false">IF(H896="Yes",B896,"")</f>
        <v/>
      </c>
    </row>
    <row r="897" customFormat="false" ht="15" hidden="false" customHeight="false" outlineLevel="0" collapsed="false">
      <c r="A897" s="21" t="s">
        <v>2112</v>
      </c>
      <c r="B897" s="21" t="s">
        <v>315</v>
      </c>
      <c r="C897" s="21" t="s">
        <v>1203</v>
      </c>
      <c r="D897" s="21" t="s">
        <v>1181</v>
      </c>
      <c r="E897" s="33" t="n">
        <v>45332</v>
      </c>
      <c r="F897" s="21" t="s">
        <v>1218</v>
      </c>
      <c r="G897" s="32"/>
      <c r="H897" s="21"/>
      <c r="I897" s="33"/>
      <c r="J897" s="21" t="str">
        <f aca="false">INDEX(Students!$C$2:$C$601,MATCH(B897,Students!$A$2:$A$601,0))</f>
        <v>Batch 2024</v>
      </c>
      <c r="K897" s="21" t="str">
        <f aca="false">INDEX(Students!$D$2:$D$601,MATCH(B897,Students!$A$2:$A$601,0))</f>
        <v>Full Stack Development</v>
      </c>
      <c r="L897" s="21" t="str">
        <f aca="false">INDEX(Companies!$C$2:$C$31,MATCH(C897,Companies!$A$2:$A$31,0))</f>
        <v>Healthtech</v>
      </c>
      <c r="M897" s="21" t="str">
        <f aca="false">INDEX(Companies!$D$2:$D$31,MATCH(C897,Companies!$A$2:$A$31,0))</f>
        <v>Tier 2</v>
      </c>
      <c r="N897" s="34" t="n">
        <f aca="false">MATCH(F897,Assumptions!$K$4:$K$8,0)</f>
        <v>4</v>
      </c>
      <c r="O897" s="21" t="str">
        <f aca="false">IF(H897="Yes",MONTH(I897),"")</f>
        <v/>
      </c>
      <c r="P897" s="21" t="str">
        <f aca="false">IF(H897="Yes",B897,"")</f>
        <v/>
      </c>
    </row>
    <row r="898" customFormat="false" ht="15" hidden="false" customHeight="false" outlineLevel="0" collapsed="false">
      <c r="A898" s="21" t="s">
        <v>2113</v>
      </c>
      <c r="B898" s="21" t="s">
        <v>376</v>
      </c>
      <c r="C898" s="21" t="s">
        <v>1180</v>
      </c>
      <c r="D898" s="21" t="s">
        <v>1209</v>
      </c>
      <c r="E898" s="33" t="n">
        <v>45332</v>
      </c>
      <c r="F898" s="21" t="s">
        <v>1175</v>
      </c>
      <c r="G898" s="32"/>
      <c r="H898" s="21"/>
      <c r="I898" s="33"/>
      <c r="J898" s="21" t="str">
        <f aca="false">INDEX(Students!$C$2:$C$601,MATCH(B898,Students!$A$2:$A$601,0))</f>
        <v>Batch 2024</v>
      </c>
      <c r="K898" s="21" t="str">
        <f aca="false">INDEX(Students!$D$2:$D$601,MATCH(B898,Students!$A$2:$A$601,0))</f>
        <v>Data Analytics</v>
      </c>
      <c r="L898" s="21" t="str">
        <f aca="false">INDEX(Companies!$C$2:$C$31,MATCH(C898,Companies!$A$2:$A$31,0))</f>
        <v>IT Services</v>
      </c>
      <c r="M898" s="21" t="str">
        <f aca="false">INDEX(Companies!$D$2:$D$31,MATCH(C898,Companies!$A$2:$A$31,0))</f>
        <v>Tier 3</v>
      </c>
      <c r="N898" s="34" t="n">
        <f aca="false">MATCH(F898,Assumptions!$K$4:$K$8,0)</f>
        <v>1</v>
      </c>
      <c r="O898" s="21" t="str">
        <f aca="false">IF(H898="Yes",MONTH(I898),"")</f>
        <v/>
      </c>
      <c r="P898" s="21" t="str">
        <f aca="false">IF(H898="Yes",B898,"")</f>
        <v/>
      </c>
    </row>
    <row r="899" customFormat="false" ht="15" hidden="false" customHeight="false" outlineLevel="0" collapsed="false">
      <c r="A899" s="21" t="s">
        <v>2114</v>
      </c>
      <c r="B899" s="21" t="s">
        <v>350</v>
      </c>
      <c r="C899" s="21" t="s">
        <v>1234</v>
      </c>
      <c r="D899" s="21" t="s">
        <v>1209</v>
      </c>
      <c r="E899" s="33" t="n">
        <v>45333</v>
      </c>
      <c r="F899" s="21" t="s">
        <v>1175</v>
      </c>
      <c r="G899" s="32"/>
      <c r="H899" s="21"/>
      <c r="I899" s="33"/>
      <c r="J899" s="21" t="str">
        <f aca="false">INDEX(Students!$C$2:$C$601,MATCH(B899,Students!$A$2:$A$601,0))</f>
        <v>Batch 2024</v>
      </c>
      <c r="K899" s="21" t="str">
        <f aca="false">INDEX(Students!$D$2:$D$601,MATCH(B899,Students!$A$2:$A$601,0))</f>
        <v>Data Analytics</v>
      </c>
      <c r="L899" s="21" t="str">
        <f aca="false">INDEX(Companies!$C$2:$C$31,MATCH(C899,Companies!$A$2:$A$31,0))</f>
        <v>EdTech</v>
      </c>
      <c r="M899" s="21" t="str">
        <f aca="false">INDEX(Companies!$D$2:$D$31,MATCH(C899,Companies!$A$2:$A$31,0))</f>
        <v>Tier 3</v>
      </c>
      <c r="N899" s="34" t="n">
        <f aca="false">MATCH(F899,Assumptions!$K$4:$K$8,0)</f>
        <v>1</v>
      </c>
      <c r="O899" s="21" t="str">
        <f aca="false">IF(H899="Yes",MONTH(I899),"")</f>
        <v/>
      </c>
      <c r="P899" s="21" t="str">
        <f aca="false">IF(H899="Yes",B899,"")</f>
        <v/>
      </c>
    </row>
    <row r="900" customFormat="false" ht="15" hidden="false" customHeight="false" outlineLevel="0" collapsed="false">
      <c r="A900" s="21" t="s">
        <v>2115</v>
      </c>
      <c r="B900" s="21" t="s">
        <v>433</v>
      </c>
      <c r="C900" s="21" t="s">
        <v>1193</v>
      </c>
      <c r="D900" s="21" t="s">
        <v>1181</v>
      </c>
      <c r="E900" s="33" t="n">
        <v>45333</v>
      </c>
      <c r="F900" s="21" t="s">
        <v>1197</v>
      </c>
      <c r="G900" s="32"/>
      <c r="H900" s="21"/>
      <c r="I900" s="33"/>
      <c r="J900" s="21" t="str">
        <f aca="false">INDEX(Students!$C$2:$C$601,MATCH(B900,Students!$A$2:$A$601,0))</f>
        <v>Batch 2024</v>
      </c>
      <c r="K900" s="21" t="str">
        <f aca="false">INDEX(Students!$D$2:$D$601,MATCH(B900,Students!$A$2:$A$601,0))</f>
        <v>Full Stack Development</v>
      </c>
      <c r="L900" s="21" t="str">
        <f aca="false">INDEX(Companies!$C$2:$C$31,MATCH(C900,Companies!$A$2:$A$31,0))</f>
        <v>Analytics &amp; Consulting</v>
      </c>
      <c r="M900" s="21" t="str">
        <f aca="false">INDEX(Companies!$D$2:$D$31,MATCH(C900,Companies!$A$2:$A$31,0))</f>
        <v>Tier 2</v>
      </c>
      <c r="N900" s="34" t="n">
        <f aca="false">MATCH(F900,Assumptions!$K$4:$K$8,0)</f>
        <v>3</v>
      </c>
      <c r="O900" s="21" t="str">
        <f aca="false">IF(H900="Yes",MONTH(I900),"")</f>
        <v/>
      </c>
      <c r="P900" s="21" t="str">
        <f aca="false">IF(H900="Yes",B900,"")</f>
        <v/>
      </c>
    </row>
    <row r="901" customFormat="false" ht="15" hidden="false" customHeight="false" outlineLevel="0" collapsed="false">
      <c r="A901" s="21" t="s">
        <v>2116</v>
      </c>
      <c r="B901" s="21" t="s">
        <v>372</v>
      </c>
      <c r="C901" s="21" t="s">
        <v>1255</v>
      </c>
      <c r="D901" s="21" t="s">
        <v>1184</v>
      </c>
      <c r="E901" s="33" t="n">
        <v>45333</v>
      </c>
      <c r="F901" s="21" t="s">
        <v>1185</v>
      </c>
      <c r="G901" s="32" t="n">
        <v>6.3</v>
      </c>
      <c r="H901" s="21" t="s">
        <v>113</v>
      </c>
      <c r="I901" s="33" t="n">
        <v>45360</v>
      </c>
      <c r="J901" s="21" t="str">
        <f aca="false">INDEX(Students!$C$2:$C$601,MATCH(B901,Students!$A$2:$A$601,0))</f>
        <v>Batch 2024</v>
      </c>
      <c r="K901" s="21" t="str">
        <f aca="false">INDEX(Students!$D$2:$D$601,MATCH(B901,Students!$A$2:$A$601,0))</f>
        <v>DSA with Java</v>
      </c>
      <c r="L901" s="21" t="str">
        <f aca="false">INDEX(Companies!$C$2:$C$31,MATCH(C901,Companies!$A$2:$A$31,0))</f>
        <v>IT Services</v>
      </c>
      <c r="M901" s="21" t="str">
        <f aca="false">INDEX(Companies!$D$2:$D$31,MATCH(C901,Companies!$A$2:$A$31,0))</f>
        <v>Tier 3</v>
      </c>
      <c r="N901" s="34" t="n">
        <f aca="false">MATCH(F901,Assumptions!$K$4:$K$8,0)</f>
        <v>5</v>
      </c>
      <c r="O901" s="21" t="str">
        <f aca="false">IF(H901="Yes",MONTH(I901),"")</f>
        <v/>
      </c>
      <c r="P901" s="21" t="str">
        <f aca="false">IF(H901="Yes",B901,"")</f>
        <v/>
      </c>
    </row>
    <row r="902" customFormat="false" ht="15" hidden="false" customHeight="false" outlineLevel="0" collapsed="false">
      <c r="A902" s="21" t="s">
        <v>2117</v>
      </c>
      <c r="B902" s="21" t="s">
        <v>228</v>
      </c>
      <c r="C902" s="21" t="s">
        <v>1211</v>
      </c>
      <c r="D902" s="21" t="s">
        <v>1243</v>
      </c>
      <c r="E902" s="33" t="n">
        <v>45333</v>
      </c>
      <c r="F902" s="21" t="s">
        <v>1178</v>
      </c>
      <c r="G902" s="32"/>
      <c r="H902" s="21"/>
      <c r="I902" s="33"/>
      <c r="J902" s="21" t="str">
        <f aca="false">INDEX(Students!$C$2:$C$601,MATCH(B902,Students!$A$2:$A$601,0))</f>
        <v>Batch 2024</v>
      </c>
      <c r="K902" s="21" t="str">
        <f aca="false">INDEX(Students!$D$2:$D$601,MATCH(B902,Students!$A$2:$A$601,0))</f>
        <v>Data Science &amp; ML</v>
      </c>
      <c r="L902" s="21" t="str">
        <f aca="false">INDEX(Companies!$C$2:$C$31,MATCH(C902,Companies!$A$2:$A$31,0))</f>
        <v>Analytics &amp; Consulting</v>
      </c>
      <c r="M902" s="21" t="str">
        <f aca="false">INDEX(Companies!$D$2:$D$31,MATCH(C902,Companies!$A$2:$A$31,0))</f>
        <v>Tier 3</v>
      </c>
      <c r="N902" s="34" t="n">
        <f aca="false">MATCH(F902,Assumptions!$K$4:$K$8,0)</f>
        <v>2</v>
      </c>
      <c r="O902" s="21" t="str">
        <f aca="false">IF(H902="Yes",MONTH(I902),"")</f>
        <v/>
      </c>
      <c r="P902" s="21" t="str">
        <f aca="false">IF(H902="Yes",B902,"")</f>
        <v/>
      </c>
    </row>
    <row r="903" customFormat="false" ht="15" hidden="false" customHeight="false" outlineLevel="0" collapsed="false">
      <c r="A903" s="21" t="s">
        <v>2118</v>
      </c>
      <c r="B903" s="21" t="s">
        <v>323</v>
      </c>
      <c r="C903" s="21" t="s">
        <v>1255</v>
      </c>
      <c r="D903" s="21" t="s">
        <v>1243</v>
      </c>
      <c r="E903" s="33" t="n">
        <v>45333</v>
      </c>
      <c r="F903" s="21" t="s">
        <v>1178</v>
      </c>
      <c r="G903" s="32"/>
      <c r="H903" s="21"/>
      <c r="I903" s="33"/>
      <c r="J903" s="21" t="str">
        <f aca="false">INDEX(Students!$C$2:$C$601,MATCH(B903,Students!$A$2:$A$601,0))</f>
        <v>Batch 2024</v>
      </c>
      <c r="K903" s="21" t="str">
        <f aca="false">INDEX(Students!$D$2:$D$601,MATCH(B903,Students!$A$2:$A$601,0))</f>
        <v>Data Science &amp; ML</v>
      </c>
      <c r="L903" s="21" t="str">
        <f aca="false">INDEX(Companies!$C$2:$C$31,MATCH(C903,Companies!$A$2:$A$31,0))</f>
        <v>IT Services</v>
      </c>
      <c r="M903" s="21" t="str">
        <f aca="false">INDEX(Companies!$D$2:$D$31,MATCH(C903,Companies!$A$2:$A$31,0))</f>
        <v>Tier 3</v>
      </c>
      <c r="N903" s="34" t="n">
        <f aca="false">MATCH(F903,Assumptions!$K$4:$K$8,0)</f>
        <v>2</v>
      </c>
      <c r="O903" s="21" t="str">
        <f aca="false">IF(H903="Yes",MONTH(I903),"")</f>
        <v/>
      </c>
      <c r="P903" s="21" t="str">
        <f aca="false">IF(H903="Yes",B903,"")</f>
        <v/>
      </c>
    </row>
    <row r="904" customFormat="false" ht="15" hidden="false" customHeight="false" outlineLevel="0" collapsed="false">
      <c r="A904" s="21" t="s">
        <v>2119</v>
      </c>
      <c r="B904" s="21" t="s">
        <v>165</v>
      </c>
      <c r="C904" s="21" t="s">
        <v>1275</v>
      </c>
      <c r="D904" s="21" t="s">
        <v>1191</v>
      </c>
      <c r="E904" s="33" t="n">
        <v>45334</v>
      </c>
      <c r="F904" s="21" t="s">
        <v>1197</v>
      </c>
      <c r="G904" s="32"/>
      <c r="H904" s="21"/>
      <c r="I904" s="33"/>
      <c r="J904" s="21" t="str">
        <f aca="false">INDEX(Students!$C$2:$C$601,MATCH(B904,Students!$A$2:$A$601,0))</f>
        <v>Batch 2024</v>
      </c>
      <c r="K904" s="21" t="str">
        <f aca="false">INDEX(Students!$D$2:$D$601,MATCH(B904,Students!$A$2:$A$601,0))</f>
        <v>DSA with Java</v>
      </c>
      <c r="L904" s="21" t="str">
        <f aca="false">INDEX(Companies!$C$2:$C$31,MATCH(C904,Companies!$A$2:$A$31,0))</f>
        <v>Cybersecurity</v>
      </c>
      <c r="M904" s="21" t="str">
        <f aca="false">INDEX(Companies!$D$2:$D$31,MATCH(C904,Companies!$A$2:$A$31,0))</f>
        <v>Tier 2</v>
      </c>
      <c r="N904" s="34" t="n">
        <f aca="false">MATCH(F904,Assumptions!$K$4:$K$8,0)</f>
        <v>3</v>
      </c>
      <c r="O904" s="21" t="str">
        <f aca="false">IF(H904="Yes",MONTH(I904),"")</f>
        <v/>
      </c>
      <c r="P904" s="21" t="str">
        <f aca="false">IF(H904="Yes",B904,"")</f>
        <v/>
      </c>
    </row>
    <row r="905" customFormat="false" ht="15" hidden="false" customHeight="false" outlineLevel="0" collapsed="false">
      <c r="A905" s="21" t="s">
        <v>2120</v>
      </c>
      <c r="B905" s="21" t="s">
        <v>399</v>
      </c>
      <c r="C905" s="21" t="s">
        <v>1266</v>
      </c>
      <c r="D905" s="21" t="s">
        <v>1194</v>
      </c>
      <c r="E905" s="33" t="n">
        <v>45334</v>
      </c>
      <c r="F905" s="21" t="s">
        <v>1175</v>
      </c>
      <c r="G905" s="32"/>
      <c r="H905" s="21"/>
      <c r="I905" s="33"/>
      <c r="J905" s="21" t="str">
        <f aca="false">INDEX(Students!$C$2:$C$601,MATCH(B905,Students!$A$2:$A$601,0))</f>
        <v>Batch 2024</v>
      </c>
      <c r="K905" s="21" t="str">
        <f aca="false">INDEX(Students!$D$2:$D$601,MATCH(B905,Students!$A$2:$A$601,0))</f>
        <v>Data Science &amp; ML</v>
      </c>
      <c r="L905" s="21" t="str">
        <f aca="false">INDEX(Companies!$C$2:$C$31,MATCH(C905,Companies!$A$2:$A$31,0))</f>
        <v>IT Services</v>
      </c>
      <c r="M905" s="21" t="str">
        <f aca="false">INDEX(Companies!$D$2:$D$31,MATCH(C905,Companies!$A$2:$A$31,0))</f>
        <v>Tier 3</v>
      </c>
      <c r="N905" s="34" t="n">
        <f aca="false">MATCH(F905,Assumptions!$K$4:$K$8,0)</f>
        <v>1</v>
      </c>
      <c r="O905" s="21" t="str">
        <f aca="false">IF(H905="Yes",MONTH(I905),"")</f>
        <v/>
      </c>
      <c r="P905" s="21" t="str">
        <f aca="false">IF(H905="Yes",B905,"")</f>
        <v/>
      </c>
    </row>
    <row r="906" customFormat="false" ht="15" hidden="false" customHeight="false" outlineLevel="0" collapsed="false">
      <c r="A906" s="21" t="s">
        <v>2121</v>
      </c>
      <c r="B906" s="21" t="s">
        <v>319</v>
      </c>
      <c r="C906" s="21" t="s">
        <v>1183</v>
      </c>
      <c r="D906" s="21" t="s">
        <v>1184</v>
      </c>
      <c r="E906" s="33" t="n">
        <v>45334</v>
      </c>
      <c r="F906" s="21" t="s">
        <v>1175</v>
      </c>
      <c r="G906" s="32"/>
      <c r="H906" s="21"/>
      <c r="I906" s="33"/>
      <c r="J906" s="21" t="str">
        <f aca="false">INDEX(Students!$C$2:$C$601,MATCH(B906,Students!$A$2:$A$601,0))</f>
        <v>Batch 2024</v>
      </c>
      <c r="K906" s="21" t="str">
        <f aca="false">INDEX(Students!$D$2:$D$601,MATCH(B906,Students!$A$2:$A$601,0))</f>
        <v>DSA with Java</v>
      </c>
      <c r="L906" s="21" t="str">
        <f aca="false">INDEX(Companies!$C$2:$C$31,MATCH(C906,Companies!$A$2:$A$31,0))</f>
        <v>E-commerce</v>
      </c>
      <c r="M906" s="21" t="str">
        <f aca="false">INDEX(Companies!$D$2:$D$31,MATCH(C906,Companies!$A$2:$A$31,0))</f>
        <v>Tier 2</v>
      </c>
      <c r="N906" s="34" t="n">
        <f aca="false">MATCH(F906,Assumptions!$K$4:$K$8,0)</f>
        <v>1</v>
      </c>
      <c r="O906" s="21" t="str">
        <f aca="false">IF(H906="Yes",MONTH(I906),"")</f>
        <v/>
      </c>
      <c r="P906" s="21" t="str">
        <f aca="false">IF(H906="Yes",B906,"")</f>
        <v/>
      </c>
    </row>
    <row r="907" customFormat="false" ht="15" hidden="false" customHeight="false" outlineLevel="0" collapsed="false">
      <c r="A907" s="21" t="s">
        <v>2122</v>
      </c>
      <c r="B907" s="21" t="s">
        <v>116</v>
      </c>
      <c r="C907" s="21" t="s">
        <v>1298</v>
      </c>
      <c r="D907" s="21" t="s">
        <v>1181</v>
      </c>
      <c r="E907" s="33" t="n">
        <v>45335</v>
      </c>
      <c r="F907" s="21" t="s">
        <v>1175</v>
      </c>
      <c r="G907" s="32"/>
      <c r="H907" s="21"/>
      <c r="I907" s="33"/>
      <c r="J907" s="21" t="str">
        <f aca="false">INDEX(Students!$C$2:$C$601,MATCH(B907,Students!$A$2:$A$601,0))</f>
        <v>Batch 2024</v>
      </c>
      <c r="K907" s="21" t="str">
        <f aca="false">INDEX(Students!$D$2:$D$601,MATCH(B907,Students!$A$2:$A$601,0))</f>
        <v>Full Stack Development</v>
      </c>
      <c r="L907" s="21" t="str">
        <f aca="false">INDEX(Companies!$C$2:$C$31,MATCH(C907,Companies!$A$2:$A$31,0))</f>
        <v>Fintech</v>
      </c>
      <c r="M907" s="21" t="str">
        <f aca="false">INDEX(Companies!$D$2:$D$31,MATCH(C907,Companies!$A$2:$A$31,0))</f>
        <v>Tier 2</v>
      </c>
      <c r="N907" s="34" t="n">
        <f aca="false">MATCH(F907,Assumptions!$K$4:$K$8,0)</f>
        <v>1</v>
      </c>
      <c r="O907" s="21" t="str">
        <f aca="false">IF(H907="Yes",MONTH(I907),"")</f>
        <v/>
      </c>
      <c r="P907" s="21" t="str">
        <f aca="false">IF(H907="Yes",B907,"")</f>
        <v/>
      </c>
    </row>
    <row r="908" customFormat="false" ht="15" hidden="false" customHeight="false" outlineLevel="0" collapsed="false">
      <c r="A908" s="21" t="s">
        <v>2123</v>
      </c>
      <c r="B908" s="21" t="s">
        <v>364</v>
      </c>
      <c r="C908" s="21" t="s">
        <v>1199</v>
      </c>
      <c r="D908" s="21" t="s">
        <v>1184</v>
      </c>
      <c r="E908" s="33" t="n">
        <v>45335</v>
      </c>
      <c r="F908" s="21" t="s">
        <v>1185</v>
      </c>
      <c r="G908" s="32" t="n">
        <v>13</v>
      </c>
      <c r="H908" s="21" t="s">
        <v>113</v>
      </c>
      <c r="I908" s="33" t="n">
        <v>45358</v>
      </c>
      <c r="J908" s="21" t="str">
        <f aca="false">INDEX(Students!$C$2:$C$601,MATCH(B908,Students!$A$2:$A$601,0))</f>
        <v>Batch 2024</v>
      </c>
      <c r="K908" s="21" t="str">
        <f aca="false">INDEX(Students!$D$2:$D$601,MATCH(B908,Students!$A$2:$A$601,0))</f>
        <v>DSA with Java</v>
      </c>
      <c r="L908" s="21" t="str">
        <f aca="false">INDEX(Companies!$C$2:$C$31,MATCH(C908,Companies!$A$2:$A$31,0))</f>
        <v>E-commerce</v>
      </c>
      <c r="M908" s="21" t="str">
        <f aca="false">INDEX(Companies!$D$2:$D$31,MATCH(C908,Companies!$A$2:$A$31,0))</f>
        <v>Tier 2</v>
      </c>
      <c r="N908" s="34" t="n">
        <f aca="false">MATCH(F908,Assumptions!$K$4:$K$8,0)</f>
        <v>5</v>
      </c>
      <c r="O908" s="21" t="str">
        <f aca="false">IF(H908="Yes",MONTH(I908),"")</f>
        <v/>
      </c>
      <c r="P908" s="21" t="str">
        <f aca="false">IF(H908="Yes",B908,"")</f>
        <v/>
      </c>
    </row>
    <row r="909" customFormat="false" ht="15" hidden="false" customHeight="false" outlineLevel="0" collapsed="false">
      <c r="A909" s="21" t="s">
        <v>2124</v>
      </c>
      <c r="B909" s="21" t="s">
        <v>419</v>
      </c>
      <c r="C909" s="21" t="s">
        <v>1196</v>
      </c>
      <c r="D909" s="21" t="s">
        <v>1226</v>
      </c>
      <c r="E909" s="33" t="n">
        <v>45335</v>
      </c>
      <c r="F909" s="21" t="s">
        <v>1175</v>
      </c>
      <c r="G909" s="32"/>
      <c r="H909" s="21"/>
      <c r="I909" s="33"/>
      <c r="J909" s="21" t="str">
        <f aca="false">INDEX(Students!$C$2:$C$601,MATCH(B909,Students!$A$2:$A$601,0))</f>
        <v>Batch 2024</v>
      </c>
      <c r="K909" s="21" t="str">
        <f aca="false">INDEX(Students!$D$2:$D$601,MATCH(B909,Students!$A$2:$A$601,0))</f>
        <v>Cybersecurity</v>
      </c>
      <c r="L909" s="21" t="str">
        <f aca="false">INDEX(Companies!$C$2:$C$31,MATCH(C909,Companies!$A$2:$A$31,0))</f>
        <v>IT Services</v>
      </c>
      <c r="M909" s="21" t="str">
        <f aca="false">INDEX(Companies!$D$2:$D$31,MATCH(C909,Companies!$A$2:$A$31,0))</f>
        <v>Tier 3</v>
      </c>
      <c r="N909" s="34" t="n">
        <f aca="false">MATCH(F909,Assumptions!$K$4:$K$8,0)</f>
        <v>1</v>
      </c>
      <c r="O909" s="21" t="str">
        <f aca="false">IF(H909="Yes",MONTH(I909),"")</f>
        <v/>
      </c>
      <c r="P909" s="21" t="str">
        <f aca="false">IF(H909="Yes",B909,"")</f>
        <v/>
      </c>
    </row>
    <row r="910" customFormat="false" ht="15" hidden="false" customHeight="false" outlineLevel="0" collapsed="false">
      <c r="A910" s="21" t="s">
        <v>2125</v>
      </c>
      <c r="B910" s="21" t="s">
        <v>386</v>
      </c>
      <c r="C910" s="21" t="s">
        <v>1214</v>
      </c>
      <c r="D910" s="21" t="s">
        <v>1191</v>
      </c>
      <c r="E910" s="33" t="n">
        <v>45335</v>
      </c>
      <c r="F910" s="21" t="s">
        <v>1178</v>
      </c>
      <c r="G910" s="32"/>
      <c r="H910" s="21"/>
      <c r="I910" s="33"/>
      <c r="J910" s="21" t="str">
        <f aca="false">INDEX(Students!$C$2:$C$601,MATCH(B910,Students!$A$2:$A$601,0))</f>
        <v>Batch 2024</v>
      </c>
      <c r="K910" s="21" t="str">
        <f aca="false">INDEX(Students!$D$2:$D$601,MATCH(B910,Students!$A$2:$A$601,0))</f>
        <v>DSA with Java</v>
      </c>
      <c r="L910" s="21" t="str">
        <f aca="false">INDEX(Companies!$C$2:$C$31,MATCH(C910,Companies!$A$2:$A$31,0))</f>
        <v>Product</v>
      </c>
      <c r="M910" s="21" t="str">
        <f aca="false">INDEX(Companies!$D$2:$D$31,MATCH(C910,Companies!$A$2:$A$31,0))</f>
        <v>Tier 1</v>
      </c>
      <c r="N910" s="34" t="n">
        <f aca="false">MATCH(F910,Assumptions!$K$4:$K$8,0)</f>
        <v>2</v>
      </c>
      <c r="O910" s="21" t="str">
        <f aca="false">IF(H910="Yes",MONTH(I910),"")</f>
        <v/>
      </c>
      <c r="P910" s="21" t="str">
        <f aca="false">IF(H910="Yes",B910,"")</f>
        <v/>
      </c>
    </row>
    <row r="911" customFormat="false" ht="15" hidden="false" customHeight="false" outlineLevel="0" collapsed="false">
      <c r="A911" s="21" t="s">
        <v>2126</v>
      </c>
      <c r="B911" s="21" t="s">
        <v>382</v>
      </c>
      <c r="C911" s="21" t="s">
        <v>1196</v>
      </c>
      <c r="D911" s="21" t="s">
        <v>1226</v>
      </c>
      <c r="E911" s="33" t="n">
        <v>45335</v>
      </c>
      <c r="F911" s="21" t="s">
        <v>1178</v>
      </c>
      <c r="G911" s="32"/>
      <c r="H911" s="21"/>
      <c r="I911" s="33"/>
      <c r="J911" s="21" t="str">
        <f aca="false">INDEX(Students!$C$2:$C$601,MATCH(B911,Students!$A$2:$A$601,0))</f>
        <v>Batch 2024</v>
      </c>
      <c r="K911" s="21" t="str">
        <f aca="false">INDEX(Students!$D$2:$D$601,MATCH(B911,Students!$A$2:$A$601,0))</f>
        <v>Cybersecurity</v>
      </c>
      <c r="L911" s="21" t="str">
        <f aca="false">INDEX(Companies!$C$2:$C$31,MATCH(C911,Companies!$A$2:$A$31,0))</f>
        <v>IT Services</v>
      </c>
      <c r="M911" s="21" t="str">
        <f aca="false">INDEX(Companies!$D$2:$D$31,MATCH(C911,Companies!$A$2:$A$31,0))</f>
        <v>Tier 3</v>
      </c>
      <c r="N911" s="34" t="n">
        <f aca="false">MATCH(F911,Assumptions!$K$4:$K$8,0)</f>
        <v>2</v>
      </c>
      <c r="O911" s="21" t="str">
        <f aca="false">IF(H911="Yes",MONTH(I911),"")</f>
        <v/>
      </c>
      <c r="P911" s="21" t="str">
        <f aca="false">IF(H911="Yes",B911,"")</f>
        <v/>
      </c>
    </row>
    <row r="912" customFormat="false" ht="15" hidden="false" customHeight="false" outlineLevel="0" collapsed="false">
      <c r="A912" s="21" t="s">
        <v>2127</v>
      </c>
      <c r="B912" s="21" t="s">
        <v>123</v>
      </c>
      <c r="C912" s="21" t="s">
        <v>1298</v>
      </c>
      <c r="D912" s="21" t="s">
        <v>1209</v>
      </c>
      <c r="E912" s="33" t="n">
        <v>45336</v>
      </c>
      <c r="F912" s="21" t="s">
        <v>1175</v>
      </c>
      <c r="G912" s="32"/>
      <c r="H912" s="21"/>
      <c r="I912" s="33"/>
      <c r="J912" s="21" t="str">
        <f aca="false">INDEX(Students!$C$2:$C$601,MATCH(B912,Students!$A$2:$A$601,0))</f>
        <v>Batch 2024</v>
      </c>
      <c r="K912" s="21" t="str">
        <f aca="false">INDEX(Students!$D$2:$D$601,MATCH(B912,Students!$A$2:$A$601,0))</f>
        <v>Data Analytics</v>
      </c>
      <c r="L912" s="21" t="str">
        <f aca="false">INDEX(Companies!$C$2:$C$31,MATCH(C912,Companies!$A$2:$A$31,0))</f>
        <v>Fintech</v>
      </c>
      <c r="M912" s="21" t="str">
        <f aca="false">INDEX(Companies!$D$2:$D$31,MATCH(C912,Companies!$A$2:$A$31,0))</f>
        <v>Tier 2</v>
      </c>
      <c r="N912" s="34" t="n">
        <f aca="false">MATCH(F912,Assumptions!$K$4:$K$8,0)</f>
        <v>1</v>
      </c>
      <c r="O912" s="21" t="str">
        <f aca="false">IF(H912="Yes",MONTH(I912),"")</f>
        <v/>
      </c>
      <c r="P912" s="21" t="str">
        <f aca="false">IF(H912="Yes",B912,"")</f>
        <v/>
      </c>
    </row>
    <row r="913" customFormat="false" ht="15" hidden="false" customHeight="false" outlineLevel="0" collapsed="false">
      <c r="A913" s="21" t="s">
        <v>2128</v>
      </c>
      <c r="B913" s="21" t="s">
        <v>155</v>
      </c>
      <c r="C913" s="21" t="s">
        <v>1216</v>
      </c>
      <c r="D913" s="21" t="s">
        <v>1174</v>
      </c>
      <c r="E913" s="33" t="n">
        <v>45336</v>
      </c>
      <c r="F913" s="21" t="s">
        <v>1185</v>
      </c>
      <c r="G913" s="32" t="n">
        <v>5.5</v>
      </c>
      <c r="H913" s="21" t="s">
        <v>113</v>
      </c>
      <c r="I913" s="33" t="n">
        <v>45366</v>
      </c>
      <c r="J913" s="21" t="str">
        <f aca="false">INDEX(Students!$C$2:$C$601,MATCH(B913,Students!$A$2:$A$601,0))</f>
        <v>Batch 2024</v>
      </c>
      <c r="K913" s="21" t="str">
        <f aca="false">INDEX(Students!$D$2:$D$601,MATCH(B913,Students!$A$2:$A$601,0))</f>
        <v>Full Stack Development</v>
      </c>
      <c r="L913" s="21" t="str">
        <f aca="false">INDEX(Companies!$C$2:$C$31,MATCH(C913,Companies!$A$2:$A$31,0))</f>
        <v>IT Services</v>
      </c>
      <c r="M913" s="21" t="str">
        <f aca="false">INDEX(Companies!$D$2:$D$31,MATCH(C913,Companies!$A$2:$A$31,0))</f>
        <v>Tier 3</v>
      </c>
      <c r="N913" s="34" t="n">
        <f aca="false">MATCH(F913,Assumptions!$K$4:$K$8,0)</f>
        <v>5</v>
      </c>
      <c r="O913" s="21" t="str">
        <f aca="false">IF(H913="Yes",MONTH(I913),"")</f>
        <v/>
      </c>
      <c r="P913" s="21" t="str">
        <f aca="false">IF(H913="Yes",B913,"")</f>
        <v/>
      </c>
    </row>
    <row r="914" customFormat="false" ht="15" hidden="false" customHeight="false" outlineLevel="0" collapsed="false">
      <c r="A914" s="21" t="s">
        <v>2129</v>
      </c>
      <c r="B914" s="21" t="s">
        <v>187</v>
      </c>
      <c r="C914" s="21" t="s">
        <v>1263</v>
      </c>
      <c r="D914" s="21" t="s">
        <v>1243</v>
      </c>
      <c r="E914" s="33" t="n">
        <v>45336</v>
      </c>
      <c r="F914" s="21" t="s">
        <v>1175</v>
      </c>
      <c r="G914" s="32"/>
      <c r="H914" s="21"/>
      <c r="I914" s="33"/>
      <c r="J914" s="21" t="str">
        <f aca="false">INDEX(Students!$C$2:$C$601,MATCH(B914,Students!$A$2:$A$601,0))</f>
        <v>Batch 2024</v>
      </c>
      <c r="K914" s="21" t="str">
        <f aca="false">INDEX(Students!$D$2:$D$601,MATCH(B914,Students!$A$2:$A$601,0))</f>
        <v>Data Science &amp; ML</v>
      </c>
      <c r="L914" s="21" t="str">
        <f aca="false">INDEX(Companies!$C$2:$C$31,MATCH(C914,Companies!$A$2:$A$31,0))</f>
        <v>Analytics &amp; Consulting</v>
      </c>
      <c r="M914" s="21" t="str">
        <f aca="false">INDEX(Companies!$D$2:$D$31,MATCH(C914,Companies!$A$2:$A$31,0))</f>
        <v>Tier 2</v>
      </c>
      <c r="N914" s="34" t="n">
        <f aca="false">MATCH(F914,Assumptions!$K$4:$K$8,0)</f>
        <v>1</v>
      </c>
      <c r="O914" s="21" t="str">
        <f aca="false">IF(H914="Yes",MONTH(I914),"")</f>
        <v/>
      </c>
      <c r="P914" s="21" t="str">
        <f aca="false">IF(H914="Yes",B914,"")</f>
        <v/>
      </c>
    </row>
    <row r="915" customFormat="false" ht="15" hidden="false" customHeight="false" outlineLevel="0" collapsed="false">
      <c r="A915" s="21" t="s">
        <v>2130</v>
      </c>
      <c r="B915" s="21" t="s">
        <v>163</v>
      </c>
      <c r="C915" s="21" t="s">
        <v>1290</v>
      </c>
      <c r="D915" s="21" t="s">
        <v>1184</v>
      </c>
      <c r="E915" s="33" t="n">
        <v>45336</v>
      </c>
      <c r="F915" s="21" t="s">
        <v>1175</v>
      </c>
      <c r="G915" s="32"/>
      <c r="H915" s="21"/>
      <c r="I915" s="33"/>
      <c r="J915" s="21" t="str">
        <f aca="false">INDEX(Students!$C$2:$C$601,MATCH(B915,Students!$A$2:$A$601,0))</f>
        <v>Batch 2024</v>
      </c>
      <c r="K915" s="21" t="str">
        <f aca="false">INDEX(Students!$D$2:$D$601,MATCH(B915,Students!$A$2:$A$601,0))</f>
        <v>DSA with Java</v>
      </c>
      <c r="L915" s="21" t="str">
        <f aca="false">INDEX(Companies!$C$2:$C$31,MATCH(C915,Companies!$A$2:$A$31,0))</f>
        <v>Fintech</v>
      </c>
      <c r="M915" s="21" t="str">
        <f aca="false">INDEX(Companies!$D$2:$D$31,MATCH(C915,Companies!$A$2:$A$31,0))</f>
        <v>Tier 2</v>
      </c>
      <c r="N915" s="34" t="n">
        <f aca="false">MATCH(F915,Assumptions!$K$4:$K$8,0)</f>
        <v>1</v>
      </c>
      <c r="O915" s="21" t="str">
        <f aca="false">IF(H915="Yes",MONTH(I915),"")</f>
        <v/>
      </c>
      <c r="P915" s="21" t="str">
        <f aca="false">IF(H915="Yes",B915,"")</f>
        <v/>
      </c>
    </row>
    <row r="916" customFormat="false" ht="15" hidden="false" customHeight="false" outlineLevel="0" collapsed="false">
      <c r="A916" s="21" t="s">
        <v>2131</v>
      </c>
      <c r="B916" s="21" t="s">
        <v>364</v>
      </c>
      <c r="C916" s="21" t="s">
        <v>1216</v>
      </c>
      <c r="D916" s="21" t="s">
        <v>1191</v>
      </c>
      <c r="E916" s="33" t="n">
        <v>45336</v>
      </c>
      <c r="F916" s="21" t="s">
        <v>1185</v>
      </c>
      <c r="G916" s="32" t="n">
        <v>6.7</v>
      </c>
      <c r="H916" s="21" t="s">
        <v>113</v>
      </c>
      <c r="I916" s="33" t="n">
        <v>45391</v>
      </c>
      <c r="J916" s="21" t="str">
        <f aca="false">INDEX(Students!$C$2:$C$601,MATCH(B916,Students!$A$2:$A$601,0))</f>
        <v>Batch 2024</v>
      </c>
      <c r="K916" s="21" t="str">
        <f aca="false">INDEX(Students!$D$2:$D$601,MATCH(B916,Students!$A$2:$A$601,0))</f>
        <v>DSA with Java</v>
      </c>
      <c r="L916" s="21" t="str">
        <f aca="false">INDEX(Companies!$C$2:$C$31,MATCH(C916,Companies!$A$2:$A$31,0))</f>
        <v>IT Services</v>
      </c>
      <c r="M916" s="21" t="str">
        <f aca="false">INDEX(Companies!$D$2:$D$31,MATCH(C916,Companies!$A$2:$A$31,0))</f>
        <v>Tier 3</v>
      </c>
      <c r="N916" s="34" t="n">
        <f aca="false">MATCH(F916,Assumptions!$K$4:$K$8,0)</f>
        <v>5</v>
      </c>
      <c r="O916" s="21" t="str">
        <f aca="false">IF(H916="Yes",MONTH(I916),"")</f>
        <v/>
      </c>
      <c r="P916" s="21" t="str">
        <f aca="false">IF(H916="Yes",B916,"")</f>
        <v/>
      </c>
    </row>
    <row r="917" customFormat="false" ht="15" hidden="false" customHeight="false" outlineLevel="0" collapsed="false">
      <c r="A917" s="21" t="s">
        <v>2132</v>
      </c>
      <c r="B917" s="21" t="s">
        <v>245</v>
      </c>
      <c r="C917" s="21" t="s">
        <v>1199</v>
      </c>
      <c r="D917" s="21" t="s">
        <v>1181</v>
      </c>
      <c r="E917" s="33" t="n">
        <v>45336</v>
      </c>
      <c r="F917" s="21" t="s">
        <v>1175</v>
      </c>
      <c r="G917" s="32"/>
      <c r="H917" s="21"/>
      <c r="I917" s="33"/>
      <c r="J917" s="21" t="str">
        <f aca="false">INDEX(Students!$C$2:$C$601,MATCH(B917,Students!$A$2:$A$601,0))</f>
        <v>Batch 2024</v>
      </c>
      <c r="K917" s="21" t="str">
        <f aca="false">INDEX(Students!$D$2:$D$601,MATCH(B917,Students!$A$2:$A$601,0))</f>
        <v>Full Stack Development</v>
      </c>
      <c r="L917" s="21" t="str">
        <f aca="false">INDEX(Companies!$C$2:$C$31,MATCH(C917,Companies!$A$2:$A$31,0))</f>
        <v>E-commerce</v>
      </c>
      <c r="M917" s="21" t="str">
        <f aca="false">INDEX(Companies!$D$2:$D$31,MATCH(C917,Companies!$A$2:$A$31,0))</f>
        <v>Tier 2</v>
      </c>
      <c r="N917" s="34" t="n">
        <f aca="false">MATCH(F917,Assumptions!$K$4:$K$8,0)</f>
        <v>1</v>
      </c>
      <c r="O917" s="21" t="str">
        <f aca="false">IF(H917="Yes",MONTH(I917),"")</f>
        <v/>
      </c>
      <c r="P917" s="21" t="str">
        <f aca="false">IF(H917="Yes",B917,"")</f>
        <v/>
      </c>
    </row>
    <row r="918" customFormat="false" ht="15" hidden="false" customHeight="false" outlineLevel="0" collapsed="false">
      <c r="A918" s="21" t="s">
        <v>2133</v>
      </c>
      <c r="B918" s="21" t="s">
        <v>137</v>
      </c>
      <c r="C918" s="21" t="s">
        <v>1222</v>
      </c>
      <c r="D918" s="21" t="s">
        <v>1191</v>
      </c>
      <c r="E918" s="33" t="n">
        <v>45337</v>
      </c>
      <c r="F918" s="21" t="s">
        <v>1175</v>
      </c>
      <c r="G918" s="32"/>
      <c r="H918" s="21"/>
      <c r="I918" s="33"/>
      <c r="J918" s="21" t="str">
        <f aca="false">INDEX(Students!$C$2:$C$601,MATCH(B918,Students!$A$2:$A$601,0))</f>
        <v>Batch 2024</v>
      </c>
      <c r="K918" s="21" t="str">
        <f aca="false">INDEX(Students!$D$2:$D$601,MATCH(B918,Students!$A$2:$A$601,0))</f>
        <v>DSA with Java</v>
      </c>
      <c r="L918" s="21" t="str">
        <f aca="false">INDEX(Companies!$C$2:$C$31,MATCH(C918,Companies!$A$2:$A$31,0))</f>
        <v>Product</v>
      </c>
      <c r="M918" s="21" t="str">
        <f aca="false">INDEX(Companies!$D$2:$D$31,MATCH(C918,Companies!$A$2:$A$31,0))</f>
        <v>Tier 2</v>
      </c>
      <c r="N918" s="34" t="n">
        <f aca="false">MATCH(F918,Assumptions!$K$4:$K$8,0)</f>
        <v>1</v>
      </c>
      <c r="O918" s="21" t="str">
        <f aca="false">IF(H918="Yes",MONTH(I918),"")</f>
        <v/>
      </c>
      <c r="P918" s="21" t="str">
        <f aca="false">IF(H918="Yes",B918,"")</f>
        <v/>
      </c>
    </row>
    <row r="919" customFormat="false" ht="15" hidden="false" customHeight="false" outlineLevel="0" collapsed="false">
      <c r="A919" s="21" t="s">
        <v>2134</v>
      </c>
      <c r="B919" s="21" t="s">
        <v>399</v>
      </c>
      <c r="C919" s="21" t="s">
        <v>1290</v>
      </c>
      <c r="D919" s="21" t="s">
        <v>1243</v>
      </c>
      <c r="E919" s="33" t="n">
        <v>45337</v>
      </c>
      <c r="F919" s="21" t="s">
        <v>1178</v>
      </c>
      <c r="G919" s="32"/>
      <c r="H919" s="21"/>
      <c r="I919" s="33"/>
      <c r="J919" s="21" t="str">
        <f aca="false">INDEX(Students!$C$2:$C$601,MATCH(B919,Students!$A$2:$A$601,0))</f>
        <v>Batch 2024</v>
      </c>
      <c r="K919" s="21" t="str">
        <f aca="false">INDEX(Students!$D$2:$D$601,MATCH(B919,Students!$A$2:$A$601,0))</f>
        <v>Data Science &amp; ML</v>
      </c>
      <c r="L919" s="21" t="str">
        <f aca="false">INDEX(Companies!$C$2:$C$31,MATCH(C919,Companies!$A$2:$A$31,0))</f>
        <v>Fintech</v>
      </c>
      <c r="M919" s="21" t="str">
        <f aca="false">INDEX(Companies!$D$2:$D$31,MATCH(C919,Companies!$A$2:$A$31,0))</f>
        <v>Tier 2</v>
      </c>
      <c r="N919" s="34" t="n">
        <f aca="false">MATCH(F919,Assumptions!$K$4:$K$8,0)</f>
        <v>2</v>
      </c>
      <c r="O919" s="21" t="str">
        <f aca="false">IF(H919="Yes",MONTH(I919),"")</f>
        <v/>
      </c>
      <c r="P919" s="21" t="str">
        <f aca="false">IF(H919="Yes",B919,"")</f>
        <v/>
      </c>
    </row>
    <row r="920" customFormat="false" ht="15" hidden="false" customHeight="false" outlineLevel="0" collapsed="false">
      <c r="A920" s="21" t="s">
        <v>2135</v>
      </c>
      <c r="B920" s="21" t="s">
        <v>449</v>
      </c>
      <c r="C920" s="21" t="s">
        <v>1255</v>
      </c>
      <c r="D920" s="21" t="s">
        <v>1209</v>
      </c>
      <c r="E920" s="33" t="n">
        <v>45338</v>
      </c>
      <c r="F920" s="21" t="s">
        <v>1185</v>
      </c>
      <c r="G920" s="32" t="n">
        <v>4.9</v>
      </c>
      <c r="H920" s="21" t="s">
        <v>113</v>
      </c>
      <c r="I920" s="33" t="n">
        <v>45390</v>
      </c>
      <c r="J920" s="21" t="str">
        <f aca="false">INDEX(Students!$C$2:$C$601,MATCH(B920,Students!$A$2:$A$601,0))</f>
        <v>Batch 2024</v>
      </c>
      <c r="K920" s="21" t="str">
        <f aca="false">INDEX(Students!$D$2:$D$601,MATCH(B920,Students!$A$2:$A$601,0))</f>
        <v>Data Analytics</v>
      </c>
      <c r="L920" s="21" t="str">
        <f aca="false">INDEX(Companies!$C$2:$C$31,MATCH(C920,Companies!$A$2:$A$31,0))</f>
        <v>IT Services</v>
      </c>
      <c r="M920" s="21" t="str">
        <f aca="false">INDEX(Companies!$D$2:$D$31,MATCH(C920,Companies!$A$2:$A$31,0))</f>
        <v>Tier 3</v>
      </c>
      <c r="N920" s="34" t="n">
        <f aca="false">MATCH(F920,Assumptions!$K$4:$K$8,0)</f>
        <v>5</v>
      </c>
      <c r="O920" s="21" t="str">
        <f aca="false">IF(H920="Yes",MONTH(I920),"")</f>
        <v/>
      </c>
      <c r="P920" s="21" t="str">
        <f aca="false">IF(H920="Yes",B920,"")</f>
        <v/>
      </c>
    </row>
    <row r="921" customFormat="false" ht="15" hidden="false" customHeight="false" outlineLevel="0" collapsed="false">
      <c r="A921" s="21" t="s">
        <v>2136</v>
      </c>
      <c r="B921" s="21" t="s">
        <v>167</v>
      </c>
      <c r="C921" s="21" t="s">
        <v>1222</v>
      </c>
      <c r="D921" s="21" t="s">
        <v>1209</v>
      </c>
      <c r="E921" s="33" t="n">
        <v>45338</v>
      </c>
      <c r="F921" s="21" t="s">
        <v>1175</v>
      </c>
      <c r="G921" s="32"/>
      <c r="H921" s="21"/>
      <c r="I921" s="33"/>
      <c r="J921" s="21" t="str">
        <f aca="false">INDEX(Students!$C$2:$C$601,MATCH(B921,Students!$A$2:$A$601,0))</f>
        <v>Batch 2024</v>
      </c>
      <c r="K921" s="21" t="str">
        <f aca="false">INDEX(Students!$D$2:$D$601,MATCH(B921,Students!$A$2:$A$601,0))</f>
        <v>Data Analytics</v>
      </c>
      <c r="L921" s="21" t="str">
        <f aca="false">INDEX(Companies!$C$2:$C$31,MATCH(C921,Companies!$A$2:$A$31,0))</f>
        <v>Product</v>
      </c>
      <c r="M921" s="21" t="str">
        <f aca="false">INDEX(Companies!$D$2:$D$31,MATCH(C921,Companies!$A$2:$A$31,0))</f>
        <v>Tier 2</v>
      </c>
      <c r="N921" s="34" t="n">
        <f aca="false">MATCH(F921,Assumptions!$K$4:$K$8,0)</f>
        <v>1</v>
      </c>
      <c r="O921" s="21" t="str">
        <f aca="false">IF(H921="Yes",MONTH(I921),"")</f>
        <v/>
      </c>
      <c r="P921" s="21" t="str">
        <f aca="false">IF(H921="Yes",B921,"")</f>
        <v/>
      </c>
    </row>
    <row r="922" customFormat="false" ht="15" hidden="false" customHeight="false" outlineLevel="0" collapsed="false">
      <c r="A922" s="21" t="s">
        <v>2137</v>
      </c>
      <c r="B922" s="21" t="s">
        <v>110</v>
      </c>
      <c r="C922" s="21" t="s">
        <v>1230</v>
      </c>
      <c r="D922" s="21" t="s">
        <v>1191</v>
      </c>
      <c r="E922" s="33" t="n">
        <v>45339</v>
      </c>
      <c r="F922" s="21" t="s">
        <v>1185</v>
      </c>
      <c r="G922" s="32" t="n">
        <v>5.5</v>
      </c>
      <c r="H922" s="21" t="s">
        <v>113</v>
      </c>
      <c r="I922" s="33" t="n">
        <v>45394</v>
      </c>
      <c r="J922" s="21" t="str">
        <f aca="false">INDEX(Students!$C$2:$C$601,MATCH(B922,Students!$A$2:$A$601,0))</f>
        <v>Batch 2024</v>
      </c>
      <c r="K922" s="21" t="str">
        <f aca="false">INDEX(Students!$D$2:$D$601,MATCH(B922,Students!$A$2:$A$601,0))</f>
        <v>DSA with Java</v>
      </c>
      <c r="L922" s="21" t="str">
        <f aca="false">INDEX(Companies!$C$2:$C$31,MATCH(C922,Companies!$A$2:$A$31,0))</f>
        <v>IT Services</v>
      </c>
      <c r="M922" s="21" t="str">
        <f aca="false">INDEX(Companies!$D$2:$D$31,MATCH(C922,Companies!$A$2:$A$31,0))</f>
        <v>Tier 3</v>
      </c>
      <c r="N922" s="34" t="n">
        <f aca="false">MATCH(F922,Assumptions!$K$4:$K$8,0)</f>
        <v>5</v>
      </c>
      <c r="O922" s="21" t="str">
        <f aca="false">IF(H922="Yes",MONTH(I922),"")</f>
        <v/>
      </c>
      <c r="P922" s="21" t="str">
        <f aca="false">IF(H922="Yes",B922,"")</f>
        <v/>
      </c>
    </row>
    <row r="923" customFormat="false" ht="15" hidden="false" customHeight="false" outlineLevel="0" collapsed="false">
      <c r="A923" s="21" t="s">
        <v>2138</v>
      </c>
      <c r="B923" s="21" t="s">
        <v>414</v>
      </c>
      <c r="C923" s="21" t="s">
        <v>1196</v>
      </c>
      <c r="D923" s="21" t="s">
        <v>1181</v>
      </c>
      <c r="E923" s="33" t="n">
        <v>45339</v>
      </c>
      <c r="F923" s="21" t="s">
        <v>1185</v>
      </c>
      <c r="G923" s="32" t="n">
        <v>6</v>
      </c>
      <c r="H923" s="21" t="s">
        <v>120</v>
      </c>
      <c r="I923" s="33" t="n">
        <v>45370</v>
      </c>
      <c r="J923" s="21" t="str">
        <f aca="false">INDEX(Students!$C$2:$C$601,MATCH(B923,Students!$A$2:$A$601,0))</f>
        <v>Batch 2024</v>
      </c>
      <c r="K923" s="21" t="str">
        <f aca="false">INDEX(Students!$D$2:$D$601,MATCH(B923,Students!$A$2:$A$601,0))</f>
        <v>Full Stack Development</v>
      </c>
      <c r="L923" s="21" t="str">
        <f aca="false">INDEX(Companies!$C$2:$C$31,MATCH(C923,Companies!$A$2:$A$31,0))</f>
        <v>IT Services</v>
      </c>
      <c r="M923" s="21" t="str">
        <f aca="false">INDEX(Companies!$D$2:$D$31,MATCH(C923,Companies!$A$2:$A$31,0))</f>
        <v>Tier 3</v>
      </c>
      <c r="N923" s="34" t="n">
        <f aca="false">MATCH(F923,Assumptions!$K$4:$K$8,0)</f>
        <v>5</v>
      </c>
      <c r="O923" s="21" t="n">
        <f aca="false">IF(H923="Yes",MONTH(I923),"")</f>
        <v>3</v>
      </c>
      <c r="P923" s="21" t="str">
        <f aca="false">IF(H923="Yes",B923,"")</f>
        <v>S0157</v>
      </c>
    </row>
    <row r="924" customFormat="false" ht="15" hidden="false" customHeight="false" outlineLevel="0" collapsed="false">
      <c r="A924" s="21" t="s">
        <v>2139</v>
      </c>
      <c r="B924" s="21" t="s">
        <v>305</v>
      </c>
      <c r="C924" s="21" t="s">
        <v>1230</v>
      </c>
      <c r="D924" s="21" t="s">
        <v>1243</v>
      </c>
      <c r="E924" s="33" t="n">
        <v>45339</v>
      </c>
      <c r="F924" s="21" t="s">
        <v>1218</v>
      </c>
      <c r="G924" s="32"/>
      <c r="H924" s="21"/>
      <c r="I924" s="33"/>
      <c r="J924" s="21" t="str">
        <f aca="false">INDEX(Students!$C$2:$C$601,MATCH(B924,Students!$A$2:$A$601,0))</f>
        <v>Batch 2024</v>
      </c>
      <c r="K924" s="21" t="str">
        <f aca="false">INDEX(Students!$D$2:$D$601,MATCH(B924,Students!$A$2:$A$601,0))</f>
        <v>Data Science &amp; ML</v>
      </c>
      <c r="L924" s="21" t="str">
        <f aca="false">INDEX(Companies!$C$2:$C$31,MATCH(C924,Companies!$A$2:$A$31,0))</f>
        <v>IT Services</v>
      </c>
      <c r="M924" s="21" t="str">
        <f aca="false">INDEX(Companies!$D$2:$D$31,MATCH(C924,Companies!$A$2:$A$31,0))</f>
        <v>Tier 3</v>
      </c>
      <c r="N924" s="34" t="n">
        <f aca="false">MATCH(F924,Assumptions!$K$4:$K$8,0)</f>
        <v>4</v>
      </c>
      <c r="O924" s="21" t="str">
        <f aca="false">IF(H924="Yes",MONTH(I924),"")</f>
        <v/>
      </c>
      <c r="P924" s="21" t="str">
        <f aca="false">IF(H924="Yes",B924,"")</f>
        <v/>
      </c>
    </row>
    <row r="925" customFormat="false" ht="15" hidden="false" customHeight="false" outlineLevel="0" collapsed="false">
      <c r="A925" s="21" t="s">
        <v>2140</v>
      </c>
      <c r="B925" s="21" t="s">
        <v>283</v>
      </c>
      <c r="C925" s="21" t="s">
        <v>1263</v>
      </c>
      <c r="D925" s="21" t="s">
        <v>1191</v>
      </c>
      <c r="E925" s="33" t="n">
        <v>45339</v>
      </c>
      <c r="F925" s="21" t="s">
        <v>1175</v>
      </c>
      <c r="G925" s="32"/>
      <c r="H925" s="21"/>
      <c r="I925" s="33"/>
      <c r="J925" s="21" t="str">
        <f aca="false">INDEX(Students!$C$2:$C$601,MATCH(B925,Students!$A$2:$A$601,0))</f>
        <v>Batch 2024</v>
      </c>
      <c r="K925" s="21" t="str">
        <f aca="false">INDEX(Students!$D$2:$D$601,MATCH(B925,Students!$A$2:$A$601,0))</f>
        <v>DSA with Java</v>
      </c>
      <c r="L925" s="21" t="str">
        <f aca="false">INDEX(Companies!$C$2:$C$31,MATCH(C925,Companies!$A$2:$A$31,0))</f>
        <v>Analytics &amp; Consulting</v>
      </c>
      <c r="M925" s="21" t="str">
        <f aca="false">INDEX(Companies!$D$2:$D$31,MATCH(C925,Companies!$A$2:$A$31,0))</f>
        <v>Tier 2</v>
      </c>
      <c r="N925" s="34" t="n">
        <f aca="false">MATCH(F925,Assumptions!$K$4:$K$8,0)</f>
        <v>1</v>
      </c>
      <c r="O925" s="21" t="str">
        <f aca="false">IF(H925="Yes",MONTH(I925),"")</f>
        <v/>
      </c>
      <c r="P925" s="21" t="str">
        <f aca="false">IF(H925="Yes",B925,"")</f>
        <v/>
      </c>
    </row>
    <row r="926" customFormat="false" ht="15" hidden="false" customHeight="false" outlineLevel="0" collapsed="false">
      <c r="A926" s="21" t="s">
        <v>2141</v>
      </c>
      <c r="B926" s="21" t="s">
        <v>358</v>
      </c>
      <c r="C926" s="21" t="s">
        <v>1201</v>
      </c>
      <c r="D926" s="21" t="s">
        <v>1194</v>
      </c>
      <c r="E926" s="33" t="n">
        <v>45339</v>
      </c>
      <c r="F926" s="21" t="s">
        <v>1218</v>
      </c>
      <c r="G926" s="32"/>
      <c r="H926" s="21"/>
      <c r="I926" s="33"/>
      <c r="J926" s="21" t="str">
        <f aca="false">INDEX(Students!$C$2:$C$601,MATCH(B926,Students!$A$2:$A$601,0))</f>
        <v>Batch 2024</v>
      </c>
      <c r="K926" s="21" t="str">
        <f aca="false">INDEX(Students!$D$2:$D$601,MATCH(B926,Students!$A$2:$A$601,0))</f>
        <v>Data Science &amp; ML</v>
      </c>
      <c r="L926" s="21" t="str">
        <f aca="false">INDEX(Companies!$C$2:$C$31,MATCH(C926,Companies!$A$2:$A$31,0))</f>
        <v>IT Services</v>
      </c>
      <c r="M926" s="21" t="str">
        <f aca="false">INDEX(Companies!$D$2:$D$31,MATCH(C926,Companies!$A$2:$A$31,0))</f>
        <v>Tier 3</v>
      </c>
      <c r="N926" s="34" t="n">
        <f aca="false">MATCH(F926,Assumptions!$K$4:$K$8,0)</f>
        <v>4</v>
      </c>
      <c r="O926" s="21" t="str">
        <f aca="false">IF(H926="Yes",MONTH(I926),"")</f>
        <v/>
      </c>
      <c r="P926" s="21" t="str">
        <f aca="false">IF(H926="Yes",B926,"")</f>
        <v/>
      </c>
    </row>
    <row r="927" customFormat="false" ht="15" hidden="false" customHeight="false" outlineLevel="0" collapsed="false">
      <c r="A927" s="21" t="s">
        <v>2142</v>
      </c>
      <c r="B927" s="21" t="s">
        <v>315</v>
      </c>
      <c r="C927" s="21" t="s">
        <v>1183</v>
      </c>
      <c r="D927" s="21" t="s">
        <v>1181</v>
      </c>
      <c r="E927" s="33" t="n">
        <v>45340</v>
      </c>
      <c r="F927" s="21" t="s">
        <v>1178</v>
      </c>
      <c r="G927" s="32"/>
      <c r="H927" s="21"/>
      <c r="I927" s="33"/>
      <c r="J927" s="21" t="str">
        <f aca="false">INDEX(Students!$C$2:$C$601,MATCH(B927,Students!$A$2:$A$601,0))</f>
        <v>Batch 2024</v>
      </c>
      <c r="K927" s="21" t="str">
        <f aca="false">INDEX(Students!$D$2:$D$601,MATCH(B927,Students!$A$2:$A$601,0))</f>
        <v>Full Stack Development</v>
      </c>
      <c r="L927" s="21" t="str">
        <f aca="false">INDEX(Companies!$C$2:$C$31,MATCH(C927,Companies!$A$2:$A$31,0))</f>
        <v>E-commerce</v>
      </c>
      <c r="M927" s="21" t="str">
        <f aca="false">INDEX(Companies!$D$2:$D$31,MATCH(C927,Companies!$A$2:$A$31,0))</f>
        <v>Tier 2</v>
      </c>
      <c r="N927" s="34" t="n">
        <f aca="false">MATCH(F927,Assumptions!$K$4:$K$8,0)</f>
        <v>2</v>
      </c>
      <c r="O927" s="21" t="str">
        <f aca="false">IF(H927="Yes",MONTH(I927),"")</f>
        <v/>
      </c>
      <c r="P927" s="21" t="str">
        <f aca="false">IF(H927="Yes",B927,"")</f>
        <v/>
      </c>
    </row>
    <row r="928" customFormat="false" ht="15" hidden="false" customHeight="false" outlineLevel="0" collapsed="false">
      <c r="A928" s="21" t="s">
        <v>2143</v>
      </c>
      <c r="B928" s="21" t="s">
        <v>297</v>
      </c>
      <c r="C928" s="21" t="s">
        <v>1275</v>
      </c>
      <c r="D928" s="21" t="s">
        <v>1184</v>
      </c>
      <c r="E928" s="33" t="n">
        <v>45340</v>
      </c>
      <c r="F928" s="21" t="s">
        <v>1185</v>
      </c>
      <c r="G928" s="32" t="n">
        <v>13.4</v>
      </c>
      <c r="H928" s="21" t="s">
        <v>120</v>
      </c>
      <c r="I928" s="33" t="n">
        <v>45389</v>
      </c>
      <c r="J928" s="21" t="str">
        <f aca="false">INDEX(Students!$C$2:$C$601,MATCH(B928,Students!$A$2:$A$601,0))</f>
        <v>Batch 2024</v>
      </c>
      <c r="K928" s="21" t="str">
        <f aca="false">INDEX(Students!$D$2:$D$601,MATCH(B928,Students!$A$2:$A$601,0))</f>
        <v>DSA with Java</v>
      </c>
      <c r="L928" s="21" t="str">
        <f aca="false">INDEX(Companies!$C$2:$C$31,MATCH(C928,Companies!$A$2:$A$31,0))</f>
        <v>Cybersecurity</v>
      </c>
      <c r="M928" s="21" t="str">
        <f aca="false">INDEX(Companies!$D$2:$D$31,MATCH(C928,Companies!$A$2:$A$31,0))</f>
        <v>Tier 2</v>
      </c>
      <c r="N928" s="34" t="n">
        <f aca="false">MATCH(F928,Assumptions!$K$4:$K$8,0)</f>
        <v>5</v>
      </c>
      <c r="O928" s="21" t="n">
        <f aca="false">IF(H928="Yes",MONTH(I928),"")</f>
        <v>4</v>
      </c>
      <c r="P928" s="21" t="str">
        <f aca="false">IF(H928="Yes",B928,"")</f>
        <v>S0095</v>
      </c>
    </row>
    <row r="929" customFormat="false" ht="15" hidden="false" customHeight="false" outlineLevel="0" collapsed="false">
      <c r="A929" s="21" t="s">
        <v>2144</v>
      </c>
      <c r="B929" s="21" t="s">
        <v>451</v>
      </c>
      <c r="C929" s="21" t="s">
        <v>1201</v>
      </c>
      <c r="D929" s="21" t="s">
        <v>1174</v>
      </c>
      <c r="E929" s="33" t="n">
        <v>45340</v>
      </c>
      <c r="F929" s="21" t="s">
        <v>1185</v>
      </c>
      <c r="G929" s="32" t="n">
        <v>4.5</v>
      </c>
      <c r="H929" s="21" t="s">
        <v>113</v>
      </c>
      <c r="I929" s="33" t="n">
        <v>45361</v>
      </c>
      <c r="J929" s="21" t="str">
        <f aca="false">INDEX(Students!$C$2:$C$601,MATCH(B929,Students!$A$2:$A$601,0))</f>
        <v>Batch 2024</v>
      </c>
      <c r="K929" s="21" t="str">
        <f aca="false">INDEX(Students!$D$2:$D$601,MATCH(B929,Students!$A$2:$A$601,0))</f>
        <v>Full Stack Development</v>
      </c>
      <c r="L929" s="21" t="str">
        <f aca="false">INDEX(Companies!$C$2:$C$31,MATCH(C929,Companies!$A$2:$A$31,0))</f>
        <v>IT Services</v>
      </c>
      <c r="M929" s="21" t="str">
        <f aca="false">INDEX(Companies!$D$2:$D$31,MATCH(C929,Companies!$A$2:$A$31,0))</f>
        <v>Tier 3</v>
      </c>
      <c r="N929" s="34" t="n">
        <f aca="false">MATCH(F929,Assumptions!$K$4:$K$8,0)</f>
        <v>5</v>
      </c>
      <c r="O929" s="21" t="str">
        <f aca="false">IF(H929="Yes",MONTH(I929),"")</f>
        <v/>
      </c>
      <c r="P929" s="21" t="str">
        <f aca="false">IF(H929="Yes",B929,"")</f>
        <v/>
      </c>
    </row>
    <row r="930" customFormat="false" ht="15" hidden="false" customHeight="false" outlineLevel="0" collapsed="false">
      <c r="A930" s="21" t="s">
        <v>2145</v>
      </c>
      <c r="B930" s="21" t="s">
        <v>301</v>
      </c>
      <c r="C930" s="21" t="s">
        <v>1234</v>
      </c>
      <c r="D930" s="21" t="s">
        <v>1181</v>
      </c>
      <c r="E930" s="33" t="n">
        <v>45341</v>
      </c>
      <c r="F930" s="21" t="s">
        <v>1185</v>
      </c>
      <c r="G930" s="32" t="n">
        <v>6.4</v>
      </c>
      <c r="H930" s="21" t="s">
        <v>113</v>
      </c>
      <c r="I930" s="33" t="n">
        <v>45385</v>
      </c>
      <c r="J930" s="21" t="str">
        <f aca="false">INDEX(Students!$C$2:$C$601,MATCH(B930,Students!$A$2:$A$601,0))</f>
        <v>Batch 2024</v>
      </c>
      <c r="K930" s="21" t="str">
        <f aca="false">INDEX(Students!$D$2:$D$601,MATCH(B930,Students!$A$2:$A$601,0))</f>
        <v>Full Stack Development</v>
      </c>
      <c r="L930" s="21" t="str">
        <f aca="false">INDEX(Companies!$C$2:$C$31,MATCH(C930,Companies!$A$2:$A$31,0))</f>
        <v>EdTech</v>
      </c>
      <c r="M930" s="21" t="str">
        <f aca="false">INDEX(Companies!$D$2:$D$31,MATCH(C930,Companies!$A$2:$A$31,0))</f>
        <v>Tier 3</v>
      </c>
      <c r="N930" s="34" t="n">
        <f aca="false">MATCH(F930,Assumptions!$K$4:$K$8,0)</f>
        <v>5</v>
      </c>
      <c r="O930" s="21" t="str">
        <f aca="false">IF(H930="Yes",MONTH(I930),"")</f>
        <v/>
      </c>
      <c r="P930" s="21" t="str">
        <f aca="false">IF(H930="Yes",B930,"")</f>
        <v/>
      </c>
    </row>
    <row r="931" customFormat="false" ht="15" hidden="false" customHeight="false" outlineLevel="0" collapsed="false">
      <c r="A931" s="21" t="s">
        <v>2146</v>
      </c>
      <c r="B931" s="21" t="s">
        <v>293</v>
      </c>
      <c r="C931" s="21" t="s">
        <v>1190</v>
      </c>
      <c r="D931" s="21" t="s">
        <v>1209</v>
      </c>
      <c r="E931" s="33" t="n">
        <v>45341</v>
      </c>
      <c r="F931" s="21" t="s">
        <v>1175</v>
      </c>
      <c r="G931" s="32"/>
      <c r="H931" s="21"/>
      <c r="I931" s="33"/>
      <c r="J931" s="21" t="str">
        <f aca="false">INDEX(Students!$C$2:$C$601,MATCH(B931,Students!$A$2:$A$601,0))</f>
        <v>Batch 2024</v>
      </c>
      <c r="K931" s="21" t="str">
        <f aca="false">INDEX(Students!$D$2:$D$601,MATCH(B931,Students!$A$2:$A$601,0))</f>
        <v>Data Analytics</v>
      </c>
      <c r="L931" s="21" t="str">
        <f aca="false">INDEX(Companies!$C$2:$C$31,MATCH(C931,Companies!$A$2:$A$31,0))</f>
        <v>Analytics &amp; Consulting</v>
      </c>
      <c r="M931" s="21" t="str">
        <f aca="false">INDEX(Companies!$D$2:$D$31,MATCH(C931,Companies!$A$2:$A$31,0))</f>
        <v>Tier 1</v>
      </c>
      <c r="N931" s="34" t="n">
        <f aca="false">MATCH(F931,Assumptions!$K$4:$K$8,0)</f>
        <v>1</v>
      </c>
      <c r="O931" s="21" t="str">
        <f aca="false">IF(H931="Yes",MONTH(I931),"")</f>
        <v/>
      </c>
      <c r="P931" s="21" t="str">
        <f aca="false">IF(H931="Yes",B931,"")</f>
        <v/>
      </c>
    </row>
    <row r="932" customFormat="false" ht="15" hidden="false" customHeight="false" outlineLevel="0" collapsed="false">
      <c r="A932" s="21" t="s">
        <v>2147</v>
      </c>
      <c r="B932" s="21" t="s">
        <v>270</v>
      </c>
      <c r="C932" s="21" t="s">
        <v>1196</v>
      </c>
      <c r="D932" s="21" t="s">
        <v>1181</v>
      </c>
      <c r="E932" s="33" t="n">
        <v>45341</v>
      </c>
      <c r="F932" s="21" t="s">
        <v>1197</v>
      </c>
      <c r="G932" s="32"/>
      <c r="H932" s="21"/>
      <c r="I932" s="33"/>
      <c r="J932" s="21" t="str">
        <f aca="false">INDEX(Students!$C$2:$C$601,MATCH(B932,Students!$A$2:$A$601,0))</f>
        <v>Batch 2024</v>
      </c>
      <c r="K932" s="21" t="str">
        <f aca="false">INDEX(Students!$D$2:$D$601,MATCH(B932,Students!$A$2:$A$601,0))</f>
        <v>Full Stack Development</v>
      </c>
      <c r="L932" s="21" t="str">
        <f aca="false">INDEX(Companies!$C$2:$C$31,MATCH(C932,Companies!$A$2:$A$31,0))</f>
        <v>IT Services</v>
      </c>
      <c r="M932" s="21" t="str">
        <f aca="false">INDEX(Companies!$D$2:$D$31,MATCH(C932,Companies!$A$2:$A$31,0))</f>
        <v>Tier 3</v>
      </c>
      <c r="N932" s="34" t="n">
        <f aca="false">MATCH(F932,Assumptions!$K$4:$K$8,0)</f>
        <v>3</v>
      </c>
      <c r="O932" s="21" t="str">
        <f aca="false">IF(H932="Yes",MONTH(I932),"")</f>
        <v/>
      </c>
      <c r="P932" s="21" t="str">
        <f aca="false">IF(H932="Yes",B932,"")</f>
        <v/>
      </c>
    </row>
    <row r="933" customFormat="false" ht="15" hidden="false" customHeight="false" outlineLevel="0" collapsed="false">
      <c r="A933" s="21" t="s">
        <v>2148</v>
      </c>
      <c r="B933" s="21" t="s">
        <v>235</v>
      </c>
      <c r="C933" s="21" t="s">
        <v>1214</v>
      </c>
      <c r="D933" s="21" t="s">
        <v>1194</v>
      </c>
      <c r="E933" s="33" t="n">
        <v>45341</v>
      </c>
      <c r="F933" s="21" t="s">
        <v>1178</v>
      </c>
      <c r="G933" s="32"/>
      <c r="H933" s="21"/>
      <c r="I933" s="33"/>
      <c r="J933" s="21" t="str">
        <f aca="false">INDEX(Students!$C$2:$C$601,MATCH(B933,Students!$A$2:$A$601,0))</f>
        <v>Batch 2024</v>
      </c>
      <c r="K933" s="21" t="str">
        <f aca="false">INDEX(Students!$D$2:$D$601,MATCH(B933,Students!$A$2:$A$601,0))</f>
        <v>Data Science &amp; ML</v>
      </c>
      <c r="L933" s="21" t="str">
        <f aca="false">INDEX(Companies!$C$2:$C$31,MATCH(C933,Companies!$A$2:$A$31,0))</f>
        <v>Product</v>
      </c>
      <c r="M933" s="21" t="str">
        <f aca="false">INDEX(Companies!$D$2:$D$31,MATCH(C933,Companies!$A$2:$A$31,0))</f>
        <v>Tier 1</v>
      </c>
      <c r="N933" s="34" t="n">
        <f aca="false">MATCH(F933,Assumptions!$K$4:$K$8,0)</f>
        <v>2</v>
      </c>
      <c r="O933" s="21" t="str">
        <f aca="false">IF(H933="Yes",MONTH(I933),"")</f>
        <v/>
      </c>
      <c r="P933" s="21" t="str">
        <f aca="false">IF(H933="Yes",B933,"")</f>
        <v/>
      </c>
    </row>
    <row r="934" customFormat="false" ht="15" hidden="false" customHeight="false" outlineLevel="0" collapsed="false">
      <c r="A934" s="21" t="s">
        <v>2149</v>
      </c>
      <c r="B934" s="21" t="s">
        <v>410</v>
      </c>
      <c r="C934" s="21" t="s">
        <v>1177</v>
      </c>
      <c r="D934" s="21" t="s">
        <v>1181</v>
      </c>
      <c r="E934" s="33" t="n">
        <v>45341</v>
      </c>
      <c r="F934" s="21" t="s">
        <v>1175</v>
      </c>
      <c r="G934" s="32"/>
      <c r="H934" s="21"/>
      <c r="I934" s="33"/>
      <c r="J934" s="21" t="str">
        <f aca="false">INDEX(Students!$C$2:$C$601,MATCH(B934,Students!$A$2:$A$601,0))</f>
        <v>Batch 2024</v>
      </c>
      <c r="K934" s="21" t="str">
        <f aca="false">INDEX(Students!$D$2:$D$601,MATCH(B934,Students!$A$2:$A$601,0))</f>
        <v>Full Stack Development</v>
      </c>
      <c r="L934" s="21" t="str">
        <f aca="false">INDEX(Companies!$C$2:$C$31,MATCH(C934,Companies!$A$2:$A$31,0))</f>
        <v>IT Services</v>
      </c>
      <c r="M934" s="21" t="str">
        <f aca="false">INDEX(Companies!$D$2:$D$31,MATCH(C934,Companies!$A$2:$A$31,0))</f>
        <v>Tier 3</v>
      </c>
      <c r="N934" s="34" t="n">
        <f aca="false">MATCH(F934,Assumptions!$K$4:$K$8,0)</f>
        <v>1</v>
      </c>
      <c r="O934" s="21" t="str">
        <f aca="false">IF(H934="Yes",MONTH(I934),"")</f>
        <v/>
      </c>
      <c r="P934" s="21" t="str">
        <f aca="false">IF(H934="Yes",B934,"")</f>
        <v/>
      </c>
    </row>
    <row r="935" customFormat="false" ht="15" hidden="false" customHeight="false" outlineLevel="0" collapsed="false">
      <c r="A935" s="21" t="s">
        <v>2150</v>
      </c>
      <c r="B935" s="21" t="s">
        <v>372</v>
      </c>
      <c r="C935" s="21" t="s">
        <v>1208</v>
      </c>
      <c r="D935" s="21" t="s">
        <v>1191</v>
      </c>
      <c r="E935" s="33" t="n">
        <v>45341</v>
      </c>
      <c r="F935" s="21" t="s">
        <v>1178</v>
      </c>
      <c r="G935" s="32"/>
      <c r="H935" s="21"/>
      <c r="I935" s="33"/>
      <c r="J935" s="21" t="str">
        <f aca="false">INDEX(Students!$C$2:$C$601,MATCH(B935,Students!$A$2:$A$601,0))</f>
        <v>Batch 2024</v>
      </c>
      <c r="K935" s="21" t="str">
        <f aca="false">INDEX(Students!$D$2:$D$601,MATCH(B935,Students!$A$2:$A$601,0))</f>
        <v>DSA with Java</v>
      </c>
      <c r="L935" s="21" t="str">
        <f aca="false">INDEX(Companies!$C$2:$C$31,MATCH(C935,Companies!$A$2:$A$31,0))</f>
        <v>E-commerce</v>
      </c>
      <c r="M935" s="21" t="str">
        <f aca="false">INDEX(Companies!$D$2:$D$31,MATCH(C935,Companies!$A$2:$A$31,0))</f>
        <v>Tier 1</v>
      </c>
      <c r="N935" s="34" t="n">
        <f aca="false">MATCH(F935,Assumptions!$K$4:$K$8,0)</f>
        <v>2</v>
      </c>
      <c r="O935" s="21" t="str">
        <f aca="false">IF(H935="Yes",MONTH(I935),"")</f>
        <v/>
      </c>
      <c r="P935" s="21" t="str">
        <f aca="false">IF(H935="Yes",B935,"")</f>
        <v/>
      </c>
    </row>
    <row r="936" customFormat="false" ht="15" hidden="false" customHeight="false" outlineLevel="0" collapsed="false">
      <c r="A936" s="21" t="s">
        <v>2151</v>
      </c>
      <c r="B936" s="21" t="s">
        <v>141</v>
      </c>
      <c r="C936" s="21" t="s">
        <v>1228</v>
      </c>
      <c r="D936" s="21" t="s">
        <v>1181</v>
      </c>
      <c r="E936" s="33" t="n">
        <v>45341</v>
      </c>
      <c r="F936" s="21" t="s">
        <v>1185</v>
      </c>
      <c r="G936" s="32" t="n">
        <v>27.2</v>
      </c>
      <c r="H936" s="21" t="s">
        <v>120</v>
      </c>
      <c r="I936" s="33" t="n">
        <v>45367</v>
      </c>
      <c r="J936" s="21" t="str">
        <f aca="false">INDEX(Students!$C$2:$C$601,MATCH(B936,Students!$A$2:$A$601,0))</f>
        <v>Batch 2024</v>
      </c>
      <c r="K936" s="21" t="str">
        <f aca="false">INDEX(Students!$D$2:$D$601,MATCH(B936,Students!$A$2:$A$601,0))</f>
        <v>Full Stack Development</v>
      </c>
      <c r="L936" s="21" t="str">
        <f aca="false">INDEX(Companies!$C$2:$C$31,MATCH(C936,Companies!$A$2:$A$31,0))</f>
        <v>Fintech</v>
      </c>
      <c r="M936" s="21" t="str">
        <f aca="false">INDEX(Companies!$D$2:$D$31,MATCH(C936,Companies!$A$2:$A$31,0))</f>
        <v>Tier 1</v>
      </c>
      <c r="N936" s="34" t="n">
        <f aca="false">MATCH(F936,Assumptions!$K$4:$K$8,0)</f>
        <v>5</v>
      </c>
      <c r="O936" s="21" t="n">
        <f aca="false">IF(H936="Yes",MONTH(I936),"")</f>
        <v>3</v>
      </c>
      <c r="P936" s="21" t="str">
        <f aca="false">IF(H936="Yes",B936,"")</f>
        <v>S0015</v>
      </c>
    </row>
    <row r="937" customFormat="false" ht="15" hidden="false" customHeight="false" outlineLevel="0" collapsed="false">
      <c r="A937" s="21" t="s">
        <v>2152</v>
      </c>
      <c r="B937" s="21" t="s">
        <v>345</v>
      </c>
      <c r="C937" s="21" t="s">
        <v>1266</v>
      </c>
      <c r="D937" s="21" t="s">
        <v>1209</v>
      </c>
      <c r="E937" s="33" t="n">
        <v>45341</v>
      </c>
      <c r="F937" s="21" t="s">
        <v>1178</v>
      </c>
      <c r="G937" s="32"/>
      <c r="H937" s="21"/>
      <c r="I937" s="33"/>
      <c r="J937" s="21" t="str">
        <f aca="false">INDEX(Students!$C$2:$C$601,MATCH(B937,Students!$A$2:$A$601,0))</f>
        <v>Batch 2024</v>
      </c>
      <c r="K937" s="21" t="str">
        <f aca="false">INDEX(Students!$D$2:$D$601,MATCH(B937,Students!$A$2:$A$601,0))</f>
        <v>Data Analytics</v>
      </c>
      <c r="L937" s="21" t="str">
        <f aca="false">INDEX(Companies!$C$2:$C$31,MATCH(C937,Companies!$A$2:$A$31,0))</f>
        <v>IT Services</v>
      </c>
      <c r="M937" s="21" t="str">
        <f aca="false">INDEX(Companies!$D$2:$D$31,MATCH(C937,Companies!$A$2:$A$31,0))</f>
        <v>Tier 3</v>
      </c>
      <c r="N937" s="34" t="n">
        <f aca="false">MATCH(F937,Assumptions!$K$4:$K$8,0)</f>
        <v>2</v>
      </c>
      <c r="O937" s="21" t="str">
        <f aca="false">IF(H937="Yes",MONTH(I937),"")</f>
        <v/>
      </c>
      <c r="P937" s="21" t="str">
        <f aca="false">IF(H937="Yes",B937,"")</f>
        <v/>
      </c>
    </row>
    <row r="938" customFormat="false" ht="15" hidden="false" customHeight="false" outlineLevel="0" collapsed="false">
      <c r="A938" s="21" t="s">
        <v>2153</v>
      </c>
      <c r="B938" s="21" t="s">
        <v>429</v>
      </c>
      <c r="C938" s="21" t="s">
        <v>1196</v>
      </c>
      <c r="D938" s="21" t="s">
        <v>1209</v>
      </c>
      <c r="E938" s="33" t="n">
        <v>45341</v>
      </c>
      <c r="F938" s="21" t="s">
        <v>1197</v>
      </c>
      <c r="G938" s="32"/>
      <c r="H938" s="21"/>
      <c r="I938" s="33"/>
      <c r="J938" s="21" t="str">
        <f aca="false">INDEX(Students!$C$2:$C$601,MATCH(B938,Students!$A$2:$A$601,0))</f>
        <v>Batch 2024</v>
      </c>
      <c r="K938" s="21" t="str">
        <f aca="false">INDEX(Students!$D$2:$D$601,MATCH(B938,Students!$A$2:$A$601,0))</f>
        <v>Data Analytics</v>
      </c>
      <c r="L938" s="21" t="str">
        <f aca="false">INDEX(Companies!$C$2:$C$31,MATCH(C938,Companies!$A$2:$A$31,0))</f>
        <v>IT Services</v>
      </c>
      <c r="M938" s="21" t="str">
        <f aca="false">INDEX(Companies!$D$2:$D$31,MATCH(C938,Companies!$A$2:$A$31,0))</f>
        <v>Tier 3</v>
      </c>
      <c r="N938" s="34" t="n">
        <f aca="false">MATCH(F938,Assumptions!$K$4:$K$8,0)</f>
        <v>3</v>
      </c>
      <c r="O938" s="21" t="str">
        <f aca="false">IF(H938="Yes",MONTH(I938),"")</f>
        <v/>
      </c>
      <c r="P938" s="21" t="str">
        <f aca="false">IF(H938="Yes",B938,"")</f>
        <v/>
      </c>
    </row>
    <row r="939" customFormat="false" ht="15" hidden="false" customHeight="false" outlineLevel="0" collapsed="false">
      <c r="A939" s="21" t="s">
        <v>2154</v>
      </c>
      <c r="B939" s="21" t="s">
        <v>431</v>
      </c>
      <c r="C939" s="21" t="s">
        <v>1208</v>
      </c>
      <c r="D939" s="21" t="s">
        <v>1194</v>
      </c>
      <c r="E939" s="33" t="n">
        <v>45341</v>
      </c>
      <c r="F939" s="21" t="s">
        <v>1175</v>
      </c>
      <c r="G939" s="32"/>
      <c r="H939" s="21"/>
      <c r="I939" s="33"/>
      <c r="J939" s="21" t="str">
        <f aca="false">INDEX(Students!$C$2:$C$601,MATCH(B939,Students!$A$2:$A$601,0))</f>
        <v>Batch 2024</v>
      </c>
      <c r="K939" s="21" t="str">
        <f aca="false">INDEX(Students!$D$2:$D$601,MATCH(B939,Students!$A$2:$A$601,0))</f>
        <v>Data Science &amp; ML</v>
      </c>
      <c r="L939" s="21" t="str">
        <f aca="false">INDEX(Companies!$C$2:$C$31,MATCH(C939,Companies!$A$2:$A$31,0))</f>
        <v>E-commerce</v>
      </c>
      <c r="M939" s="21" t="str">
        <f aca="false">INDEX(Companies!$D$2:$D$31,MATCH(C939,Companies!$A$2:$A$31,0))</f>
        <v>Tier 1</v>
      </c>
      <c r="N939" s="34" t="n">
        <f aca="false">MATCH(F939,Assumptions!$K$4:$K$8,0)</f>
        <v>1</v>
      </c>
      <c r="O939" s="21" t="str">
        <f aca="false">IF(H939="Yes",MONTH(I939),"")</f>
        <v/>
      </c>
      <c r="P939" s="21" t="str">
        <f aca="false">IF(H939="Yes",B939,"")</f>
        <v/>
      </c>
    </row>
    <row r="940" customFormat="false" ht="15" hidden="false" customHeight="false" outlineLevel="0" collapsed="false">
      <c r="A940" s="21" t="s">
        <v>2155</v>
      </c>
      <c r="B940" s="21" t="s">
        <v>207</v>
      </c>
      <c r="C940" s="21" t="s">
        <v>1193</v>
      </c>
      <c r="D940" s="21" t="s">
        <v>1209</v>
      </c>
      <c r="E940" s="33" t="n">
        <v>45342</v>
      </c>
      <c r="F940" s="21" t="s">
        <v>1197</v>
      </c>
      <c r="G940" s="32"/>
      <c r="H940" s="21"/>
      <c r="I940" s="33"/>
      <c r="J940" s="21" t="str">
        <f aca="false">INDEX(Students!$C$2:$C$601,MATCH(B940,Students!$A$2:$A$601,0))</f>
        <v>Batch 2024</v>
      </c>
      <c r="K940" s="21" t="str">
        <f aca="false">INDEX(Students!$D$2:$D$601,MATCH(B940,Students!$A$2:$A$601,0))</f>
        <v>Data Analytics</v>
      </c>
      <c r="L940" s="21" t="str">
        <f aca="false">INDEX(Companies!$C$2:$C$31,MATCH(C940,Companies!$A$2:$A$31,0))</f>
        <v>Analytics &amp; Consulting</v>
      </c>
      <c r="M940" s="21" t="str">
        <f aca="false">INDEX(Companies!$D$2:$D$31,MATCH(C940,Companies!$A$2:$A$31,0))</f>
        <v>Tier 2</v>
      </c>
      <c r="N940" s="34" t="n">
        <f aca="false">MATCH(F940,Assumptions!$K$4:$K$8,0)</f>
        <v>3</v>
      </c>
      <c r="O940" s="21" t="str">
        <f aca="false">IF(H940="Yes",MONTH(I940),"")</f>
        <v/>
      </c>
      <c r="P940" s="21" t="str">
        <f aca="false">IF(H940="Yes",B940,"")</f>
        <v/>
      </c>
    </row>
    <row r="941" customFormat="false" ht="15" hidden="false" customHeight="false" outlineLevel="0" collapsed="false">
      <c r="A941" s="21" t="s">
        <v>2156</v>
      </c>
      <c r="B941" s="21" t="s">
        <v>165</v>
      </c>
      <c r="C941" s="21" t="s">
        <v>1199</v>
      </c>
      <c r="D941" s="21" t="s">
        <v>1191</v>
      </c>
      <c r="E941" s="33" t="n">
        <v>45342</v>
      </c>
      <c r="F941" s="21" t="s">
        <v>1185</v>
      </c>
      <c r="G941" s="32" t="n">
        <v>13</v>
      </c>
      <c r="H941" s="21" t="s">
        <v>120</v>
      </c>
      <c r="I941" s="33" t="n">
        <v>45397</v>
      </c>
      <c r="J941" s="21" t="str">
        <f aca="false">INDEX(Students!$C$2:$C$601,MATCH(B941,Students!$A$2:$A$601,0))</f>
        <v>Batch 2024</v>
      </c>
      <c r="K941" s="21" t="str">
        <f aca="false">INDEX(Students!$D$2:$D$601,MATCH(B941,Students!$A$2:$A$601,0))</f>
        <v>DSA with Java</v>
      </c>
      <c r="L941" s="21" t="str">
        <f aca="false">INDEX(Companies!$C$2:$C$31,MATCH(C941,Companies!$A$2:$A$31,0))</f>
        <v>E-commerce</v>
      </c>
      <c r="M941" s="21" t="str">
        <f aca="false">INDEX(Companies!$D$2:$D$31,MATCH(C941,Companies!$A$2:$A$31,0))</f>
        <v>Tier 2</v>
      </c>
      <c r="N941" s="34" t="n">
        <f aca="false">MATCH(F941,Assumptions!$K$4:$K$8,0)</f>
        <v>5</v>
      </c>
      <c r="O941" s="21" t="n">
        <f aca="false">IF(H941="Yes",MONTH(I941),"")</f>
        <v>4</v>
      </c>
      <c r="P941" s="21" t="str">
        <f aca="false">IF(H941="Yes",B941,"")</f>
        <v>S0027</v>
      </c>
    </row>
    <row r="942" customFormat="false" ht="15" hidden="false" customHeight="false" outlineLevel="0" collapsed="false">
      <c r="A942" s="21" t="s">
        <v>2157</v>
      </c>
      <c r="B942" s="21" t="s">
        <v>422</v>
      </c>
      <c r="C942" s="21" t="s">
        <v>1216</v>
      </c>
      <c r="D942" s="21" t="s">
        <v>1243</v>
      </c>
      <c r="E942" s="33" t="n">
        <v>45342</v>
      </c>
      <c r="F942" s="21" t="s">
        <v>1178</v>
      </c>
      <c r="G942" s="32"/>
      <c r="H942" s="21"/>
      <c r="I942" s="33"/>
      <c r="J942" s="21" t="str">
        <f aca="false">INDEX(Students!$C$2:$C$601,MATCH(B942,Students!$A$2:$A$601,0))</f>
        <v>Batch 2024</v>
      </c>
      <c r="K942" s="21" t="str">
        <f aca="false">INDEX(Students!$D$2:$D$601,MATCH(B942,Students!$A$2:$A$601,0))</f>
        <v>Data Science &amp; ML</v>
      </c>
      <c r="L942" s="21" t="str">
        <f aca="false">INDEX(Companies!$C$2:$C$31,MATCH(C942,Companies!$A$2:$A$31,0))</f>
        <v>IT Services</v>
      </c>
      <c r="M942" s="21" t="str">
        <f aca="false">INDEX(Companies!$D$2:$D$31,MATCH(C942,Companies!$A$2:$A$31,0))</f>
        <v>Tier 3</v>
      </c>
      <c r="N942" s="34" t="n">
        <f aca="false">MATCH(F942,Assumptions!$K$4:$K$8,0)</f>
        <v>2</v>
      </c>
      <c r="O942" s="21" t="str">
        <f aca="false">IF(H942="Yes",MONTH(I942),"")</f>
        <v/>
      </c>
      <c r="P942" s="21" t="str">
        <f aca="false">IF(H942="Yes",B942,"")</f>
        <v/>
      </c>
    </row>
    <row r="943" customFormat="false" ht="15" hidden="false" customHeight="false" outlineLevel="0" collapsed="false">
      <c r="A943" s="21" t="s">
        <v>2158</v>
      </c>
      <c r="B943" s="21" t="s">
        <v>451</v>
      </c>
      <c r="C943" s="21" t="s">
        <v>1177</v>
      </c>
      <c r="D943" s="21" t="s">
        <v>1174</v>
      </c>
      <c r="E943" s="33" t="n">
        <v>45342</v>
      </c>
      <c r="F943" s="21" t="s">
        <v>1185</v>
      </c>
      <c r="G943" s="32" t="n">
        <v>7.8</v>
      </c>
      <c r="H943" s="21" t="s">
        <v>113</v>
      </c>
      <c r="I943" s="33" t="n">
        <v>45381</v>
      </c>
      <c r="J943" s="21" t="str">
        <f aca="false">INDEX(Students!$C$2:$C$601,MATCH(B943,Students!$A$2:$A$601,0))</f>
        <v>Batch 2024</v>
      </c>
      <c r="K943" s="21" t="str">
        <f aca="false">INDEX(Students!$D$2:$D$601,MATCH(B943,Students!$A$2:$A$601,0))</f>
        <v>Full Stack Development</v>
      </c>
      <c r="L943" s="21" t="str">
        <f aca="false">INDEX(Companies!$C$2:$C$31,MATCH(C943,Companies!$A$2:$A$31,0))</f>
        <v>IT Services</v>
      </c>
      <c r="M943" s="21" t="str">
        <f aca="false">INDEX(Companies!$D$2:$D$31,MATCH(C943,Companies!$A$2:$A$31,0))</f>
        <v>Tier 3</v>
      </c>
      <c r="N943" s="34" t="n">
        <f aca="false">MATCH(F943,Assumptions!$K$4:$K$8,0)</f>
        <v>5</v>
      </c>
      <c r="O943" s="21" t="str">
        <f aca="false">IF(H943="Yes",MONTH(I943),"")</f>
        <v/>
      </c>
      <c r="P943" s="21" t="str">
        <f aca="false">IF(H943="Yes",B943,"")</f>
        <v/>
      </c>
    </row>
    <row r="944" customFormat="false" ht="15" hidden="false" customHeight="false" outlineLevel="0" collapsed="false">
      <c r="A944" s="21" t="s">
        <v>2159</v>
      </c>
      <c r="B944" s="21" t="s">
        <v>429</v>
      </c>
      <c r="C944" s="21" t="s">
        <v>1173</v>
      </c>
      <c r="D944" s="21" t="s">
        <v>1209</v>
      </c>
      <c r="E944" s="33" t="n">
        <v>45342</v>
      </c>
      <c r="F944" s="21" t="s">
        <v>1175</v>
      </c>
      <c r="G944" s="32"/>
      <c r="H944" s="21"/>
      <c r="I944" s="33"/>
      <c r="J944" s="21" t="str">
        <f aca="false">INDEX(Students!$C$2:$C$601,MATCH(B944,Students!$A$2:$A$601,0))</f>
        <v>Batch 2024</v>
      </c>
      <c r="K944" s="21" t="str">
        <f aca="false">INDEX(Students!$D$2:$D$601,MATCH(B944,Students!$A$2:$A$601,0))</f>
        <v>Data Analytics</v>
      </c>
      <c r="L944" s="21" t="str">
        <f aca="false">INDEX(Companies!$C$2:$C$31,MATCH(C944,Companies!$A$2:$A$31,0))</f>
        <v>Cybersecurity</v>
      </c>
      <c r="M944" s="21" t="str">
        <f aca="false">INDEX(Companies!$D$2:$D$31,MATCH(C944,Companies!$A$2:$A$31,0))</f>
        <v>Tier 1</v>
      </c>
      <c r="N944" s="34" t="n">
        <f aca="false">MATCH(F944,Assumptions!$K$4:$K$8,0)</f>
        <v>1</v>
      </c>
      <c r="O944" s="21" t="str">
        <f aca="false">IF(H944="Yes",MONTH(I944),"")</f>
        <v/>
      </c>
      <c r="P944" s="21" t="str">
        <f aca="false">IF(H944="Yes",B944,"")</f>
        <v/>
      </c>
    </row>
    <row r="945" customFormat="false" ht="15" hidden="false" customHeight="false" outlineLevel="0" collapsed="false">
      <c r="A945" s="21" t="s">
        <v>2160</v>
      </c>
      <c r="B945" s="21" t="s">
        <v>135</v>
      </c>
      <c r="C945" s="21" t="s">
        <v>1230</v>
      </c>
      <c r="D945" s="21" t="s">
        <v>1191</v>
      </c>
      <c r="E945" s="33" t="n">
        <v>45343</v>
      </c>
      <c r="F945" s="21" t="s">
        <v>1185</v>
      </c>
      <c r="G945" s="32" t="n">
        <v>5</v>
      </c>
      <c r="H945" s="21" t="s">
        <v>113</v>
      </c>
      <c r="I945" s="33" t="n">
        <v>45396</v>
      </c>
      <c r="J945" s="21" t="str">
        <f aca="false">INDEX(Students!$C$2:$C$601,MATCH(B945,Students!$A$2:$A$601,0))</f>
        <v>Batch 2024</v>
      </c>
      <c r="K945" s="21" t="str">
        <f aca="false">INDEX(Students!$D$2:$D$601,MATCH(B945,Students!$A$2:$A$601,0))</f>
        <v>DSA with Java</v>
      </c>
      <c r="L945" s="21" t="str">
        <f aca="false">INDEX(Companies!$C$2:$C$31,MATCH(C945,Companies!$A$2:$A$31,0))</f>
        <v>IT Services</v>
      </c>
      <c r="M945" s="21" t="str">
        <f aca="false">INDEX(Companies!$D$2:$D$31,MATCH(C945,Companies!$A$2:$A$31,0))</f>
        <v>Tier 3</v>
      </c>
      <c r="N945" s="34" t="n">
        <f aca="false">MATCH(F945,Assumptions!$K$4:$K$8,0)</f>
        <v>5</v>
      </c>
      <c r="O945" s="21" t="str">
        <f aca="false">IF(H945="Yes",MONTH(I945),"")</f>
        <v/>
      </c>
      <c r="P945" s="21" t="str">
        <f aca="false">IF(H945="Yes",B945,"")</f>
        <v/>
      </c>
    </row>
    <row r="946" customFormat="false" ht="15" hidden="false" customHeight="false" outlineLevel="0" collapsed="false">
      <c r="A946" s="21" t="s">
        <v>2161</v>
      </c>
      <c r="B946" s="21" t="s">
        <v>447</v>
      </c>
      <c r="C946" s="21" t="s">
        <v>1239</v>
      </c>
      <c r="D946" s="21" t="s">
        <v>1191</v>
      </c>
      <c r="E946" s="33" t="n">
        <v>45343</v>
      </c>
      <c r="F946" s="21" t="s">
        <v>1185</v>
      </c>
      <c r="G946" s="32" t="n">
        <v>5.7</v>
      </c>
      <c r="H946" s="21" t="s">
        <v>113</v>
      </c>
      <c r="I946" s="33" t="n">
        <v>45390</v>
      </c>
      <c r="J946" s="21" t="str">
        <f aca="false">INDEX(Students!$C$2:$C$601,MATCH(B946,Students!$A$2:$A$601,0))</f>
        <v>Batch 2024</v>
      </c>
      <c r="K946" s="21" t="str">
        <f aca="false">INDEX(Students!$D$2:$D$601,MATCH(B946,Students!$A$2:$A$601,0))</f>
        <v>DSA with Java</v>
      </c>
      <c r="L946" s="21" t="str">
        <f aca="false">INDEX(Companies!$C$2:$C$31,MATCH(C946,Companies!$A$2:$A$31,0))</f>
        <v>E-commerce</v>
      </c>
      <c r="M946" s="21" t="str">
        <f aca="false">INDEX(Companies!$D$2:$D$31,MATCH(C946,Companies!$A$2:$A$31,0))</f>
        <v>Tier 3</v>
      </c>
      <c r="N946" s="34" t="n">
        <f aca="false">MATCH(F946,Assumptions!$K$4:$K$8,0)</f>
        <v>5</v>
      </c>
      <c r="O946" s="21" t="str">
        <f aca="false">IF(H946="Yes",MONTH(I946),"")</f>
        <v/>
      </c>
      <c r="P946" s="21" t="str">
        <f aca="false">IF(H946="Yes",B946,"")</f>
        <v/>
      </c>
    </row>
    <row r="947" customFormat="false" ht="15" hidden="false" customHeight="false" outlineLevel="0" collapsed="false">
      <c r="A947" s="21" t="s">
        <v>2162</v>
      </c>
      <c r="B947" s="21" t="s">
        <v>133</v>
      </c>
      <c r="C947" s="21" t="s">
        <v>1309</v>
      </c>
      <c r="D947" s="21" t="s">
        <v>1209</v>
      </c>
      <c r="E947" s="33" t="n">
        <v>45343</v>
      </c>
      <c r="F947" s="21" t="s">
        <v>1178</v>
      </c>
      <c r="G947" s="32"/>
      <c r="H947" s="21"/>
      <c r="I947" s="33"/>
      <c r="J947" s="21" t="str">
        <f aca="false">INDEX(Students!$C$2:$C$601,MATCH(B947,Students!$A$2:$A$601,0))</f>
        <v>Batch 2024</v>
      </c>
      <c r="K947" s="21" t="str">
        <f aca="false">INDEX(Students!$D$2:$D$601,MATCH(B947,Students!$A$2:$A$601,0))</f>
        <v>Data Analytics</v>
      </c>
      <c r="L947" s="21" t="str">
        <f aca="false">INDEX(Companies!$C$2:$C$31,MATCH(C947,Companies!$A$2:$A$31,0))</f>
        <v>EdTech</v>
      </c>
      <c r="M947" s="21" t="str">
        <f aca="false">INDEX(Companies!$D$2:$D$31,MATCH(C947,Companies!$A$2:$A$31,0))</f>
        <v>Tier 2</v>
      </c>
      <c r="N947" s="34" t="n">
        <f aca="false">MATCH(F947,Assumptions!$K$4:$K$8,0)</f>
        <v>2</v>
      </c>
      <c r="O947" s="21" t="str">
        <f aca="false">IF(H947="Yes",MONTH(I947),"")</f>
        <v/>
      </c>
      <c r="P947" s="21" t="str">
        <f aca="false">IF(H947="Yes",B947,"")</f>
        <v/>
      </c>
    </row>
    <row r="948" customFormat="false" ht="15" hidden="false" customHeight="false" outlineLevel="0" collapsed="false">
      <c r="A948" s="21" t="s">
        <v>2163</v>
      </c>
      <c r="B948" s="21" t="s">
        <v>328</v>
      </c>
      <c r="C948" s="21" t="s">
        <v>1290</v>
      </c>
      <c r="D948" s="21" t="s">
        <v>1240</v>
      </c>
      <c r="E948" s="33" t="n">
        <v>45344</v>
      </c>
      <c r="F948" s="21" t="s">
        <v>1175</v>
      </c>
      <c r="G948" s="32"/>
      <c r="H948" s="21"/>
      <c r="I948" s="33"/>
      <c r="J948" s="21" t="str">
        <f aca="false">INDEX(Students!$C$2:$C$601,MATCH(B948,Students!$A$2:$A$601,0))</f>
        <v>Batch 2024</v>
      </c>
      <c r="K948" s="21" t="str">
        <f aca="false">INDEX(Students!$D$2:$D$601,MATCH(B948,Students!$A$2:$A$601,0))</f>
        <v>Cybersecurity</v>
      </c>
      <c r="L948" s="21" t="str">
        <f aca="false">INDEX(Companies!$C$2:$C$31,MATCH(C948,Companies!$A$2:$A$31,0))</f>
        <v>Fintech</v>
      </c>
      <c r="M948" s="21" t="str">
        <f aca="false">INDEX(Companies!$D$2:$D$31,MATCH(C948,Companies!$A$2:$A$31,0))</f>
        <v>Tier 2</v>
      </c>
      <c r="N948" s="34" t="n">
        <f aca="false">MATCH(F948,Assumptions!$K$4:$K$8,0)</f>
        <v>1</v>
      </c>
      <c r="O948" s="21" t="str">
        <f aca="false">IF(H948="Yes",MONTH(I948),"")</f>
        <v/>
      </c>
      <c r="P948" s="21" t="str">
        <f aca="false">IF(H948="Yes",B948,"")</f>
        <v/>
      </c>
    </row>
    <row r="949" customFormat="false" ht="15" hidden="false" customHeight="false" outlineLevel="0" collapsed="false">
      <c r="A949" s="21" t="s">
        <v>2164</v>
      </c>
      <c r="B949" s="21" t="s">
        <v>313</v>
      </c>
      <c r="C949" s="21" t="s">
        <v>1230</v>
      </c>
      <c r="D949" s="21" t="s">
        <v>1184</v>
      </c>
      <c r="E949" s="33" t="n">
        <v>45344</v>
      </c>
      <c r="F949" s="21" t="s">
        <v>1175</v>
      </c>
      <c r="G949" s="32"/>
      <c r="H949" s="21"/>
      <c r="I949" s="33"/>
      <c r="J949" s="21" t="str">
        <f aca="false">INDEX(Students!$C$2:$C$601,MATCH(B949,Students!$A$2:$A$601,0))</f>
        <v>Batch 2024</v>
      </c>
      <c r="K949" s="21" t="str">
        <f aca="false">INDEX(Students!$D$2:$D$601,MATCH(B949,Students!$A$2:$A$601,0))</f>
        <v>DSA with Java</v>
      </c>
      <c r="L949" s="21" t="str">
        <f aca="false">INDEX(Companies!$C$2:$C$31,MATCH(C949,Companies!$A$2:$A$31,0))</f>
        <v>IT Services</v>
      </c>
      <c r="M949" s="21" t="str">
        <f aca="false">INDEX(Companies!$D$2:$D$31,MATCH(C949,Companies!$A$2:$A$31,0))</f>
        <v>Tier 3</v>
      </c>
      <c r="N949" s="34" t="n">
        <f aca="false">MATCH(F949,Assumptions!$K$4:$K$8,0)</f>
        <v>1</v>
      </c>
      <c r="O949" s="21" t="str">
        <f aca="false">IF(H949="Yes",MONTH(I949),"")</f>
        <v/>
      </c>
      <c r="P949" s="21" t="str">
        <f aca="false">IF(H949="Yes",B949,"")</f>
        <v/>
      </c>
    </row>
    <row r="950" customFormat="false" ht="15" hidden="false" customHeight="false" outlineLevel="0" collapsed="false">
      <c r="A950" s="21" t="s">
        <v>2165</v>
      </c>
      <c r="B950" s="21" t="s">
        <v>171</v>
      </c>
      <c r="C950" s="21" t="s">
        <v>1263</v>
      </c>
      <c r="D950" s="21" t="s">
        <v>1240</v>
      </c>
      <c r="E950" s="33" t="n">
        <v>45344</v>
      </c>
      <c r="F950" s="21" t="s">
        <v>1175</v>
      </c>
      <c r="G950" s="32"/>
      <c r="H950" s="21"/>
      <c r="I950" s="33"/>
      <c r="J950" s="21" t="str">
        <f aca="false">INDEX(Students!$C$2:$C$601,MATCH(B950,Students!$A$2:$A$601,0))</f>
        <v>Batch 2024</v>
      </c>
      <c r="K950" s="21" t="str">
        <f aca="false">INDEX(Students!$D$2:$D$601,MATCH(B950,Students!$A$2:$A$601,0))</f>
        <v>Cybersecurity</v>
      </c>
      <c r="L950" s="21" t="str">
        <f aca="false">INDEX(Companies!$C$2:$C$31,MATCH(C950,Companies!$A$2:$A$31,0))</f>
        <v>Analytics &amp; Consulting</v>
      </c>
      <c r="M950" s="21" t="str">
        <f aca="false">INDEX(Companies!$D$2:$D$31,MATCH(C950,Companies!$A$2:$A$31,0))</f>
        <v>Tier 2</v>
      </c>
      <c r="N950" s="34" t="n">
        <f aca="false">MATCH(F950,Assumptions!$K$4:$K$8,0)</f>
        <v>1</v>
      </c>
      <c r="O950" s="21" t="str">
        <f aca="false">IF(H950="Yes",MONTH(I950),"")</f>
        <v/>
      </c>
      <c r="P950" s="21" t="str">
        <f aca="false">IF(H950="Yes",B950,"")</f>
        <v/>
      </c>
    </row>
    <row r="951" customFormat="false" ht="15" hidden="false" customHeight="false" outlineLevel="0" collapsed="false">
      <c r="A951" s="21" t="s">
        <v>2166</v>
      </c>
      <c r="B951" s="21" t="s">
        <v>349</v>
      </c>
      <c r="C951" s="21" t="s">
        <v>1322</v>
      </c>
      <c r="D951" s="21" t="s">
        <v>1243</v>
      </c>
      <c r="E951" s="33" t="n">
        <v>45345</v>
      </c>
      <c r="F951" s="21" t="s">
        <v>1178</v>
      </c>
      <c r="G951" s="32"/>
      <c r="H951" s="21"/>
      <c r="I951" s="33"/>
      <c r="J951" s="21" t="str">
        <f aca="false">INDEX(Students!$C$2:$C$601,MATCH(B951,Students!$A$2:$A$601,0))</f>
        <v>Batch 2024</v>
      </c>
      <c r="K951" s="21" t="str">
        <f aca="false">INDEX(Students!$D$2:$D$601,MATCH(B951,Students!$A$2:$A$601,0))</f>
        <v>Data Science &amp; ML</v>
      </c>
      <c r="L951" s="21" t="str">
        <f aca="false">INDEX(Companies!$C$2:$C$31,MATCH(C951,Companies!$A$2:$A$31,0))</f>
        <v>Healthtech</v>
      </c>
      <c r="M951" s="21" t="str">
        <f aca="false">INDEX(Companies!$D$2:$D$31,MATCH(C951,Companies!$A$2:$A$31,0))</f>
        <v>Tier 2</v>
      </c>
      <c r="N951" s="34" t="n">
        <f aca="false">MATCH(F951,Assumptions!$K$4:$K$8,0)</f>
        <v>2</v>
      </c>
      <c r="O951" s="21" t="str">
        <f aca="false">IF(H951="Yes",MONTH(I951),"")</f>
        <v/>
      </c>
      <c r="P951" s="21" t="str">
        <f aca="false">IF(H951="Yes",B951,"")</f>
        <v/>
      </c>
    </row>
    <row r="952" customFormat="false" ht="15" hidden="false" customHeight="false" outlineLevel="0" collapsed="false">
      <c r="A952" s="21" t="s">
        <v>2167</v>
      </c>
      <c r="B952" s="21" t="s">
        <v>339</v>
      </c>
      <c r="C952" s="21" t="s">
        <v>1177</v>
      </c>
      <c r="D952" s="21" t="s">
        <v>1240</v>
      </c>
      <c r="E952" s="33" t="n">
        <v>45345</v>
      </c>
      <c r="F952" s="21" t="s">
        <v>1185</v>
      </c>
      <c r="G952" s="32" t="n">
        <v>4.9</v>
      </c>
      <c r="H952" s="21" t="s">
        <v>113</v>
      </c>
      <c r="I952" s="33" t="n">
        <v>45400</v>
      </c>
      <c r="J952" s="21" t="str">
        <f aca="false">INDEX(Students!$C$2:$C$601,MATCH(B952,Students!$A$2:$A$601,0))</f>
        <v>Batch 2024</v>
      </c>
      <c r="K952" s="21" t="str">
        <f aca="false">INDEX(Students!$D$2:$D$601,MATCH(B952,Students!$A$2:$A$601,0))</f>
        <v>Cybersecurity</v>
      </c>
      <c r="L952" s="21" t="str">
        <f aca="false">INDEX(Companies!$C$2:$C$31,MATCH(C952,Companies!$A$2:$A$31,0))</f>
        <v>IT Services</v>
      </c>
      <c r="M952" s="21" t="str">
        <f aca="false">INDEX(Companies!$D$2:$D$31,MATCH(C952,Companies!$A$2:$A$31,0))</f>
        <v>Tier 3</v>
      </c>
      <c r="N952" s="34" t="n">
        <f aca="false">MATCH(F952,Assumptions!$K$4:$K$8,0)</f>
        <v>5</v>
      </c>
      <c r="O952" s="21" t="str">
        <f aca="false">IF(H952="Yes",MONTH(I952),"")</f>
        <v/>
      </c>
      <c r="P952" s="21" t="str">
        <f aca="false">IF(H952="Yes",B952,"")</f>
        <v/>
      </c>
    </row>
    <row r="953" customFormat="false" ht="15" hidden="false" customHeight="false" outlineLevel="0" collapsed="false">
      <c r="A953" s="21" t="s">
        <v>2168</v>
      </c>
      <c r="B953" s="21" t="s">
        <v>391</v>
      </c>
      <c r="C953" s="21" t="s">
        <v>1255</v>
      </c>
      <c r="D953" s="21" t="s">
        <v>1188</v>
      </c>
      <c r="E953" s="33" t="n">
        <v>45345</v>
      </c>
      <c r="F953" s="21" t="s">
        <v>1185</v>
      </c>
      <c r="G953" s="32" t="n">
        <v>5.2</v>
      </c>
      <c r="H953" s="21" t="s">
        <v>120</v>
      </c>
      <c r="I953" s="33" t="n">
        <v>45375</v>
      </c>
      <c r="J953" s="21" t="str">
        <f aca="false">INDEX(Students!$C$2:$C$601,MATCH(B953,Students!$A$2:$A$601,0))</f>
        <v>Batch 2024</v>
      </c>
      <c r="K953" s="21" t="str">
        <f aca="false">INDEX(Students!$D$2:$D$601,MATCH(B953,Students!$A$2:$A$601,0))</f>
        <v>Data Analytics</v>
      </c>
      <c r="L953" s="21" t="str">
        <f aca="false">INDEX(Companies!$C$2:$C$31,MATCH(C953,Companies!$A$2:$A$31,0))</f>
        <v>IT Services</v>
      </c>
      <c r="M953" s="21" t="str">
        <f aca="false">INDEX(Companies!$D$2:$D$31,MATCH(C953,Companies!$A$2:$A$31,0))</f>
        <v>Tier 3</v>
      </c>
      <c r="N953" s="34" t="n">
        <f aca="false">MATCH(F953,Assumptions!$K$4:$K$8,0)</f>
        <v>5</v>
      </c>
      <c r="O953" s="21" t="n">
        <f aca="false">IF(H953="Yes",MONTH(I953),"")</f>
        <v>3</v>
      </c>
      <c r="P953" s="21" t="str">
        <f aca="false">IF(H953="Yes",B953,"")</f>
        <v>S0145</v>
      </c>
    </row>
    <row r="954" customFormat="false" ht="15" hidden="false" customHeight="false" outlineLevel="0" collapsed="false">
      <c r="A954" s="21" t="s">
        <v>2169</v>
      </c>
      <c r="B954" s="21" t="s">
        <v>449</v>
      </c>
      <c r="C954" s="21" t="s">
        <v>1183</v>
      </c>
      <c r="D954" s="21" t="s">
        <v>1209</v>
      </c>
      <c r="E954" s="33" t="n">
        <v>45345</v>
      </c>
      <c r="F954" s="21" t="s">
        <v>1175</v>
      </c>
      <c r="G954" s="32"/>
      <c r="H954" s="21"/>
      <c r="I954" s="33"/>
      <c r="J954" s="21" t="str">
        <f aca="false">INDEX(Students!$C$2:$C$601,MATCH(B954,Students!$A$2:$A$601,0))</f>
        <v>Batch 2024</v>
      </c>
      <c r="K954" s="21" t="str">
        <f aca="false">INDEX(Students!$D$2:$D$601,MATCH(B954,Students!$A$2:$A$601,0))</f>
        <v>Data Analytics</v>
      </c>
      <c r="L954" s="21" t="str">
        <f aca="false">INDEX(Companies!$C$2:$C$31,MATCH(C954,Companies!$A$2:$A$31,0))</f>
        <v>E-commerce</v>
      </c>
      <c r="M954" s="21" t="str">
        <f aca="false">INDEX(Companies!$D$2:$D$31,MATCH(C954,Companies!$A$2:$A$31,0))</f>
        <v>Tier 2</v>
      </c>
      <c r="N954" s="34" t="n">
        <f aca="false">MATCH(F954,Assumptions!$K$4:$K$8,0)</f>
        <v>1</v>
      </c>
      <c r="O954" s="21" t="str">
        <f aca="false">IF(H954="Yes",MONTH(I954),"")</f>
        <v/>
      </c>
      <c r="P954" s="21" t="str">
        <f aca="false">IF(H954="Yes",B954,"")</f>
        <v/>
      </c>
    </row>
    <row r="955" customFormat="false" ht="15" hidden="false" customHeight="false" outlineLevel="0" collapsed="false">
      <c r="A955" s="21" t="s">
        <v>2170</v>
      </c>
      <c r="B955" s="21" t="s">
        <v>334</v>
      </c>
      <c r="C955" s="21" t="s">
        <v>1196</v>
      </c>
      <c r="D955" s="21" t="s">
        <v>1194</v>
      </c>
      <c r="E955" s="33" t="n">
        <v>45346</v>
      </c>
      <c r="F955" s="21" t="s">
        <v>1185</v>
      </c>
      <c r="G955" s="32" t="n">
        <v>5.2</v>
      </c>
      <c r="H955" s="21" t="s">
        <v>113</v>
      </c>
      <c r="I955" s="33" t="n">
        <v>45369</v>
      </c>
      <c r="J955" s="21" t="str">
        <f aca="false">INDEX(Students!$C$2:$C$601,MATCH(B955,Students!$A$2:$A$601,0))</f>
        <v>Batch 2024</v>
      </c>
      <c r="K955" s="21" t="str">
        <f aca="false">INDEX(Students!$D$2:$D$601,MATCH(B955,Students!$A$2:$A$601,0))</f>
        <v>Data Science &amp; ML</v>
      </c>
      <c r="L955" s="21" t="str">
        <f aca="false">INDEX(Companies!$C$2:$C$31,MATCH(C955,Companies!$A$2:$A$31,0))</f>
        <v>IT Services</v>
      </c>
      <c r="M955" s="21" t="str">
        <f aca="false">INDEX(Companies!$D$2:$D$31,MATCH(C955,Companies!$A$2:$A$31,0))</f>
        <v>Tier 3</v>
      </c>
      <c r="N955" s="34" t="n">
        <f aca="false">MATCH(F955,Assumptions!$K$4:$K$8,0)</f>
        <v>5</v>
      </c>
      <c r="O955" s="21" t="str">
        <f aca="false">IF(H955="Yes",MONTH(I955),"")</f>
        <v/>
      </c>
      <c r="P955" s="21" t="str">
        <f aca="false">IF(H955="Yes",B955,"")</f>
        <v/>
      </c>
    </row>
    <row r="956" customFormat="false" ht="15" hidden="false" customHeight="false" outlineLevel="0" collapsed="false">
      <c r="A956" s="21" t="s">
        <v>2171</v>
      </c>
      <c r="B956" s="21" t="s">
        <v>323</v>
      </c>
      <c r="C956" s="21" t="s">
        <v>1234</v>
      </c>
      <c r="D956" s="21" t="s">
        <v>1243</v>
      </c>
      <c r="E956" s="33" t="n">
        <v>45346</v>
      </c>
      <c r="F956" s="21" t="s">
        <v>1185</v>
      </c>
      <c r="G956" s="32" t="n">
        <v>4.2</v>
      </c>
      <c r="H956" s="21" t="s">
        <v>113</v>
      </c>
      <c r="I956" s="33" t="n">
        <v>45394</v>
      </c>
      <c r="J956" s="21" t="str">
        <f aca="false">INDEX(Students!$C$2:$C$601,MATCH(B956,Students!$A$2:$A$601,0))</f>
        <v>Batch 2024</v>
      </c>
      <c r="K956" s="21" t="str">
        <f aca="false">INDEX(Students!$D$2:$D$601,MATCH(B956,Students!$A$2:$A$601,0))</f>
        <v>Data Science &amp; ML</v>
      </c>
      <c r="L956" s="21" t="str">
        <f aca="false">INDEX(Companies!$C$2:$C$31,MATCH(C956,Companies!$A$2:$A$31,0))</f>
        <v>EdTech</v>
      </c>
      <c r="M956" s="21" t="str">
        <f aca="false">INDEX(Companies!$D$2:$D$31,MATCH(C956,Companies!$A$2:$A$31,0))</f>
        <v>Tier 3</v>
      </c>
      <c r="N956" s="34" t="n">
        <f aca="false">MATCH(F956,Assumptions!$K$4:$K$8,0)</f>
        <v>5</v>
      </c>
      <c r="O956" s="21" t="str">
        <f aca="false">IF(H956="Yes",MONTH(I956),"")</f>
        <v/>
      </c>
      <c r="P956" s="21" t="str">
        <f aca="false">IF(H956="Yes",B956,"")</f>
        <v/>
      </c>
    </row>
    <row r="957" customFormat="false" ht="15" hidden="false" customHeight="false" outlineLevel="0" collapsed="false">
      <c r="A957" s="21" t="s">
        <v>2172</v>
      </c>
      <c r="B957" s="21" t="s">
        <v>161</v>
      </c>
      <c r="C957" s="21" t="s">
        <v>1230</v>
      </c>
      <c r="D957" s="21" t="s">
        <v>1209</v>
      </c>
      <c r="E957" s="33" t="n">
        <v>45346</v>
      </c>
      <c r="F957" s="21" t="s">
        <v>1185</v>
      </c>
      <c r="G957" s="32" t="n">
        <v>7.2</v>
      </c>
      <c r="H957" s="21" t="s">
        <v>120</v>
      </c>
      <c r="I957" s="33" t="n">
        <v>45399</v>
      </c>
      <c r="J957" s="21" t="str">
        <f aca="false">INDEX(Students!$C$2:$C$601,MATCH(B957,Students!$A$2:$A$601,0))</f>
        <v>Batch 2024</v>
      </c>
      <c r="K957" s="21" t="str">
        <f aca="false">INDEX(Students!$D$2:$D$601,MATCH(B957,Students!$A$2:$A$601,0))</f>
        <v>Data Analytics</v>
      </c>
      <c r="L957" s="21" t="str">
        <f aca="false">INDEX(Companies!$C$2:$C$31,MATCH(C957,Companies!$A$2:$A$31,0))</f>
        <v>IT Services</v>
      </c>
      <c r="M957" s="21" t="str">
        <f aca="false">INDEX(Companies!$D$2:$D$31,MATCH(C957,Companies!$A$2:$A$31,0))</f>
        <v>Tier 3</v>
      </c>
      <c r="N957" s="34" t="n">
        <f aca="false">MATCH(F957,Assumptions!$K$4:$K$8,0)</f>
        <v>5</v>
      </c>
      <c r="O957" s="21" t="n">
        <f aca="false">IF(H957="Yes",MONTH(I957),"")</f>
        <v>4</v>
      </c>
      <c r="P957" s="21" t="str">
        <f aca="false">IF(H957="Yes",B957,"")</f>
        <v>S0025</v>
      </c>
    </row>
    <row r="958" customFormat="false" ht="15" hidden="false" customHeight="false" outlineLevel="0" collapsed="false">
      <c r="A958" s="21" t="s">
        <v>2173</v>
      </c>
      <c r="B958" s="21" t="s">
        <v>289</v>
      </c>
      <c r="C958" s="21" t="s">
        <v>1239</v>
      </c>
      <c r="D958" s="21" t="s">
        <v>1191</v>
      </c>
      <c r="E958" s="33" t="n">
        <v>45346</v>
      </c>
      <c r="F958" s="21" t="s">
        <v>1197</v>
      </c>
      <c r="G958" s="32"/>
      <c r="H958" s="21"/>
      <c r="I958" s="33"/>
      <c r="J958" s="21" t="str">
        <f aca="false">INDEX(Students!$C$2:$C$601,MATCH(B958,Students!$A$2:$A$601,0))</f>
        <v>Batch 2024</v>
      </c>
      <c r="K958" s="21" t="str">
        <f aca="false">INDEX(Students!$D$2:$D$601,MATCH(B958,Students!$A$2:$A$601,0))</f>
        <v>DSA with Java</v>
      </c>
      <c r="L958" s="21" t="str">
        <f aca="false">INDEX(Companies!$C$2:$C$31,MATCH(C958,Companies!$A$2:$A$31,0))</f>
        <v>E-commerce</v>
      </c>
      <c r="M958" s="21" t="str">
        <f aca="false">INDEX(Companies!$D$2:$D$31,MATCH(C958,Companies!$A$2:$A$31,0))</f>
        <v>Tier 3</v>
      </c>
      <c r="N958" s="34" t="n">
        <f aca="false">MATCH(F958,Assumptions!$K$4:$K$8,0)</f>
        <v>3</v>
      </c>
      <c r="O958" s="21" t="str">
        <f aca="false">IF(H958="Yes",MONTH(I958),"")</f>
        <v/>
      </c>
      <c r="P958" s="21" t="str">
        <f aca="false">IF(H958="Yes",B958,"")</f>
        <v/>
      </c>
    </row>
    <row r="959" customFormat="false" ht="15" hidden="false" customHeight="false" outlineLevel="0" collapsed="false">
      <c r="A959" s="21" t="s">
        <v>2174</v>
      </c>
      <c r="B959" s="21" t="s">
        <v>451</v>
      </c>
      <c r="C959" s="21" t="s">
        <v>1275</v>
      </c>
      <c r="D959" s="21" t="s">
        <v>1181</v>
      </c>
      <c r="E959" s="33" t="n">
        <v>45347</v>
      </c>
      <c r="F959" s="21" t="s">
        <v>1185</v>
      </c>
      <c r="G959" s="32" t="n">
        <v>15.8</v>
      </c>
      <c r="H959" s="21" t="s">
        <v>120</v>
      </c>
      <c r="I959" s="33" t="n">
        <v>45397</v>
      </c>
      <c r="J959" s="21" t="str">
        <f aca="false">INDEX(Students!$C$2:$C$601,MATCH(B959,Students!$A$2:$A$601,0))</f>
        <v>Batch 2024</v>
      </c>
      <c r="K959" s="21" t="str">
        <f aca="false">INDEX(Students!$D$2:$D$601,MATCH(B959,Students!$A$2:$A$601,0))</f>
        <v>Full Stack Development</v>
      </c>
      <c r="L959" s="21" t="str">
        <f aca="false">INDEX(Companies!$C$2:$C$31,MATCH(C959,Companies!$A$2:$A$31,0))</f>
        <v>Cybersecurity</v>
      </c>
      <c r="M959" s="21" t="str">
        <f aca="false">INDEX(Companies!$D$2:$D$31,MATCH(C959,Companies!$A$2:$A$31,0))</f>
        <v>Tier 2</v>
      </c>
      <c r="N959" s="34" t="n">
        <f aca="false">MATCH(F959,Assumptions!$K$4:$K$8,0)</f>
        <v>5</v>
      </c>
      <c r="O959" s="21" t="n">
        <f aca="false">IF(H959="Yes",MONTH(I959),"")</f>
        <v>4</v>
      </c>
      <c r="P959" s="21" t="str">
        <f aca="false">IF(H959="Yes",B959,"")</f>
        <v>S0178</v>
      </c>
    </row>
    <row r="960" customFormat="false" ht="15" hidden="false" customHeight="false" outlineLevel="0" collapsed="false">
      <c r="A960" s="21" t="s">
        <v>2175</v>
      </c>
      <c r="B960" s="21" t="s">
        <v>225</v>
      </c>
      <c r="C960" s="21" t="s">
        <v>1196</v>
      </c>
      <c r="D960" s="21" t="s">
        <v>1174</v>
      </c>
      <c r="E960" s="33" t="n">
        <v>45347</v>
      </c>
      <c r="F960" s="21" t="s">
        <v>1175</v>
      </c>
      <c r="G960" s="32"/>
      <c r="H960" s="21"/>
      <c r="I960" s="33"/>
      <c r="J960" s="21" t="str">
        <f aca="false">INDEX(Students!$C$2:$C$601,MATCH(B960,Students!$A$2:$A$601,0))</f>
        <v>Batch 2024</v>
      </c>
      <c r="K960" s="21" t="str">
        <f aca="false">INDEX(Students!$D$2:$D$601,MATCH(B960,Students!$A$2:$A$601,0))</f>
        <v>Full Stack Development</v>
      </c>
      <c r="L960" s="21" t="str">
        <f aca="false">INDEX(Companies!$C$2:$C$31,MATCH(C960,Companies!$A$2:$A$31,0))</f>
        <v>IT Services</v>
      </c>
      <c r="M960" s="21" t="str">
        <f aca="false">INDEX(Companies!$D$2:$D$31,MATCH(C960,Companies!$A$2:$A$31,0))</f>
        <v>Tier 3</v>
      </c>
      <c r="N960" s="34" t="n">
        <f aca="false">MATCH(F960,Assumptions!$K$4:$K$8,0)</f>
        <v>1</v>
      </c>
      <c r="O960" s="21" t="str">
        <f aca="false">IF(H960="Yes",MONTH(I960),"")</f>
        <v/>
      </c>
      <c r="P960" s="21" t="str">
        <f aca="false">IF(H960="Yes",B960,"")</f>
        <v/>
      </c>
    </row>
    <row r="961" customFormat="false" ht="15" hidden="false" customHeight="false" outlineLevel="0" collapsed="false">
      <c r="A961" s="21" t="s">
        <v>2176</v>
      </c>
      <c r="B961" s="21" t="s">
        <v>179</v>
      </c>
      <c r="C961" s="21" t="s">
        <v>1266</v>
      </c>
      <c r="D961" s="21" t="s">
        <v>1184</v>
      </c>
      <c r="E961" s="33" t="n">
        <v>45347</v>
      </c>
      <c r="F961" s="21" t="s">
        <v>1175</v>
      </c>
      <c r="G961" s="32"/>
      <c r="H961" s="21"/>
      <c r="I961" s="33"/>
      <c r="J961" s="21" t="str">
        <f aca="false">INDEX(Students!$C$2:$C$601,MATCH(B961,Students!$A$2:$A$601,0))</f>
        <v>Batch 2024</v>
      </c>
      <c r="K961" s="21" t="str">
        <f aca="false">INDEX(Students!$D$2:$D$601,MATCH(B961,Students!$A$2:$A$601,0))</f>
        <v>DSA with Java</v>
      </c>
      <c r="L961" s="21" t="str">
        <f aca="false">INDEX(Companies!$C$2:$C$31,MATCH(C961,Companies!$A$2:$A$31,0))</f>
        <v>IT Services</v>
      </c>
      <c r="M961" s="21" t="str">
        <f aca="false">INDEX(Companies!$D$2:$D$31,MATCH(C961,Companies!$A$2:$A$31,0))</f>
        <v>Tier 3</v>
      </c>
      <c r="N961" s="34" t="n">
        <f aca="false">MATCH(F961,Assumptions!$K$4:$K$8,0)</f>
        <v>1</v>
      </c>
      <c r="O961" s="21" t="str">
        <f aca="false">IF(H961="Yes",MONTH(I961),"")</f>
        <v/>
      </c>
      <c r="P961" s="21" t="str">
        <f aca="false">IF(H961="Yes",B961,"")</f>
        <v/>
      </c>
    </row>
    <row r="962" customFormat="false" ht="15" hidden="false" customHeight="false" outlineLevel="0" collapsed="false">
      <c r="A962" s="21" t="s">
        <v>2177</v>
      </c>
      <c r="B962" s="21" t="s">
        <v>334</v>
      </c>
      <c r="C962" s="21" t="s">
        <v>1230</v>
      </c>
      <c r="D962" s="21" t="s">
        <v>1243</v>
      </c>
      <c r="E962" s="33" t="n">
        <v>45347</v>
      </c>
      <c r="F962" s="21" t="s">
        <v>1178</v>
      </c>
      <c r="G962" s="32"/>
      <c r="H962" s="21"/>
      <c r="I962" s="33"/>
      <c r="J962" s="21" t="str">
        <f aca="false">INDEX(Students!$C$2:$C$601,MATCH(B962,Students!$A$2:$A$601,0))</f>
        <v>Batch 2024</v>
      </c>
      <c r="K962" s="21" t="str">
        <f aca="false">INDEX(Students!$D$2:$D$601,MATCH(B962,Students!$A$2:$A$601,0))</f>
        <v>Data Science &amp; ML</v>
      </c>
      <c r="L962" s="21" t="str">
        <f aca="false">INDEX(Companies!$C$2:$C$31,MATCH(C962,Companies!$A$2:$A$31,0))</f>
        <v>IT Services</v>
      </c>
      <c r="M962" s="21" t="str">
        <f aca="false">INDEX(Companies!$D$2:$D$31,MATCH(C962,Companies!$A$2:$A$31,0))</f>
        <v>Tier 3</v>
      </c>
      <c r="N962" s="34" t="n">
        <f aca="false">MATCH(F962,Assumptions!$K$4:$K$8,0)</f>
        <v>2</v>
      </c>
      <c r="O962" s="21" t="str">
        <f aca="false">IF(H962="Yes",MONTH(I962),"")</f>
        <v/>
      </c>
      <c r="P962" s="21" t="str">
        <f aca="false">IF(H962="Yes",B962,"")</f>
        <v/>
      </c>
    </row>
    <row r="963" customFormat="false" ht="15" hidden="false" customHeight="false" outlineLevel="0" collapsed="false">
      <c r="A963" s="21" t="s">
        <v>2178</v>
      </c>
      <c r="B963" s="21" t="s">
        <v>427</v>
      </c>
      <c r="C963" s="21" t="s">
        <v>1199</v>
      </c>
      <c r="D963" s="21" t="s">
        <v>1181</v>
      </c>
      <c r="E963" s="33" t="n">
        <v>45347</v>
      </c>
      <c r="F963" s="21" t="s">
        <v>1175</v>
      </c>
      <c r="G963" s="32"/>
      <c r="H963" s="21"/>
      <c r="I963" s="33"/>
      <c r="J963" s="21" t="str">
        <f aca="false">INDEX(Students!$C$2:$C$601,MATCH(B963,Students!$A$2:$A$601,0))</f>
        <v>Batch 2024</v>
      </c>
      <c r="K963" s="21" t="str">
        <f aca="false">INDEX(Students!$D$2:$D$601,MATCH(B963,Students!$A$2:$A$601,0))</f>
        <v>Full Stack Development</v>
      </c>
      <c r="L963" s="21" t="str">
        <f aca="false">INDEX(Companies!$C$2:$C$31,MATCH(C963,Companies!$A$2:$A$31,0))</f>
        <v>E-commerce</v>
      </c>
      <c r="M963" s="21" t="str">
        <f aca="false">INDEX(Companies!$D$2:$D$31,MATCH(C963,Companies!$A$2:$A$31,0))</f>
        <v>Tier 2</v>
      </c>
      <c r="N963" s="34" t="n">
        <f aca="false">MATCH(F963,Assumptions!$K$4:$K$8,0)</f>
        <v>1</v>
      </c>
      <c r="O963" s="21" t="str">
        <f aca="false">IF(H963="Yes",MONTH(I963),"")</f>
        <v/>
      </c>
      <c r="P963" s="21" t="str">
        <f aca="false">IF(H963="Yes",B963,"")</f>
        <v/>
      </c>
    </row>
    <row r="964" customFormat="false" ht="15" hidden="false" customHeight="false" outlineLevel="0" collapsed="false">
      <c r="A964" s="21" t="s">
        <v>2179</v>
      </c>
      <c r="B964" s="21" t="s">
        <v>211</v>
      </c>
      <c r="C964" s="21" t="s">
        <v>1228</v>
      </c>
      <c r="D964" s="21" t="s">
        <v>1240</v>
      </c>
      <c r="E964" s="33" t="n">
        <v>45347</v>
      </c>
      <c r="F964" s="21" t="s">
        <v>1218</v>
      </c>
      <c r="G964" s="32"/>
      <c r="H964" s="21"/>
      <c r="I964" s="33"/>
      <c r="J964" s="21" t="str">
        <f aca="false">INDEX(Students!$C$2:$C$601,MATCH(B964,Students!$A$2:$A$601,0))</f>
        <v>Batch 2024</v>
      </c>
      <c r="K964" s="21" t="str">
        <f aca="false">INDEX(Students!$D$2:$D$601,MATCH(B964,Students!$A$2:$A$601,0))</f>
        <v>Cybersecurity</v>
      </c>
      <c r="L964" s="21" t="str">
        <f aca="false">INDEX(Companies!$C$2:$C$31,MATCH(C964,Companies!$A$2:$A$31,0))</f>
        <v>Fintech</v>
      </c>
      <c r="M964" s="21" t="str">
        <f aca="false">INDEX(Companies!$D$2:$D$31,MATCH(C964,Companies!$A$2:$A$31,0))</f>
        <v>Tier 1</v>
      </c>
      <c r="N964" s="34" t="n">
        <f aca="false">MATCH(F964,Assumptions!$K$4:$K$8,0)</f>
        <v>4</v>
      </c>
      <c r="O964" s="21" t="str">
        <f aca="false">IF(H964="Yes",MONTH(I964),"")</f>
        <v/>
      </c>
      <c r="P964" s="21" t="str">
        <f aca="false">IF(H964="Yes",B964,"")</f>
        <v/>
      </c>
    </row>
    <row r="965" customFormat="false" ht="15" hidden="false" customHeight="false" outlineLevel="0" collapsed="false">
      <c r="A965" s="21" t="s">
        <v>2180</v>
      </c>
      <c r="B965" s="21" t="s">
        <v>110</v>
      </c>
      <c r="C965" s="21" t="s">
        <v>1214</v>
      </c>
      <c r="D965" s="21" t="s">
        <v>1184</v>
      </c>
      <c r="E965" s="33" t="n">
        <v>45348</v>
      </c>
      <c r="F965" s="21" t="s">
        <v>1178</v>
      </c>
      <c r="G965" s="32"/>
      <c r="H965" s="21"/>
      <c r="I965" s="33"/>
      <c r="J965" s="21" t="str">
        <f aca="false">INDEX(Students!$C$2:$C$601,MATCH(B965,Students!$A$2:$A$601,0))</f>
        <v>Batch 2024</v>
      </c>
      <c r="K965" s="21" t="str">
        <f aca="false">INDEX(Students!$D$2:$D$601,MATCH(B965,Students!$A$2:$A$601,0))</f>
        <v>DSA with Java</v>
      </c>
      <c r="L965" s="21" t="str">
        <f aca="false">INDEX(Companies!$C$2:$C$31,MATCH(C965,Companies!$A$2:$A$31,0))</f>
        <v>Product</v>
      </c>
      <c r="M965" s="21" t="str">
        <f aca="false">INDEX(Companies!$D$2:$D$31,MATCH(C965,Companies!$A$2:$A$31,0))</f>
        <v>Tier 1</v>
      </c>
      <c r="N965" s="34" t="n">
        <f aca="false">MATCH(F965,Assumptions!$K$4:$K$8,0)</f>
        <v>2</v>
      </c>
      <c r="O965" s="21" t="str">
        <f aca="false">IF(H965="Yes",MONTH(I965),"")</f>
        <v/>
      </c>
      <c r="P965" s="21" t="str">
        <f aca="false">IF(H965="Yes",B965,"")</f>
        <v/>
      </c>
    </row>
    <row r="966" customFormat="false" ht="15" hidden="false" customHeight="false" outlineLevel="0" collapsed="false">
      <c r="A966" s="21" t="s">
        <v>2181</v>
      </c>
      <c r="B966" s="21" t="s">
        <v>207</v>
      </c>
      <c r="C966" s="21" t="s">
        <v>1322</v>
      </c>
      <c r="D966" s="21" t="s">
        <v>1209</v>
      </c>
      <c r="E966" s="33" t="n">
        <v>45348</v>
      </c>
      <c r="F966" s="21" t="s">
        <v>1175</v>
      </c>
      <c r="G966" s="32"/>
      <c r="H966" s="21"/>
      <c r="I966" s="33"/>
      <c r="J966" s="21" t="str">
        <f aca="false">INDEX(Students!$C$2:$C$601,MATCH(B966,Students!$A$2:$A$601,0))</f>
        <v>Batch 2024</v>
      </c>
      <c r="K966" s="21" t="str">
        <f aca="false">INDEX(Students!$D$2:$D$601,MATCH(B966,Students!$A$2:$A$601,0))</f>
        <v>Data Analytics</v>
      </c>
      <c r="L966" s="21" t="str">
        <f aca="false">INDEX(Companies!$C$2:$C$31,MATCH(C966,Companies!$A$2:$A$31,0))</f>
        <v>Healthtech</v>
      </c>
      <c r="M966" s="21" t="str">
        <f aca="false">INDEX(Companies!$D$2:$D$31,MATCH(C966,Companies!$A$2:$A$31,0))</f>
        <v>Tier 2</v>
      </c>
      <c r="N966" s="34" t="n">
        <f aca="false">MATCH(F966,Assumptions!$K$4:$K$8,0)</f>
        <v>1</v>
      </c>
      <c r="O966" s="21" t="str">
        <f aca="false">IF(H966="Yes",MONTH(I966),"")</f>
        <v/>
      </c>
      <c r="P966" s="21" t="str">
        <f aca="false">IF(H966="Yes",B966,"")</f>
        <v/>
      </c>
    </row>
    <row r="967" customFormat="false" ht="15" hidden="false" customHeight="false" outlineLevel="0" collapsed="false">
      <c r="A967" s="21" t="s">
        <v>2182</v>
      </c>
      <c r="B967" s="21" t="s">
        <v>362</v>
      </c>
      <c r="C967" s="21" t="s">
        <v>1203</v>
      </c>
      <c r="D967" s="21" t="s">
        <v>1174</v>
      </c>
      <c r="E967" s="33" t="n">
        <v>45348</v>
      </c>
      <c r="F967" s="21" t="s">
        <v>1218</v>
      </c>
      <c r="G967" s="32"/>
      <c r="H967" s="21"/>
      <c r="I967" s="33"/>
      <c r="J967" s="21" t="str">
        <f aca="false">INDEX(Students!$C$2:$C$601,MATCH(B967,Students!$A$2:$A$601,0))</f>
        <v>Batch 2024</v>
      </c>
      <c r="K967" s="21" t="str">
        <f aca="false">INDEX(Students!$D$2:$D$601,MATCH(B967,Students!$A$2:$A$601,0))</f>
        <v>Full Stack Development</v>
      </c>
      <c r="L967" s="21" t="str">
        <f aca="false">INDEX(Companies!$C$2:$C$31,MATCH(C967,Companies!$A$2:$A$31,0))</f>
        <v>Healthtech</v>
      </c>
      <c r="M967" s="21" t="str">
        <f aca="false">INDEX(Companies!$D$2:$D$31,MATCH(C967,Companies!$A$2:$A$31,0))</f>
        <v>Tier 2</v>
      </c>
      <c r="N967" s="34" t="n">
        <f aca="false">MATCH(F967,Assumptions!$K$4:$K$8,0)</f>
        <v>4</v>
      </c>
      <c r="O967" s="21" t="str">
        <f aca="false">IF(H967="Yes",MONTH(I967),"")</f>
        <v/>
      </c>
      <c r="P967" s="21" t="str">
        <f aca="false">IF(H967="Yes",B967,"")</f>
        <v/>
      </c>
    </row>
    <row r="968" customFormat="false" ht="15" hidden="false" customHeight="false" outlineLevel="0" collapsed="false">
      <c r="A968" s="21" t="s">
        <v>2183</v>
      </c>
      <c r="B968" s="21" t="s">
        <v>336</v>
      </c>
      <c r="C968" s="21" t="s">
        <v>1193</v>
      </c>
      <c r="D968" s="21" t="s">
        <v>1181</v>
      </c>
      <c r="E968" s="33" t="n">
        <v>45348</v>
      </c>
      <c r="F968" s="21" t="s">
        <v>1185</v>
      </c>
      <c r="G968" s="32" t="n">
        <v>11.7</v>
      </c>
      <c r="H968" s="21" t="s">
        <v>113</v>
      </c>
      <c r="I968" s="33" t="n">
        <v>45370</v>
      </c>
      <c r="J968" s="21" t="str">
        <f aca="false">INDEX(Students!$C$2:$C$601,MATCH(B968,Students!$A$2:$A$601,0))</f>
        <v>Batch 2024</v>
      </c>
      <c r="K968" s="21" t="str">
        <f aca="false">INDEX(Students!$D$2:$D$601,MATCH(B968,Students!$A$2:$A$601,0))</f>
        <v>Full Stack Development</v>
      </c>
      <c r="L968" s="21" t="str">
        <f aca="false">INDEX(Companies!$C$2:$C$31,MATCH(C968,Companies!$A$2:$A$31,0))</f>
        <v>Analytics &amp; Consulting</v>
      </c>
      <c r="M968" s="21" t="str">
        <f aca="false">INDEX(Companies!$D$2:$D$31,MATCH(C968,Companies!$A$2:$A$31,0))</f>
        <v>Tier 2</v>
      </c>
      <c r="N968" s="34" t="n">
        <f aca="false">MATCH(F968,Assumptions!$K$4:$K$8,0)</f>
        <v>5</v>
      </c>
      <c r="O968" s="21" t="str">
        <f aca="false">IF(H968="Yes",MONTH(I968),"")</f>
        <v/>
      </c>
      <c r="P968" s="21" t="str">
        <f aca="false">IF(H968="Yes",B968,"")</f>
        <v/>
      </c>
    </row>
    <row r="969" customFormat="false" ht="15" hidden="false" customHeight="false" outlineLevel="0" collapsed="false">
      <c r="A969" s="21" t="s">
        <v>2184</v>
      </c>
      <c r="B969" s="21" t="s">
        <v>780</v>
      </c>
      <c r="C969" s="21" t="s">
        <v>1205</v>
      </c>
      <c r="D969" s="21" t="s">
        <v>1181</v>
      </c>
      <c r="E969" s="33" t="n">
        <v>45505</v>
      </c>
      <c r="F969" s="21" t="s">
        <v>1175</v>
      </c>
      <c r="G969" s="32"/>
      <c r="H969" s="21"/>
      <c r="I969" s="33"/>
      <c r="J969" s="21" t="str">
        <f aca="false">INDEX(Students!$C$2:$C$601,MATCH(B969,Students!$A$2:$A$601,0))</f>
        <v>Batch 2025</v>
      </c>
      <c r="K969" s="21" t="str">
        <f aca="false">INDEX(Students!$D$2:$D$601,MATCH(B969,Students!$A$2:$A$601,0))</f>
        <v>Full Stack Development</v>
      </c>
      <c r="L969" s="21" t="str">
        <f aca="false">INDEX(Companies!$C$2:$C$31,MATCH(C969,Companies!$A$2:$A$31,0))</f>
        <v>Healthtech</v>
      </c>
      <c r="M969" s="21" t="str">
        <f aca="false">INDEX(Companies!$D$2:$D$31,MATCH(C969,Companies!$A$2:$A$31,0))</f>
        <v>Tier 3</v>
      </c>
      <c r="N969" s="34" t="n">
        <f aca="false">MATCH(F969,Assumptions!$K$4:$K$8,0)</f>
        <v>1</v>
      </c>
      <c r="O969" s="21" t="str">
        <f aca="false">IF(H969="Yes",MONTH(I969),"")</f>
        <v/>
      </c>
      <c r="P969" s="21" t="str">
        <f aca="false">IF(H969="Yes",B969,"")</f>
        <v/>
      </c>
    </row>
    <row r="970" customFormat="false" ht="15" hidden="false" customHeight="false" outlineLevel="0" collapsed="false">
      <c r="A970" s="21" t="s">
        <v>2185</v>
      </c>
      <c r="B970" s="21" t="s">
        <v>607</v>
      </c>
      <c r="C970" s="21" t="s">
        <v>1201</v>
      </c>
      <c r="D970" s="21" t="s">
        <v>1243</v>
      </c>
      <c r="E970" s="33" t="n">
        <v>45505</v>
      </c>
      <c r="F970" s="21" t="s">
        <v>1197</v>
      </c>
      <c r="G970" s="32"/>
      <c r="H970" s="21"/>
      <c r="I970" s="33"/>
      <c r="J970" s="21" t="str">
        <f aca="false">INDEX(Students!$C$2:$C$601,MATCH(B970,Students!$A$2:$A$601,0))</f>
        <v>Batch 2025</v>
      </c>
      <c r="K970" s="21" t="str">
        <f aca="false">INDEX(Students!$D$2:$D$601,MATCH(B970,Students!$A$2:$A$601,0))</f>
        <v>Data Science &amp; ML</v>
      </c>
      <c r="L970" s="21" t="str">
        <f aca="false">INDEX(Companies!$C$2:$C$31,MATCH(C970,Companies!$A$2:$A$31,0))</f>
        <v>IT Services</v>
      </c>
      <c r="M970" s="21" t="str">
        <f aca="false">INDEX(Companies!$D$2:$D$31,MATCH(C970,Companies!$A$2:$A$31,0))</f>
        <v>Tier 3</v>
      </c>
      <c r="N970" s="34" t="n">
        <f aca="false">MATCH(F970,Assumptions!$K$4:$K$8,0)</f>
        <v>3</v>
      </c>
      <c r="O970" s="21" t="str">
        <f aca="false">IF(H970="Yes",MONTH(I970),"")</f>
        <v/>
      </c>
      <c r="P970" s="21" t="str">
        <f aca="false">IF(H970="Yes",B970,"")</f>
        <v/>
      </c>
    </row>
    <row r="971" customFormat="false" ht="15" hidden="false" customHeight="false" outlineLevel="0" collapsed="false">
      <c r="A971" s="21" t="s">
        <v>2186</v>
      </c>
      <c r="B971" s="21" t="s">
        <v>752</v>
      </c>
      <c r="C971" s="21" t="s">
        <v>1298</v>
      </c>
      <c r="D971" s="21" t="s">
        <v>1184</v>
      </c>
      <c r="E971" s="33" t="n">
        <v>45505</v>
      </c>
      <c r="F971" s="21" t="s">
        <v>1185</v>
      </c>
      <c r="G971" s="32" t="n">
        <v>9.5</v>
      </c>
      <c r="H971" s="21" t="s">
        <v>120</v>
      </c>
      <c r="I971" s="33" t="n">
        <v>45529</v>
      </c>
      <c r="J971" s="21" t="str">
        <f aca="false">INDEX(Students!$C$2:$C$601,MATCH(B971,Students!$A$2:$A$601,0))</f>
        <v>Batch 2025</v>
      </c>
      <c r="K971" s="21" t="str">
        <f aca="false">INDEX(Students!$D$2:$D$601,MATCH(B971,Students!$A$2:$A$601,0))</f>
        <v>DSA with Java</v>
      </c>
      <c r="L971" s="21" t="str">
        <f aca="false">INDEX(Companies!$C$2:$C$31,MATCH(C971,Companies!$A$2:$A$31,0))</f>
        <v>Fintech</v>
      </c>
      <c r="M971" s="21" t="str">
        <f aca="false">INDEX(Companies!$D$2:$D$31,MATCH(C971,Companies!$A$2:$A$31,0))</f>
        <v>Tier 2</v>
      </c>
      <c r="N971" s="34" t="n">
        <f aca="false">MATCH(F971,Assumptions!$K$4:$K$8,0)</f>
        <v>5</v>
      </c>
      <c r="O971" s="21" t="n">
        <f aca="false">IF(H971="Yes",MONTH(I971),"")</f>
        <v>8</v>
      </c>
      <c r="P971" s="21" t="str">
        <f aca="false">IF(H971="Yes",B971,"")</f>
        <v>S0348</v>
      </c>
    </row>
    <row r="972" customFormat="false" ht="15" hidden="false" customHeight="false" outlineLevel="0" collapsed="false">
      <c r="A972" s="21" t="s">
        <v>2187</v>
      </c>
      <c r="B972" s="21" t="s">
        <v>584</v>
      </c>
      <c r="C972" s="21" t="s">
        <v>1196</v>
      </c>
      <c r="D972" s="21" t="s">
        <v>1191</v>
      </c>
      <c r="E972" s="33" t="n">
        <v>45505</v>
      </c>
      <c r="F972" s="21" t="s">
        <v>1185</v>
      </c>
      <c r="G972" s="32" t="n">
        <v>5.7</v>
      </c>
      <c r="H972" s="21" t="s">
        <v>113</v>
      </c>
      <c r="I972" s="33" t="n">
        <v>45533</v>
      </c>
      <c r="J972" s="21" t="str">
        <f aca="false">INDEX(Students!$C$2:$C$601,MATCH(B972,Students!$A$2:$A$601,0))</f>
        <v>Batch 2025</v>
      </c>
      <c r="K972" s="21" t="str">
        <f aca="false">INDEX(Students!$D$2:$D$601,MATCH(B972,Students!$A$2:$A$601,0))</f>
        <v>DSA with Java</v>
      </c>
      <c r="L972" s="21" t="str">
        <f aca="false">INDEX(Companies!$C$2:$C$31,MATCH(C972,Companies!$A$2:$A$31,0))</f>
        <v>IT Services</v>
      </c>
      <c r="M972" s="21" t="str">
        <f aca="false">INDEX(Companies!$D$2:$D$31,MATCH(C972,Companies!$A$2:$A$31,0))</f>
        <v>Tier 3</v>
      </c>
      <c r="N972" s="34" t="n">
        <f aca="false">MATCH(F972,Assumptions!$K$4:$K$8,0)</f>
        <v>5</v>
      </c>
      <c r="O972" s="21" t="str">
        <f aca="false">IF(H972="Yes",MONTH(I972),"")</f>
        <v/>
      </c>
      <c r="P972" s="21" t="str">
        <f aca="false">IF(H972="Yes",B972,"")</f>
        <v/>
      </c>
    </row>
    <row r="973" customFormat="false" ht="15" hidden="false" customHeight="false" outlineLevel="0" collapsed="false">
      <c r="A973" s="21" t="s">
        <v>2188</v>
      </c>
      <c r="B973" s="21" t="s">
        <v>714</v>
      </c>
      <c r="C973" s="21" t="s">
        <v>1177</v>
      </c>
      <c r="D973" s="21" t="s">
        <v>1188</v>
      </c>
      <c r="E973" s="33" t="n">
        <v>45505</v>
      </c>
      <c r="F973" s="21" t="s">
        <v>1175</v>
      </c>
      <c r="G973" s="32"/>
      <c r="H973" s="21"/>
      <c r="I973" s="33"/>
      <c r="J973" s="21" t="str">
        <f aca="false">INDEX(Students!$C$2:$C$601,MATCH(B973,Students!$A$2:$A$601,0))</f>
        <v>Batch 2025</v>
      </c>
      <c r="K973" s="21" t="str">
        <f aca="false">INDEX(Students!$D$2:$D$601,MATCH(B973,Students!$A$2:$A$601,0))</f>
        <v>Data Analytics</v>
      </c>
      <c r="L973" s="21" t="str">
        <f aca="false">INDEX(Companies!$C$2:$C$31,MATCH(C973,Companies!$A$2:$A$31,0))</f>
        <v>IT Services</v>
      </c>
      <c r="M973" s="21" t="str">
        <f aca="false">INDEX(Companies!$D$2:$D$31,MATCH(C973,Companies!$A$2:$A$31,0))</f>
        <v>Tier 3</v>
      </c>
      <c r="N973" s="34" t="n">
        <f aca="false">MATCH(F973,Assumptions!$K$4:$K$8,0)</f>
        <v>1</v>
      </c>
      <c r="O973" s="21" t="str">
        <f aca="false">IF(H973="Yes",MONTH(I973),"")</f>
        <v/>
      </c>
      <c r="P973" s="21" t="str">
        <f aca="false">IF(H973="Yes",B973,"")</f>
        <v/>
      </c>
    </row>
    <row r="974" customFormat="false" ht="15" hidden="false" customHeight="false" outlineLevel="0" collapsed="false">
      <c r="A974" s="21" t="s">
        <v>2189</v>
      </c>
      <c r="B974" s="21" t="s">
        <v>794</v>
      </c>
      <c r="C974" s="21" t="s">
        <v>1190</v>
      </c>
      <c r="D974" s="21" t="s">
        <v>1194</v>
      </c>
      <c r="E974" s="33" t="n">
        <v>45506</v>
      </c>
      <c r="F974" s="21" t="s">
        <v>1175</v>
      </c>
      <c r="G974" s="32"/>
      <c r="H974" s="21"/>
      <c r="I974" s="33"/>
      <c r="J974" s="21" t="str">
        <f aca="false">INDEX(Students!$C$2:$C$601,MATCH(B974,Students!$A$2:$A$601,0))</f>
        <v>Batch 2025</v>
      </c>
      <c r="K974" s="21" t="str">
        <f aca="false">INDEX(Students!$D$2:$D$601,MATCH(B974,Students!$A$2:$A$601,0))</f>
        <v>Data Science &amp; ML</v>
      </c>
      <c r="L974" s="21" t="str">
        <f aca="false">INDEX(Companies!$C$2:$C$31,MATCH(C974,Companies!$A$2:$A$31,0))</f>
        <v>Analytics &amp; Consulting</v>
      </c>
      <c r="M974" s="21" t="str">
        <f aca="false">INDEX(Companies!$D$2:$D$31,MATCH(C974,Companies!$A$2:$A$31,0))</f>
        <v>Tier 1</v>
      </c>
      <c r="N974" s="34" t="n">
        <f aca="false">MATCH(F974,Assumptions!$K$4:$K$8,0)</f>
        <v>1</v>
      </c>
      <c r="O974" s="21" t="str">
        <f aca="false">IF(H974="Yes",MONTH(I974),"")</f>
        <v/>
      </c>
      <c r="P974" s="21" t="str">
        <f aca="false">IF(H974="Yes",B974,"")</f>
        <v/>
      </c>
    </row>
    <row r="975" customFormat="false" ht="15" hidden="false" customHeight="false" outlineLevel="0" collapsed="false">
      <c r="A975" s="21" t="s">
        <v>2190</v>
      </c>
      <c r="B975" s="21" t="s">
        <v>679</v>
      </c>
      <c r="C975" s="21" t="s">
        <v>1180</v>
      </c>
      <c r="D975" s="21" t="s">
        <v>1243</v>
      </c>
      <c r="E975" s="33" t="n">
        <v>45506</v>
      </c>
      <c r="F975" s="21" t="s">
        <v>1185</v>
      </c>
      <c r="G975" s="32" t="n">
        <v>6.6</v>
      </c>
      <c r="H975" s="21" t="s">
        <v>113</v>
      </c>
      <c r="I975" s="33" t="n">
        <v>45526</v>
      </c>
      <c r="J975" s="21" t="str">
        <f aca="false">INDEX(Students!$C$2:$C$601,MATCH(B975,Students!$A$2:$A$601,0))</f>
        <v>Batch 2025</v>
      </c>
      <c r="K975" s="21" t="str">
        <f aca="false">INDEX(Students!$D$2:$D$601,MATCH(B975,Students!$A$2:$A$601,0))</f>
        <v>Data Science &amp; ML</v>
      </c>
      <c r="L975" s="21" t="str">
        <f aca="false">INDEX(Companies!$C$2:$C$31,MATCH(C975,Companies!$A$2:$A$31,0))</f>
        <v>IT Services</v>
      </c>
      <c r="M975" s="21" t="str">
        <f aca="false">INDEX(Companies!$D$2:$D$31,MATCH(C975,Companies!$A$2:$A$31,0))</f>
        <v>Tier 3</v>
      </c>
      <c r="N975" s="34" t="n">
        <f aca="false">MATCH(F975,Assumptions!$K$4:$K$8,0)</f>
        <v>5</v>
      </c>
      <c r="O975" s="21" t="str">
        <f aca="false">IF(H975="Yes",MONTH(I975),"")</f>
        <v/>
      </c>
      <c r="P975" s="21" t="str">
        <f aca="false">IF(H975="Yes",B975,"")</f>
        <v/>
      </c>
    </row>
    <row r="976" customFormat="false" ht="15" hidden="false" customHeight="false" outlineLevel="0" collapsed="false">
      <c r="A976" s="21" t="s">
        <v>2191</v>
      </c>
      <c r="B976" s="21" t="s">
        <v>651</v>
      </c>
      <c r="C976" s="21" t="s">
        <v>1187</v>
      </c>
      <c r="D976" s="21" t="s">
        <v>1226</v>
      </c>
      <c r="E976" s="33" t="n">
        <v>45506</v>
      </c>
      <c r="F976" s="21" t="s">
        <v>1178</v>
      </c>
      <c r="G976" s="32"/>
      <c r="H976" s="21"/>
      <c r="I976" s="33"/>
      <c r="J976" s="21" t="str">
        <f aca="false">INDEX(Students!$C$2:$C$601,MATCH(B976,Students!$A$2:$A$601,0))</f>
        <v>Batch 2025</v>
      </c>
      <c r="K976" s="21" t="str">
        <f aca="false">INDEX(Students!$D$2:$D$601,MATCH(B976,Students!$A$2:$A$601,0))</f>
        <v>Cybersecurity</v>
      </c>
      <c r="L976" s="21" t="str">
        <f aca="false">INDEX(Companies!$C$2:$C$31,MATCH(C976,Companies!$A$2:$A$31,0))</f>
        <v>Product</v>
      </c>
      <c r="M976" s="21" t="str">
        <f aca="false">INDEX(Companies!$D$2:$D$31,MATCH(C976,Companies!$A$2:$A$31,0))</f>
        <v>Tier 1</v>
      </c>
      <c r="N976" s="34" t="n">
        <f aca="false">MATCH(F976,Assumptions!$K$4:$K$8,0)</f>
        <v>2</v>
      </c>
      <c r="O976" s="21" t="str">
        <f aca="false">IF(H976="Yes",MONTH(I976),"")</f>
        <v/>
      </c>
      <c r="P976" s="21" t="str">
        <f aca="false">IF(H976="Yes",B976,"")</f>
        <v/>
      </c>
    </row>
    <row r="977" customFormat="false" ht="15" hidden="false" customHeight="false" outlineLevel="0" collapsed="false">
      <c r="A977" s="21" t="s">
        <v>2192</v>
      </c>
      <c r="B977" s="21" t="s">
        <v>626</v>
      </c>
      <c r="C977" s="21" t="s">
        <v>1201</v>
      </c>
      <c r="D977" s="21" t="s">
        <v>1188</v>
      </c>
      <c r="E977" s="33" t="n">
        <v>45506</v>
      </c>
      <c r="F977" s="21" t="s">
        <v>1185</v>
      </c>
      <c r="G977" s="32" t="n">
        <v>5.9</v>
      </c>
      <c r="H977" s="21" t="s">
        <v>113</v>
      </c>
      <c r="I977" s="33" t="n">
        <v>45545</v>
      </c>
      <c r="J977" s="21" t="str">
        <f aca="false">INDEX(Students!$C$2:$C$601,MATCH(B977,Students!$A$2:$A$601,0))</f>
        <v>Batch 2025</v>
      </c>
      <c r="K977" s="21" t="str">
        <f aca="false">INDEX(Students!$D$2:$D$601,MATCH(B977,Students!$A$2:$A$601,0))</f>
        <v>Data Analytics</v>
      </c>
      <c r="L977" s="21" t="str">
        <f aca="false">INDEX(Companies!$C$2:$C$31,MATCH(C977,Companies!$A$2:$A$31,0))</f>
        <v>IT Services</v>
      </c>
      <c r="M977" s="21" t="str">
        <f aca="false">INDEX(Companies!$D$2:$D$31,MATCH(C977,Companies!$A$2:$A$31,0))</f>
        <v>Tier 3</v>
      </c>
      <c r="N977" s="34" t="n">
        <f aca="false">MATCH(F977,Assumptions!$K$4:$K$8,0)</f>
        <v>5</v>
      </c>
      <c r="O977" s="21" t="str">
        <f aca="false">IF(H977="Yes",MONTH(I977),"")</f>
        <v/>
      </c>
      <c r="P977" s="21" t="str">
        <f aca="false">IF(H977="Yes",B977,"")</f>
        <v/>
      </c>
    </row>
    <row r="978" customFormat="false" ht="15" hidden="false" customHeight="false" outlineLevel="0" collapsed="false">
      <c r="A978" s="21" t="s">
        <v>2193</v>
      </c>
      <c r="B978" s="21" t="s">
        <v>729</v>
      </c>
      <c r="C978" s="21" t="s">
        <v>1255</v>
      </c>
      <c r="D978" s="21" t="s">
        <v>1240</v>
      </c>
      <c r="E978" s="33" t="n">
        <v>45506</v>
      </c>
      <c r="F978" s="21" t="s">
        <v>1197</v>
      </c>
      <c r="G978" s="32"/>
      <c r="H978" s="21"/>
      <c r="I978" s="33"/>
      <c r="J978" s="21" t="str">
        <f aca="false">INDEX(Students!$C$2:$C$601,MATCH(B978,Students!$A$2:$A$601,0))</f>
        <v>Batch 2025</v>
      </c>
      <c r="K978" s="21" t="str">
        <f aca="false">INDEX(Students!$D$2:$D$601,MATCH(B978,Students!$A$2:$A$601,0))</f>
        <v>Cybersecurity</v>
      </c>
      <c r="L978" s="21" t="str">
        <f aca="false">INDEX(Companies!$C$2:$C$31,MATCH(C978,Companies!$A$2:$A$31,0))</f>
        <v>IT Services</v>
      </c>
      <c r="M978" s="21" t="str">
        <f aca="false">INDEX(Companies!$D$2:$D$31,MATCH(C978,Companies!$A$2:$A$31,0))</f>
        <v>Tier 3</v>
      </c>
      <c r="N978" s="34" t="n">
        <f aca="false">MATCH(F978,Assumptions!$K$4:$K$8,0)</f>
        <v>3</v>
      </c>
      <c r="O978" s="21" t="str">
        <f aca="false">IF(H978="Yes",MONTH(I978),"")</f>
        <v/>
      </c>
      <c r="P978" s="21" t="str">
        <f aca="false">IF(H978="Yes",B978,"")</f>
        <v/>
      </c>
    </row>
    <row r="979" customFormat="false" ht="15" hidden="false" customHeight="false" outlineLevel="0" collapsed="false">
      <c r="A979" s="21" t="s">
        <v>2194</v>
      </c>
      <c r="B979" s="21" t="s">
        <v>645</v>
      </c>
      <c r="C979" s="21" t="s">
        <v>1298</v>
      </c>
      <c r="D979" s="21" t="s">
        <v>1188</v>
      </c>
      <c r="E979" s="33" t="n">
        <v>45506</v>
      </c>
      <c r="F979" s="21" t="s">
        <v>1178</v>
      </c>
      <c r="G979" s="32"/>
      <c r="H979" s="21"/>
      <c r="I979" s="33"/>
      <c r="J979" s="21" t="str">
        <f aca="false">INDEX(Students!$C$2:$C$601,MATCH(B979,Students!$A$2:$A$601,0))</f>
        <v>Batch 2025</v>
      </c>
      <c r="K979" s="21" t="str">
        <f aca="false">INDEX(Students!$D$2:$D$601,MATCH(B979,Students!$A$2:$A$601,0))</f>
        <v>Data Analytics</v>
      </c>
      <c r="L979" s="21" t="str">
        <f aca="false">INDEX(Companies!$C$2:$C$31,MATCH(C979,Companies!$A$2:$A$31,0))</f>
        <v>Fintech</v>
      </c>
      <c r="M979" s="21" t="str">
        <f aca="false">INDEX(Companies!$D$2:$D$31,MATCH(C979,Companies!$A$2:$A$31,0))</f>
        <v>Tier 2</v>
      </c>
      <c r="N979" s="34" t="n">
        <f aca="false">MATCH(F979,Assumptions!$K$4:$K$8,0)</f>
        <v>2</v>
      </c>
      <c r="O979" s="21" t="str">
        <f aca="false">IF(H979="Yes",MONTH(I979),"")</f>
        <v/>
      </c>
      <c r="P979" s="21" t="str">
        <f aca="false">IF(H979="Yes",B979,"")</f>
        <v/>
      </c>
    </row>
    <row r="980" customFormat="false" ht="15" hidden="false" customHeight="false" outlineLevel="0" collapsed="false">
      <c r="A980" s="21" t="s">
        <v>2195</v>
      </c>
      <c r="B980" s="21" t="s">
        <v>643</v>
      </c>
      <c r="C980" s="21" t="s">
        <v>1203</v>
      </c>
      <c r="D980" s="21" t="s">
        <v>1209</v>
      </c>
      <c r="E980" s="33" t="n">
        <v>45506</v>
      </c>
      <c r="F980" s="21" t="s">
        <v>1175</v>
      </c>
      <c r="G980" s="32"/>
      <c r="H980" s="21"/>
      <c r="I980" s="33"/>
      <c r="J980" s="21" t="str">
        <f aca="false">INDEX(Students!$C$2:$C$601,MATCH(B980,Students!$A$2:$A$601,0))</f>
        <v>Batch 2025</v>
      </c>
      <c r="K980" s="21" t="str">
        <f aca="false">INDEX(Students!$D$2:$D$601,MATCH(B980,Students!$A$2:$A$601,0))</f>
        <v>Data Analytics</v>
      </c>
      <c r="L980" s="21" t="str">
        <f aca="false">INDEX(Companies!$C$2:$C$31,MATCH(C980,Companies!$A$2:$A$31,0))</f>
        <v>Healthtech</v>
      </c>
      <c r="M980" s="21" t="str">
        <f aca="false">INDEX(Companies!$D$2:$D$31,MATCH(C980,Companies!$A$2:$A$31,0))</f>
        <v>Tier 2</v>
      </c>
      <c r="N980" s="34" t="n">
        <f aca="false">MATCH(F980,Assumptions!$K$4:$K$8,0)</f>
        <v>1</v>
      </c>
      <c r="O980" s="21" t="str">
        <f aca="false">IF(H980="Yes",MONTH(I980),"")</f>
        <v/>
      </c>
      <c r="P980" s="21" t="str">
        <f aca="false">IF(H980="Yes",B980,"")</f>
        <v/>
      </c>
    </row>
    <row r="981" customFormat="false" ht="15" hidden="false" customHeight="false" outlineLevel="0" collapsed="false">
      <c r="A981" s="21" t="s">
        <v>2196</v>
      </c>
      <c r="B981" s="21" t="s">
        <v>582</v>
      </c>
      <c r="C981" s="21" t="s">
        <v>1298</v>
      </c>
      <c r="D981" s="21" t="s">
        <v>1243</v>
      </c>
      <c r="E981" s="33" t="n">
        <v>45506</v>
      </c>
      <c r="F981" s="21" t="s">
        <v>1185</v>
      </c>
      <c r="G981" s="32" t="n">
        <v>12.6</v>
      </c>
      <c r="H981" s="21" t="s">
        <v>120</v>
      </c>
      <c r="I981" s="33" t="n">
        <v>45527</v>
      </c>
      <c r="J981" s="21" t="str">
        <f aca="false">INDEX(Students!$C$2:$C$601,MATCH(B981,Students!$A$2:$A$601,0))</f>
        <v>Batch 2025</v>
      </c>
      <c r="K981" s="21" t="str">
        <f aca="false">INDEX(Students!$D$2:$D$601,MATCH(B981,Students!$A$2:$A$601,0))</f>
        <v>Data Science &amp; ML</v>
      </c>
      <c r="L981" s="21" t="str">
        <f aca="false">INDEX(Companies!$C$2:$C$31,MATCH(C981,Companies!$A$2:$A$31,0))</f>
        <v>Fintech</v>
      </c>
      <c r="M981" s="21" t="str">
        <f aca="false">INDEX(Companies!$D$2:$D$31,MATCH(C981,Companies!$A$2:$A$31,0))</f>
        <v>Tier 2</v>
      </c>
      <c r="N981" s="34" t="n">
        <f aca="false">MATCH(F981,Assumptions!$K$4:$K$8,0)</f>
        <v>5</v>
      </c>
      <c r="O981" s="21" t="n">
        <f aca="false">IF(H981="Yes",MONTH(I981),"")</f>
        <v>8</v>
      </c>
      <c r="P981" s="21" t="str">
        <f aca="false">IF(H981="Yes",B981,"")</f>
        <v>S0251</v>
      </c>
    </row>
    <row r="982" customFormat="false" ht="15" hidden="false" customHeight="false" outlineLevel="0" collapsed="false">
      <c r="A982" s="21" t="s">
        <v>2197</v>
      </c>
      <c r="B982" s="21" t="s">
        <v>464</v>
      </c>
      <c r="C982" s="21" t="s">
        <v>1187</v>
      </c>
      <c r="D982" s="21" t="s">
        <v>1174</v>
      </c>
      <c r="E982" s="33" t="n">
        <v>45507</v>
      </c>
      <c r="F982" s="21" t="s">
        <v>1178</v>
      </c>
      <c r="G982" s="32"/>
      <c r="H982" s="21"/>
      <c r="I982" s="33"/>
      <c r="J982" s="21" t="str">
        <f aca="false">INDEX(Students!$C$2:$C$601,MATCH(B982,Students!$A$2:$A$601,0))</f>
        <v>Batch 2025</v>
      </c>
      <c r="K982" s="21" t="str">
        <f aca="false">INDEX(Students!$D$2:$D$601,MATCH(B982,Students!$A$2:$A$601,0))</f>
        <v>Full Stack Development</v>
      </c>
      <c r="L982" s="21" t="str">
        <f aca="false">INDEX(Companies!$C$2:$C$31,MATCH(C982,Companies!$A$2:$A$31,0))</f>
        <v>Product</v>
      </c>
      <c r="M982" s="21" t="str">
        <f aca="false">INDEX(Companies!$D$2:$D$31,MATCH(C982,Companies!$A$2:$A$31,0))</f>
        <v>Tier 1</v>
      </c>
      <c r="N982" s="34" t="n">
        <f aca="false">MATCH(F982,Assumptions!$K$4:$K$8,0)</f>
        <v>2</v>
      </c>
      <c r="O982" s="21" t="str">
        <f aca="false">IF(H982="Yes",MONTH(I982),"")</f>
        <v/>
      </c>
      <c r="P982" s="21" t="str">
        <f aca="false">IF(H982="Yes",B982,"")</f>
        <v/>
      </c>
    </row>
    <row r="983" customFormat="false" ht="15" hidden="false" customHeight="false" outlineLevel="0" collapsed="false">
      <c r="A983" s="21" t="s">
        <v>2198</v>
      </c>
      <c r="B983" s="21" t="s">
        <v>706</v>
      </c>
      <c r="C983" s="21" t="s">
        <v>1275</v>
      </c>
      <c r="D983" s="21" t="s">
        <v>1181</v>
      </c>
      <c r="E983" s="33" t="n">
        <v>45507</v>
      </c>
      <c r="F983" s="21" t="s">
        <v>1178</v>
      </c>
      <c r="G983" s="32"/>
      <c r="H983" s="21"/>
      <c r="I983" s="33"/>
      <c r="J983" s="21" t="str">
        <f aca="false">INDEX(Students!$C$2:$C$601,MATCH(B983,Students!$A$2:$A$601,0))</f>
        <v>Batch 2025</v>
      </c>
      <c r="K983" s="21" t="str">
        <f aca="false">INDEX(Students!$D$2:$D$601,MATCH(B983,Students!$A$2:$A$601,0))</f>
        <v>Full Stack Development</v>
      </c>
      <c r="L983" s="21" t="str">
        <f aca="false">INDEX(Companies!$C$2:$C$31,MATCH(C983,Companies!$A$2:$A$31,0))</f>
        <v>Cybersecurity</v>
      </c>
      <c r="M983" s="21" t="str">
        <f aca="false">INDEX(Companies!$D$2:$D$31,MATCH(C983,Companies!$A$2:$A$31,0))</f>
        <v>Tier 2</v>
      </c>
      <c r="N983" s="34" t="n">
        <f aca="false">MATCH(F983,Assumptions!$K$4:$K$8,0)</f>
        <v>2</v>
      </c>
      <c r="O983" s="21" t="str">
        <f aca="false">IF(H983="Yes",MONTH(I983),"")</f>
        <v/>
      </c>
      <c r="P983" s="21" t="str">
        <f aca="false">IF(H983="Yes",B983,"")</f>
        <v/>
      </c>
    </row>
    <row r="984" customFormat="false" ht="15" hidden="false" customHeight="false" outlineLevel="0" collapsed="false">
      <c r="A984" s="21" t="s">
        <v>2199</v>
      </c>
      <c r="B984" s="21" t="s">
        <v>513</v>
      </c>
      <c r="C984" s="21" t="s">
        <v>1298</v>
      </c>
      <c r="D984" s="21" t="s">
        <v>1181</v>
      </c>
      <c r="E984" s="33" t="n">
        <v>45507</v>
      </c>
      <c r="F984" s="21" t="s">
        <v>1197</v>
      </c>
      <c r="G984" s="32"/>
      <c r="H984" s="21"/>
      <c r="I984" s="33"/>
      <c r="J984" s="21" t="str">
        <f aca="false">INDEX(Students!$C$2:$C$601,MATCH(B984,Students!$A$2:$A$601,0))</f>
        <v>Batch 2025</v>
      </c>
      <c r="K984" s="21" t="str">
        <f aca="false">INDEX(Students!$D$2:$D$601,MATCH(B984,Students!$A$2:$A$601,0))</f>
        <v>Full Stack Development</v>
      </c>
      <c r="L984" s="21" t="str">
        <f aca="false">INDEX(Companies!$C$2:$C$31,MATCH(C984,Companies!$A$2:$A$31,0))</f>
        <v>Fintech</v>
      </c>
      <c r="M984" s="21" t="str">
        <f aca="false">INDEX(Companies!$D$2:$D$31,MATCH(C984,Companies!$A$2:$A$31,0))</f>
        <v>Tier 2</v>
      </c>
      <c r="N984" s="34" t="n">
        <f aca="false">MATCH(F984,Assumptions!$K$4:$K$8,0)</f>
        <v>3</v>
      </c>
      <c r="O984" s="21" t="str">
        <f aca="false">IF(H984="Yes",MONTH(I984),"")</f>
        <v/>
      </c>
      <c r="P984" s="21" t="str">
        <f aca="false">IF(H984="Yes",B984,"")</f>
        <v/>
      </c>
    </row>
    <row r="985" customFormat="false" ht="15" hidden="false" customHeight="false" outlineLevel="0" collapsed="false">
      <c r="A985" s="21" t="s">
        <v>2200</v>
      </c>
      <c r="B985" s="21" t="s">
        <v>573</v>
      </c>
      <c r="C985" s="21" t="s">
        <v>1193</v>
      </c>
      <c r="D985" s="21" t="s">
        <v>1243</v>
      </c>
      <c r="E985" s="33" t="n">
        <v>45507</v>
      </c>
      <c r="F985" s="21" t="s">
        <v>1218</v>
      </c>
      <c r="G985" s="32"/>
      <c r="H985" s="21"/>
      <c r="I985" s="33"/>
      <c r="J985" s="21" t="str">
        <f aca="false">INDEX(Students!$C$2:$C$601,MATCH(B985,Students!$A$2:$A$601,0))</f>
        <v>Batch 2025</v>
      </c>
      <c r="K985" s="21" t="str">
        <f aca="false">INDEX(Students!$D$2:$D$601,MATCH(B985,Students!$A$2:$A$601,0))</f>
        <v>Data Science &amp; ML</v>
      </c>
      <c r="L985" s="21" t="str">
        <f aca="false">INDEX(Companies!$C$2:$C$31,MATCH(C985,Companies!$A$2:$A$31,0))</f>
        <v>Analytics &amp; Consulting</v>
      </c>
      <c r="M985" s="21" t="str">
        <f aca="false">INDEX(Companies!$D$2:$D$31,MATCH(C985,Companies!$A$2:$A$31,0))</f>
        <v>Tier 2</v>
      </c>
      <c r="N985" s="34" t="n">
        <f aca="false">MATCH(F985,Assumptions!$K$4:$K$8,0)</f>
        <v>4</v>
      </c>
      <c r="O985" s="21" t="str">
        <f aca="false">IF(H985="Yes",MONTH(I985),"")</f>
        <v/>
      </c>
      <c r="P985" s="21" t="str">
        <f aca="false">IF(H985="Yes",B985,"")</f>
        <v/>
      </c>
    </row>
    <row r="986" customFormat="false" ht="15" hidden="false" customHeight="false" outlineLevel="0" collapsed="false">
      <c r="A986" s="21" t="s">
        <v>2201</v>
      </c>
      <c r="B986" s="21" t="s">
        <v>797</v>
      </c>
      <c r="C986" s="21" t="s">
        <v>1222</v>
      </c>
      <c r="D986" s="21" t="s">
        <v>1191</v>
      </c>
      <c r="E986" s="33" t="n">
        <v>45508</v>
      </c>
      <c r="F986" s="21" t="s">
        <v>1185</v>
      </c>
      <c r="G986" s="32" t="n">
        <v>15.9</v>
      </c>
      <c r="H986" s="21" t="s">
        <v>120</v>
      </c>
      <c r="I986" s="33" t="n">
        <v>45554</v>
      </c>
      <c r="J986" s="21" t="str">
        <f aca="false">INDEX(Students!$C$2:$C$601,MATCH(B986,Students!$A$2:$A$601,0))</f>
        <v>Batch 2025</v>
      </c>
      <c r="K986" s="21" t="str">
        <f aca="false">INDEX(Students!$D$2:$D$601,MATCH(B986,Students!$A$2:$A$601,0))</f>
        <v>DSA with Java</v>
      </c>
      <c r="L986" s="21" t="str">
        <f aca="false">INDEX(Companies!$C$2:$C$31,MATCH(C986,Companies!$A$2:$A$31,0))</f>
        <v>Product</v>
      </c>
      <c r="M986" s="21" t="str">
        <f aca="false">INDEX(Companies!$D$2:$D$31,MATCH(C986,Companies!$A$2:$A$31,0))</f>
        <v>Tier 2</v>
      </c>
      <c r="N986" s="34" t="n">
        <f aca="false">MATCH(F986,Assumptions!$K$4:$K$8,0)</f>
        <v>5</v>
      </c>
      <c r="O986" s="21" t="n">
        <f aca="false">IF(H986="Yes",MONTH(I986),"")</f>
        <v>9</v>
      </c>
      <c r="P986" s="21" t="str">
        <f aca="false">IF(H986="Yes",B986,"")</f>
        <v>S0375</v>
      </c>
    </row>
    <row r="987" customFormat="false" ht="15" hidden="false" customHeight="false" outlineLevel="0" collapsed="false">
      <c r="A987" s="21" t="s">
        <v>2202</v>
      </c>
      <c r="B987" s="21" t="s">
        <v>657</v>
      </c>
      <c r="C987" s="21" t="s">
        <v>1222</v>
      </c>
      <c r="D987" s="21" t="s">
        <v>1174</v>
      </c>
      <c r="E987" s="33" t="n">
        <v>45508</v>
      </c>
      <c r="F987" s="21" t="s">
        <v>1175</v>
      </c>
      <c r="G987" s="32"/>
      <c r="H987" s="21"/>
      <c r="I987" s="33"/>
      <c r="J987" s="21" t="str">
        <f aca="false">INDEX(Students!$C$2:$C$601,MATCH(B987,Students!$A$2:$A$601,0))</f>
        <v>Batch 2025</v>
      </c>
      <c r="K987" s="21" t="str">
        <f aca="false">INDEX(Students!$D$2:$D$601,MATCH(B987,Students!$A$2:$A$601,0))</f>
        <v>Full Stack Development</v>
      </c>
      <c r="L987" s="21" t="str">
        <f aca="false">INDEX(Companies!$C$2:$C$31,MATCH(C987,Companies!$A$2:$A$31,0))</f>
        <v>Product</v>
      </c>
      <c r="M987" s="21" t="str">
        <f aca="false">INDEX(Companies!$D$2:$D$31,MATCH(C987,Companies!$A$2:$A$31,0))</f>
        <v>Tier 2</v>
      </c>
      <c r="N987" s="34" t="n">
        <f aca="false">MATCH(F987,Assumptions!$K$4:$K$8,0)</f>
        <v>1</v>
      </c>
      <c r="O987" s="21" t="str">
        <f aca="false">IF(H987="Yes",MONTH(I987),"")</f>
        <v/>
      </c>
      <c r="P987" s="21" t="str">
        <f aca="false">IF(H987="Yes",B987,"")</f>
        <v/>
      </c>
    </row>
    <row r="988" customFormat="false" ht="15" hidden="false" customHeight="false" outlineLevel="0" collapsed="false">
      <c r="A988" s="21" t="s">
        <v>2203</v>
      </c>
      <c r="B988" s="21" t="s">
        <v>526</v>
      </c>
      <c r="C988" s="21" t="s">
        <v>1196</v>
      </c>
      <c r="D988" s="21" t="s">
        <v>1191</v>
      </c>
      <c r="E988" s="33" t="n">
        <v>45508</v>
      </c>
      <c r="F988" s="21" t="s">
        <v>1185</v>
      </c>
      <c r="G988" s="32" t="n">
        <v>6</v>
      </c>
      <c r="H988" s="21" t="s">
        <v>120</v>
      </c>
      <c r="I988" s="33" t="n">
        <v>45556</v>
      </c>
      <c r="J988" s="21" t="str">
        <f aca="false">INDEX(Students!$C$2:$C$601,MATCH(B988,Students!$A$2:$A$601,0))</f>
        <v>Batch 2025</v>
      </c>
      <c r="K988" s="21" t="str">
        <f aca="false">INDEX(Students!$D$2:$D$601,MATCH(B988,Students!$A$2:$A$601,0))</f>
        <v>DSA with Java</v>
      </c>
      <c r="L988" s="21" t="str">
        <f aca="false">INDEX(Companies!$C$2:$C$31,MATCH(C988,Companies!$A$2:$A$31,0))</f>
        <v>IT Services</v>
      </c>
      <c r="M988" s="21" t="str">
        <f aca="false">INDEX(Companies!$D$2:$D$31,MATCH(C988,Companies!$A$2:$A$31,0))</f>
        <v>Tier 3</v>
      </c>
      <c r="N988" s="34" t="n">
        <f aca="false">MATCH(F988,Assumptions!$K$4:$K$8,0)</f>
        <v>5</v>
      </c>
      <c r="O988" s="21" t="n">
        <f aca="false">IF(H988="Yes",MONTH(I988),"")</f>
        <v>9</v>
      </c>
      <c r="P988" s="21" t="str">
        <f aca="false">IF(H988="Yes",B988,"")</f>
        <v>S0220</v>
      </c>
    </row>
    <row r="989" customFormat="false" ht="15" hidden="false" customHeight="false" outlineLevel="0" collapsed="false">
      <c r="A989" s="21" t="s">
        <v>2204</v>
      </c>
      <c r="B989" s="21" t="s">
        <v>528</v>
      </c>
      <c r="C989" s="21" t="s">
        <v>1275</v>
      </c>
      <c r="D989" s="21" t="s">
        <v>1184</v>
      </c>
      <c r="E989" s="33" t="n">
        <v>45508</v>
      </c>
      <c r="F989" s="21" t="s">
        <v>1175</v>
      </c>
      <c r="G989" s="32"/>
      <c r="H989" s="21"/>
      <c r="I989" s="33"/>
      <c r="J989" s="21" t="str">
        <f aca="false">INDEX(Students!$C$2:$C$601,MATCH(B989,Students!$A$2:$A$601,0))</f>
        <v>Batch 2025</v>
      </c>
      <c r="K989" s="21" t="str">
        <f aca="false">INDEX(Students!$D$2:$D$601,MATCH(B989,Students!$A$2:$A$601,0))</f>
        <v>DSA with Java</v>
      </c>
      <c r="L989" s="21" t="str">
        <f aca="false">INDEX(Companies!$C$2:$C$31,MATCH(C989,Companies!$A$2:$A$31,0))</f>
        <v>Cybersecurity</v>
      </c>
      <c r="M989" s="21" t="str">
        <f aca="false">INDEX(Companies!$D$2:$D$31,MATCH(C989,Companies!$A$2:$A$31,0))</f>
        <v>Tier 2</v>
      </c>
      <c r="N989" s="34" t="n">
        <f aca="false">MATCH(F989,Assumptions!$K$4:$K$8,0)</f>
        <v>1</v>
      </c>
      <c r="O989" s="21" t="str">
        <f aca="false">IF(H989="Yes",MONTH(I989),"")</f>
        <v/>
      </c>
      <c r="P989" s="21" t="str">
        <f aca="false">IF(H989="Yes",B989,"")</f>
        <v/>
      </c>
    </row>
    <row r="990" customFormat="false" ht="15" hidden="false" customHeight="false" outlineLevel="0" collapsed="false">
      <c r="A990" s="21" t="s">
        <v>2205</v>
      </c>
      <c r="B990" s="21" t="s">
        <v>595</v>
      </c>
      <c r="C990" s="21" t="s">
        <v>1266</v>
      </c>
      <c r="D990" s="21" t="s">
        <v>1184</v>
      </c>
      <c r="E990" s="33" t="n">
        <v>45509</v>
      </c>
      <c r="F990" s="21" t="s">
        <v>1185</v>
      </c>
      <c r="G990" s="32" t="n">
        <v>5.8</v>
      </c>
      <c r="H990" s="21" t="s">
        <v>120</v>
      </c>
      <c r="I990" s="33" t="n">
        <v>45543</v>
      </c>
      <c r="J990" s="21" t="str">
        <f aca="false">INDEX(Students!$C$2:$C$601,MATCH(B990,Students!$A$2:$A$601,0))</f>
        <v>Batch 2025</v>
      </c>
      <c r="K990" s="21" t="str">
        <f aca="false">INDEX(Students!$D$2:$D$601,MATCH(B990,Students!$A$2:$A$601,0))</f>
        <v>DSA with Java</v>
      </c>
      <c r="L990" s="21" t="str">
        <f aca="false">INDEX(Companies!$C$2:$C$31,MATCH(C990,Companies!$A$2:$A$31,0))</f>
        <v>IT Services</v>
      </c>
      <c r="M990" s="21" t="str">
        <f aca="false">INDEX(Companies!$D$2:$D$31,MATCH(C990,Companies!$A$2:$A$31,0))</f>
        <v>Tier 3</v>
      </c>
      <c r="N990" s="34" t="n">
        <f aca="false">MATCH(F990,Assumptions!$K$4:$K$8,0)</f>
        <v>5</v>
      </c>
      <c r="O990" s="21" t="n">
        <f aca="false">IF(H990="Yes",MONTH(I990),"")</f>
        <v>9</v>
      </c>
      <c r="P990" s="21" t="str">
        <f aca="false">IF(H990="Yes",B990,"")</f>
        <v>S0259</v>
      </c>
    </row>
    <row r="991" customFormat="false" ht="15" hidden="false" customHeight="false" outlineLevel="0" collapsed="false">
      <c r="A991" s="21" t="s">
        <v>2206</v>
      </c>
      <c r="B991" s="21" t="s">
        <v>511</v>
      </c>
      <c r="C991" s="21" t="s">
        <v>1239</v>
      </c>
      <c r="D991" s="21" t="s">
        <v>1188</v>
      </c>
      <c r="E991" s="33" t="n">
        <v>45509</v>
      </c>
      <c r="F991" s="21" t="s">
        <v>1218</v>
      </c>
      <c r="G991" s="32"/>
      <c r="H991" s="21"/>
      <c r="I991" s="33"/>
      <c r="J991" s="21" t="str">
        <f aca="false">INDEX(Students!$C$2:$C$601,MATCH(B991,Students!$A$2:$A$601,0))</f>
        <v>Batch 2025</v>
      </c>
      <c r="K991" s="21" t="str">
        <f aca="false">INDEX(Students!$D$2:$D$601,MATCH(B991,Students!$A$2:$A$601,0))</f>
        <v>Data Analytics</v>
      </c>
      <c r="L991" s="21" t="str">
        <f aca="false">INDEX(Companies!$C$2:$C$31,MATCH(C991,Companies!$A$2:$A$31,0))</f>
        <v>E-commerce</v>
      </c>
      <c r="M991" s="21" t="str">
        <f aca="false">INDEX(Companies!$D$2:$D$31,MATCH(C991,Companies!$A$2:$A$31,0))</f>
        <v>Tier 3</v>
      </c>
      <c r="N991" s="34" t="n">
        <f aca="false">MATCH(F991,Assumptions!$K$4:$K$8,0)</f>
        <v>4</v>
      </c>
      <c r="O991" s="21" t="str">
        <f aca="false">IF(H991="Yes",MONTH(I991),"")</f>
        <v/>
      </c>
      <c r="P991" s="21" t="str">
        <f aca="false">IF(H991="Yes",B991,"")</f>
        <v/>
      </c>
    </row>
    <row r="992" customFormat="false" ht="15" hidden="false" customHeight="false" outlineLevel="0" collapsed="false">
      <c r="A992" s="21" t="s">
        <v>2207</v>
      </c>
      <c r="B992" s="21" t="s">
        <v>659</v>
      </c>
      <c r="C992" s="21" t="s">
        <v>1234</v>
      </c>
      <c r="D992" s="21" t="s">
        <v>1209</v>
      </c>
      <c r="E992" s="33" t="n">
        <v>45509</v>
      </c>
      <c r="F992" s="21" t="s">
        <v>1185</v>
      </c>
      <c r="G992" s="32" t="n">
        <v>6</v>
      </c>
      <c r="H992" s="21" t="s">
        <v>120</v>
      </c>
      <c r="I992" s="33" t="n">
        <v>45559</v>
      </c>
      <c r="J992" s="21" t="str">
        <f aca="false">INDEX(Students!$C$2:$C$601,MATCH(B992,Students!$A$2:$A$601,0))</f>
        <v>Batch 2025</v>
      </c>
      <c r="K992" s="21" t="str">
        <f aca="false">INDEX(Students!$D$2:$D$601,MATCH(B992,Students!$A$2:$A$601,0))</f>
        <v>Data Analytics</v>
      </c>
      <c r="L992" s="21" t="str">
        <f aca="false">INDEX(Companies!$C$2:$C$31,MATCH(C992,Companies!$A$2:$A$31,0))</f>
        <v>EdTech</v>
      </c>
      <c r="M992" s="21" t="str">
        <f aca="false">INDEX(Companies!$D$2:$D$31,MATCH(C992,Companies!$A$2:$A$31,0))</f>
        <v>Tier 3</v>
      </c>
      <c r="N992" s="34" t="n">
        <f aca="false">MATCH(F992,Assumptions!$K$4:$K$8,0)</f>
        <v>5</v>
      </c>
      <c r="O992" s="21" t="n">
        <f aca="false">IF(H992="Yes",MONTH(I992),"")</f>
        <v>9</v>
      </c>
      <c r="P992" s="21" t="str">
        <f aca="false">IF(H992="Yes",B992,"")</f>
        <v>S0295</v>
      </c>
    </row>
    <row r="993" customFormat="false" ht="15" hidden="false" customHeight="false" outlineLevel="0" collapsed="false">
      <c r="A993" s="21" t="s">
        <v>2208</v>
      </c>
      <c r="B993" s="21" t="s">
        <v>565</v>
      </c>
      <c r="C993" s="21" t="s">
        <v>1230</v>
      </c>
      <c r="D993" s="21" t="s">
        <v>1191</v>
      </c>
      <c r="E993" s="33" t="n">
        <v>45509</v>
      </c>
      <c r="F993" s="21" t="s">
        <v>1197</v>
      </c>
      <c r="G993" s="32"/>
      <c r="H993" s="21"/>
      <c r="I993" s="33"/>
      <c r="J993" s="21" t="str">
        <f aca="false">INDEX(Students!$C$2:$C$601,MATCH(B993,Students!$A$2:$A$601,0))</f>
        <v>Batch 2025</v>
      </c>
      <c r="K993" s="21" t="str">
        <f aca="false">INDEX(Students!$D$2:$D$601,MATCH(B993,Students!$A$2:$A$601,0))</f>
        <v>DSA with Java</v>
      </c>
      <c r="L993" s="21" t="str">
        <f aca="false">INDEX(Companies!$C$2:$C$31,MATCH(C993,Companies!$A$2:$A$31,0))</f>
        <v>IT Services</v>
      </c>
      <c r="M993" s="21" t="str">
        <f aca="false">INDEX(Companies!$D$2:$D$31,MATCH(C993,Companies!$A$2:$A$31,0))</f>
        <v>Tier 3</v>
      </c>
      <c r="N993" s="34" t="n">
        <f aca="false">MATCH(F993,Assumptions!$K$4:$K$8,0)</f>
        <v>3</v>
      </c>
      <c r="O993" s="21" t="str">
        <f aca="false">IF(H993="Yes",MONTH(I993),"")</f>
        <v/>
      </c>
      <c r="P993" s="21" t="str">
        <f aca="false">IF(H993="Yes",B993,"")</f>
        <v/>
      </c>
    </row>
    <row r="994" customFormat="false" ht="15" hidden="false" customHeight="false" outlineLevel="0" collapsed="false">
      <c r="A994" s="21" t="s">
        <v>2209</v>
      </c>
      <c r="B994" s="21" t="s">
        <v>716</v>
      </c>
      <c r="C994" s="21" t="s">
        <v>1208</v>
      </c>
      <c r="D994" s="21" t="s">
        <v>1191</v>
      </c>
      <c r="E994" s="33" t="n">
        <v>45509</v>
      </c>
      <c r="F994" s="21" t="s">
        <v>1185</v>
      </c>
      <c r="G994" s="32" t="n">
        <v>28.3</v>
      </c>
      <c r="H994" s="21" t="s">
        <v>120</v>
      </c>
      <c r="I994" s="33" t="n">
        <v>45532</v>
      </c>
      <c r="J994" s="21" t="str">
        <f aca="false">INDEX(Students!$C$2:$C$601,MATCH(B994,Students!$A$2:$A$601,0))</f>
        <v>Batch 2025</v>
      </c>
      <c r="K994" s="21" t="str">
        <f aca="false">INDEX(Students!$D$2:$D$601,MATCH(B994,Students!$A$2:$A$601,0))</f>
        <v>DSA with Java</v>
      </c>
      <c r="L994" s="21" t="str">
        <f aca="false">INDEX(Companies!$C$2:$C$31,MATCH(C994,Companies!$A$2:$A$31,0))</f>
        <v>E-commerce</v>
      </c>
      <c r="M994" s="21" t="str">
        <f aca="false">INDEX(Companies!$D$2:$D$31,MATCH(C994,Companies!$A$2:$A$31,0))</f>
        <v>Tier 1</v>
      </c>
      <c r="N994" s="34" t="n">
        <f aca="false">MATCH(F994,Assumptions!$K$4:$K$8,0)</f>
        <v>5</v>
      </c>
      <c r="O994" s="21" t="n">
        <f aca="false">IF(H994="Yes",MONTH(I994),"")</f>
        <v>8</v>
      </c>
      <c r="P994" s="21" t="str">
        <f aca="false">IF(H994="Yes",B994,"")</f>
        <v>S0328</v>
      </c>
    </row>
    <row r="995" customFormat="false" ht="15" hidden="false" customHeight="false" outlineLevel="0" collapsed="false">
      <c r="A995" s="21" t="s">
        <v>2210</v>
      </c>
      <c r="B995" s="21" t="s">
        <v>760</v>
      </c>
      <c r="C995" s="21" t="s">
        <v>1190</v>
      </c>
      <c r="D995" s="21" t="s">
        <v>1181</v>
      </c>
      <c r="E995" s="33" t="n">
        <v>45509</v>
      </c>
      <c r="F995" s="21" t="s">
        <v>1178</v>
      </c>
      <c r="G995" s="32"/>
      <c r="H995" s="21"/>
      <c r="I995" s="33"/>
      <c r="J995" s="21" t="str">
        <f aca="false">INDEX(Students!$C$2:$C$601,MATCH(B995,Students!$A$2:$A$601,0))</f>
        <v>Batch 2025</v>
      </c>
      <c r="K995" s="21" t="str">
        <f aca="false">INDEX(Students!$D$2:$D$601,MATCH(B995,Students!$A$2:$A$601,0))</f>
        <v>Full Stack Development</v>
      </c>
      <c r="L995" s="21" t="str">
        <f aca="false">INDEX(Companies!$C$2:$C$31,MATCH(C995,Companies!$A$2:$A$31,0))</f>
        <v>Analytics &amp; Consulting</v>
      </c>
      <c r="M995" s="21" t="str">
        <f aca="false">INDEX(Companies!$D$2:$D$31,MATCH(C995,Companies!$A$2:$A$31,0))</f>
        <v>Tier 1</v>
      </c>
      <c r="N995" s="34" t="n">
        <f aca="false">MATCH(F995,Assumptions!$K$4:$K$8,0)</f>
        <v>2</v>
      </c>
      <c r="O995" s="21" t="str">
        <f aca="false">IF(H995="Yes",MONTH(I995),"")</f>
        <v/>
      </c>
      <c r="P995" s="21" t="str">
        <f aca="false">IF(H995="Yes",B995,"")</f>
        <v/>
      </c>
    </row>
    <row r="996" customFormat="false" ht="15" hidden="false" customHeight="false" outlineLevel="0" collapsed="false">
      <c r="A996" s="21" t="s">
        <v>2211</v>
      </c>
      <c r="B996" s="21" t="s">
        <v>737</v>
      </c>
      <c r="C996" s="21" t="s">
        <v>1290</v>
      </c>
      <c r="D996" s="21" t="s">
        <v>1174</v>
      </c>
      <c r="E996" s="33" t="n">
        <v>45509</v>
      </c>
      <c r="F996" s="21" t="s">
        <v>1175</v>
      </c>
      <c r="G996" s="32"/>
      <c r="H996" s="21"/>
      <c r="I996" s="33"/>
      <c r="J996" s="21" t="str">
        <f aca="false">INDEX(Students!$C$2:$C$601,MATCH(B996,Students!$A$2:$A$601,0))</f>
        <v>Batch 2025</v>
      </c>
      <c r="K996" s="21" t="str">
        <f aca="false">INDEX(Students!$D$2:$D$601,MATCH(B996,Students!$A$2:$A$601,0))</f>
        <v>Full Stack Development</v>
      </c>
      <c r="L996" s="21" t="str">
        <f aca="false">INDEX(Companies!$C$2:$C$31,MATCH(C996,Companies!$A$2:$A$31,0))</f>
        <v>Fintech</v>
      </c>
      <c r="M996" s="21" t="str">
        <f aca="false">INDEX(Companies!$D$2:$D$31,MATCH(C996,Companies!$A$2:$A$31,0))</f>
        <v>Tier 2</v>
      </c>
      <c r="N996" s="34" t="n">
        <f aca="false">MATCH(F996,Assumptions!$K$4:$K$8,0)</f>
        <v>1</v>
      </c>
      <c r="O996" s="21" t="str">
        <f aca="false">IF(H996="Yes",MONTH(I996),"")</f>
        <v/>
      </c>
      <c r="P996" s="21" t="str">
        <f aca="false">IF(H996="Yes",B996,"")</f>
        <v/>
      </c>
    </row>
    <row r="997" customFormat="false" ht="15" hidden="false" customHeight="false" outlineLevel="0" collapsed="false">
      <c r="A997" s="21" t="s">
        <v>2212</v>
      </c>
      <c r="B997" s="21" t="s">
        <v>616</v>
      </c>
      <c r="C997" s="21" t="s">
        <v>1205</v>
      </c>
      <c r="D997" s="21" t="s">
        <v>1243</v>
      </c>
      <c r="E997" s="33" t="n">
        <v>45509</v>
      </c>
      <c r="F997" s="21" t="s">
        <v>1175</v>
      </c>
      <c r="G997" s="32"/>
      <c r="H997" s="21"/>
      <c r="I997" s="33"/>
      <c r="J997" s="21" t="str">
        <f aca="false">INDEX(Students!$C$2:$C$601,MATCH(B997,Students!$A$2:$A$601,0))</f>
        <v>Batch 2025</v>
      </c>
      <c r="K997" s="21" t="str">
        <f aca="false">INDEX(Students!$D$2:$D$601,MATCH(B997,Students!$A$2:$A$601,0))</f>
        <v>Data Science &amp; ML</v>
      </c>
      <c r="L997" s="21" t="str">
        <f aca="false">INDEX(Companies!$C$2:$C$31,MATCH(C997,Companies!$A$2:$A$31,0))</f>
        <v>Healthtech</v>
      </c>
      <c r="M997" s="21" t="str">
        <f aca="false">INDEX(Companies!$D$2:$D$31,MATCH(C997,Companies!$A$2:$A$31,0))</f>
        <v>Tier 3</v>
      </c>
      <c r="N997" s="34" t="n">
        <f aca="false">MATCH(F997,Assumptions!$K$4:$K$8,0)</f>
        <v>1</v>
      </c>
      <c r="O997" s="21" t="str">
        <f aca="false">IF(H997="Yes",MONTH(I997),"")</f>
        <v/>
      </c>
      <c r="P997" s="21" t="str">
        <f aca="false">IF(H997="Yes",B997,"")</f>
        <v/>
      </c>
    </row>
    <row r="998" customFormat="false" ht="15" hidden="false" customHeight="false" outlineLevel="0" collapsed="false">
      <c r="A998" s="21" t="s">
        <v>2213</v>
      </c>
      <c r="B998" s="21" t="s">
        <v>616</v>
      </c>
      <c r="C998" s="21" t="s">
        <v>1239</v>
      </c>
      <c r="D998" s="21" t="s">
        <v>1243</v>
      </c>
      <c r="E998" s="33" t="n">
        <v>45510</v>
      </c>
      <c r="F998" s="21" t="s">
        <v>1175</v>
      </c>
      <c r="G998" s="32"/>
      <c r="H998" s="21"/>
      <c r="I998" s="33"/>
      <c r="J998" s="21" t="str">
        <f aca="false">INDEX(Students!$C$2:$C$601,MATCH(B998,Students!$A$2:$A$601,0))</f>
        <v>Batch 2025</v>
      </c>
      <c r="K998" s="21" t="str">
        <f aca="false">INDEX(Students!$D$2:$D$601,MATCH(B998,Students!$A$2:$A$601,0))</f>
        <v>Data Science &amp; ML</v>
      </c>
      <c r="L998" s="21" t="str">
        <f aca="false">INDEX(Companies!$C$2:$C$31,MATCH(C998,Companies!$A$2:$A$31,0))</f>
        <v>E-commerce</v>
      </c>
      <c r="M998" s="21" t="str">
        <f aca="false">INDEX(Companies!$D$2:$D$31,MATCH(C998,Companies!$A$2:$A$31,0))</f>
        <v>Tier 3</v>
      </c>
      <c r="N998" s="34" t="n">
        <f aca="false">MATCH(F998,Assumptions!$K$4:$K$8,0)</f>
        <v>1</v>
      </c>
      <c r="O998" s="21" t="str">
        <f aca="false">IF(H998="Yes",MONTH(I998),"")</f>
        <v/>
      </c>
      <c r="P998" s="21" t="str">
        <f aca="false">IF(H998="Yes",B998,"")</f>
        <v/>
      </c>
    </row>
    <row r="999" customFormat="false" ht="15" hidden="false" customHeight="false" outlineLevel="0" collapsed="false">
      <c r="A999" s="21" t="s">
        <v>2214</v>
      </c>
      <c r="B999" s="21" t="s">
        <v>647</v>
      </c>
      <c r="C999" s="21" t="s">
        <v>1290</v>
      </c>
      <c r="D999" s="21" t="s">
        <v>1243</v>
      </c>
      <c r="E999" s="33" t="n">
        <v>45510</v>
      </c>
      <c r="F999" s="21" t="s">
        <v>1185</v>
      </c>
      <c r="G999" s="32" t="n">
        <v>14.8</v>
      </c>
      <c r="H999" s="21" t="s">
        <v>120</v>
      </c>
      <c r="I999" s="33" t="n">
        <v>45564</v>
      </c>
      <c r="J999" s="21" t="str">
        <f aca="false">INDEX(Students!$C$2:$C$601,MATCH(B999,Students!$A$2:$A$601,0))</f>
        <v>Batch 2025</v>
      </c>
      <c r="K999" s="21" t="str">
        <f aca="false">INDEX(Students!$D$2:$D$601,MATCH(B999,Students!$A$2:$A$601,0))</f>
        <v>Data Science &amp; ML</v>
      </c>
      <c r="L999" s="21" t="str">
        <f aca="false">INDEX(Companies!$C$2:$C$31,MATCH(C999,Companies!$A$2:$A$31,0))</f>
        <v>Fintech</v>
      </c>
      <c r="M999" s="21" t="str">
        <f aca="false">INDEX(Companies!$D$2:$D$31,MATCH(C999,Companies!$A$2:$A$31,0))</f>
        <v>Tier 2</v>
      </c>
      <c r="N999" s="34" t="n">
        <f aca="false">MATCH(F999,Assumptions!$K$4:$K$8,0)</f>
        <v>5</v>
      </c>
      <c r="O999" s="21" t="n">
        <f aca="false">IF(H999="Yes",MONTH(I999),"")</f>
        <v>9</v>
      </c>
      <c r="P999" s="21" t="str">
        <f aca="false">IF(H999="Yes",B999,"")</f>
        <v>S0288</v>
      </c>
    </row>
    <row r="1000" customFormat="false" ht="15" hidden="false" customHeight="false" outlineLevel="0" collapsed="false">
      <c r="A1000" s="21" t="s">
        <v>2215</v>
      </c>
      <c r="B1000" s="21" t="s">
        <v>765</v>
      </c>
      <c r="C1000" s="21" t="s">
        <v>1234</v>
      </c>
      <c r="D1000" s="21" t="s">
        <v>1184</v>
      </c>
      <c r="E1000" s="33" t="n">
        <v>45510</v>
      </c>
      <c r="F1000" s="21" t="s">
        <v>1175</v>
      </c>
      <c r="G1000" s="32"/>
      <c r="H1000" s="21"/>
      <c r="I1000" s="33"/>
      <c r="J1000" s="21" t="str">
        <f aca="false">INDEX(Students!$C$2:$C$601,MATCH(B1000,Students!$A$2:$A$601,0))</f>
        <v>Batch 2025</v>
      </c>
      <c r="K1000" s="21" t="str">
        <f aca="false">INDEX(Students!$D$2:$D$601,MATCH(B1000,Students!$A$2:$A$601,0))</f>
        <v>DSA with Java</v>
      </c>
      <c r="L1000" s="21" t="str">
        <f aca="false">INDEX(Companies!$C$2:$C$31,MATCH(C1000,Companies!$A$2:$A$31,0))</f>
        <v>EdTech</v>
      </c>
      <c r="M1000" s="21" t="str">
        <f aca="false">INDEX(Companies!$D$2:$D$31,MATCH(C1000,Companies!$A$2:$A$31,0))</f>
        <v>Tier 3</v>
      </c>
      <c r="N1000" s="34" t="n">
        <f aca="false">MATCH(F1000,Assumptions!$K$4:$K$8,0)</f>
        <v>1</v>
      </c>
      <c r="O1000" s="21" t="str">
        <f aca="false">IF(H1000="Yes",MONTH(I1000),"")</f>
        <v/>
      </c>
      <c r="P1000" s="21" t="str">
        <f aca="false">IF(H1000="Yes",B1000,"")</f>
        <v/>
      </c>
    </row>
    <row r="1001" customFormat="false" ht="15" hidden="false" customHeight="false" outlineLevel="0" collapsed="false">
      <c r="A1001" s="21" t="s">
        <v>2216</v>
      </c>
      <c r="B1001" s="21" t="s">
        <v>665</v>
      </c>
      <c r="C1001" s="21" t="s">
        <v>1222</v>
      </c>
      <c r="D1001" s="21" t="s">
        <v>1191</v>
      </c>
      <c r="E1001" s="33" t="n">
        <v>45510</v>
      </c>
      <c r="F1001" s="21" t="s">
        <v>1197</v>
      </c>
      <c r="G1001" s="32"/>
      <c r="H1001" s="21"/>
      <c r="I1001" s="33"/>
      <c r="J1001" s="21" t="str">
        <f aca="false">INDEX(Students!$C$2:$C$601,MATCH(B1001,Students!$A$2:$A$601,0))</f>
        <v>Batch 2025</v>
      </c>
      <c r="K1001" s="21" t="str">
        <f aca="false">INDEX(Students!$D$2:$D$601,MATCH(B1001,Students!$A$2:$A$601,0))</f>
        <v>DSA with Java</v>
      </c>
      <c r="L1001" s="21" t="str">
        <f aca="false">INDEX(Companies!$C$2:$C$31,MATCH(C1001,Companies!$A$2:$A$31,0))</f>
        <v>Product</v>
      </c>
      <c r="M1001" s="21" t="str">
        <f aca="false">INDEX(Companies!$D$2:$D$31,MATCH(C1001,Companies!$A$2:$A$31,0))</f>
        <v>Tier 2</v>
      </c>
      <c r="N1001" s="34" t="n">
        <f aca="false">MATCH(F1001,Assumptions!$K$4:$K$8,0)</f>
        <v>3</v>
      </c>
      <c r="O1001" s="21" t="str">
        <f aca="false">IF(H1001="Yes",MONTH(I1001),"")</f>
        <v/>
      </c>
      <c r="P1001" s="21" t="str">
        <f aca="false">IF(H1001="Yes",B1001,"")</f>
        <v/>
      </c>
    </row>
    <row r="1002" customFormat="false" ht="15" hidden="false" customHeight="false" outlineLevel="0" collapsed="false">
      <c r="A1002" s="21" t="s">
        <v>2217</v>
      </c>
      <c r="B1002" s="21" t="s">
        <v>615</v>
      </c>
      <c r="C1002" s="21" t="s">
        <v>1203</v>
      </c>
      <c r="D1002" s="21" t="s">
        <v>1184</v>
      </c>
      <c r="E1002" s="33" t="n">
        <v>45510</v>
      </c>
      <c r="F1002" s="21" t="s">
        <v>1175</v>
      </c>
      <c r="G1002" s="32"/>
      <c r="H1002" s="21"/>
      <c r="I1002" s="33"/>
      <c r="J1002" s="21" t="str">
        <f aca="false">INDEX(Students!$C$2:$C$601,MATCH(B1002,Students!$A$2:$A$601,0))</f>
        <v>Batch 2025</v>
      </c>
      <c r="K1002" s="21" t="str">
        <f aca="false">INDEX(Students!$D$2:$D$601,MATCH(B1002,Students!$A$2:$A$601,0))</f>
        <v>DSA with Java</v>
      </c>
      <c r="L1002" s="21" t="str">
        <f aca="false">INDEX(Companies!$C$2:$C$31,MATCH(C1002,Companies!$A$2:$A$31,0))</f>
        <v>Healthtech</v>
      </c>
      <c r="M1002" s="21" t="str">
        <f aca="false">INDEX(Companies!$D$2:$D$31,MATCH(C1002,Companies!$A$2:$A$31,0))</f>
        <v>Tier 2</v>
      </c>
      <c r="N1002" s="34" t="n">
        <f aca="false">MATCH(F1002,Assumptions!$K$4:$K$8,0)</f>
        <v>1</v>
      </c>
      <c r="O1002" s="21" t="str">
        <f aca="false">IF(H1002="Yes",MONTH(I1002),"")</f>
        <v/>
      </c>
      <c r="P1002" s="21" t="str">
        <f aca="false">IF(H1002="Yes",B1002,"")</f>
        <v/>
      </c>
    </row>
    <row r="1003" customFormat="false" ht="15" hidden="false" customHeight="false" outlineLevel="0" collapsed="false">
      <c r="A1003" s="21" t="s">
        <v>2218</v>
      </c>
      <c r="B1003" s="21" t="s">
        <v>724</v>
      </c>
      <c r="C1003" s="21" t="s">
        <v>1211</v>
      </c>
      <c r="D1003" s="21" t="s">
        <v>1181</v>
      </c>
      <c r="E1003" s="33" t="n">
        <v>45510</v>
      </c>
      <c r="F1003" s="21" t="s">
        <v>1185</v>
      </c>
      <c r="G1003" s="32" t="n">
        <v>4.4</v>
      </c>
      <c r="H1003" s="21" t="s">
        <v>120</v>
      </c>
      <c r="I1003" s="33" t="n">
        <v>45534</v>
      </c>
      <c r="J1003" s="21" t="str">
        <f aca="false">INDEX(Students!$C$2:$C$601,MATCH(B1003,Students!$A$2:$A$601,0))</f>
        <v>Batch 2025</v>
      </c>
      <c r="K1003" s="21" t="str">
        <f aca="false">INDEX(Students!$D$2:$D$601,MATCH(B1003,Students!$A$2:$A$601,0))</f>
        <v>Full Stack Development</v>
      </c>
      <c r="L1003" s="21" t="str">
        <f aca="false">INDEX(Companies!$C$2:$C$31,MATCH(C1003,Companies!$A$2:$A$31,0))</f>
        <v>Analytics &amp; Consulting</v>
      </c>
      <c r="M1003" s="21" t="str">
        <f aca="false">INDEX(Companies!$D$2:$D$31,MATCH(C1003,Companies!$A$2:$A$31,0))</f>
        <v>Tier 3</v>
      </c>
      <c r="N1003" s="34" t="n">
        <f aca="false">MATCH(F1003,Assumptions!$K$4:$K$8,0)</f>
        <v>5</v>
      </c>
      <c r="O1003" s="21" t="n">
        <f aca="false">IF(H1003="Yes",MONTH(I1003),"")</f>
        <v>8</v>
      </c>
      <c r="P1003" s="21" t="str">
        <f aca="false">IF(H1003="Yes",B1003,"")</f>
        <v>S0332</v>
      </c>
    </row>
    <row r="1004" customFormat="false" ht="15" hidden="false" customHeight="false" outlineLevel="0" collapsed="false">
      <c r="A1004" s="21" t="s">
        <v>2219</v>
      </c>
      <c r="B1004" s="21" t="s">
        <v>474</v>
      </c>
      <c r="C1004" s="21" t="s">
        <v>1222</v>
      </c>
      <c r="D1004" s="21" t="s">
        <v>1184</v>
      </c>
      <c r="E1004" s="33" t="n">
        <v>45511</v>
      </c>
      <c r="F1004" s="21" t="s">
        <v>1218</v>
      </c>
      <c r="G1004" s="32"/>
      <c r="H1004" s="21"/>
      <c r="I1004" s="33"/>
      <c r="J1004" s="21" t="str">
        <f aca="false">INDEX(Students!$C$2:$C$601,MATCH(B1004,Students!$A$2:$A$601,0))</f>
        <v>Batch 2025</v>
      </c>
      <c r="K1004" s="21" t="str">
        <f aca="false">INDEX(Students!$D$2:$D$601,MATCH(B1004,Students!$A$2:$A$601,0))</f>
        <v>DSA with Java</v>
      </c>
      <c r="L1004" s="21" t="str">
        <f aca="false">INDEX(Companies!$C$2:$C$31,MATCH(C1004,Companies!$A$2:$A$31,0))</f>
        <v>Product</v>
      </c>
      <c r="M1004" s="21" t="str">
        <f aca="false">INDEX(Companies!$D$2:$D$31,MATCH(C1004,Companies!$A$2:$A$31,0))</f>
        <v>Tier 2</v>
      </c>
      <c r="N1004" s="34" t="n">
        <f aca="false">MATCH(F1004,Assumptions!$K$4:$K$8,0)</f>
        <v>4</v>
      </c>
      <c r="O1004" s="21" t="str">
        <f aca="false">IF(H1004="Yes",MONTH(I1004),"")</f>
        <v/>
      </c>
      <c r="P1004" s="21" t="str">
        <f aca="false">IF(H1004="Yes",B1004,"")</f>
        <v/>
      </c>
    </row>
    <row r="1005" customFormat="false" ht="15" hidden="false" customHeight="false" outlineLevel="0" collapsed="false">
      <c r="A1005" s="21" t="s">
        <v>2220</v>
      </c>
      <c r="B1005" s="21" t="s">
        <v>495</v>
      </c>
      <c r="C1005" s="21" t="s">
        <v>1230</v>
      </c>
      <c r="D1005" s="21" t="s">
        <v>1194</v>
      </c>
      <c r="E1005" s="33" t="n">
        <v>45511</v>
      </c>
      <c r="F1005" s="21" t="s">
        <v>1175</v>
      </c>
      <c r="G1005" s="32"/>
      <c r="H1005" s="21"/>
      <c r="I1005" s="33"/>
      <c r="J1005" s="21" t="str">
        <f aca="false">INDEX(Students!$C$2:$C$601,MATCH(B1005,Students!$A$2:$A$601,0))</f>
        <v>Batch 2025</v>
      </c>
      <c r="K1005" s="21" t="str">
        <f aca="false">INDEX(Students!$D$2:$D$601,MATCH(B1005,Students!$A$2:$A$601,0))</f>
        <v>Data Science &amp; ML</v>
      </c>
      <c r="L1005" s="21" t="str">
        <f aca="false">INDEX(Companies!$C$2:$C$31,MATCH(C1005,Companies!$A$2:$A$31,0))</f>
        <v>IT Services</v>
      </c>
      <c r="M1005" s="21" t="str">
        <f aca="false">INDEX(Companies!$D$2:$D$31,MATCH(C1005,Companies!$A$2:$A$31,0))</f>
        <v>Tier 3</v>
      </c>
      <c r="N1005" s="34" t="n">
        <f aca="false">MATCH(F1005,Assumptions!$K$4:$K$8,0)</f>
        <v>1</v>
      </c>
      <c r="O1005" s="21" t="str">
        <f aca="false">IF(H1005="Yes",MONTH(I1005),"")</f>
        <v/>
      </c>
      <c r="P1005" s="21" t="str">
        <f aca="false">IF(H1005="Yes",B1005,"")</f>
        <v/>
      </c>
    </row>
    <row r="1006" customFormat="false" ht="15" hidden="false" customHeight="false" outlineLevel="0" collapsed="false">
      <c r="A1006" s="21" t="s">
        <v>2221</v>
      </c>
      <c r="B1006" s="21" t="s">
        <v>530</v>
      </c>
      <c r="C1006" s="21" t="s">
        <v>1193</v>
      </c>
      <c r="D1006" s="21" t="s">
        <v>1226</v>
      </c>
      <c r="E1006" s="33" t="n">
        <v>45511</v>
      </c>
      <c r="F1006" s="21" t="s">
        <v>1178</v>
      </c>
      <c r="G1006" s="32"/>
      <c r="H1006" s="21"/>
      <c r="I1006" s="33"/>
      <c r="J1006" s="21" t="str">
        <f aca="false">INDEX(Students!$C$2:$C$601,MATCH(B1006,Students!$A$2:$A$601,0))</f>
        <v>Batch 2025</v>
      </c>
      <c r="K1006" s="21" t="str">
        <f aca="false">INDEX(Students!$D$2:$D$601,MATCH(B1006,Students!$A$2:$A$601,0))</f>
        <v>Cybersecurity</v>
      </c>
      <c r="L1006" s="21" t="str">
        <f aca="false">INDEX(Companies!$C$2:$C$31,MATCH(C1006,Companies!$A$2:$A$31,0))</f>
        <v>Analytics &amp; Consulting</v>
      </c>
      <c r="M1006" s="21" t="str">
        <f aca="false">INDEX(Companies!$D$2:$D$31,MATCH(C1006,Companies!$A$2:$A$31,0))</f>
        <v>Tier 2</v>
      </c>
      <c r="N1006" s="34" t="n">
        <f aca="false">MATCH(F1006,Assumptions!$K$4:$K$8,0)</f>
        <v>2</v>
      </c>
      <c r="O1006" s="21" t="str">
        <f aca="false">IF(H1006="Yes",MONTH(I1006),"")</f>
        <v/>
      </c>
      <c r="P1006" s="21" t="str">
        <f aca="false">IF(H1006="Yes",B1006,"")</f>
        <v/>
      </c>
    </row>
    <row r="1007" customFormat="false" ht="15" hidden="false" customHeight="false" outlineLevel="0" collapsed="false">
      <c r="A1007" s="21" t="s">
        <v>2222</v>
      </c>
      <c r="B1007" s="21" t="s">
        <v>790</v>
      </c>
      <c r="C1007" s="21" t="s">
        <v>1298</v>
      </c>
      <c r="D1007" s="21" t="s">
        <v>1243</v>
      </c>
      <c r="E1007" s="33" t="n">
        <v>45511</v>
      </c>
      <c r="F1007" s="21" t="s">
        <v>1185</v>
      </c>
      <c r="G1007" s="32" t="n">
        <v>12.1</v>
      </c>
      <c r="H1007" s="21" t="s">
        <v>120</v>
      </c>
      <c r="I1007" s="33" t="n">
        <v>45532</v>
      </c>
      <c r="J1007" s="21" t="str">
        <f aca="false">INDEX(Students!$C$2:$C$601,MATCH(B1007,Students!$A$2:$A$601,0))</f>
        <v>Batch 2025</v>
      </c>
      <c r="K1007" s="21" t="str">
        <f aca="false">INDEX(Students!$D$2:$D$601,MATCH(B1007,Students!$A$2:$A$601,0))</f>
        <v>Data Science &amp; ML</v>
      </c>
      <c r="L1007" s="21" t="str">
        <f aca="false">INDEX(Companies!$C$2:$C$31,MATCH(C1007,Companies!$A$2:$A$31,0))</f>
        <v>Fintech</v>
      </c>
      <c r="M1007" s="21" t="str">
        <f aca="false">INDEX(Companies!$D$2:$D$31,MATCH(C1007,Companies!$A$2:$A$31,0))</f>
        <v>Tier 2</v>
      </c>
      <c r="N1007" s="34" t="n">
        <f aca="false">MATCH(F1007,Assumptions!$K$4:$K$8,0)</f>
        <v>5</v>
      </c>
      <c r="O1007" s="21" t="n">
        <f aca="false">IF(H1007="Yes",MONTH(I1007),"")</f>
        <v>8</v>
      </c>
      <c r="P1007" s="21" t="str">
        <f aca="false">IF(H1007="Yes",B1007,"")</f>
        <v>S0371</v>
      </c>
    </row>
    <row r="1008" customFormat="false" ht="15" hidden="false" customHeight="false" outlineLevel="0" collapsed="false">
      <c r="A1008" s="21" t="s">
        <v>2223</v>
      </c>
      <c r="B1008" s="21" t="s">
        <v>691</v>
      </c>
      <c r="C1008" s="21" t="s">
        <v>1211</v>
      </c>
      <c r="D1008" s="21" t="s">
        <v>1188</v>
      </c>
      <c r="E1008" s="33" t="n">
        <v>45512</v>
      </c>
      <c r="F1008" s="21" t="s">
        <v>1175</v>
      </c>
      <c r="G1008" s="32"/>
      <c r="H1008" s="21"/>
      <c r="I1008" s="33"/>
      <c r="J1008" s="21" t="str">
        <f aca="false">INDEX(Students!$C$2:$C$601,MATCH(B1008,Students!$A$2:$A$601,0))</f>
        <v>Batch 2025</v>
      </c>
      <c r="K1008" s="21" t="str">
        <f aca="false">INDEX(Students!$D$2:$D$601,MATCH(B1008,Students!$A$2:$A$601,0))</f>
        <v>Data Analytics</v>
      </c>
      <c r="L1008" s="21" t="str">
        <f aca="false">INDEX(Companies!$C$2:$C$31,MATCH(C1008,Companies!$A$2:$A$31,0))</f>
        <v>Analytics &amp; Consulting</v>
      </c>
      <c r="M1008" s="21" t="str">
        <f aca="false">INDEX(Companies!$D$2:$D$31,MATCH(C1008,Companies!$A$2:$A$31,0))</f>
        <v>Tier 3</v>
      </c>
      <c r="N1008" s="34" t="n">
        <f aca="false">MATCH(F1008,Assumptions!$K$4:$K$8,0)</f>
        <v>1</v>
      </c>
      <c r="O1008" s="21" t="str">
        <f aca="false">IF(H1008="Yes",MONTH(I1008),"")</f>
        <v/>
      </c>
      <c r="P1008" s="21" t="str">
        <f aca="false">IF(H1008="Yes",B1008,"")</f>
        <v/>
      </c>
    </row>
    <row r="1009" customFormat="false" ht="15" hidden="false" customHeight="false" outlineLevel="0" collapsed="false">
      <c r="A1009" s="21" t="s">
        <v>2224</v>
      </c>
      <c r="B1009" s="21" t="s">
        <v>482</v>
      </c>
      <c r="C1009" s="21" t="s">
        <v>1225</v>
      </c>
      <c r="D1009" s="21" t="s">
        <v>1209</v>
      </c>
      <c r="E1009" s="33" t="n">
        <v>45512</v>
      </c>
      <c r="F1009" s="21" t="s">
        <v>1175</v>
      </c>
      <c r="G1009" s="32"/>
      <c r="H1009" s="21"/>
      <c r="I1009" s="33"/>
      <c r="J1009" s="21" t="str">
        <f aca="false">INDEX(Students!$C$2:$C$601,MATCH(B1009,Students!$A$2:$A$601,0))</f>
        <v>Batch 2025</v>
      </c>
      <c r="K1009" s="21" t="str">
        <f aca="false">INDEX(Students!$D$2:$D$601,MATCH(B1009,Students!$A$2:$A$601,0))</f>
        <v>Data Analytics</v>
      </c>
      <c r="L1009" s="21" t="str">
        <f aca="false">INDEX(Companies!$C$2:$C$31,MATCH(C1009,Companies!$A$2:$A$31,0))</f>
        <v>EdTech</v>
      </c>
      <c r="M1009" s="21" t="str">
        <f aca="false">INDEX(Companies!$D$2:$D$31,MATCH(C1009,Companies!$A$2:$A$31,0))</f>
        <v>Tier 2</v>
      </c>
      <c r="N1009" s="34" t="n">
        <f aca="false">MATCH(F1009,Assumptions!$K$4:$K$8,0)</f>
        <v>1</v>
      </c>
      <c r="O1009" s="21" t="str">
        <f aca="false">IF(H1009="Yes",MONTH(I1009),"")</f>
        <v/>
      </c>
      <c r="P1009" s="21" t="str">
        <f aca="false">IF(H1009="Yes",B1009,"")</f>
        <v/>
      </c>
    </row>
    <row r="1010" customFormat="false" ht="15" hidden="false" customHeight="false" outlineLevel="0" collapsed="false">
      <c r="A1010" s="21" t="s">
        <v>2225</v>
      </c>
      <c r="B1010" s="21" t="s">
        <v>524</v>
      </c>
      <c r="C1010" s="21" t="s">
        <v>1239</v>
      </c>
      <c r="D1010" s="21" t="s">
        <v>1243</v>
      </c>
      <c r="E1010" s="33" t="n">
        <v>45512</v>
      </c>
      <c r="F1010" s="21" t="s">
        <v>1178</v>
      </c>
      <c r="G1010" s="32"/>
      <c r="H1010" s="21"/>
      <c r="I1010" s="33"/>
      <c r="J1010" s="21" t="str">
        <f aca="false">INDEX(Students!$C$2:$C$601,MATCH(B1010,Students!$A$2:$A$601,0))</f>
        <v>Batch 2025</v>
      </c>
      <c r="K1010" s="21" t="str">
        <f aca="false">INDEX(Students!$D$2:$D$601,MATCH(B1010,Students!$A$2:$A$601,0))</f>
        <v>Data Science &amp; ML</v>
      </c>
      <c r="L1010" s="21" t="str">
        <f aca="false">INDEX(Companies!$C$2:$C$31,MATCH(C1010,Companies!$A$2:$A$31,0))</f>
        <v>E-commerce</v>
      </c>
      <c r="M1010" s="21" t="str">
        <f aca="false">INDEX(Companies!$D$2:$D$31,MATCH(C1010,Companies!$A$2:$A$31,0))</f>
        <v>Tier 3</v>
      </c>
      <c r="N1010" s="34" t="n">
        <f aca="false">MATCH(F1010,Assumptions!$K$4:$K$8,0)</f>
        <v>2</v>
      </c>
      <c r="O1010" s="21" t="str">
        <f aca="false">IF(H1010="Yes",MONTH(I1010),"")</f>
        <v/>
      </c>
      <c r="P1010" s="21" t="str">
        <f aca="false">IF(H1010="Yes",B1010,"")</f>
        <v/>
      </c>
    </row>
    <row r="1011" customFormat="false" ht="15" hidden="false" customHeight="false" outlineLevel="0" collapsed="false">
      <c r="A1011" s="21" t="s">
        <v>2226</v>
      </c>
      <c r="B1011" s="21" t="s">
        <v>672</v>
      </c>
      <c r="C1011" s="21" t="s">
        <v>1190</v>
      </c>
      <c r="D1011" s="21" t="s">
        <v>1191</v>
      </c>
      <c r="E1011" s="33" t="n">
        <v>45512</v>
      </c>
      <c r="F1011" s="21" t="s">
        <v>1178</v>
      </c>
      <c r="G1011" s="32"/>
      <c r="H1011" s="21"/>
      <c r="I1011" s="33"/>
      <c r="J1011" s="21" t="str">
        <f aca="false">INDEX(Students!$C$2:$C$601,MATCH(B1011,Students!$A$2:$A$601,0))</f>
        <v>Batch 2025</v>
      </c>
      <c r="K1011" s="21" t="str">
        <f aca="false">INDEX(Students!$D$2:$D$601,MATCH(B1011,Students!$A$2:$A$601,0))</f>
        <v>DSA with Java</v>
      </c>
      <c r="L1011" s="21" t="str">
        <f aca="false">INDEX(Companies!$C$2:$C$31,MATCH(C1011,Companies!$A$2:$A$31,0))</f>
        <v>Analytics &amp; Consulting</v>
      </c>
      <c r="M1011" s="21" t="str">
        <f aca="false">INDEX(Companies!$D$2:$D$31,MATCH(C1011,Companies!$A$2:$A$31,0))</f>
        <v>Tier 1</v>
      </c>
      <c r="N1011" s="34" t="n">
        <f aca="false">MATCH(F1011,Assumptions!$K$4:$K$8,0)</f>
        <v>2</v>
      </c>
      <c r="O1011" s="21" t="str">
        <f aca="false">IF(H1011="Yes",MONTH(I1011),"")</f>
        <v/>
      </c>
      <c r="P1011" s="21" t="str">
        <f aca="false">IF(H1011="Yes",B1011,"")</f>
        <v/>
      </c>
    </row>
    <row r="1012" customFormat="false" ht="15" hidden="false" customHeight="false" outlineLevel="0" collapsed="false">
      <c r="A1012" s="21" t="s">
        <v>2227</v>
      </c>
      <c r="B1012" s="21" t="s">
        <v>697</v>
      </c>
      <c r="C1012" s="21" t="s">
        <v>1234</v>
      </c>
      <c r="D1012" s="21" t="s">
        <v>1194</v>
      </c>
      <c r="E1012" s="33" t="n">
        <v>45512</v>
      </c>
      <c r="F1012" s="21" t="s">
        <v>1178</v>
      </c>
      <c r="G1012" s="32"/>
      <c r="H1012" s="21"/>
      <c r="I1012" s="33"/>
      <c r="J1012" s="21" t="str">
        <f aca="false">INDEX(Students!$C$2:$C$601,MATCH(B1012,Students!$A$2:$A$601,0))</f>
        <v>Batch 2025</v>
      </c>
      <c r="K1012" s="21" t="str">
        <f aca="false">INDEX(Students!$D$2:$D$601,MATCH(B1012,Students!$A$2:$A$601,0))</f>
        <v>Data Science &amp; ML</v>
      </c>
      <c r="L1012" s="21" t="str">
        <f aca="false">INDEX(Companies!$C$2:$C$31,MATCH(C1012,Companies!$A$2:$A$31,0))</f>
        <v>EdTech</v>
      </c>
      <c r="M1012" s="21" t="str">
        <f aca="false">INDEX(Companies!$D$2:$D$31,MATCH(C1012,Companies!$A$2:$A$31,0))</f>
        <v>Tier 3</v>
      </c>
      <c r="N1012" s="34" t="n">
        <f aca="false">MATCH(F1012,Assumptions!$K$4:$K$8,0)</f>
        <v>2</v>
      </c>
      <c r="O1012" s="21" t="str">
        <f aca="false">IF(H1012="Yes",MONTH(I1012),"")</f>
        <v/>
      </c>
      <c r="P1012" s="21" t="str">
        <f aca="false">IF(H1012="Yes",B1012,"")</f>
        <v/>
      </c>
    </row>
    <row r="1013" customFormat="false" ht="15" hidden="false" customHeight="false" outlineLevel="0" collapsed="false">
      <c r="A1013" s="21" t="s">
        <v>2228</v>
      </c>
      <c r="B1013" s="21" t="s">
        <v>590</v>
      </c>
      <c r="C1013" s="21" t="s">
        <v>1187</v>
      </c>
      <c r="D1013" s="21" t="s">
        <v>1209</v>
      </c>
      <c r="E1013" s="33" t="n">
        <v>45512</v>
      </c>
      <c r="F1013" s="21" t="s">
        <v>1178</v>
      </c>
      <c r="G1013" s="32"/>
      <c r="H1013" s="21"/>
      <c r="I1013" s="33"/>
      <c r="J1013" s="21" t="str">
        <f aca="false">INDEX(Students!$C$2:$C$601,MATCH(B1013,Students!$A$2:$A$601,0))</f>
        <v>Batch 2025</v>
      </c>
      <c r="K1013" s="21" t="str">
        <f aca="false">INDEX(Students!$D$2:$D$601,MATCH(B1013,Students!$A$2:$A$601,0))</f>
        <v>Data Analytics</v>
      </c>
      <c r="L1013" s="21" t="str">
        <f aca="false">INDEX(Companies!$C$2:$C$31,MATCH(C1013,Companies!$A$2:$A$31,0))</f>
        <v>Product</v>
      </c>
      <c r="M1013" s="21" t="str">
        <f aca="false">INDEX(Companies!$D$2:$D$31,MATCH(C1013,Companies!$A$2:$A$31,0))</f>
        <v>Tier 1</v>
      </c>
      <c r="N1013" s="34" t="n">
        <f aca="false">MATCH(F1013,Assumptions!$K$4:$K$8,0)</f>
        <v>2</v>
      </c>
      <c r="O1013" s="21" t="str">
        <f aca="false">IF(H1013="Yes",MONTH(I1013),"")</f>
        <v/>
      </c>
      <c r="P1013" s="21" t="str">
        <f aca="false">IF(H1013="Yes",B1013,"")</f>
        <v/>
      </c>
    </row>
    <row r="1014" customFormat="false" ht="15" hidden="false" customHeight="false" outlineLevel="0" collapsed="false">
      <c r="A1014" s="21" t="s">
        <v>2229</v>
      </c>
      <c r="B1014" s="21" t="s">
        <v>794</v>
      </c>
      <c r="C1014" s="21" t="s">
        <v>1290</v>
      </c>
      <c r="D1014" s="21" t="s">
        <v>1243</v>
      </c>
      <c r="E1014" s="33" t="n">
        <v>45513</v>
      </c>
      <c r="F1014" s="21" t="s">
        <v>1178</v>
      </c>
      <c r="G1014" s="32"/>
      <c r="H1014" s="21"/>
      <c r="I1014" s="33"/>
      <c r="J1014" s="21" t="str">
        <f aca="false">INDEX(Students!$C$2:$C$601,MATCH(B1014,Students!$A$2:$A$601,0))</f>
        <v>Batch 2025</v>
      </c>
      <c r="K1014" s="21" t="str">
        <f aca="false">INDEX(Students!$D$2:$D$601,MATCH(B1014,Students!$A$2:$A$601,0))</f>
        <v>Data Science &amp; ML</v>
      </c>
      <c r="L1014" s="21" t="str">
        <f aca="false">INDEX(Companies!$C$2:$C$31,MATCH(C1014,Companies!$A$2:$A$31,0))</f>
        <v>Fintech</v>
      </c>
      <c r="M1014" s="21" t="str">
        <f aca="false">INDEX(Companies!$D$2:$D$31,MATCH(C1014,Companies!$A$2:$A$31,0))</f>
        <v>Tier 2</v>
      </c>
      <c r="N1014" s="34" t="n">
        <f aca="false">MATCH(F1014,Assumptions!$K$4:$K$8,0)</f>
        <v>2</v>
      </c>
      <c r="O1014" s="21" t="str">
        <f aca="false">IF(H1014="Yes",MONTH(I1014),"")</f>
        <v/>
      </c>
      <c r="P1014" s="21" t="str">
        <f aca="false">IF(H1014="Yes",B1014,"")</f>
        <v/>
      </c>
    </row>
    <row r="1015" customFormat="false" ht="15" hidden="false" customHeight="false" outlineLevel="0" collapsed="false">
      <c r="A1015" s="21" t="s">
        <v>2230</v>
      </c>
      <c r="B1015" s="21" t="s">
        <v>776</v>
      </c>
      <c r="C1015" s="21" t="s">
        <v>1193</v>
      </c>
      <c r="D1015" s="21" t="s">
        <v>1209</v>
      </c>
      <c r="E1015" s="33" t="n">
        <v>45513</v>
      </c>
      <c r="F1015" s="21" t="s">
        <v>1175</v>
      </c>
      <c r="G1015" s="32"/>
      <c r="H1015" s="21"/>
      <c r="I1015" s="33"/>
      <c r="J1015" s="21" t="str">
        <f aca="false">INDEX(Students!$C$2:$C$601,MATCH(B1015,Students!$A$2:$A$601,0))</f>
        <v>Batch 2025</v>
      </c>
      <c r="K1015" s="21" t="str">
        <f aca="false">INDEX(Students!$D$2:$D$601,MATCH(B1015,Students!$A$2:$A$601,0))</f>
        <v>Data Analytics</v>
      </c>
      <c r="L1015" s="21" t="str">
        <f aca="false">INDEX(Companies!$C$2:$C$31,MATCH(C1015,Companies!$A$2:$A$31,0))</f>
        <v>Analytics &amp; Consulting</v>
      </c>
      <c r="M1015" s="21" t="str">
        <f aca="false">INDEX(Companies!$D$2:$D$31,MATCH(C1015,Companies!$A$2:$A$31,0))</f>
        <v>Tier 2</v>
      </c>
      <c r="N1015" s="34" t="n">
        <f aca="false">MATCH(F1015,Assumptions!$K$4:$K$8,0)</f>
        <v>1</v>
      </c>
      <c r="O1015" s="21" t="str">
        <f aca="false">IF(H1015="Yes",MONTH(I1015),"")</f>
        <v/>
      </c>
      <c r="P1015" s="21" t="str">
        <f aca="false">IF(H1015="Yes",B1015,"")</f>
        <v/>
      </c>
    </row>
    <row r="1016" customFormat="false" ht="15" hidden="false" customHeight="false" outlineLevel="0" collapsed="false">
      <c r="A1016" s="21" t="s">
        <v>2231</v>
      </c>
      <c r="B1016" s="21" t="s">
        <v>482</v>
      </c>
      <c r="C1016" s="21" t="s">
        <v>1216</v>
      </c>
      <c r="D1016" s="21" t="s">
        <v>1188</v>
      </c>
      <c r="E1016" s="33" t="n">
        <v>45514</v>
      </c>
      <c r="F1016" s="21" t="s">
        <v>1178</v>
      </c>
      <c r="G1016" s="32"/>
      <c r="H1016" s="21"/>
      <c r="I1016" s="33"/>
      <c r="J1016" s="21" t="str">
        <f aca="false">INDEX(Students!$C$2:$C$601,MATCH(B1016,Students!$A$2:$A$601,0))</f>
        <v>Batch 2025</v>
      </c>
      <c r="K1016" s="21" t="str">
        <f aca="false">INDEX(Students!$D$2:$D$601,MATCH(B1016,Students!$A$2:$A$601,0))</f>
        <v>Data Analytics</v>
      </c>
      <c r="L1016" s="21" t="str">
        <f aca="false">INDEX(Companies!$C$2:$C$31,MATCH(C1016,Companies!$A$2:$A$31,0))</f>
        <v>IT Services</v>
      </c>
      <c r="M1016" s="21" t="str">
        <f aca="false">INDEX(Companies!$D$2:$D$31,MATCH(C1016,Companies!$A$2:$A$31,0))</f>
        <v>Tier 3</v>
      </c>
      <c r="N1016" s="34" t="n">
        <f aca="false">MATCH(F1016,Assumptions!$K$4:$K$8,0)</f>
        <v>2</v>
      </c>
      <c r="O1016" s="21" t="str">
        <f aca="false">IF(H1016="Yes",MONTH(I1016),"")</f>
        <v/>
      </c>
      <c r="P1016" s="21" t="str">
        <f aca="false">IF(H1016="Yes",B1016,"")</f>
        <v/>
      </c>
    </row>
    <row r="1017" customFormat="false" ht="15" hidden="false" customHeight="false" outlineLevel="0" collapsed="false">
      <c r="A1017" s="21" t="s">
        <v>2232</v>
      </c>
      <c r="B1017" s="21" t="s">
        <v>780</v>
      </c>
      <c r="C1017" s="21" t="s">
        <v>1187</v>
      </c>
      <c r="D1017" s="21" t="s">
        <v>1174</v>
      </c>
      <c r="E1017" s="33" t="n">
        <v>45514</v>
      </c>
      <c r="F1017" s="21" t="s">
        <v>1218</v>
      </c>
      <c r="G1017" s="32"/>
      <c r="H1017" s="21"/>
      <c r="I1017" s="33"/>
      <c r="J1017" s="21" t="str">
        <f aca="false">INDEX(Students!$C$2:$C$601,MATCH(B1017,Students!$A$2:$A$601,0))</f>
        <v>Batch 2025</v>
      </c>
      <c r="K1017" s="21" t="str">
        <f aca="false">INDEX(Students!$D$2:$D$601,MATCH(B1017,Students!$A$2:$A$601,0))</f>
        <v>Full Stack Development</v>
      </c>
      <c r="L1017" s="21" t="str">
        <f aca="false">INDEX(Companies!$C$2:$C$31,MATCH(C1017,Companies!$A$2:$A$31,0))</f>
        <v>Product</v>
      </c>
      <c r="M1017" s="21" t="str">
        <f aca="false">INDEX(Companies!$D$2:$D$31,MATCH(C1017,Companies!$A$2:$A$31,0))</f>
        <v>Tier 1</v>
      </c>
      <c r="N1017" s="34" t="n">
        <f aca="false">MATCH(F1017,Assumptions!$K$4:$K$8,0)</f>
        <v>4</v>
      </c>
      <c r="O1017" s="21" t="str">
        <f aca="false">IF(H1017="Yes",MONTH(I1017),"")</f>
        <v/>
      </c>
      <c r="P1017" s="21" t="str">
        <f aca="false">IF(H1017="Yes",B1017,"")</f>
        <v/>
      </c>
    </row>
    <row r="1018" customFormat="false" ht="15" hidden="false" customHeight="false" outlineLevel="0" collapsed="false">
      <c r="A1018" s="21" t="s">
        <v>2233</v>
      </c>
      <c r="B1018" s="21" t="s">
        <v>503</v>
      </c>
      <c r="C1018" s="21" t="s">
        <v>1211</v>
      </c>
      <c r="D1018" s="21" t="s">
        <v>1181</v>
      </c>
      <c r="E1018" s="33" t="n">
        <v>45514</v>
      </c>
      <c r="F1018" s="21" t="s">
        <v>1185</v>
      </c>
      <c r="G1018" s="32" t="n">
        <v>4</v>
      </c>
      <c r="H1018" s="21" t="s">
        <v>113</v>
      </c>
      <c r="I1018" s="33" t="n">
        <v>45546</v>
      </c>
      <c r="J1018" s="21" t="str">
        <f aca="false">INDEX(Students!$C$2:$C$601,MATCH(B1018,Students!$A$2:$A$601,0))</f>
        <v>Batch 2025</v>
      </c>
      <c r="K1018" s="21" t="str">
        <f aca="false">INDEX(Students!$D$2:$D$601,MATCH(B1018,Students!$A$2:$A$601,0))</f>
        <v>Full Stack Development</v>
      </c>
      <c r="L1018" s="21" t="str">
        <f aca="false">INDEX(Companies!$C$2:$C$31,MATCH(C1018,Companies!$A$2:$A$31,0))</f>
        <v>Analytics &amp; Consulting</v>
      </c>
      <c r="M1018" s="21" t="str">
        <f aca="false">INDEX(Companies!$D$2:$D$31,MATCH(C1018,Companies!$A$2:$A$31,0))</f>
        <v>Tier 3</v>
      </c>
      <c r="N1018" s="34" t="n">
        <f aca="false">MATCH(F1018,Assumptions!$K$4:$K$8,0)</f>
        <v>5</v>
      </c>
      <c r="O1018" s="21" t="str">
        <f aca="false">IF(H1018="Yes",MONTH(I1018),"")</f>
        <v/>
      </c>
      <c r="P1018" s="21" t="str">
        <f aca="false">IF(H1018="Yes",B1018,"")</f>
        <v/>
      </c>
    </row>
    <row r="1019" customFormat="false" ht="15" hidden="false" customHeight="false" outlineLevel="0" collapsed="false">
      <c r="A1019" s="21" t="s">
        <v>2234</v>
      </c>
      <c r="B1019" s="21" t="s">
        <v>657</v>
      </c>
      <c r="C1019" s="21" t="s">
        <v>1309</v>
      </c>
      <c r="D1019" s="21" t="s">
        <v>1181</v>
      </c>
      <c r="E1019" s="33" t="n">
        <v>45514</v>
      </c>
      <c r="F1019" s="21" t="s">
        <v>1197</v>
      </c>
      <c r="G1019" s="32"/>
      <c r="H1019" s="21"/>
      <c r="I1019" s="33"/>
      <c r="J1019" s="21" t="str">
        <f aca="false">INDEX(Students!$C$2:$C$601,MATCH(B1019,Students!$A$2:$A$601,0))</f>
        <v>Batch 2025</v>
      </c>
      <c r="K1019" s="21" t="str">
        <f aca="false">INDEX(Students!$D$2:$D$601,MATCH(B1019,Students!$A$2:$A$601,0))</f>
        <v>Full Stack Development</v>
      </c>
      <c r="L1019" s="21" t="str">
        <f aca="false">INDEX(Companies!$C$2:$C$31,MATCH(C1019,Companies!$A$2:$A$31,0))</f>
        <v>EdTech</v>
      </c>
      <c r="M1019" s="21" t="str">
        <f aca="false">INDEX(Companies!$D$2:$D$31,MATCH(C1019,Companies!$A$2:$A$31,0))</f>
        <v>Tier 2</v>
      </c>
      <c r="N1019" s="34" t="n">
        <f aca="false">MATCH(F1019,Assumptions!$K$4:$K$8,0)</f>
        <v>3</v>
      </c>
      <c r="O1019" s="21" t="str">
        <f aca="false">IF(H1019="Yes",MONTH(I1019),"")</f>
        <v/>
      </c>
      <c r="P1019" s="21" t="str">
        <f aca="false">IF(H1019="Yes",B1019,"")</f>
        <v/>
      </c>
    </row>
    <row r="1020" customFormat="false" ht="15" hidden="false" customHeight="false" outlineLevel="0" collapsed="false">
      <c r="A1020" s="21" t="s">
        <v>2235</v>
      </c>
      <c r="B1020" s="21" t="s">
        <v>597</v>
      </c>
      <c r="C1020" s="21" t="s">
        <v>1177</v>
      </c>
      <c r="D1020" s="21" t="s">
        <v>1184</v>
      </c>
      <c r="E1020" s="33" t="n">
        <v>45514</v>
      </c>
      <c r="F1020" s="21" t="s">
        <v>1185</v>
      </c>
      <c r="G1020" s="32" t="n">
        <v>4.6</v>
      </c>
      <c r="H1020" s="21" t="s">
        <v>113</v>
      </c>
      <c r="I1020" s="33" t="n">
        <v>45550</v>
      </c>
      <c r="J1020" s="21" t="str">
        <f aca="false">INDEX(Students!$C$2:$C$601,MATCH(B1020,Students!$A$2:$A$601,0))</f>
        <v>Batch 2025</v>
      </c>
      <c r="K1020" s="21" t="str">
        <f aca="false">INDEX(Students!$D$2:$D$601,MATCH(B1020,Students!$A$2:$A$601,0))</f>
        <v>DSA with Java</v>
      </c>
      <c r="L1020" s="21" t="str">
        <f aca="false">INDEX(Companies!$C$2:$C$31,MATCH(C1020,Companies!$A$2:$A$31,0))</f>
        <v>IT Services</v>
      </c>
      <c r="M1020" s="21" t="str">
        <f aca="false">INDEX(Companies!$D$2:$D$31,MATCH(C1020,Companies!$A$2:$A$31,0))</f>
        <v>Tier 3</v>
      </c>
      <c r="N1020" s="34" t="n">
        <f aca="false">MATCH(F1020,Assumptions!$K$4:$K$8,0)</f>
        <v>5</v>
      </c>
      <c r="O1020" s="21" t="str">
        <f aca="false">IF(H1020="Yes",MONTH(I1020),"")</f>
        <v/>
      </c>
      <c r="P1020" s="21" t="str">
        <f aca="false">IF(H1020="Yes",B1020,"")</f>
        <v/>
      </c>
    </row>
    <row r="1021" customFormat="false" ht="15" hidden="false" customHeight="false" outlineLevel="0" collapsed="false">
      <c r="A1021" s="21" t="s">
        <v>2236</v>
      </c>
      <c r="B1021" s="21" t="s">
        <v>680</v>
      </c>
      <c r="C1021" s="21" t="s">
        <v>1216</v>
      </c>
      <c r="D1021" s="21" t="s">
        <v>1243</v>
      </c>
      <c r="E1021" s="33" t="n">
        <v>45514</v>
      </c>
      <c r="F1021" s="21" t="s">
        <v>1175</v>
      </c>
      <c r="G1021" s="32"/>
      <c r="H1021" s="21"/>
      <c r="I1021" s="33"/>
      <c r="J1021" s="21" t="str">
        <f aca="false">INDEX(Students!$C$2:$C$601,MATCH(B1021,Students!$A$2:$A$601,0))</f>
        <v>Batch 2025</v>
      </c>
      <c r="K1021" s="21" t="str">
        <f aca="false">INDEX(Students!$D$2:$D$601,MATCH(B1021,Students!$A$2:$A$601,0))</f>
        <v>Data Science &amp; ML</v>
      </c>
      <c r="L1021" s="21" t="str">
        <f aca="false">INDEX(Companies!$C$2:$C$31,MATCH(C1021,Companies!$A$2:$A$31,0))</f>
        <v>IT Services</v>
      </c>
      <c r="M1021" s="21" t="str">
        <f aca="false">INDEX(Companies!$D$2:$D$31,MATCH(C1021,Companies!$A$2:$A$31,0))</f>
        <v>Tier 3</v>
      </c>
      <c r="N1021" s="34" t="n">
        <f aca="false">MATCH(F1021,Assumptions!$K$4:$K$8,0)</f>
        <v>1</v>
      </c>
      <c r="O1021" s="21" t="str">
        <f aca="false">IF(H1021="Yes",MONTH(I1021),"")</f>
        <v/>
      </c>
      <c r="P1021" s="21" t="str">
        <f aca="false">IF(H1021="Yes",B1021,"")</f>
        <v/>
      </c>
    </row>
    <row r="1022" customFormat="false" ht="15" hidden="false" customHeight="false" outlineLevel="0" collapsed="false">
      <c r="A1022" s="21" t="s">
        <v>2237</v>
      </c>
      <c r="B1022" s="21" t="s">
        <v>618</v>
      </c>
      <c r="C1022" s="21" t="s">
        <v>1205</v>
      </c>
      <c r="D1022" s="21" t="s">
        <v>1181</v>
      </c>
      <c r="E1022" s="33" t="n">
        <v>45514</v>
      </c>
      <c r="F1022" s="21" t="s">
        <v>1185</v>
      </c>
      <c r="G1022" s="32" t="n">
        <v>5.6</v>
      </c>
      <c r="H1022" s="21" t="s">
        <v>120</v>
      </c>
      <c r="I1022" s="33" t="n">
        <v>45560</v>
      </c>
      <c r="J1022" s="21" t="str">
        <f aca="false">INDEX(Students!$C$2:$C$601,MATCH(B1022,Students!$A$2:$A$601,0))</f>
        <v>Batch 2025</v>
      </c>
      <c r="K1022" s="21" t="str">
        <f aca="false">INDEX(Students!$D$2:$D$601,MATCH(B1022,Students!$A$2:$A$601,0))</f>
        <v>Full Stack Development</v>
      </c>
      <c r="L1022" s="21" t="str">
        <f aca="false">INDEX(Companies!$C$2:$C$31,MATCH(C1022,Companies!$A$2:$A$31,0))</f>
        <v>Healthtech</v>
      </c>
      <c r="M1022" s="21" t="str">
        <f aca="false">INDEX(Companies!$D$2:$D$31,MATCH(C1022,Companies!$A$2:$A$31,0))</f>
        <v>Tier 3</v>
      </c>
      <c r="N1022" s="34" t="n">
        <f aca="false">MATCH(F1022,Assumptions!$K$4:$K$8,0)</f>
        <v>5</v>
      </c>
      <c r="O1022" s="21" t="n">
        <f aca="false">IF(H1022="Yes",MONTH(I1022),"")</f>
        <v>9</v>
      </c>
      <c r="P1022" s="21" t="str">
        <f aca="false">IF(H1022="Yes",B1022,"")</f>
        <v>S0272</v>
      </c>
    </row>
    <row r="1023" customFormat="false" ht="15" hidden="false" customHeight="false" outlineLevel="0" collapsed="false">
      <c r="A1023" s="21" t="s">
        <v>2238</v>
      </c>
      <c r="B1023" s="21" t="s">
        <v>582</v>
      </c>
      <c r="C1023" s="21" t="s">
        <v>1275</v>
      </c>
      <c r="D1023" s="21" t="s">
        <v>1194</v>
      </c>
      <c r="E1023" s="33" t="n">
        <v>45515</v>
      </c>
      <c r="F1023" s="21" t="s">
        <v>1175</v>
      </c>
      <c r="G1023" s="32"/>
      <c r="H1023" s="21"/>
      <c r="I1023" s="33"/>
      <c r="J1023" s="21" t="str">
        <f aca="false">INDEX(Students!$C$2:$C$601,MATCH(B1023,Students!$A$2:$A$601,0))</f>
        <v>Batch 2025</v>
      </c>
      <c r="K1023" s="21" t="str">
        <f aca="false">INDEX(Students!$D$2:$D$601,MATCH(B1023,Students!$A$2:$A$601,0))</f>
        <v>Data Science &amp; ML</v>
      </c>
      <c r="L1023" s="21" t="str">
        <f aca="false">INDEX(Companies!$C$2:$C$31,MATCH(C1023,Companies!$A$2:$A$31,0))</f>
        <v>Cybersecurity</v>
      </c>
      <c r="M1023" s="21" t="str">
        <f aca="false">INDEX(Companies!$D$2:$D$31,MATCH(C1023,Companies!$A$2:$A$31,0))</f>
        <v>Tier 2</v>
      </c>
      <c r="N1023" s="34" t="n">
        <f aca="false">MATCH(F1023,Assumptions!$K$4:$K$8,0)</f>
        <v>1</v>
      </c>
      <c r="O1023" s="21" t="str">
        <f aca="false">IF(H1023="Yes",MONTH(I1023),"")</f>
        <v/>
      </c>
      <c r="P1023" s="21" t="str">
        <f aca="false">IF(H1023="Yes",B1023,"")</f>
        <v/>
      </c>
    </row>
    <row r="1024" customFormat="false" ht="15" hidden="false" customHeight="false" outlineLevel="0" collapsed="false">
      <c r="A1024" s="21" t="s">
        <v>2239</v>
      </c>
      <c r="B1024" s="21" t="s">
        <v>491</v>
      </c>
      <c r="C1024" s="21" t="s">
        <v>1203</v>
      </c>
      <c r="D1024" s="21" t="s">
        <v>1191</v>
      </c>
      <c r="E1024" s="33" t="n">
        <v>45515</v>
      </c>
      <c r="F1024" s="21" t="s">
        <v>1178</v>
      </c>
      <c r="G1024" s="32"/>
      <c r="H1024" s="21"/>
      <c r="I1024" s="33"/>
      <c r="J1024" s="21" t="str">
        <f aca="false">INDEX(Students!$C$2:$C$601,MATCH(B1024,Students!$A$2:$A$601,0))</f>
        <v>Batch 2025</v>
      </c>
      <c r="K1024" s="21" t="str">
        <f aca="false">INDEX(Students!$D$2:$D$601,MATCH(B1024,Students!$A$2:$A$601,0))</f>
        <v>DSA with Java</v>
      </c>
      <c r="L1024" s="21" t="str">
        <f aca="false">INDEX(Companies!$C$2:$C$31,MATCH(C1024,Companies!$A$2:$A$31,0))</f>
        <v>Healthtech</v>
      </c>
      <c r="M1024" s="21" t="str">
        <f aca="false">INDEX(Companies!$D$2:$D$31,MATCH(C1024,Companies!$A$2:$A$31,0))</f>
        <v>Tier 2</v>
      </c>
      <c r="N1024" s="34" t="n">
        <f aca="false">MATCH(F1024,Assumptions!$K$4:$K$8,0)</f>
        <v>2</v>
      </c>
      <c r="O1024" s="21" t="str">
        <f aca="false">IF(H1024="Yes",MONTH(I1024),"")</f>
        <v/>
      </c>
      <c r="P1024" s="21" t="str">
        <f aca="false">IF(H1024="Yes",B1024,"")</f>
        <v/>
      </c>
    </row>
    <row r="1025" customFormat="false" ht="15" hidden="false" customHeight="false" outlineLevel="0" collapsed="false">
      <c r="A1025" s="21" t="s">
        <v>2240</v>
      </c>
      <c r="B1025" s="21" t="s">
        <v>806</v>
      </c>
      <c r="C1025" s="21" t="s">
        <v>1234</v>
      </c>
      <c r="D1025" s="21" t="s">
        <v>1243</v>
      </c>
      <c r="E1025" s="33" t="n">
        <v>45515</v>
      </c>
      <c r="F1025" s="21" t="s">
        <v>1178</v>
      </c>
      <c r="G1025" s="32"/>
      <c r="H1025" s="21"/>
      <c r="I1025" s="33"/>
      <c r="J1025" s="21" t="str">
        <f aca="false">INDEX(Students!$C$2:$C$601,MATCH(B1025,Students!$A$2:$A$601,0))</f>
        <v>Batch 2025</v>
      </c>
      <c r="K1025" s="21" t="str">
        <f aca="false">INDEX(Students!$D$2:$D$601,MATCH(B1025,Students!$A$2:$A$601,0))</f>
        <v>Data Science &amp; ML</v>
      </c>
      <c r="L1025" s="21" t="str">
        <f aca="false">INDEX(Companies!$C$2:$C$31,MATCH(C1025,Companies!$A$2:$A$31,0))</f>
        <v>EdTech</v>
      </c>
      <c r="M1025" s="21" t="str">
        <f aca="false">INDEX(Companies!$D$2:$D$31,MATCH(C1025,Companies!$A$2:$A$31,0))</f>
        <v>Tier 3</v>
      </c>
      <c r="N1025" s="34" t="n">
        <f aca="false">MATCH(F1025,Assumptions!$K$4:$K$8,0)</f>
        <v>2</v>
      </c>
      <c r="O1025" s="21" t="str">
        <f aca="false">IF(H1025="Yes",MONTH(I1025),"")</f>
        <v/>
      </c>
      <c r="P1025" s="21" t="str">
        <f aca="false">IF(H1025="Yes",B1025,"")</f>
        <v/>
      </c>
    </row>
    <row r="1026" customFormat="false" ht="15" hidden="false" customHeight="false" outlineLevel="0" collapsed="false">
      <c r="A1026" s="21" t="s">
        <v>2241</v>
      </c>
      <c r="B1026" s="21" t="s">
        <v>578</v>
      </c>
      <c r="C1026" s="21" t="s">
        <v>1196</v>
      </c>
      <c r="D1026" s="21" t="s">
        <v>1181</v>
      </c>
      <c r="E1026" s="33" t="n">
        <v>45515</v>
      </c>
      <c r="F1026" s="21" t="s">
        <v>1197</v>
      </c>
      <c r="G1026" s="32"/>
      <c r="H1026" s="21"/>
      <c r="I1026" s="33"/>
      <c r="J1026" s="21" t="str">
        <f aca="false">INDEX(Students!$C$2:$C$601,MATCH(B1026,Students!$A$2:$A$601,0))</f>
        <v>Batch 2025</v>
      </c>
      <c r="K1026" s="21" t="str">
        <f aca="false">INDEX(Students!$D$2:$D$601,MATCH(B1026,Students!$A$2:$A$601,0))</f>
        <v>Full Stack Development</v>
      </c>
      <c r="L1026" s="21" t="str">
        <f aca="false">INDEX(Companies!$C$2:$C$31,MATCH(C1026,Companies!$A$2:$A$31,0))</f>
        <v>IT Services</v>
      </c>
      <c r="M1026" s="21" t="str">
        <f aca="false">INDEX(Companies!$D$2:$D$31,MATCH(C1026,Companies!$A$2:$A$31,0))</f>
        <v>Tier 3</v>
      </c>
      <c r="N1026" s="34" t="n">
        <f aca="false">MATCH(F1026,Assumptions!$K$4:$K$8,0)</f>
        <v>3</v>
      </c>
      <c r="O1026" s="21" t="str">
        <f aca="false">IF(H1026="Yes",MONTH(I1026),"")</f>
        <v/>
      </c>
      <c r="P1026" s="21" t="str">
        <f aca="false">IF(H1026="Yes",B1026,"")</f>
        <v/>
      </c>
    </row>
    <row r="1027" customFormat="false" ht="15" hidden="false" customHeight="false" outlineLevel="0" collapsed="false">
      <c r="A1027" s="21" t="s">
        <v>2242</v>
      </c>
      <c r="B1027" s="21" t="s">
        <v>704</v>
      </c>
      <c r="C1027" s="21" t="s">
        <v>1266</v>
      </c>
      <c r="D1027" s="21" t="s">
        <v>1181</v>
      </c>
      <c r="E1027" s="33" t="n">
        <v>45515</v>
      </c>
      <c r="F1027" s="21" t="s">
        <v>1175</v>
      </c>
      <c r="G1027" s="32"/>
      <c r="H1027" s="21"/>
      <c r="I1027" s="33"/>
      <c r="J1027" s="21" t="str">
        <f aca="false">INDEX(Students!$C$2:$C$601,MATCH(B1027,Students!$A$2:$A$601,0))</f>
        <v>Batch 2025</v>
      </c>
      <c r="K1027" s="21" t="str">
        <f aca="false">INDEX(Students!$D$2:$D$601,MATCH(B1027,Students!$A$2:$A$601,0))</f>
        <v>Full Stack Development</v>
      </c>
      <c r="L1027" s="21" t="str">
        <f aca="false">INDEX(Companies!$C$2:$C$31,MATCH(C1027,Companies!$A$2:$A$31,0))</f>
        <v>IT Services</v>
      </c>
      <c r="M1027" s="21" t="str">
        <f aca="false">INDEX(Companies!$D$2:$D$31,MATCH(C1027,Companies!$A$2:$A$31,0))</f>
        <v>Tier 3</v>
      </c>
      <c r="N1027" s="34" t="n">
        <f aca="false">MATCH(F1027,Assumptions!$K$4:$K$8,0)</f>
        <v>1</v>
      </c>
      <c r="O1027" s="21" t="str">
        <f aca="false">IF(H1027="Yes",MONTH(I1027),"")</f>
        <v/>
      </c>
      <c r="P1027" s="21" t="str">
        <f aca="false">IF(H1027="Yes",B1027,"")</f>
        <v/>
      </c>
    </row>
    <row r="1028" customFormat="false" ht="15" hidden="false" customHeight="false" outlineLevel="0" collapsed="false">
      <c r="A1028" s="21" t="s">
        <v>2243</v>
      </c>
      <c r="B1028" s="21" t="s">
        <v>573</v>
      </c>
      <c r="C1028" s="21" t="s">
        <v>1180</v>
      </c>
      <c r="D1028" s="21" t="s">
        <v>1243</v>
      </c>
      <c r="E1028" s="33" t="n">
        <v>45516</v>
      </c>
      <c r="F1028" s="21" t="s">
        <v>1218</v>
      </c>
      <c r="G1028" s="32"/>
      <c r="H1028" s="21"/>
      <c r="I1028" s="33"/>
      <c r="J1028" s="21" t="str">
        <f aca="false">INDEX(Students!$C$2:$C$601,MATCH(B1028,Students!$A$2:$A$601,0))</f>
        <v>Batch 2025</v>
      </c>
      <c r="K1028" s="21" t="str">
        <f aca="false">INDEX(Students!$D$2:$D$601,MATCH(B1028,Students!$A$2:$A$601,0))</f>
        <v>Data Science &amp; ML</v>
      </c>
      <c r="L1028" s="21" t="str">
        <f aca="false">INDEX(Companies!$C$2:$C$31,MATCH(C1028,Companies!$A$2:$A$31,0))</f>
        <v>IT Services</v>
      </c>
      <c r="M1028" s="21" t="str">
        <f aca="false">INDEX(Companies!$D$2:$D$31,MATCH(C1028,Companies!$A$2:$A$31,0))</f>
        <v>Tier 3</v>
      </c>
      <c r="N1028" s="34" t="n">
        <f aca="false">MATCH(F1028,Assumptions!$K$4:$K$8,0)</f>
        <v>4</v>
      </c>
      <c r="O1028" s="21" t="str">
        <f aca="false">IF(H1028="Yes",MONTH(I1028),"")</f>
        <v/>
      </c>
      <c r="P1028" s="21" t="str">
        <f aca="false">IF(H1028="Yes",B1028,"")</f>
        <v/>
      </c>
    </row>
    <row r="1029" customFormat="false" ht="15" hidden="false" customHeight="false" outlineLevel="0" collapsed="false">
      <c r="A1029" s="21" t="s">
        <v>2244</v>
      </c>
      <c r="B1029" s="21" t="s">
        <v>563</v>
      </c>
      <c r="C1029" s="21" t="s">
        <v>1322</v>
      </c>
      <c r="D1029" s="21" t="s">
        <v>1181</v>
      </c>
      <c r="E1029" s="33" t="n">
        <v>45516</v>
      </c>
      <c r="F1029" s="21" t="s">
        <v>1175</v>
      </c>
      <c r="G1029" s="32"/>
      <c r="H1029" s="21"/>
      <c r="I1029" s="33"/>
      <c r="J1029" s="21" t="str">
        <f aca="false">INDEX(Students!$C$2:$C$601,MATCH(B1029,Students!$A$2:$A$601,0))</f>
        <v>Batch 2025</v>
      </c>
      <c r="K1029" s="21" t="str">
        <f aca="false">INDEX(Students!$D$2:$D$601,MATCH(B1029,Students!$A$2:$A$601,0))</f>
        <v>Full Stack Development</v>
      </c>
      <c r="L1029" s="21" t="str">
        <f aca="false">INDEX(Companies!$C$2:$C$31,MATCH(C1029,Companies!$A$2:$A$31,0))</f>
        <v>Healthtech</v>
      </c>
      <c r="M1029" s="21" t="str">
        <f aca="false">INDEX(Companies!$D$2:$D$31,MATCH(C1029,Companies!$A$2:$A$31,0))</f>
        <v>Tier 2</v>
      </c>
      <c r="N1029" s="34" t="n">
        <f aca="false">MATCH(F1029,Assumptions!$K$4:$K$8,0)</f>
        <v>1</v>
      </c>
      <c r="O1029" s="21" t="str">
        <f aca="false">IF(H1029="Yes",MONTH(I1029),"")</f>
        <v/>
      </c>
      <c r="P1029" s="21" t="str">
        <f aca="false">IF(H1029="Yes",B1029,"")</f>
        <v/>
      </c>
    </row>
    <row r="1030" customFormat="false" ht="15" hidden="false" customHeight="false" outlineLevel="0" collapsed="false">
      <c r="A1030" s="21" t="s">
        <v>2245</v>
      </c>
      <c r="B1030" s="21" t="s">
        <v>773</v>
      </c>
      <c r="C1030" s="21" t="s">
        <v>1193</v>
      </c>
      <c r="D1030" s="21" t="s">
        <v>1243</v>
      </c>
      <c r="E1030" s="33" t="n">
        <v>45516</v>
      </c>
      <c r="F1030" s="21" t="s">
        <v>1175</v>
      </c>
      <c r="G1030" s="32"/>
      <c r="H1030" s="21"/>
      <c r="I1030" s="33"/>
      <c r="J1030" s="21" t="str">
        <f aca="false">INDEX(Students!$C$2:$C$601,MATCH(B1030,Students!$A$2:$A$601,0))</f>
        <v>Batch 2025</v>
      </c>
      <c r="K1030" s="21" t="str">
        <f aca="false">INDEX(Students!$D$2:$D$601,MATCH(B1030,Students!$A$2:$A$601,0))</f>
        <v>Data Science &amp; ML</v>
      </c>
      <c r="L1030" s="21" t="str">
        <f aca="false">INDEX(Companies!$C$2:$C$31,MATCH(C1030,Companies!$A$2:$A$31,0))</f>
        <v>Analytics &amp; Consulting</v>
      </c>
      <c r="M1030" s="21" t="str">
        <f aca="false">INDEX(Companies!$D$2:$D$31,MATCH(C1030,Companies!$A$2:$A$31,0))</f>
        <v>Tier 2</v>
      </c>
      <c r="N1030" s="34" t="n">
        <f aca="false">MATCH(F1030,Assumptions!$K$4:$K$8,0)</f>
        <v>1</v>
      </c>
      <c r="O1030" s="21" t="str">
        <f aca="false">IF(H1030="Yes",MONTH(I1030),"")</f>
        <v/>
      </c>
      <c r="P1030" s="21" t="str">
        <f aca="false">IF(H1030="Yes",B1030,"")</f>
        <v/>
      </c>
    </row>
    <row r="1031" customFormat="false" ht="15" hidden="false" customHeight="false" outlineLevel="0" collapsed="false">
      <c r="A1031" s="21" t="s">
        <v>2246</v>
      </c>
      <c r="B1031" s="21" t="s">
        <v>489</v>
      </c>
      <c r="C1031" s="21" t="s">
        <v>1201</v>
      </c>
      <c r="D1031" s="21" t="s">
        <v>1240</v>
      </c>
      <c r="E1031" s="33" t="n">
        <v>45517</v>
      </c>
      <c r="F1031" s="21" t="s">
        <v>1197</v>
      </c>
      <c r="G1031" s="32"/>
      <c r="H1031" s="21"/>
      <c r="I1031" s="33"/>
      <c r="J1031" s="21" t="str">
        <f aca="false">INDEX(Students!$C$2:$C$601,MATCH(B1031,Students!$A$2:$A$601,0))</f>
        <v>Batch 2025</v>
      </c>
      <c r="K1031" s="21" t="str">
        <f aca="false">INDEX(Students!$D$2:$D$601,MATCH(B1031,Students!$A$2:$A$601,0))</f>
        <v>Cybersecurity</v>
      </c>
      <c r="L1031" s="21" t="str">
        <f aca="false">INDEX(Companies!$C$2:$C$31,MATCH(C1031,Companies!$A$2:$A$31,0))</f>
        <v>IT Services</v>
      </c>
      <c r="M1031" s="21" t="str">
        <f aca="false">INDEX(Companies!$D$2:$D$31,MATCH(C1031,Companies!$A$2:$A$31,0))</f>
        <v>Tier 3</v>
      </c>
      <c r="N1031" s="34" t="n">
        <f aca="false">MATCH(F1031,Assumptions!$K$4:$K$8,0)</f>
        <v>3</v>
      </c>
      <c r="O1031" s="21" t="str">
        <f aca="false">IF(H1031="Yes",MONTH(I1031),"")</f>
        <v/>
      </c>
      <c r="P1031" s="21" t="str">
        <f aca="false">IF(H1031="Yes",B1031,"")</f>
        <v/>
      </c>
    </row>
    <row r="1032" customFormat="false" ht="15" hidden="false" customHeight="false" outlineLevel="0" collapsed="false">
      <c r="A1032" s="21" t="s">
        <v>2247</v>
      </c>
      <c r="B1032" s="21" t="s">
        <v>767</v>
      </c>
      <c r="C1032" s="21" t="s">
        <v>1201</v>
      </c>
      <c r="D1032" s="21" t="s">
        <v>1226</v>
      </c>
      <c r="E1032" s="33" t="n">
        <v>45517</v>
      </c>
      <c r="F1032" s="21" t="s">
        <v>1178</v>
      </c>
      <c r="G1032" s="32"/>
      <c r="H1032" s="21"/>
      <c r="I1032" s="33"/>
      <c r="J1032" s="21" t="str">
        <f aca="false">INDEX(Students!$C$2:$C$601,MATCH(B1032,Students!$A$2:$A$601,0))</f>
        <v>Batch 2025</v>
      </c>
      <c r="K1032" s="21" t="str">
        <f aca="false">INDEX(Students!$D$2:$D$601,MATCH(B1032,Students!$A$2:$A$601,0))</f>
        <v>Cybersecurity</v>
      </c>
      <c r="L1032" s="21" t="str">
        <f aca="false">INDEX(Companies!$C$2:$C$31,MATCH(C1032,Companies!$A$2:$A$31,0))</f>
        <v>IT Services</v>
      </c>
      <c r="M1032" s="21" t="str">
        <f aca="false">INDEX(Companies!$D$2:$D$31,MATCH(C1032,Companies!$A$2:$A$31,0))</f>
        <v>Tier 3</v>
      </c>
      <c r="N1032" s="34" t="n">
        <f aca="false">MATCH(F1032,Assumptions!$K$4:$K$8,0)</f>
        <v>2</v>
      </c>
      <c r="O1032" s="21" t="str">
        <f aca="false">IF(H1032="Yes",MONTH(I1032),"")</f>
        <v/>
      </c>
      <c r="P1032" s="21" t="str">
        <f aca="false">IF(H1032="Yes",B1032,"")</f>
        <v/>
      </c>
    </row>
    <row r="1033" customFormat="false" ht="15" hidden="false" customHeight="false" outlineLevel="0" collapsed="false">
      <c r="A1033" s="21" t="s">
        <v>2248</v>
      </c>
      <c r="B1033" s="21" t="s">
        <v>533</v>
      </c>
      <c r="C1033" s="21" t="s">
        <v>1255</v>
      </c>
      <c r="D1033" s="21" t="s">
        <v>1184</v>
      </c>
      <c r="E1033" s="33" t="n">
        <v>45517</v>
      </c>
      <c r="F1033" s="21" t="s">
        <v>1175</v>
      </c>
      <c r="G1033" s="32"/>
      <c r="H1033" s="21"/>
      <c r="I1033" s="33"/>
      <c r="J1033" s="21" t="str">
        <f aca="false">INDEX(Students!$C$2:$C$601,MATCH(B1033,Students!$A$2:$A$601,0))</f>
        <v>Batch 2025</v>
      </c>
      <c r="K1033" s="21" t="str">
        <f aca="false">INDEX(Students!$D$2:$D$601,MATCH(B1033,Students!$A$2:$A$601,0))</f>
        <v>DSA with Java</v>
      </c>
      <c r="L1033" s="21" t="str">
        <f aca="false">INDEX(Companies!$C$2:$C$31,MATCH(C1033,Companies!$A$2:$A$31,0))</f>
        <v>IT Services</v>
      </c>
      <c r="M1033" s="21" t="str">
        <f aca="false">INDEX(Companies!$D$2:$D$31,MATCH(C1033,Companies!$A$2:$A$31,0))</f>
        <v>Tier 3</v>
      </c>
      <c r="N1033" s="34" t="n">
        <f aca="false">MATCH(F1033,Assumptions!$K$4:$K$8,0)</f>
        <v>1</v>
      </c>
      <c r="O1033" s="21" t="str">
        <f aca="false">IF(H1033="Yes",MONTH(I1033),"")</f>
        <v/>
      </c>
      <c r="P1033" s="21" t="str">
        <f aca="false">IF(H1033="Yes",B1033,"")</f>
        <v/>
      </c>
    </row>
    <row r="1034" customFormat="false" ht="15" hidden="false" customHeight="false" outlineLevel="0" collapsed="false">
      <c r="A1034" s="21" t="s">
        <v>2249</v>
      </c>
      <c r="B1034" s="21" t="s">
        <v>470</v>
      </c>
      <c r="C1034" s="21" t="s">
        <v>1203</v>
      </c>
      <c r="D1034" s="21" t="s">
        <v>1188</v>
      </c>
      <c r="E1034" s="33" t="n">
        <v>45517</v>
      </c>
      <c r="F1034" s="21" t="s">
        <v>1185</v>
      </c>
      <c r="G1034" s="32" t="n">
        <v>11.9</v>
      </c>
      <c r="H1034" s="21" t="s">
        <v>120</v>
      </c>
      <c r="I1034" s="33" t="n">
        <v>45565</v>
      </c>
      <c r="J1034" s="21" t="str">
        <f aca="false">INDEX(Students!$C$2:$C$601,MATCH(B1034,Students!$A$2:$A$601,0))</f>
        <v>Batch 2025</v>
      </c>
      <c r="K1034" s="21" t="str">
        <f aca="false">INDEX(Students!$D$2:$D$601,MATCH(B1034,Students!$A$2:$A$601,0))</f>
        <v>Data Analytics</v>
      </c>
      <c r="L1034" s="21" t="str">
        <f aca="false">INDEX(Companies!$C$2:$C$31,MATCH(C1034,Companies!$A$2:$A$31,0))</f>
        <v>Healthtech</v>
      </c>
      <c r="M1034" s="21" t="str">
        <f aca="false">INDEX(Companies!$D$2:$D$31,MATCH(C1034,Companies!$A$2:$A$31,0))</f>
        <v>Tier 2</v>
      </c>
      <c r="N1034" s="34" t="n">
        <f aca="false">MATCH(F1034,Assumptions!$K$4:$K$8,0)</f>
        <v>5</v>
      </c>
      <c r="O1034" s="21" t="n">
        <f aca="false">IF(H1034="Yes",MONTH(I1034),"")</f>
        <v>9</v>
      </c>
      <c r="P1034" s="21" t="str">
        <f aca="false">IF(H1034="Yes",B1034,"")</f>
        <v>S0189</v>
      </c>
    </row>
    <row r="1035" customFormat="false" ht="15" hidden="false" customHeight="false" outlineLevel="0" collapsed="false">
      <c r="A1035" s="21" t="s">
        <v>2250</v>
      </c>
      <c r="B1035" s="21" t="s">
        <v>620</v>
      </c>
      <c r="C1035" s="21" t="s">
        <v>1230</v>
      </c>
      <c r="D1035" s="21" t="s">
        <v>1226</v>
      </c>
      <c r="E1035" s="33" t="n">
        <v>45517</v>
      </c>
      <c r="F1035" s="21" t="s">
        <v>1175</v>
      </c>
      <c r="G1035" s="32"/>
      <c r="H1035" s="21"/>
      <c r="I1035" s="33"/>
      <c r="J1035" s="21" t="str">
        <f aca="false">INDEX(Students!$C$2:$C$601,MATCH(B1035,Students!$A$2:$A$601,0))</f>
        <v>Batch 2025</v>
      </c>
      <c r="K1035" s="21" t="str">
        <f aca="false">INDEX(Students!$D$2:$D$601,MATCH(B1035,Students!$A$2:$A$601,0))</f>
        <v>Cybersecurity</v>
      </c>
      <c r="L1035" s="21" t="str">
        <f aca="false">INDEX(Companies!$C$2:$C$31,MATCH(C1035,Companies!$A$2:$A$31,0))</f>
        <v>IT Services</v>
      </c>
      <c r="M1035" s="21" t="str">
        <f aca="false">INDEX(Companies!$D$2:$D$31,MATCH(C1035,Companies!$A$2:$A$31,0))</f>
        <v>Tier 3</v>
      </c>
      <c r="N1035" s="34" t="n">
        <f aca="false">MATCH(F1035,Assumptions!$K$4:$K$8,0)</f>
        <v>1</v>
      </c>
      <c r="O1035" s="21" t="str">
        <f aca="false">IF(H1035="Yes",MONTH(I1035),"")</f>
        <v/>
      </c>
      <c r="P1035" s="21" t="str">
        <f aca="false">IF(H1035="Yes",B1035,"")</f>
        <v/>
      </c>
    </row>
    <row r="1036" customFormat="false" ht="15" hidden="false" customHeight="false" outlineLevel="0" collapsed="false">
      <c r="A1036" s="21" t="s">
        <v>2251</v>
      </c>
      <c r="B1036" s="21" t="s">
        <v>476</v>
      </c>
      <c r="C1036" s="21" t="s">
        <v>1180</v>
      </c>
      <c r="D1036" s="21" t="s">
        <v>1174</v>
      </c>
      <c r="E1036" s="33" t="n">
        <v>45517</v>
      </c>
      <c r="F1036" s="21" t="s">
        <v>1185</v>
      </c>
      <c r="G1036" s="32" t="n">
        <v>4.6</v>
      </c>
      <c r="H1036" s="21" t="s">
        <v>113</v>
      </c>
      <c r="I1036" s="33" t="n">
        <v>45572</v>
      </c>
      <c r="J1036" s="21" t="str">
        <f aca="false">INDEX(Students!$C$2:$C$601,MATCH(B1036,Students!$A$2:$A$601,0))</f>
        <v>Batch 2025</v>
      </c>
      <c r="K1036" s="21" t="str">
        <f aca="false">INDEX(Students!$D$2:$D$601,MATCH(B1036,Students!$A$2:$A$601,0))</f>
        <v>Full Stack Development</v>
      </c>
      <c r="L1036" s="21" t="str">
        <f aca="false">INDEX(Companies!$C$2:$C$31,MATCH(C1036,Companies!$A$2:$A$31,0))</f>
        <v>IT Services</v>
      </c>
      <c r="M1036" s="21" t="str">
        <f aca="false">INDEX(Companies!$D$2:$D$31,MATCH(C1036,Companies!$A$2:$A$31,0))</f>
        <v>Tier 3</v>
      </c>
      <c r="N1036" s="34" t="n">
        <f aca="false">MATCH(F1036,Assumptions!$K$4:$K$8,0)</f>
        <v>5</v>
      </c>
      <c r="O1036" s="21" t="str">
        <f aca="false">IF(H1036="Yes",MONTH(I1036),"")</f>
        <v/>
      </c>
      <c r="P1036" s="21" t="str">
        <f aca="false">IF(H1036="Yes",B1036,"")</f>
        <v/>
      </c>
    </row>
    <row r="1037" customFormat="false" ht="15" hidden="false" customHeight="false" outlineLevel="0" collapsed="false">
      <c r="A1037" s="21" t="s">
        <v>2252</v>
      </c>
      <c r="B1037" s="21" t="s">
        <v>800</v>
      </c>
      <c r="C1037" s="21" t="s">
        <v>1180</v>
      </c>
      <c r="D1037" s="21" t="s">
        <v>1194</v>
      </c>
      <c r="E1037" s="33" t="n">
        <v>45518</v>
      </c>
      <c r="F1037" s="21" t="s">
        <v>1197</v>
      </c>
      <c r="G1037" s="32"/>
      <c r="H1037" s="21"/>
      <c r="I1037" s="33"/>
      <c r="J1037" s="21" t="str">
        <f aca="false">INDEX(Students!$C$2:$C$601,MATCH(B1037,Students!$A$2:$A$601,0))</f>
        <v>Batch 2025</v>
      </c>
      <c r="K1037" s="21" t="str">
        <f aca="false">INDEX(Students!$D$2:$D$601,MATCH(B1037,Students!$A$2:$A$601,0))</f>
        <v>Data Science &amp; ML</v>
      </c>
      <c r="L1037" s="21" t="str">
        <f aca="false">INDEX(Companies!$C$2:$C$31,MATCH(C1037,Companies!$A$2:$A$31,0))</f>
        <v>IT Services</v>
      </c>
      <c r="M1037" s="21" t="str">
        <f aca="false">INDEX(Companies!$D$2:$D$31,MATCH(C1037,Companies!$A$2:$A$31,0))</f>
        <v>Tier 3</v>
      </c>
      <c r="N1037" s="34" t="n">
        <f aca="false">MATCH(F1037,Assumptions!$K$4:$K$8,0)</f>
        <v>3</v>
      </c>
      <c r="O1037" s="21" t="str">
        <f aca="false">IF(H1037="Yes",MONTH(I1037),"")</f>
        <v/>
      </c>
      <c r="P1037" s="21" t="str">
        <f aca="false">IF(H1037="Yes",B1037,"")</f>
        <v/>
      </c>
    </row>
    <row r="1038" customFormat="false" ht="15" hidden="false" customHeight="false" outlineLevel="0" collapsed="false">
      <c r="A1038" s="21" t="s">
        <v>2253</v>
      </c>
      <c r="B1038" s="21" t="s">
        <v>487</v>
      </c>
      <c r="C1038" s="21" t="s">
        <v>1255</v>
      </c>
      <c r="D1038" s="21" t="s">
        <v>1243</v>
      </c>
      <c r="E1038" s="33" t="n">
        <v>45518</v>
      </c>
      <c r="F1038" s="21" t="s">
        <v>1185</v>
      </c>
      <c r="G1038" s="32" t="n">
        <v>7.4</v>
      </c>
      <c r="H1038" s="21" t="s">
        <v>113</v>
      </c>
      <c r="I1038" s="33" t="n">
        <v>45573</v>
      </c>
      <c r="J1038" s="21" t="str">
        <f aca="false">INDEX(Students!$C$2:$C$601,MATCH(B1038,Students!$A$2:$A$601,0))</f>
        <v>Batch 2025</v>
      </c>
      <c r="K1038" s="21" t="str">
        <f aca="false">INDEX(Students!$D$2:$D$601,MATCH(B1038,Students!$A$2:$A$601,0))</f>
        <v>Data Science &amp; ML</v>
      </c>
      <c r="L1038" s="21" t="str">
        <f aca="false">INDEX(Companies!$C$2:$C$31,MATCH(C1038,Companies!$A$2:$A$31,0))</f>
        <v>IT Services</v>
      </c>
      <c r="M1038" s="21" t="str">
        <f aca="false">INDEX(Companies!$D$2:$D$31,MATCH(C1038,Companies!$A$2:$A$31,0))</f>
        <v>Tier 3</v>
      </c>
      <c r="N1038" s="34" t="n">
        <f aca="false">MATCH(F1038,Assumptions!$K$4:$K$8,0)</f>
        <v>5</v>
      </c>
      <c r="O1038" s="21" t="str">
        <f aca="false">IF(H1038="Yes",MONTH(I1038),"")</f>
        <v/>
      </c>
      <c r="P1038" s="21" t="str">
        <f aca="false">IF(H1038="Yes",B1038,"")</f>
        <v/>
      </c>
    </row>
    <row r="1039" customFormat="false" ht="15" hidden="false" customHeight="false" outlineLevel="0" collapsed="false">
      <c r="A1039" s="21" t="s">
        <v>2254</v>
      </c>
      <c r="B1039" s="21" t="s">
        <v>487</v>
      </c>
      <c r="C1039" s="21" t="s">
        <v>1201</v>
      </c>
      <c r="D1039" s="21" t="s">
        <v>1243</v>
      </c>
      <c r="E1039" s="33" t="n">
        <v>45518</v>
      </c>
      <c r="F1039" s="21" t="s">
        <v>1185</v>
      </c>
      <c r="G1039" s="32" t="n">
        <v>6.4</v>
      </c>
      <c r="H1039" s="21" t="s">
        <v>113</v>
      </c>
      <c r="I1039" s="33" t="n">
        <v>45570</v>
      </c>
      <c r="J1039" s="21" t="str">
        <f aca="false">INDEX(Students!$C$2:$C$601,MATCH(B1039,Students!$A$2:$A$601,0))</f>
        <v>Batch 2025</v>
      </c>
      <c r="K1039" s="21" t="str">
        <f aca="false">INDEX(Students!$D$2:$D$601,MATCH(B1039,Students!$A$2:$A$601,0))</f>
        <v>Data Science &amp; ML</v>
      </c>
      <c r="L1039" s="21" t="str">
        <f aca="false">INDEX(Companies!$C$2:$C$31,MATCH(C1039,Companies!$A$2:$A$31,0))</f>
        <v>IT Services</v>
      </c>
      <c r="M1039" s="21" t="str">
        <f aca="false">INDEX(Companies!$D$2:$D$31,MATCH(C1039,Companies!$A$2:$A$31,0))</f>
        <v>Tier 3</v>
      </c>
      <c r="N1039" s="34" t="n">
        <f aca="false">MATCH(F1039,Assumptions!$K$4:$K$8,0)</f>
        <v>5</v>
      </c>
      <c r="O1039" s="21" t="str">
        <f aca="false">IF(H1039="Yes",MONTH(I1039),"")</f>
        <v/>
      </c>
      <c r="P1039" s="21" t="str">
        <f aca="false">IF(H1039="Yes",B1039,"")</f>
        <v/>
      </c>
    </row>
    <row r="1040" customFormat="false" ht="15" hidden="false" customHeight="false" outlineLevel="0" collapsed="false">
      <c r="A1040" s="21" t="s">
        <v>2255</v>
      </c>
      <c r="B1040" s="21" t="s">
        <v>765</v>
      </c>
      <c r="C1040" s="21" t="s">
        <v>1222</v>
      </c>
      <c r="D1040" s="21" t="s">
        <v>1191</v>
      </c>
      <c r="E1040" s="33" t="n">
        <v>45518</v>
      </c>
      <c r="F1040" s="21" t="s">
        <v>1178</v>
      </c>
      <c r="G1040" s="32"/>
      <c r="H1040" s="21"/>
      <c r="I1040" s="33"/>
      <c r="J1040" s="21" t="str">
        <f aca="false">INDEX(Students!$C$2:$C$601,MATCH(B1040,Students!$A$2:$A$601,0))</f>
        <v>Batch 2025</v>
      </c>
      <c r="K1040" s="21" t="str">
        <f aca="false">INDEX(Students!$D$2:$D$601,MATCH(B1040,Students!$A$2:$A$601,0))</f>
        <v>DSA with Java</v>
      </c>
      <c r="L1040" s="21" t="str">
        <f aca="false">INDEX(Companies!$C$2:$C$31,MATCH(C1040,Companies!$A$2:$A$31,0))</f>
        <v>Product</v>
      </c>
      <c r="M1040" s="21" t="str">
        <f aca="false">INDEX(Companies!$D$2:$D$31,MATCH(C1040,Companies!$A$2:$A$31,0))</f>
        <v>Tier 2</v>
      </c>
      <c r="N1040" s="34" t="n">
        <f aca="false">MATCH(F1040,Assumptions!$K$4:$K$8,0)</f>
        <v>2</v>
      </c>
      <c r="O1040" s="21" t="str">
        <f aca="false">IF(H1040="Yes",MONTH(I1040),"")</f>
        <v/>
      </c>
      <c r="P1040" s="21" t="str">
        <f aca="false">IF(H1040="Yes",B1040,"")</f>
        <v/>
      </c>
    </row>
    <row r="1041" customFormat="false" ht="15" hidden="false" customHeight="false" outlineLevel="0" collapsed="false">
      <c r="A1041" s="21" t="s">
        <v>2256</v>
      </c>
      <c r="B1041" s="21" t="s">
        <v>616</v>
      </c>
      <c r="C1041" s="21" t="s">
        <v>1201</v>
      </c>
      <c r="D1041" s="21" t="s">
        <v>1243</v>
      </c>
      <c r="E1041" s="33" t="n">
        <v>45519</v>
      </c>
      <c r="F1041" s="21" t="s">
        <v>1175</v>
      </c>
      <c r="G1041" s="32"/>
      <c r="H1041" s="21"/>
      <c r="I1041" s="33"/>
      <c r="J1041" s="21" t="str">
        <f aca="false">INDEX(Students!$C$2:$C$601,MATCH(B1041,Students!$A$2:$A$601,0))</f>
        <v>Batch 2025</v>
      </c>
      <c r="K1041" s="21" t="str">
        <f aca="false">INDEX(Students!$D$2:$D$601,MATCH(B1041,Students!$A$2:$A$601,0))</f>
        <v>Data Science &amp; ML</v>
      </c>
      <c r="L1041" s="21" t="str">
        <f aca="false">INDEX(Companies!$C$2:$C$31,MATCH(C1041,Companies!$A$2:$A$31,0))</f>
        <v>IT Services</v>
      </c>
      <c r="M1041" s="21" t="str">
        <f aca="false">INDEX(Companies!$D$2:$D$31,MATCH(C1041,Companies!$A$2:$A$31,0))</f>
        <v>Tier 3</v>
      </c>
      <c r="N1041" s="34" t="n">
        <f aca="false">MATCH(F1041,Assumptions!$K$4:$K$8,0)</f>
        <v>1</v>
      </c>
      <c r="O1041" s="21" t="str">
        <f aca="false">IF(H1041="Yes",MONTH(I1041),"")</f>
        <v/>
      </c>
      <c r="P1041" s="21" t="str">
        <f aca="false">IF(H1041="Yes",B1041,"")</f>
        <v/>
      </c>
    </row>
    <row r="1042" customFormat="false" ht="15" hidden="false" customHeight="false" outlineLevel="0" collapsed="false">
      <c r="A1042" s="21" t="s">
        <v>2257</v>
      </c>
      <c r="B1042" s="21" t="s">
        <v>663</v>
      </c>
      <c r="C1042" s="21" t="s">
        <v>1199</v>
      </c>
      <c r="D1042" s="21" t="s">
        <v>1191</v>
      </c>
      <c r="E1042" s="33" t="n">
        <v>45519</v>
      </c>
      <c r="F1042" s="21" t="s">
        <v>1175</v>
      </c>
      <c r="G1042" s="32"/>
      <c r="H1042" s="21"/>
      <c r="I1042" s="33"/>
      <c r="J1042" s="21" t="str">
        <f aca="false">INDEX(Students!$C$2:$C$601,MATCH(B1042,Students!$A$2:$A$601,0))</f>
        <v>Batch 2025</v>
      </c>
      <c r="K1042" s="21" t="str">
        <f aca="false">INDEX(Students!$D$2:$D$601,MATCH(B1042,Students!$A$2:$A$601,0))</f>
        <v>DSA with Java</v>
      </c>
      <c r="L1042" s="21" t="str">
        <f aca="false">INDEX(Companies!$C$2:$C$31,MATCH(C1042,Companies!$A$2:$A$31,0))</f>
        <v>E-commerce</v>
      </c>
      <c r="M1042" s="21" t="str">
        <f aca="false">INDEX(Companies!$D$2:$D$31,MATCH(C1042,Companies!$A$2:$A$31,0))</f>
        <v>Tier 2</v>
      </c>
      <c r="N1042" s="34" t="n">
        <f aca="false">MATCH(F1042,Assumptions!$K$4:$K$8,0)</f>
        <v>1</v>
      </c>
      <c r="O1042" s="21" t="str">
        <f aca="false">IF(H1042="Yes",MONTH(I1042),"")</f>
        <v/>
      </c>
      <c r="P1042" s="21" t="str">
        <f aca="false">IF(H1042="Yes",B1042,"")</f>
        <v/>
      </c>
    </row>
    <row r="1043" customFormat="false" ht="15" hidden="false" customHeight="false" outlineLevel="0" collapsed="false">
      <c r="A1043" s="21" t="s">
        <v>2258</v>
      </c>
      <c r="B1043" s="21" t="s">
        <v>497</v>
      </c>
      <c r="C1043" s="21" t="s">
        <v>1228</v>
      </c>
      <c r="D1043" s="21" t="s">
        <v>1188</v>
      </c>
      <c r="E1043" s="33" t="n">
        <v>45520</v>
      </c>
      <c r="F1043" s="21" t="s">
        <v>1175</v>
      </c>
      <c r="G1043" s="32"/>
      <c r="H1043" s="21"/>
      <c r="I1043" s="33"/>
      <c r="J1043" s="21" t="str">
        <f aca="false">INDEX(Students!$C$2:$C$601,MATCH(B1043,Students!$A$2:$A$601,0))</f>
        <v>Batch 2025</v>
      </c>
      <c r="K1043" s="21" t="str">
        <f aca="false">INDEX(Students!$D$2:$D$601,MATCH(B1043,Students!$A$2:$A$601,0))</f>
        <v>Data Analytics</v>
      </c>
      <c r="L1043" s="21" t="str">
        <f aca="false">INDEX(Companies!$C$2:$C$31,MATCH(C1043,Companies!$A$2:$A$31,0))</f>
        <v>Fintech</v>
      </c>
      <c r="M1043" s="21" t="str">
        <f aca="false">INDEX(Companies!$D$2:$D$31,MATCH(C1043,Companies!$A$2:$A$31,0))</f>
        <v>Tier 1</v>
      </c>
      <c r="N1043" s="34" t="n">
        <f aca="false">MATCH(F1043,Assumptions!$K$4:$K$8,0)</f>
        <v>1</v>
      </c>
      <c r="O1043" s="21" t="str">
        <f aca="false">IF(H1043="Yes",MONTH(I1043),"")</f>
        <v/>
      </c>
      <c r="P1043" s="21" t="str">
        <f aca="false">IF(H1043="Yes",B1043,"")</f>
        <v/>
      </c>
    </row>
    <row r="1044" customFormat="false" ht="15" hidden="false" customHeight="false" outlineLevel="0" collapsed="false">
      <c r="A1044" s="21" t="s">
        <v>2259</v>
      </c>
      <c r="B1044" s="21" t="s">
        <v>609</v>
      </c>
      <c r="C1044" s="21" t="s">
        <v>1290</v>
      </c>
      <c r="D1044" s="21" t="s">
        <v>1209</v>
      </c>
      <c r="E1044" s="33" t="n">
        <v>45520</v>
      </c>
      <c r="F1044" s="21" t="s">
        <v>1175</v>
      </c>
      <c r="G1044" s="32"/>
      <c r="H1044" s="21"/>
      <c r="I1044" s="33"/>
      <c r="J1044" s="21" t="str">
        <f aca="false">INDEX(Students!$C$2:$C$601,MATCH(B1044,Students!$A$2:$A$601,0))</f>
        <v>Batch 2025</v>
      </c>
      <c r="K1044" s="21" t="str">
        <f aca="false">INDEX(Students!$D$2:$D$601,MATCH(B1044,Students!$A$2:$A$601,0))</f>
        <v>Data Analytics</v>
      </c>
      <c r="L1044" s="21" t="str">
        <f aca="false">INDEX(Companies!$C$2:$C$31,MATCH(C1044,Companies!$A$2:$A$31,0))</f>
        <v>Fintech</v>
      </c>
      <c r="M1044" s="21" t="str">
        <f aca="false">INDEX(Companies!$D$2:$D$31,MATCH(C1044,Companies!$A$2:$A$31,0))</f>
        <v>Tier 2</v>
      </c>
      <c r="N1044" s="34" t="n">
        <f aca="false">MATCH(F1044,Assumptions!$K$4:$K$8,0)</f>
        <v>1</v>
      </c>
      <c r="O1044" s="21" t="str">
        <f aca="false">IF(H1044="Yes",MONTH(I1044),"")</f>
        <v/>
      </c>
      <c r="P1044" s="21" t="str">
        <f aca="false">IF(H1044="Yes",B1044,"")</f>
        <v/>
      </c>
    </row>
    <row r="1045" customFormat="false" ht="15" hidden="false" customHeight="false" outlineLevel="0" collapsed="false">
      <c r="A1045" s="21" t="s">
        <v>2260</v>
      </c>
      <c r="B1045" s="21" t="s">
        <v>530</v>
      </c>
      <c r="C1045" s="21" t="s">
        <v>1228</v>
      </c>
      <c r="D1045" s="21" t="s">
        <v>1240</v>
      </c>
      <c r="E1045" s="33" t="n">
        <v>45520</v>
      </c>
      <c r="F1045" s="21" t="s">
        <v>1185</v>
      </c>
      <c r="G1045" s="32" t="n">
        <v>17.6</v>
      </c>
      <c r="H1045" s="21" t="s">
        <v>120</v>
      </c>
      <c r="I1045" s="33" t="n">
        <v>45561</v>
      </c>
      <c r="J1045" s="21" t="str">
        <f aca="false">INDEX(Students!$C$2:$C$601,MATCH(B1045,Students!$A$2:$A$601,0))</f>
        <v>Batch 2025</v>
      </c>
      <c r="K1045" s="21" t="str">
        <f aca="false">INDEX(Students!$D$2:$D$601,MATCH(B1045,Students!$A$2:$A$601,0))</f>
        <v>Cybersecurity</v>
      </c>
      <c r="L1045" s="21" t="str">
        <f aca="false">INDEX(Companies!$C$2:$C$31,MATCH(C1045,Companies!$A$2:$A$31,0))</f>
        <v>Fintech</v>
      </c>
      <c r="M1045" s="21" t="str">
        <f aca="false">INDEX(Companies!$D$2:$D$31,MATCH(C1045,Companies!$A$2:$A$31,0))</f>
        <v>Tier 1</v>
      </c>
      <c r="N1045" s="34" t="n">
        <f aca="false">MATCH(F1045,Assumptions!$K$4:$K$8,0)</f>
        <v>5</v>
      </c>
      <c r="O1045" s="21" t="n">
        <f aca="false">IF(H1045="Yes",MONTH(I1045),"")</f>
        <v>9</v>
      </c>
      <c r="P1045" s="21" t="str">
        <f aca="false">IF(H1045="Yes",B1045,"")</f>
        <v>S0222</v>
      </c>
    </row>
    <row r="1046" customFormat="false" ht="15" hidden="false" customHeight="false" outlineLevel="0" collapsed="false">
      <c r="A1046" s="21" t="s">
        <v>2261</v>
      </c>
      <c r="B1046" s="21" t="s">
        <v>685</v>
      </c>
      <c r="C1046" s="21" t="s">
        <v>1234</v>
      </c>
      <c r="D1046" s="21" t="s">
        <v>1194</v>
      </c>
      <c r="E1046" s="33" t="n">
        <v>45520</v>
      </c>
      <c r="F1046" s="21" t="s">
        <v>1185</v>
      </c>
      <c r="G1046" s="32" t="n">
        <v>6.9</v>
      </c>
      <c r="H1046" s="21" t="s">
        <v>113</v>
      </c>
      <c r="I1046" s="33" t="n">
        <v>45571</v>
      </c>
      <c r="J1046" s="21" t="str">
        <f aca="false">INDEX(Students!$C$2:$C$601,MATCH(B1046,Students!$A$2:$A$601,0))</f>
        <v>Batch 2025</v>
      </c>
      <c r="K1046" s="21" t="str">
        <f aca="false">INDEX(Students!$D$2:$D$601,MATCH(B1046,Students!$A$2:$A$601,0))</f>
        <v>Data Science &amp; ML</v>
      </c>
      <c r="L1046" s="21" t="str">
        <f aca="false">INDEX(Companies!$C$2:$C$31,MATCH(C1046,Companies!$A$2:$A$31,0))</f>
        <v>EdTech</v>
      </c>
      <c r="M1046" s="21" t="str">
        <f aca="false">INDEX(Companies!$D$2:$D$31,MATCH(C1046,Companies!$A$2:$A$31,0))</f>
        <v>Tier 3</v>
      </c>
      <c r="N1046" s="34" t="n">
        <f aca="false">MATCH(F1046,Assumptions!$K$4:$K$8,0)</f>
        <v>5</v>
      </c>
      <c r="O1046" s="21" t="str">
        <f aca="false">IF(H1046="Yes",MONTH(I1046),"")</f>
        <v/>
      </c>
      <c r="P1046" s="21" t="str">
        <f aca="false">IF(H1046="Yes",B1046,"")</f>
        <v/>
      </c>
    </row>
    <row r="1047" customFormat="false" ht="15" hidden="false" customHeight="false" outlineLevel="0" collapsed="false">
      <c r="A1047" s="21" t="s">
        <v>2262</v>
      </c>
      <c r="B1047" s="21" t="s">
        <v>718</v>
      </c>
      <c r="C1047" s="21" t="s">
        <v>1239</v>
      </c>
      <c r="D1047" s="21" t="s">
        <v>1191</v>
      </c>
      <c r="E1047" s="33" t="n">
        <v>45520</v>
      </c>
      <c r="F1047" s="21" t="s">
        <v>1175</v>
      </c>
      <c r="G1047" s="32"/>
      <c r="H1047" s="21"/>
      <c r="I1047" s="33"/>
      <c r="J1047" s="21" t="str">
        <f aca="false">INDEX(Students!$C$2:$C$601,MATCH(B1047,Students!$A$2:$A$601,0))</f>
        <v>Batch 2025</v>
      </c>
      <c r="K1047" s="21" t="str">
        <f aca="false">INDEX(Students!$D$2:$D$601,MATCH(B1047,Students!$A$2:$A$601,0))</f>
        <v>DSA with Java</v>
      </c>
      <c r="L1047" s="21" t="str">
        <f aca="false">INDEX(Companies!$C$2:$C$31,MATCH(C1047,Companies!$A$2:$A$31,0))</f>
        <v>E-commerce</v>
      </c>
      <c r="M1047" s="21" t="str">
        <f aca="false">INDEX(Companies!$D$2:$D$31,MATCH(C1047,Companies!$A$2:$A$31,0))</f>
        <v>Tier 3</v>
      </c>
      <c r="N1047" s="34" t="n">
        <f aca="false">MATCH(F1047,Assumptions!$K$4:$K$8,0)</f>
        <v>1</v>
      </c>
      <c r="O1047" s="21" t="str">
        <f aca="false">IF(H1047="Yes",MONTH(I1047),"")</f>
        <v/>
      </c>
      <c r="P1047" s="21" t="str">
        <f aca="false">IF(H1047="Yes",B1047,"")</f>
        <v/>
      </c>
    </row>
    <row r="1048" customFormat="false" ht="15" hidden="false" customHeight="false" outlineLevel="0" collapsed="false">
      <c r="A1048" s="21" t="s">
        <v>2263</v>
      </c>
      <c r="B1048" s="21" t="s">
        <v>643</v>
      </c>
      <c r="C1048" s="21" t="s">
        <v>1216</v>
      </c>
      <c r="D1048" s="21" t="s">
        <v>1209</v>
      </c>
      <c r="E1048" s="33" t="n">
        <v>45520</v>
      </c>
      <c r="F1048" s="21" t="s">
        <v>1175</v>
      </c>
      <c r="G1048" s="32"/>
      <c r="H1048" s="21"/>
      <c r="I1048" s="33"/>
      <c r="J1048" s="21" t="str">
        <f aca="false">INDEX(Students!$C$2:$C$601,MATCH(B1048,Students!$A$2:$A$601,0))</f>
        <v>Batch 2025</v>
      </c>
      <c r="K1048" s="21" t="str">
        <f aca="false">INDEX(Students!$D$2:$D$601,MATCH(B1048,Students!$A$2:$A$601,0))</f>
        <v>Data Analytics</v>
      </c>
      <c r="L1048" s="21" t="str">
        <f aca="false">INDEX(Companies!$C$2:$C$31,MATCH(C1048,Companies!$A$2:$A$31,0))</f>
        <v>IT Services</v>
      </c>
      <c r="M1048" s="21" t="str">
        <f aca="false">INDEX(Companies!$D$2:$D$31,MATCH(C1048,Companies!$A$2:$A$31,0))</f>
        <v>Tier 3</v>
      </c>
      <c r="N1048" s="34" t="n">
        <f aca="false">MATCH(F1048,Assumptions!$K$4:$K$8,0)</f>
        <v>1</v>
      </c>
      <c r="O1048" s="21" t="str">
        <f aca="false">IF(H1048="Yes",MONTH(I1048),"")</f>
        <v/>
      </c>
      <c r="P1048" s="21" t="str">
        <f aca="false">IF(H1048="Yes",B1048,"")</f>
        <v/>
      </c>
    </row>
    <row r="1049" customFormat="false" ht="15" hidden="false" customHeight="false" outlineLevel="0" collapsed="false">
      <c r="A1049" s="21" t="s">
        <v>2264</v>
      </c>
      <c r="B1049" s="21" t="s">
        <v>747</v>
      </c>
      <c r="C1049" s="21" t="s">
        <v>1214</v>
      </c>
      <c r="D1049" s="21" t="s">
        <v>1191</v>
      </c>
      <c r="E1049" s="33" t="n">
        <v>45520</v>
      </c>
      <c r="F1049" s="21" t="s">
        <v>1175</v>
      </c>
      <c r="G1049" s="32"/>
      <c r="H1049" s="21"/>
      <c r="I1049" s="33"/>
      <c r="J1049" s="21" t="str">
        <f aca="false">INDEX(Students!$C$2:$C$601,MATCH(B1049,Students!$A$2:$A$601,0))</f>
        <v>Batch 2025</v>
      </c>
      <c r="K1049" s="21" t="str">
        <f aca="false">INDEX(Students!$D$2:$D$601,MATCH(B1049,Students!$A$2:$A$601,0))</f>
        <v>DSA with Java</v>
      </c>
      <c r="L1049" s="21" t="str">
        <f aca="false">INDEX(Companies!$C$2:$C$31,MATCH(C1049,Companies!$A$2:$A$31,0))</f>
        <v>Product</v>
      </c>
      <c r="M1049" s="21" t="str">
        <f aca="false">INDEX(Companies!$D$2:$D$31,MATCH(C1049,Companies!$A$2:$A$31,0))</f>
        <v>Tier 1</v>
      </c>
      <c r="N1049" s="34" t="n">
        <f aca="false">MATCH(F1049,Assumptions!$K$4:$K$8,0)</f>
        <v>1</v>
      </c>
      <c r="O1049" s="21" t="str">
        <f aca="false">IF(H1049="Yes",MONTH(I1049),"")</f>
        <v/>
      </c>
      <c r="P1049" s="21" t="str">
        <f aca="false">IF(H1049="Yes",B1049,"")</f>
        <v/>
      </c>
    </row>
    <row r="1050" customFormat="false" ht="15" hidden="false" customHeight="false" outlineLevel="0" collapsed="false">
      <c r="A1050" s="21" t="s">
        <v>2265</v>
      </c>
      <c r="B1050" s="21" t="s">
        <v>739</v>
      </c>
      <c r="C1050" s="21" t="s">
        <v>1266</v>
      </c>
      <c r="D1050" s="21" t="s">
        <v>1194</v>
      </c>
      <c r="E1050" s="33" t="n">
        <v>45521</v>
      </c>
      <c r="F1050" s="21" t="s">
        <v>1185</v>
      </c>
      <c r="G1050" s="32" t="n">
        <v>6.9</v>
      </c>
      <c r="H1050" s="21" t="s">
        <v>113</v>
      </c>
      <c r="I1050" s="33" t="n">
        <v>45550</v>
      </c>
      <c r="J1050" s="21" t="str">
        <f aca="false">INDEX(Students!$C$2:$C$601,MATCH(B1050,Students!$A$2:$A$601,0))</f>
        <v>Batch 2025</v>
      </c>
      <c r="K1050" s="21" t="str">
        <f aca="false">INDEX(Students!$D$2:$D$601,MATCH(B1050,Students!$A$2:$A$601,0))</f>
        <v>Data Science &amp; ML</v>
      </c>
      <c r="L1050" s="21" t="str">
        <f aca="false">INDEX(Companies!$C$2:$C$31,MATCH(C1050,Companies!$A$2:$A$31,0))</f>
        <v>IT Services</v>
      </c>
      <c r="M1050" s="21" t="str">
        <f aca="false">INDEX(Companies!$D$2:$D$31,MATCH(C1050,Companies!$A$2:$A$31,0))</f>
        <v>Tier 3</v>
      </c>
      <c r="N1050" s="34" t="n">
        <f aca="false">MATCH(F1050,Assumptions!$K$4:$K$8,0)</f>
        <v>5</v>
      </c>
      <c r="O1050" s="21" t="str">
        <f aca="false">IF(H1050="Yes",MONTH(I1050),"")</f>
        <v/>
      </c>
      <c r="P1050" s="21" t="str">
        <f aca="false">IF(H1050="Yes",B1050,"")</f>
        <v/>
      </c>
    </row>
    <row r="1051" customFormat="false" ht="15" hidden="false" customHeight="false" outlineLevel="0" collapsed="false">
      <c r="A1051" s="21" t="s">
        <v>2266</v>
      </c>
      <c r="B1051" s="21" t="s">
        <v>633</v>
      </c>
      <c r="C1051" s="21" t="s">
        <v>1266</v>
      </c>
      <c r="D1051" s="21" t="s">
        <v>1226</v>
      </c>
      <c r="E1051" s="33" t="n">
        <v>45521</v>
      </c>
      <c r="F1051" s="21" t="s">
        <v>1178</v>
      </c>
      <c r="G1051" s="32"/>
      <c r="H1051" s="21"/>
      <c r="I1051" s="33"/>
      <c r="J1051" s="21" t="str">
        <f aca="false">INDEX(Students!$C$2:$C$601,MATCH(B1051,Students!$A$2:$A$601,0))</f>
        <v>Batch 2025</v>
      </c>
      <c r="K1051" s="21" t="str">
        <f aca="false">INDEX(Students!$D$2:$D$601,MATCH(B1051,Students!$A$2:$A$601,0))</f>
        <v>Cybersecurity</v>
      </c>
      <c r="L1051" s="21" t="str">
        <f aca="false">INDEX(Companies!$C$2:$C$31,MATCH(C1051,Companies!$A$2:$A$31,0))</f>
        <v>IT Services</v>
      </c>
      <c r="M1051" s="21" t="str">
        <f aca="false">INDEX(Companies!$D$2:$D$31,MATCH(C1051,Companies!$A$2:$A$31,0))</f>
        <v>Tier 3</v>
      </c>
      <c r="N1051" s="34" t="n">
        <f aca="false">MATCH(F1051,Assumptions!$K$4:$K$8,0)</f>
        <v>2</v>
      </c>
      <c r="O1051" s="21" t="str">
        <f aca="false">IF(H1051="Yes",MONTH(I1051),"")</f>
        <v/>
      </c>
      <c r="P1051" s="21" t="str">
        <f aca="false">IF(H1051="Yes",B1051,"")</f>
        <v/>
      </c>
    </row>
    <row r="1052" customFormat="false" ht="15" hidden="false" customHeight="false" outlineLevel="0" collapsed="false">
      <c r="A1052" s="21" t="s">
        <v>2267</v>
      </c>
      <c r="B1052" s="21" t="s">
        <v>781</v>
      </c>
      <c r="C1052" s="21" t="s">
        <v>1266</v>
      </c>
      <c r="D1052" s="21" t="s">
        <v>1191</v>
      </c>
      <c r="E1052" s="33" t="n">
        <v>45521</v>
      </c>
      <c r="F1052" s="21" t="s">
        <v>1178</v>
      </c>
      <c r="G1052" s="32"/>
      <c r="H1052" s="21"/>
      <c r="I1052" s="33"/>
      <c r="J1052" s="21" t="str">
        <f aca="false">INDEX(Students!$C$2:$C$601,MATCH(B1052,Students!$A$2:$A$601,0))</f>
        <v>Batch 2025</v>
      </c>
      <c r="K1052" s="21" t="str">
        <f aca="false">INDEX(Students!$D$2:$D$601,MATCH(B1052,Students!$A$2:$A$601,0))</f>
        <v>DSA with Java</v>
      </c>
      <c r="L1052" s="21" t="str">
        <f aca="false">INDEX(Companies!$C$2:$C$31,MATCH(C1052,Companies!$A$2:$A$31,0))</f>
        <v>IT Services</v>
      </c>
      <c r="M1052" s="21" t="str">
        <f aca="false">INDEX(Companies!$D$2:$D$31,MATCH(C1052,Companies!$A$2:$A$31,0))</f>
        <v>Tier 3</v>
      </c>
      <c r="N1052" s="34" t="n">
        <f aca="false">MATCH(F1052,Assumptions!$K$4:$K$8,0)</f>
        <v>2</v>
      </c>
      <c r="O1052" s="21" t="str">
        <f aca="false">IF(H1052="Yes",MONTH(I1052),"")</f>
        <v/>
      </c>
      <c r="P1052" s="21" t="str">
        <f aca="false">IF(H1052="Yes",B1052,"")</f>
        <v/>
      </c>
    </row>
    <row r="1053" customFormat="false" ht="15" hidden="false" customHeight="false" outlineLevel="0" collapsed="false">
      <c r="A1053" s="21" t="s">
        <v>2268</v>
      </c>
      <c r="B1053" s="21" t="s">
        <v>783</v>
      </c>
      <c r="C1053" s="21" t="s">
        <v>1255</v>
      </c>
      <c r="D1053" s="21" t="s">
        <v>1174</v>
      </c>
      <c r="E1053" s="33" t="n">
        <v>45521</v>
      </c>
      <c r="F1053" s="21" t="s">
        <v>1175</v>
      </c>
      <c r="G1053" s="32"/>
      <c r="H1053" s="21"/>
      <c r="I1053" s="33"/>
      <c r="J1053" s="21" t="str">
        <f aca="false">INDEX(Students!$C$2:$C$601,MATCH(B1053,Students!$A$2:$A$601,0))</f>
        <v>Batch 2025</v>
      </c>
      <c r="K1053" s="21" t="str">
        <f aca="false">INDEX(Students!$D$2:$D$601,MATCH(B1053,Students!$A$2:$A$601,0))</f>
        <v>Full Stack Development</v>
      </c>
      <c r="L1053" s="21" t="str">
        <f aca="false">INDEX(Companies!$C$2:$C$31,MATCH(C1053,Companies!$A$2:$A$31,0))</f>
        <v>IT Services</v>
      </c>
      <c r="M1053" s="21" t="str">
        <f aca="false">INDEX(Companies!$D$2:$D$31,MATCH(C1053,Companies!$A$2:$A$31,0))</f>
        <v>Tier 3</v>
      </c>
      <c r="N1053" s="34" t="n">
        <f aca="false">MATCH(F1053,Assumptions!$K$4:$K$8,0)</f>
        <v>1</v>
      </c>
      <c r="O1053" s="21" t="str">
        <f aca="false">IF(H1053="Yes",MONTH(I1053),"")</f>
        <v/>
      </c>
      <c r="P1053" s="21" t="str">
        <f aca="false">IF(H1053="Yes",B1053,"")</f>
        <v/>
      </c>
    </row>
    <row r="1054" customFormat="false" ht="15" hidden="false" customHeight="false" outlineLevel="0" collapsed="false">
      <c r="A1054" s="21" t="s">
        <v>2269</v>
      </c>
      <c r="B1054" s="21" t="s">
        <v>699</v>
      </c>
      <c r="C1054" s="21" t="s">
        <v>1208</v>
      </c>
      <c r="D1054" s="21" t="s">
        <v>1181</v>
      </c>
      <c r="E1054" s="33" t="n">
        <v>45522</v>
      </c>
      <c r="F1054" s="21" t="s">
        <v>1218</v>
      </c>
      <c r="G1054" s="32"/>
      <c r="H1054" s="21"/>
      <c r="I1054" s="33"/>
      <c r="J1054" s="21" t="str">
        <f aca="false">INDEX(Students!$C$2:$C$601,MATCH(B1054,Students!$A$2:$A$601,0))</f>
        <v>Batch 2025</v>
      </c>
      <c r="K1054" s="21" t="str">
        <f aca="false">INDEX(Students!$D$2:$D$601,MATCH(B1054,Students!$A$2:$A$601,0))</f>
        <v>Full Stack Development</v>
      </c>
      <c r="L1054" s="21" t="str">
        <f aca="false">INDEX(Companies!$C$2:$C$31,MATCH(C1054,Companies!$A$2:$A$31,0))</f>
        <v>E-commerce</v>
      </c>
      <c r="M1054" s="21" t="str">
        <f aca="false">INDEX(Companies!$D$2:$D$31,MATCH(C1054,Companies!$A$2:$A$31,0))</f>
        <v>Tier 1</v>
      </c>
      <c r="N1054" s="34" t="n">
        <f aca="false">MATCH(F1054,Assumptions!$K$4:$K$8,0)</f>
        <v>4</v>
      </c>
      <c r="O1054" s="21" t="str">
        <f aca="false">IF(H1054="Yes",MONTH(I1054),"")</f>
        <v/>
      </c>
      <c r="P1054" s="21" t="str">
        <f aca="false">IF(H1054="Yes",B1054,"")</f>
        <v/>
      </c>
    </row>
    <row r="1055" customFormat="false" ht="15" hidden="false" customHeight="false" outlineLevel="0" collapsed="false">
      <c r="A1055" s="21" t="s">
        <v>2270</v>
      </c>
      <c r="B1055" s="21" t="s">
        <v>691</v>
      </c>
      <c r="C1055" s="21" t="s">
        <v>1216</v>
      </c>
      <c r="D1055" s="21" t="s">
        <v>1188</v>
      </c>
      <c r="E1055" s="33" t="n">
        <v>45522</v>
      </c>
      <c r="F1055" s="21" t="s">
        <v>1218</v>
      </c>
      <c r="G1055" s="32"/>
      <c r="H1055" s="21"/>
      <c r="I1055" s="33"/>
      <c r="J1055" s="21" t="str">
        <f aca="false">INDEX(Students!$C$2:$C$601,MATCH(B1055,Students!$A$2:$A$601,0))</f>
        <v>Batch 2025</v>
      </c>
      <c r="K1055" s="21" t="str">
        <f aca="false">INDEX(Students!$D$2:$D$601,MATCH(B1055,Students!$A$2:$A$601,0))</f>
        <v>Data Analytics</v>
      </c>
      <c r="L1055" s="21" t="str">
        <f aca="false">INDEX(Companies!$C$2:$C$31,MATCH(C1055,Companies!$A$2:$A$31,0))</f>
        <v>IT Services</v>
      </c>
      <c r="M1055" s="21" t="str">
        <f aca="false">INDEX(Companies!$D$2:$D$31,MATCH(C1055,Companies!$A$2:$A$31,0))</f>
        <v>Tier 3</v>
      </c>
      <c r="N1055" s="34" t="n">
        <f aca="false">MATCH(F1055,Assumptions!$K$4:$K$8,0)</f>
        <v>4</v>
      </c>
      <c r="O1055" s="21" t="str">
        <f aca="false">IF(H1055="Yes",MONTH(I1055),"")</f>
        <v/>
      </c>
      <c r="P1055" s="21" t="str">
        <f aca="false">IF(H1055="Yes",B1055,"")</f>
        <v/>
      </c>
    </row>
    <row r="1056" customFormat="false" ht="15" hidden="false" customHeight="false" outlineLevel="0" collapsed="false">
      <c r="A1056" s="21" t="s">
        <v>2271</v>
      </c>
      <c r="B1056" s="21" t="s">
        <v>797</v>
      </c>
      <c r="C1056" s="21" t="s">
        <v>1228</v>
      </c>
      <c r="D1056" s="21" t="s">
        <v>1184</v>
      </c>
      <c r="E1056" s="33" t="n">
        <v>45522</v>
      </c>
      <c r="F1056" s="21" t="s">
        <v>1197</v>
      </c>
      <c r="G1056" s="32"/>
      <c r="H1056" s="21"/>
      <c r="I1056" s="33"/>
      <c r="J1056" s="21" t="str">
        <f aca="false">INDEX(Students!$C$2:$C$601,MATCH(B1056,Students!$A$2:$A$601,0))</f>
        <v>Batch 2025</v>
      </c>
      <c r="K1056" s="21" t="str">
        <f aca="false">INDEX(Students!$D$2:$D$601,MATCH(B1056,Students!$A$2:$A$601,0))</f>
        <v>DSA with Java</v>
      </c>
      <c r="L1056" s="21" t="str">
        <f aca="false">INDEX(Companies!$C$2:$C$31,MATCH(C1056,Companies!$A$2:$A$31,0))</f>
        <v>Fintech</v>
      </c>
      <c r="M1056" s="21" t="str">
        <f aca="false">INDEX(Companies!$D$2:$D$31,MATCH(C1056,Companies!$A$2:$A$31,0))</f>
        <v>Tier 1</v>
      </c>
      <c r="N1056" s="34" t="n">
        <f aca="false">MATCH(F1056,Assumptions!$K$4:$K$8,0)</f>
        <v>3</v>
      </c>
      <c r="O1056" s="21" t="str">
        <f aca="false">IF(H1056="Yes",MONTH(I1056),"")</f>
        <v/>
      </c>
      <c r="P1056" s="21" t="str">
        <f aca="false">IF(H1056="Yes",B1056,"")</f>
        <v/>
      </c>
    </row>
    <row r="1057" customFormat="false" ht="15" hidden="false" customHeight="false" outlineLevel="0" collapsed="false">
      <c r="A1057" s="21" t="s">
        <v>2272</v>
      </c>
      <c r="B1057" s="21" t="s">
        <v>591</v>
      </c>
      <c r="C1057" s="21" t="s">
        <v>1234</v>
      </c>
      <c r="D1057" s="21" t="s">
        <v>1209</v>
      </c>
      <c r="E1057" s="33" t="n">
        <v>45522</v>
      </c>
      <c r="F1057" s="21" t="s">
        <v>1175</v>
      </c>
      <c r="G1057" s="32"/>
      <c r="H1057" s="21"/>
      <c r="I1057" s="33"/>
      <c r="J1057" s="21" t="str">
        <f aca="false">INDEX(Students!$C$2:$C$601,MATCH(B1057,Students!$A$2:$A$601,0))</f>
        <v>Batch 2025</v>
      </c>
      <c r="K1057" s="21" t="str">
        <f aca="false">INDEX(Students!$D$2:$D$601,MATCH(B1057,Students!$A$2:$A$601,0))</f>
        <v>Data Analytics</v>
      </c>
      <c r="L1057" s="21" t="str">
        <f aca="false">INDEX(Companies!$C$2:$C$31,MATCH(C1057,Companies!$A$2:$A$31,0))</f>
        <v>EdTech</v>
      </c>
      <c r="M1057" s="21" t="str">
        <f aca="false">INDEX(Companies!$D$2:$D$31,MATCH(C1057,Companies!$A$2:$A$31,0))</f>
        <v>Tier 3</v>
      </c>
      <c r="N1057" s="34" t="n">
        <f aca="false">MATCH(F1057,Assumptions!$K$4:$K$8,0)</f>
        <v>1</v>
      </c>
      <c r="O1057" s="21" t="str">
        <f aca="false">IF(H1057="Yes",MONTH(I1057),"")</f>
        <v/>
      </c>
      <c r="P1057" s="21" t="str">
        <f aca="false">IF(H1057="Yes",B1057,"")</f>
        <v/>
      </c>
    </row>
    <row r="1058" customFormat="false" ht="15" hidden="false" customHeight="false" outlineLevel="0" collapsed="false">
      <c r="A1058" s="21" t="s">
        <v>2273</v>
      </c>
      <c r="B1058" s="21" t="s">
        <v>499</v>
      </c>
      <c r="C1058" s="21" t="s">
        <v>1187</v>
      </c>
      <c r="D1058" s="21" t="s">
        <v>1184</v>
      </c>
      <c r="E1058" s="33" t="n">
        <v>45522</v>
      </c>
      <c r="F1058" s="21" t="s">
        <v>1175</v>
      </c>
      <c r="G1058" s="32"/>
      <c r="H1058" s="21"/>
      <c r="I1058" s="33"/>
      <c r="J1058" s="21" t="str">
        <f aca="false">INDEX(Students!$C$2:$C$601,MATCH(B1058,Students!$A$2:$A$601,0))</f>
        <v>Batch 2025</v>
      </c>
      <c r="K1058" s="21" t="str">
        <f aca="false">INDEX(Students!$D$2:$D$601,MATCH(B1058,Students!$A$2:$A$601,0))</f>
        <v>DSA with Java</v>
      </c>
      <c r="L1058" s="21" t="str">
        <f aca="false">INDEX(Companies!$C$2:$C$31,MATCH(C1058,Companies!$A$2:$A$31,0))</f>
        <v>Product</v>
      </c>
      <c r="M1058" s="21" t="str">
        <f aca="false">INDEX(Companies!$D$2:$D$31,MATCH(C1058,Companies!$A$2:$A$31,0))</f>
        <v>Tier 1</v>
      </c>
      <c r="N1058" s="34" t="n">
        <f aca="false">MATCH(F1058,Assumptions!$K$4:$K$8,0)</f>
        <v>1</v>
      </c>
      <c r="O1058" s="21" t="str">
        <f aca="false">IF(H1058="Yes",MONTH(I1058),"")</f>
        <v/>
      </c>
      <c r="P1058" s="21" t="str">
        <f aca="false">IF(H1058="Yes",B1058,"")</f>
        <v/>
      </c>
    </row>
    <row r="1059" customFormat="false" ht="15" hidden="false" customHeight="false" outlineLevel="0" collapsed="false">
      <c r="A1059" s="21" t="s">
        <v>2274</v>
      </c>
      <c r="B1059" s="21" t="s">
        <v>720</v>
      </c>
      <c r="C1059" s="21" t="s">
        <v>1234</v>
      </c>
      <c r="D1059" s="21" t="s">
        <v>1191</v>
      </c>
      <c r="E1059" s="33" t="n">
        <v>45522</v>
      </c>
      <c r="F1059" s="21" t="s">
        <v>1175</v>
      </c>
      <c r="G1059" s="32"/>
      <c r="H1059" s="21"/>
      <c r="I1059" s="33"/>
      <c r="J1059" s="21" t="str">
        <f aca="false">INDEX(Students!$C$2:$C$601,MATCH(B1059,Students!$A$2:$A$601,0))</f>
        <v>Batch 2025</v>
      </c>
      <c r="K1059" s="21" t="str">
        <f aca="false">INDEX(Students!$D$2:$D$601,MATCH(B1059,Students!$A$2:$A$601,0))</f>
        <v>DSA with Java</v>
      </c>
      <c r="L1059" s="21" t="str">
        <f aca="false">INDEX(Companies!$C$2:$C$31,MATCH(C1059,Companies!$A$2:$A$31,0))</f>
        <v>EdTech</v>
      </c>
      <c r="M1059" s="21" t="str">
        <f aca="false">INDEX(Companies!$D$2:$D$31,MATCH(C1059,Companies!$A$2:$A$31,0))</f>
        <v>Tier 3</v>
      </c>
      <c r="N1059" s="34" t="n">
        <f aca="false">MATCH(F1059,Assumptions!$K$4:$K$8,0)</f>
        <v>1</v>
      </c>
      <c r="O1059" s="21" t="str">
        <f aca="false">IF(H1059="Yes",MONTH(I1059),"")</f>
        <v/>
      </c>
      <c r="P1059" s="21" t="str">
        <f aca="false">IF(H1059="Yes",B1059,"")</f>
        <v/>
      </c>
    </row>
    <row r="1060" customFormat="false" ht="15" hidden="false" customHeight="false" outlineLevel="0" collapsed="false">
      <c r="A1060" s="21" t="s">
        <v>2275</v>
      </c>
      <c r="B1060" s="21" t="s">
        <v>486</v>
      </c>
      <c r="C1060" s="21" t="s">
        <v>1177</v>
      </c>
      <c r="D1060" s="21" t="s">
        <v>1181</v>
      </c>
      <c r="E1060" s="33" t="n">
        <v>45523</v>
      </c>
      <c r="F1060" s="21" t="s">
        <v>1197</v>
      </c>
      <c r="G1060" s="32"/>
      <c r="H1060" s="21"/>
      <c r="I1060" s="33"/>
      <c r="J1060" s="21" t="str">
        <f aca="false">INDEX(Students!$C$2:$C$601,MATCH(B1060,Students!$A$2:$A$601,0))</f>
        <v>Batch 2025</v>
      </c>
      <c r="K1060" s="21" t="str">
        <f aca="false">INDEX(Students!$D$2:$D$601,MATCH(B1060,Students!$A$2:$A$601,0))</f>
        <v>Full Stack Development</v>
      </c>
      <c r="L1060" s="21" t="str">
        <f aca="false">INDEX(Companies!$C$2:$C$31,MATCH(C1060,Companies!$A$2:$A$31,0))</f>
        <v>IT Services</v>
      </c>
      <c r="M1060" s="21" t="str">
        <f aca="false">INDEX(Companies!$D$2:$D$31,MATCH(C1060,Companies!$A$2:$A$31,0))</f>
        <v>Tier 3</v>
      </c>
      <c r="N1060" s="34" t="n">
        <f aca="false">MATCH(F1060,Assumptions!$K$4:$K$8,0)</f>
        <v>3</v>
      </c>
      <c r="O1060" s="21" t="str">
        <f aca="false">IF(H1060="Yes",MONTH(I1060),"")</f>
        <v/>
      </c>
      <c r="P1060" s="21" t="str">
        <f aca="false">IF(H1060="Yes",B1060,"")</f>
        <v/>
      </c>
    </row>
    <row r="1061" customFormat="false" ht="15" hidden="false" customHeight="false" outlineLevel="0" collapsed="false">
      <c r="A1061" s="21" t="s">
        <v>2276</v>
      </c>
      <c r="B1061" s="21" t="s">
        <v>513</v>
      </c>
      <c r="C1061" s="21" t="s">
        <v>1183</v>
      </c>
      <c r="D1061" s="21" t="s">
        <v>1181</v>
      </c>
      <c r="E1061" s="33" t="n">
        <v>45523</v>
      </c>
      <c r="F1061" s="21" t="s">
        <v>1178</v>
      </c>
      <c r="G1061" s="32"/>
      <c r="H1061" s="21"/>
      <c r="I1061" s="33"/>
      <c r="J1061" s="21" t="str">
        <f aca="false">INDEX(Students!$C$2:$C$601,MATCH(B1061,Students!$A$2:$A$601,0))</f>
        <v>Batch 2025</v>
      </c>
      <c r="K1061" s="21" t="str">
        <f aca="false">INDEX(Students!$D$2:$D$601,MATCH(B1061,Students!$A$2:$A$601,0))</f>
        <v>Full Stack Development</v>
      </c>
      <c r="L1061" s="21" t="str">
        <f aca="false">INDEX(Companies!$C$2:$C$31,MATCH(C1061,Companies!$A$2:$A$31,0))</f>
        <v>E-commerce</v>
      </c>
      <c r="M1061" s="21" t="str">
        <f aca="false">INDEX(Companies!$D$2:$D$31,MATCH(C1061,Companies!$A$2:$A$31,0))</f>
        <v>Tier 2</v>
      </c>
      <c r="N1061" s="34" t="n">
        <f aca="false">MATCH(F1061,Assumptions!$K$4:$K$8,0)</f>
        <v>2</v>
      </c>
      <c r="O1061" s="21" t="str">
        <f aca="false">IF(H1061="Yes",MONTH(I1061),"")</f>
        <v/>
      </c>
      <c r="P1061" s="21" t="str">
        <f aca="false">IF(H1061="Yes",B1061,"")</f>
        <v/>
      </c>
    </row>
    <row r="1062" customFormat="false" ht="15" hidden="false" customHeight="false" outlineLevel="0" collapsed="false">
      <c r="A1062" s="21" t="s">
        <v>2277</v>
      </c>
      <c r="B1062" s="21" t="s">
        <v>637</v>
      </c>
      <c r="C1062" s="21" t="s">
        <v>1309</v>
      </c>
      <c r="D1062" s="21" t="s">
        <v>1209</v>
      </c>
      <c r="E1062" s="33" t="n">
        <v>45523</v>
      </c>
      <c r="F1062" s="21" t="s">
        <v>1175</v>
      </c>
      <c r="G1062" s="32"/>
      <c r="H1062" s="21"/>
      <c r="I1062" s="33"/>
      <c r="J1062" s="21" t="str">
        <f aca="false">INDEX(Students!$C$2:$C$601,MATCH(B1062,Students!$A$2:$A$601,0))</f>
        <v>Batch 2025</v>
      </c>
      <c r="K1062" s="21" t="str">
        <f aca="false">INDEX(Students!$D$2:$D$601,MATCH(B1062,Students!$A$2:$A$601,0))</f>
        <v>Data Analytics</v>
      </c>
      <c r="L1062" s="21" t="str">
        <f aca="false">INDEX(Companies!$C$2:$C$31,MATCH(C1062,Companies!$A$2:$A$31,0))</f>
        <v>EdTech</v>
      </c>
      <c r="M1062" s="21" t="str">
        <f aca="false">INDEX(Companies!$D$2:$D$31,MATCH(C1062,Companies!$A$2:$A$31,0))</f>
        <v>Tier 2</v>
      </c>
      <c r="N1062" s="34" t="n">
        <f aca="false">MATCH(F1062,Assumptions!$K$4:$K$8,0)</f>
        <v>1</v>
      </c>
      <c r="O1062" s="21" t="str">
        <f aca="false">IF(H1062="Yes",MONTH(I1062),"")</f>
        <v/>
      </c>
      <c r="P1062" s="21" t="str">
        <f aca="false">IF(H1062="Yes",B1062,"")</f>
        <v/>
      </c>
    </row>
    <row r="1063" customFormat="false" ht="15" hidden="false" customHeight="false" outlineLevel="0" collapsed="false">
      <c r="A1063" s="21" t="s">
        <v>2278</v>
      </c>
      <c r="B1063" s="21" t="s">
        <v>684</v>
      </c>
      <c r="C1063" s="21" t="s">
        <v>1239</v>
      </c>
      <c r="D1063" s="21" t="s">
        <v>1194</v>
      </c>
      <c r="E1063" s="33" t="n">
        <v>45523</v>
      </c>
      <c r="F1063" s="21" t="s">
        <v>1197</v>
      </c>
      <c r="G1063" s="32"/>
      <c r="H1063" s="21"/>
      <c r="I1063" s="33"/>
      <c r="J1063" s="21" t="str">
        <f aca="false">INDEX(Students!$C$2:$C$601,MATCH(B1063,Students!$A$2:$A$601,0))</f>
        <v>Batch 2025</v>
      </c>
      <c r="K1063" s="21" t="str">
        <f aca="false">INDEX(Students!$D$2:$D$601,MATCH(B1063,Students!$A$2:$A$601,0))</f>
        <v>Data Science &amp; ML</v>
      </c>
      <c r="L1063" s="21" t="str">
        <f aca="false">INDEX(Companies!$C$2:$C$31,MATCH(C1063,Companies!$A$2:$A$31,0))</f>
        <v>E-commerce</v>
      </c>
      <c r="M1063" s="21" t="str">
        <f aca="false">INDEX(Companies!$D$2:$D$31,MATCH(C1063,Companies!$A$2:$A$31,0))</f>
        <v>Tier 3</v>
      </c>
      <c r="N1063" s="34" t="n">
        <f aca="false">MATCH(F1063,Assumptions!$K$4:$K$8,0)</f>
        <v>3</v>
      </c>
      <c r="O1063" s="21" t="str">
        <f aca="false">IF(H1063="Yes",MONTH(I1063),"")</f>
        <v/>
      </c>
      <c r="P1063" s="21" t="str">
        <f aca="false">IF(H1063="Yes",B1063,"")</f>
        <v/>
      </c>
    </row>
    <row r="1064" customFormat="false" ht="15" hidden="false" customHeight="false" outlineLevel="0" collapsed="false">
      <c r="A1064" s="21" t="s">
        <v>2279</v>
      </c>
      <c r="B1064" s="21" t="s">
        <v>472</v>
      </c>
      <c r="C1064" s="21" t="s">
        <v>1196</v>
      </c>
      <c r="D1064" s="21" t="s">
        <v>1194</v>
      </c>
      <c r="E1064" s="33" t="n">
        <v>45523</v>
      </c>
      <c r="F1064" s="21" t="s">
        <v>1218</v>
      </c>
      <c r="G1064" s="32"/>
      <c r="H1064" s="21"/>
      <c r="I1064" s="33"/>
      <c r="J1064" s="21" t="str">
        <f aca="false">INDEX(Students!$C$2:$C$601,MATCH(B1064,Students!$A$2:$A$601,0))</f>
        <v>Batch 2025</v>
      </c>
      <c r="K1064" s="21" t="str">
        <f aca="false">INDEX(Students!$D$2:$D$601,MATCH(B1064,Students!$A$2:$A$601,0))</f>
        <v>Data Science &amp; ML</v>
      </c>
      <c r="L1064" s="21" t="str">
        <f aca="false">INDEX(Companies!$C$2:$C$31,MATCH(C1064,Companies!$A$2:$A$31,0))</f>
        <v>IT Services</v>
      </c>
      <c r="M1064" s="21" t="str">
        <f aca="false">INDEX(Companies!$D$2:$D$31,MATCH(C1064,Companies!$A$2:$A$31,0))</f>
        <v>Tier 3</v>
      </c>
      <c r="N1064" s="34" t="n">
        <f aca="false">MATCH(F1064,Assumptions!$K$4:$K$8,0)</f>
        <v>4</v>
      </c>
      <c r="O1064" s="21" t="str">
        <f aca="false">IF(H1064="Yes",MONTH(I1064),"")</f>
        <v/>
      </c>
      <c r="P1064" s="21" t="str">
        <f aca="false">IF(H1064="Yes",B1064,"")</f>
        <v/>
      </c>
    </row>
    <row r="1065" customFormat="false" ht="15" hidden="false" customHeight="false" outlineLevel="0" collapsed="false">
      <c r="A1065" s="21" t="s">
        <v>2280</v>
      </c>
      <c r="B1065" s="21" t="s">
        <v>563</v>
      </c>
      <c r="C1065" s="21" t="s">
        <v>1214</v>
      </c>
      <c r="D1065" s="21" t="s">
        <v>1181</v>
      </c>
      <c r="E1065" s="33" t="n">
        <v>45523</v>
      </c>
      <c r="F1065" s="21" t="s">
        <v>1218</v>
      </c>
      <c r="G1065" s="32"/>
      <c r="H1065" s="21"/>
      <c r="I1065" s="33"/>
      <c r="J1065" s="21" t="str">
        <f aca="false">INDEX(Students!$C$2:$C$601,MATCH(B1065,Students!$A$2:$A$601,0))</f>
        <v>Batch 2025</v>
      </c>
      <c r="K1065" s="21" t="str">
        <f aca="false">INDEX(Students!$D$2:$D$601,MATCH(B1065,Students!$A$2:$A$601,0))</f>
        <v>Full Stack Development</v>
      </c>
      <c r="L1065" s="21" t="str">
        <f aca="false">INDEX(Companies!$C$2:$C$31,MATCH(C1065,Companies!$A$2:$A$31,0))</f>
        <v>Product</v>
      </c>
      <c r="M1065" s="21" t="str">
        <f aca="false">INDEX(Companies!$D$2:$D$31,MATCH(C1065,Companies!$A$2:$A$31,0))</f>
        <v>Tier 1</v>
      </c>
      <c r="N1065" s="34" t="n">
        <f aca="false">MATCH(F1065,Assumptions!$K$4:$K$8,0)</f>
        <v>4</v>
      </c>
      <c r="O1065" s="21" t="str">
        <f aca="false">IF(H1065="Yes",MONTH(I1065),"")</f>
        <v/>
      </c>
      <c r="P1065" s="21" t="str">
        <f aca="false">IF(H1065="Yes",B1065,"")</f>
        <v/>
      </c>
    </row>
    <row r="1066" customFormat="false" ht="15" hidden="false" customHeight="false" outlineLevel="0" collapsed="false">
      <c r="A1066" s="21" t="s">
        <v>2281</v>
      </c>
      <c r="B1066" s="21" t="s">
        <v>536</v>
      </c>
      <c r="C1066" s="21" t="s">
        <v>1190</v>
      </c>
      <c r="D1066" s="21" t="s">
        <v>1243</v>
      </c>
      <c r="E1066" s="33" t="n">
        <v>45523</v>
      </c>
      <c r="F1066" s="21" t="s">
        <v>1197</v>
      </c>
      <c r="G1066" s="32"/>
      <c r="H1066" s="21"/>
      <c r="I1066" s="33"/>
      <c r="J1066" s="21" t="str">
        <f aca="false">INDEX(Students!$C$2:$C$601,MATCH(B1066,Students!$A$2:$A$601,0))</f>
        <v>Batch 2025</v>
      </c>
      <c r="K1066" s="21" t="str">
        <f aca="false">INDEX(Students!$D$2:$D$601,MATCH(B1066,Students!$A$2:$A$601,0))</f>
        <v>Data Science &amp; ML</v>
      </c>
      <c r="L1066" s="21" t="str">
        <f aca="false">INDEX(Companies!$C$2:$C$31,MATCH(C1066,Companies!$A$2:$A$31,0))</f>
        <v>Analytics &amp; Consulting</v>
      </c>
      <c r="M1066" s="21" t="str">
        <f aca="false">INDEX(Companies!$D$2:$D$31,MATCH(C1066,Companies!$A$2:$A$31,0))</f>
        <v>Tier 1</v>
      </c>
      <c r="N1066" s="34" t="n">
        <f aca="false">MATCH(F1066,Assumptions!$K$4:$K$8,0)</f>
        <v>3</v>
      </c>
      <c r="O1066" s="21" t="str">
        <f aca="false">IF(H1066="Yes",MONTH(I1066),"")</f>
        <v/>
      </c>
      <c r="P1066" s="21" t="str">
        <f aca="false">IF(H1066="Yes",B1066,"")</f>
        <v/>
      </c>
    </row>
    <row r="1067" customFormat="false" ht="15" hidden="false" customHeight="false" outlineLevel="0" collapsed="false">
      <c r="A1067" s="21" t="s">
        <v>2282</v>
      </c>
      <c r="B1067" s="21" t="s">
        <v>769</v>
      </c>
      <c r="C1067" s="21" t="s">
        <v>1275</v>
      </c>
      <c r="D1067" s="21" t="s">
        <v>1209</v>
      </c>
      <c r="E1067" s="33" t="n">
        <v>45524</v>
      </c>
      <c r="F1067" s="21" t="s">
        <v>1218</v>
      </c>
      <c r="G1067" s="32"/>
      <c r="H1067" s="21"/>
      <c r="I1067" s="33"/>
      <c r="J1067" s="21" t="str">
        <f aca="false">INDEX(Students!$C$2:$C$601,MATCH(B1067,Students!$A$2:$A$601,0))</f>
        <v>Batch 2025</v>
      </c>
      <c r="K1067" s="21" t="str">
        <f aca="false">INDEX(Students!$D$2:$D$601,MATCH(B1067,Students!$A$2:$A$601,0))</f>
        <v>Data Analytics</v>
      </c>
      <c r="L1067" s="21" t="str">
        <f aca="false">INDEX(Companies!$C$2:$C$31,MATCH(C1067,Companies!$A$2:$A$31,0))</f>
        <v>Cybersecurity</v>
      </c>
      <c r="M1067" s="21" t="str">
        <f aca="false">INDEX(Companies!$D$2:$D$31,MATCH(C1067,Companies!$A$2:$A$31,0))</f>
        <v>Tier 2</v>
      </c>
      <c r="N1067" s="34" t="n">
        <f aca="false">MATCH(F1067,Assumptions!$K$4:$K$8,0)</f>
        <v>4</v>
      </c>
      <c r="O1067" s="21" t="str">
        <f aca="false">IF(H1067="Yes",MONTH(I1067),"")</f>
        <v/>
      </c>
      <c r="P1067" s="21" t="str">
        <f aca="false">IF(H1067="Yes",B1067,"")</f>
        <v/>
      </c>
    </row>
    <row r="1068" customFormat="false" ht="15" hidden="false" customHeight="false" outlineLevel="0" collapsed="false">
      <c r="A1068" s="21" t="s">
        <v>2283</v>
      </c>
      <c r="B1068" s="21" t="s">
        <v>626</v>
      </c>
      <c r="C1068" s="21" t="s">
        <v>1290</v>
      </c>
      <c r="D1068" s="21" t="s">
        <v>1188</v>
      </c>
      <c r="E1068" s="33" t="n">
        <v>45524</v>
      </c>
      <c r="F1068" s="21" t="s">
        <v>1218</v>
      </c>
      <c r="G1068" s="32"/>
      <c r="H1068" s="21"/>
      <c r="I1068" s="33"/>
      <c r="J1068" s="21" t="str">
        <f aca="false">INDEX(Students!$C$2:$C$601,MATCH(B1068,Students!$A$2:$A$601,0))</f>
        <v>Batch 2025</v>
      </c>
      <c r="K1068" s="21" t="str">
        <f aca="false">INDEX(Students!$D$2:$D$601,MATCH(B1068,Students!$A$2:$A$601,0))</f>
        <v>Data Analytics</v>
      </c>
      <c r="L1068" s="21" t="str">
        <f aca="false">INDEX(Companies!$C$2:$C$31,MATCH(C1068,Companies!$A$2:$A$31,0))</f>
        <v>Fintech</v>
      </c>
      <c r="M1068" s="21" t="str">
        <f aca="false">INDEX(Companies!$D$2:$D$31,MATCH(C1068,Companies!$A$2:$A$31,0))</f>
        <v>Tier 2</v>
      </c>
      <c r="N1068" s="34" t="n">
        <f aca="false">MATCH(F1068,Assumptions!$K$4:$K$8,0)</f>
        <v>4</v>
      </c>
      <c r="O1068" s="21" t="str">
        <f aca="false">IF(H1068="Yes",MONTH(I1068),"")</f>
        <v/>
      </c>
      <c r="P1068" s="21" t="str">
        <f aca="false">IF(H1068="Yes",B1068,"")</f>
        <v/>
      </c>
    </row>
    <row r="1069" customFormat="false" ht="15" hidden="false" customHeight="false" outlineLevel="0" collapsed="false">
      <c r="A1069" s="21" t="s">
        <v>2284</v>
      </c>
      <c r="B1069" s="21" t="s">
        <v>504</v>
      </c>
      <c r="C1069" s="21" t="s">
        <v>1208</v>
      </c>
      <c r="D1069" s="21" t="s">
        <v>1174</v>
      </c>
      <c r="E1069" s="33" t="n">
        <v>45524</v>
      </c>
      <c r="F1069" s="21" t="s">
        <v>1218</v>
      </c>
      <c r="G1069" s="32"/>
      <c r="H1069" s="21"/>
      <c r="I1069" s="33"/>
      <c r="J1069" s="21" t="str">
        <f aca="false">INDEX(Students!$C$2:$C$601,MATCH(B1069,Students!$A$2:$A$601,0))</f>
        <v>Batch 2025</v>
      </c>
      <c r="K1069" s="21" t="str">
        <f aca="false">INDEX(Students!$D$2:$D$601,MATCH(B1069,Students!$A$2:$A$601,0))</f>
        <v>Full Stack Development</v>
      </c>
      <c r="L1069" s="21" t="str">
        <f aca="false">INDEX(Companies!$C$2:$C$31,MATCH(C1069,Companies!$A$2:$A$31,0))</f>
        <v>E-commerce</v>
      </c>
      <c r="M1069" s="21" t="str">
        <f aca="false">INDEX(Companies!$D$2:$D$31,MATCH(C1069,Companies!$A$2:$A$31,0))</f>
        <v>Tier 1</v>
      </c>
      <c r="N1069" s="34" t="n">
        <f aca="false">MATCH(F1069,Assumptions!$K$4:$K$8,0)</f>
        <v>4</v>
      </c>
      <c r="O1069" s="21" t="str">
        <f aca="false">IF(H1069="Yes",MONTH(I1069),"")</f>
        <v/>
      </c>
      <c r="P1069" s="21" t="str">
        <f aca="false">IF(H1069="Yes",B1069,"")</f>
        <v/>
      </c>
    </row>
    <row r="1070" customFormat="false" ht="15" hidden="false" customHeight="false" outlineLevel="0" collapsed="false">
      <c r="A1070" s="21" t="s">
        <v>2285</v>
      </c>
      <c r="B1070" s="21" t="s">
        <v>491</v>
      </c>
      <c r="C1070" s="21" t="s">
        <v>1190</v>
      </c>
      <c r="D1070" s="21" t="s">
        <v>1191</v>
      </c>
      <c r="E1070" s="33" t="n">
        <v>45524</v>
      </c>
      <c r="F1070" s="21" t="s">
        <v>1178</v>
      </c>
      <c r="G1070" s="32"/>
      <c r="H1070" s="21"/>
      <c r="I1070" s="33"/>
      <c r="J1070" s="21" t="str">
        <f aca="false">INDEX(Students!$C$2:$C$601,MATCH(B1070,Students!$A$2:$A$601,0))</f>
        <v>Batch 2025</v>
      </c>
      <c r="K1070" s="21" t="str">
        <f aca="false">INDEX(Students!$D$2:$D$601,MATCH(B1070,Students!$A$2:$A$601,0))</f>
        <v>DSA with Java</v>
      </c>
      <c r="L1070" s="21" t="str">
        <f aca="false">INDEX(Companies!$C$2:$C$31,MATCH(C1070,Companies!$A$2:$A$31,0))</f>
        <v>Analytics &amp; Consulting</v>
      </c>
      <c r="M1070" s="21" t="str">
        <f aca="false">INDEX(Companies!$D$2:$D$31,MATCH(C1070,Companies!$A$2:$A$31,0))</f>
        <v>Tier 1</v>
      </c>
      <c r="N1070" s="34" t="n">
        <f aca="false">MATCH(F1070,Assumptions!$K$4:$K$8,0)</f>
        <v>2</v>
      </c>
      <c r="O1070" s="21" t="str">
        <f aca="false">IF(H1070="Yes",MONTH(I1070),"")</f>
        <v/>
      </c>
      <c r="P1070" s="21" t="str">
        <f aca="false">IF(H1070="Yes",B1070,"")</f>
        <v/>
      </c>
    </row>
    <row r="1071" customFormat="false" ht="15" hidden="false" customHeight="false" outlineLevel="0" collapsed="false">
      <c r="A1071" s="21" t="s">
        <v>2286</v>
      </c>
      <c r="B1071" s="21" t="s">
        <v>487</v>
      </c>
      <c r="C1071" s="21" t="s">
        <v>1263</v>
      </c>
      <c r="D1071" s="21" t="s">
        <v>1194</v>
      </c>
      <c r="E1071" s="33" t="n">
        <v>45524</v>
      </c>
      <c r="F1071" s="21" t="s">
        <v>1175</v>
      </c>
      <c r="G1071" s="32"/>
      <c r="H1071" s="21"/>
      <c r="I1071" s="33"/>
      <c r="J1071" s="21" t="str">
        <f aca="false">INDEX(Students!$C$2:$C$601,MATCH(B1071,Students!$A$2:$A$601,0))</f>
        <v>Batch 2025</v>
      </c>
      <c r="K1071" s="21" t="str">
        <f aca="false">INDEX(Students!$D$2:$D$601,MATCH(B1071,Students!$A$2:$A$601,0))</f>
        <v>Data Science &amp; ML</v>
      </c>
      <c r="L1071" s="21" t="str">
        <f aca="false">INDEX(Companies!$C$2:$C$31,MATCH(C1071,Companies!$A$2:$A$31,0))</f>
        <v>Analytics &amp; Consulting</v>
      </c>
      <c r="M1071" s="21" t="str">
        <f aca="false">INDEX(Companies!$D$2:$D$31,MATCH(C1071,Companies!$A$2:$A$31,0))</f>
        <v>Tier 2</v>
      </c>
      <c r="N1071" s="34" t="n">
        <f aca="false">MATCH(F1071,Assumptions!$K$4:$K$8,0)</f>
        <v>1</v>
      </c>
      <c r="O1071" s="21" t="str">
        <f aca="false">IF(H1071="Yes",MONTH(I1071),"")</f>
        <v/>
      </c>
      <c r="P1071" s="21" t="str">
        <f aca="false">IF(H1071="Yes",B1071,"")</f>
        <v/>
      </c>
    </row>
    <row r="1072" customFormat="false" ht="15" hidden="false" customHeight="false" outlineLevel="0" collapsed="false">
      <c r="A1072" s="21" t="s">
        <v>2287</v>
      </c>
      <c r="B1072" s="21" t="s">
        <v>647</v>
      </c>
      <c r="C1072" s="21" t="s">
        <v>1275</v>
      </c>
      <c r="D1072" s="21" t="s">
        <v>1194</v>
      </c>
      <c r="E1072" s="33" t="n">
        <v>45525</v>
      </c>
      <c r="F1072" s="21" t="s">
        <v>1218</v>
      </c>
      <c r="G1072" s="32"/>
      <c r="H1072" s="21"/>
      <c r="I1072" s="33"/>
      <c r="J1072" s="21" t="str">
        <f aca="false">INDEX(Students!$C$2:$C$601,MATCH(B1072,Students!$A$2:$A$601,0))</f>
        <v>Batch 2025</v>
      </c>
      <c r="K1072" s="21" t="str">
        <f aca="false">INDEX(Students!$D$2:$D$601,MATCH(B1072,Students!$A$2:$A$601,0))</f>
        <v>Data Science &amp; ML</v>
      </c>
      <c r="L1072" s="21" t="str">
        <f aca="false">INDEX(Companies!$C$2:$C$31,MATCH(C1072,Companies!$A$2:$A$31,0))</f>
        <v>Cybersecurity</v>
      </c>
      <c r="M1072" s="21" t="str">
        <f aca="false">INDEX(Companies!$D$2:$D$31,MATCH(C1072,Companies!$A$2:$A$31,0))</f>
        <v>Tier 2</v>
      </c>
      <c r="N1072" s="34" t="n">
        <f aca="false">MATCH(F1072,Assumptions!$K$4:$K$8,0)</f>
        <v>4</v>
      </c>
      <c r="O1072" s="21" t="str">
        <f aca="false">IF(H1072="Yes",MONTH(I1072),"")</f>
        <v/>
      </c>
      <c r="P1072" s="21" t="str">
        <f aca="false">IF(H1072="Yes",B1072,"")</f>
        <v/>
      </c>
    </row>
    <row r="1073" customFormat="false" ht="15" hidden="false" customHeight="false" outlineLevel="0" collapsed="false">
      <c r="A1073" s="21" t="s">
        <v>2288</v>
      </c>
      <c r="B1073" s="21" t="s">
        <v>511</v>
      </c>
      <c r="C1073" s="21" t="s">
        <v>1266</v>
      </c>
      <c r="D1073" s="21" t="s">
        <v>1209</v>
      </c>
      <c r="E1073" s="33" t="n">
        <v>45525</v>
      </c>
      <c r="F1073" s="21" t="s">
        <v>1197</v>
      </c>
      <c r="G1073" s="32"/>
      <c r="H1073" s="21"/>
      <c r="I1073" s="33"/>
      <c r="J1073" s="21" t="str">
        <f aca="false">INDEX(Students!$C$2:$C$601,MATCH(B1073,Students!$A$2:$A$601,0))</f>
        <v>Batch 2025</v>
      </c>
      <c r="K1073" s="21" t="str">
        <f aca="false">INDEX(Students!$D$2:$D$601,MATCH(B1073,Students!$A$2:$A$601,0))</f>
        <v>Data Analytics</v>
      </c>
      <c r="L1073" s="21" t="str">
        <f aca="false">INDEX(Companies!$C$2:$C$31,MATCH(C1073,Companies!$A$2:$A$31,0))</f>
        <v>IT Services</v>
      </c>
      <c r="M1073" s="21" t="str">
        <f aca="false">INDEX(Companies!$D$2:$D$31,MATCH(C1073,Companies!$A$2:$A$31,0))</f>
        <v>Tier 3</v>
      </c>
      <c r="N1073" s="34" t="n">
        <f aca="false">MATCH(F1073,Assumptions!$K$4:$K$8,0)</f>
        <v>3</v>
      </c>
      <c r="O1073" s="21" t="str">
        <f aca="false">IF(H1073="Yes",MONTH(I1073),"")</f>
        <v/>
      </c>
      <c r="P1073" s="21" t="str">
        <f aca="false">IF(H1073="Yes",B1073,"")</f>
        <v/>
      </c>
    </row>
    <row r="1074" customFormat="false" ht="15" hidden="false" customHeight="false" outlineLevel="0" collapsed="false">
      <c r="A1074" s="21" t="s">
        <v>2289</v>
      </c>
      <c r="B1074" s="21" t="s">
        <v>684</v>
      </c>
      <c r="C1074" s="21" t="s">
        <v>1199</v>
      </c>
      <c r="D1074" s="21" t="s">
        <v>1243</v>
      </c>
      <c r="E1074" s="33" t="n">
        <v>45525</v>
      </c>
      <c r="F1074" s="21" t="s">
        <v>1175</v>
      </c>
      <c r="G1074" s="32"/>
      <c r="H1074" s="21"/>
      <c r="I1074" s="33"/>
      <c r="J1074" s="21" t="str">
        <f aca="false">INDEX(Students!$C$2:$C$601,MATCH(B1074,Students!$A$2:$A$601,0))</f>
        <v>Batch 2025</v>
      </c>
      <c r="K1074" s="21" t="str">
        <f aca="false">INDEX(Students!$D$2:$D$601,MATCH(B1074,Students!$A$2:$A$601,0))</f>
        <v>Data Science &amp; ML</v>
      </c>
      <c r="L1074" s="21" t="str">
        <f aca="false">INDEX(Companies!$C$2:$C$31,MATCH(C1074,Companies!$A$2:$A$31,0))</f>
        <v>E-commerce</v>
      </c>
      <c r="M1074" s="21" t="str">
        <f aca="false">INDEX(Companies!$D$2:$D$31,MATCH(C1074,Companies!$A$2:$A$31,0))</f>
        <v>Tier 2</v>
      </c>
      <c r="N1074" s="34" t="n">
        <f aca="false">MATCH(F1074,Assumptions!$K$4:$K$8,0)</f>
        <v>1</v>
      </c>
      <c r="O1074" s="21" t="str">
        <f aca="false">IF(H1074="Yes",MONTH(I1074),"")</f>
        <v/>
      </c>
      <c r="P1074" s="21" t="str">
        <f aca="false">IF(H1074="Yes",B1074,"")</f>
        <v/>
      </c>
    </row>
    <row r="1075" customFormat="false" ht="15" hidden="false" customHeight="false" outlineLevel="0" collapsed="false">
      <c r="A1075" s="21" t="s">
        <v>2290</v>
      </c>
      <c r="B1075" s="21" t="s">
        <v>601</v>
      </c>
      <c r="C1075" s="21" t="s">
        <v>1275</v>
      </c>
      <c r="D1075" s="21" t="s">
        <v>1191</v>
      </c>
      <c r="E1075" s="33" t="n">
        <v>45525</v>
      </c>
      <c r="F1075" s="21" t="s">
        <v>1175</v>
      </c>
      <c r="G1075" s="32"/>
      <c r="H1075" s="21"/>
      <c r="I1075" s="33"/>
      <c r="J1075" s="21" t="str">
        <f aca="false">INDEX(Students!$C$2:$C$601,MATCH(B1075,Students!$A$2:$A$601,0))</f>
        <v>Batch 2025</v>
      </c>
      <c r="K1075" s="21" t="str">
        <f aca="false">INDEX(Students!$D$2:$D$601,MATCH(B1075,Students!$A$2:$A$601,0))</f>
        <v>DSA with Java</v>
      </c>
      <c r="L1075" s="21" t="str">
        <f aca="false">INDEX(Companies!$C$2:$C$31,MATCH(C1075,Companies!$A$2:$A$31,0))</f>
        <v>Cybersecurity</v>
      </c>
      <c r="M1075" s="21" t="str">
        <f aca="false">INDEX(Companies!$D$2:$D$31,MATCH(C1075,Companies!$A$2:$A$31,0))</f>
        <v>Tier 2</v>
      </c>
      <c r="N1075" s="34" t="n">
        <f aca="false">MATCH(F1075,Assumptions!$K$4:$K$8,0)</f>
        <v>1</v>
      </c>
      <c r="O1075" s="21" t="str">
        <f aca="false">IF(H1075="Yes",MONTH(I1075),"")</f>
        <v/>
      </c>
      <c r="P1075" s="21" t="str">
        <f aca="false">IF(H1075="Yes",B1075,"")</f>
        <v/>
      </c>
    </row>
    <row r="1076" customFormat="false" ht="15" hidden="false" customHeight="false" outlineLevel="0" collapsed="false">
      <c r="A1076" s="21" t="s">
        <v>2291</v>
      </c>
      <c r="B1076" s="21" t="s">
        <v>466</v>
      </c>
      <c r="C1076" s="21" t="s">
        <v>1266</v>
      </c>
      <c r="D1076" s="21" t="s">
        <v>1191</v>
      </c>
      <c r="E1076" s="33" t="n">
        <v>45526</v>
      </c>
      <c r="F1076" s="21" t="s">
        <v>1185</v>
      </c>
      <c r="G1076" s="32" t="n">
        <v>6.3</v>
      </c>
      <c r="H1076" s="21" t="s">
        <v>113</v>
      </c>
      <c r="I1076" s="33" t="n">
        <v>45569</v>
      </c>
      <c r="J1076" s="21" t="str">
        <f aca="false">INDEX(Students!$C$2:$C$601,MATCH(B1076,Students!$A$2:$A$601,0))</f>
        <v>Batch 2025</v>
      </c>
      <c r="K1076" s="21" t="str">
        <f aca="false">INDEX(Students!$D$2:$D$601,MATCH(B1076,Students!$A$2:$A$601,0))</f>
        <v>DSA with Java</v>
      </c>
      <c r="L1076" s="21" t="str">
        <f aca="false">INDEX(Companies!$C$2:$C$31,MATCH(C1076,Companies!$A$2:$A$31,0))</f>
        <v>IT Services</v>
      </c>
      <c r="M1076" s="21" t="str">
        <f aca="false">INDEX(Companies!$D$2:$D$31,MATCH(C1076,Companies!$A$2:$A$31,0))</f>
        <v>Tier 3</v>
      </c>
      <c r="N1076" s="34" t="n">
        <f aca="false">MATCH(F1076,Assumptions!$K$4:$K$8,0)</f>
        <v>5</v>
      </c>
      <c r="O1076" s="21" t="str">
        <f aca="false">IF(H1076="Yes",MONTH(I1076),"")</f>
        <v/>
      </c>
      <c r="P1076" s="21" t="str">
        <f aca="false">IF(H1076="Yes",B1076,"")</f>
        <v/>
      </c>
    </row>
    <row r="1077" customFormat="false" ht="15" hidden="false" customHeight="false" outlineLevel="0" collapsed="false">
      <c r="A1077" s="21" t="s">
        <v>2292</v>
      </c>
      <c r="B1077" s="21" t="s">
        <v>659</v>
      </c>
      <c r="C1077" s="21" t="s">
        <v>1228</v>
      </c>
      <c r="D1077" s="21" t="s">
        <v>1209</v>
      </c>
      <c r="E1077" s="33" t="n">
        <v>45526</v>
      </c>
      <c r="F1077" s="21" t="s">
        <v>1178</v>
      </c>
      <c r="G1077" s="32"/>
      <c r="H1077" s="21"/>
      <c r="I1077" s="33"/>
      <c r="J1077" s="21" t="str">
        <f aca="false">INDEX(Students!$C$2:$C$601,MATCH(B1077,Students!$A$2:$A$601,0))</f>
        <v>Batch 2025</v>
      </c>
      <c r="K1077" s="21" t="str">
        <f aca="false">INDEX(Students!$D$2:$D$601,MATCH(B1077,Students!$A$2:$A$601,0))</f>
        <v>Data Analytics</v>
      </c>
      <c r="L1077" s="21" t="str">
        <f aca="false">INDEX(Companies!$C$2:$C$31,MATCH(C1077,Companies!$A$2:$A$31,0))</f>
        <v>Fintech</v>
      </c>
      <c r="M1077" s="21" t="str">
        <f aca="false">INDEX(Companies!$D$2:$D$31,MATCH(C1077,Companies!$A$2:$A$31,0))</f>
        <v>Tier 1</v>
      </c>
      <c r="N1077" s="34" t="n">
        <f aca="false">MATCH(F1077,Assumptions!$K$4:$K$8,0)</f>
        <v>2</v>
      </c>
      <c r="O1077" s="21" t="str">
        <f aca="false">IF(H1077="Yes",MONTH(I1077),"")</f>
        <v/>
      </c>
      <c r="P1077" s="21" t="str">
        <f aca="false">IF(H1077="Yes",B1077,"")</f>
        <v/>
      </c>
    </row>
    <row r="1078" customFormat="false" ht="15" hidden="false" customHeight="false" outlineLevel="0" collapsed="false">
      <c r="A1078" s="21" t="s">
        <v>2293</v>
      </c>
      <c r="B1078" s="21" t="s">
        <v>605</v>
      </c>
      <c r="C1078" s="21" t="s">
        <v>1222</v>
      </c>
      <c r="D1078" s="21" t="s">
        <v>1226</v>
      </c>
      <c r="E1078" s="33" t="n">
        <v>45526</v>
      </c>
      <c r="F1078" s="21" t="s">
        <v>1175</v>
      </c>
      <c r="G1078" s="32"/>
      <c r="H1078" s="21"/>
      <c r="I1078" s="33"/>
      <c r="J1078" s="21" t="str">
        <f aca="false">INDEX(Students!$C$2:$C$601,MATCH(B1078,Students!$A$2:$A$601,0))</f>
        <v>Batch 2025</v>
      </c>
      <c r="K1078" s="21" t="str">
        <f aca="false">INDEX(Students!$D$2:$D$601,MATCH(B1078,Students!$A$2:$A$601,0))</f>
        <v>Cybersecurity</v>
      </c>
      <c r="L1078" s="21" t="str">
        <f aca="false">INDEX(Companies!$C$2:$C$31,MATCH(C1078,Companies!$A$2:$A$31,0))</f>
        <v>Product</v>
      </c>
      <c r="M1078" s="21" t="str">
        <f aca="false">INDEX(Companies!$D$2:$D$31,MATCH(C1078,Companies!$A$2:$A$31,0))</f>
        <v>Tier 2</v>
      </c>
      <c r="N1078" s="34" t="n">
        <f aca="false">MATCH(F1078,Assumptions!$K$4:$K$8,0)</f>
        <v>1</v>
      </c>
      <c r="O1078" s="21" t="str">
        <f aca="false">IF(H1078="Yes",MONTH(I1078),"")</f>
        <v/>
      </c>
      <c r="P1078" s="21" t="str">
        <f aca="false">IF(H1078="Yes",B1078,"")</f>
        <v/>
      </c>
    </row>
    <row r="1079" customFormat="false" ht="15" hidden="false" customHeight="false" outlineLevel="0" collapsed="false">
      <c r="A1079" s="21" t="s">
        <v>2294</v>
      </c>
      <c r="B1079" s="21" t="s">
        <v>688</v>
      </c>
      <c r="C1079" s="21" t="s">
        <v>1275</v>
      </c>
      <c r="D1079" s="21" t="s">
        <v>1226</v>
      </c>
      <c r="E1079" s="33" t="n">
        <v>45526</v>
      </c>
      <c r="F1079" s="21" t="s">
        <v>1197</v>
      </c>
      <c r="G1079" s="32"/>
      <c r="H1079" s="21"/>
      <c r="I1079" s="33"/>
      <c r="J1079" s="21" t="str">
        <f aca="false">INDEX(Students!$C$2:$C$601,MATCH(B1079,Students!$A$2:$A$601,0))</f>
        <v>Batch 2025</v>
      </c>
      <c r="K1079" s="21" t="str">
        <f aca="false">INDEX(Students!$D$2:$D$601,MATCH(B1079,Students!$A$2:$A$601,0))</f>
        <v>Cybersecurity</v>
      </c>
      <c r="L1079" s="21" t="str">
        <f aca="false">INDEX(Companies!$C$2:$C$31,MATCH(C1079,Companies!$A$2:$A$31,0))</f>
        <v>Cybersecurity</v>
      </c>
      <c r="M1079" s="21" t="str">
        <f aca="false">INDEX(Companies!$D$2:$D$31,MATCH(C1079,Companies!$A$2:$A$31,0))</f>
        <v>Tier 2</v>
      </c>
      <c r="N1079" s="34" t="n">
        <f aca="false">MATCH(F1079,Assumptions!$K$4:$K$8,0)</f>
        <v>3</v>
      </c>
      <c r="O1079" s="21" t="str">
        <f aca="false">IF(H1079="Yes",MONTH(I1079),"")</f>
        <v/>
      </c>
      <c r="P1079" s="21" t="str">
        <f aca="false">IF(H1079="Yes",B1079,"")</f>
        <v/>
      </c>
    </row>
    <row r="1080" customFormat="false" ht="15" hidden="false" customHeight="false" outlineLevel="0" collapsed="false">
      <c r="A1080" s="21" t="s">
        <v>2295</v>
      </c>
      <c r="B1080" s="21" t="s">
        <v>561</v>
      </c>
      <c r="C1080" s="21" t="s">
        <v>1239</v>
      </c>
      <c r="D1080" s="21" t="s">
        <v>1181</v>
      </c>
      <c r="E1080" s="33" t="n">
        <v>45526</v>
      </c>
      <c r="F1080" s="21" t="s">
        <v>1185</v>
      </c>
      <c r="G1080" s="32" t="n">
        <v>7.4</v>
      </c>
      <c r="H1080" s="21" t="s">
        <v>120</v>
      </c>
      <c r="I1080" s="33" t="n">
        <v>45546</v>
      </c>
      <c r="J1080" s="21" t="str">
        <f aca="false">INDEX(Students!$C$2:$C$601,MATCH(B1080,Students!$A$2:$A$601,0))</f>
        <v>Batch 2025</v>
      </c>
      <c r="K1080" s="21" t="str">
        <f aca="false">INDEX(Students!$D$2:$D$601,MATCH(B1080,Students!$A$2:$A$601,0))</f>
        <v>Full Stack Development</v>
      </c>
      <c r="L1080" s="21" t="str">
        <f aca="false">INDEX(Companies!$C$2:$C$31,MATCH(C1080,Companies!$A$2:$A$31,0))</f>
        <v>E-commerce</v>
      </c>
      <c r="M1080" s="21" t="str">
        <f aca="false">INDEX(Companies!$D$2:$D$31,MATCH(C1080,Companies!$A$2:$A$31,0))</f>
        <v>Tier 3</v>
      </c>
      <c r="N1080" s="34" t="n">
        <f aca="false">MATCH(F1080,Assumptions!$K$4:$K$8,0)</f>
        <v>5</v>
      </c>
      <c r="O1080" s="21" t="n">
        <f aca="false">IF(H1080="Yes",MONTH(I1080),"")</f>
        <v>9</v>
      </c>
      <c r="P1080" s="21" t="str">
        <f aca="false">IF(H1080="Yes",B1080,"")</f>
        <v>S0240</v>
      </c>
    </row>
    <row r="1081" customFormat="false" ht="15" hidden="false" customHeight="false" outlineLevel="0" collapsed="false">
      <c r="A1081" s="21" t="s">
        <v>2296</v>
      </c>
      <c r="B1081" s="21" t="s">
        <v>497</v>
      </c>
      <c r="C1081" s="21" t="s">
        <v>1203</v>
      </c>
      <c r="D1081" s="21" t="s">
        <v>1188</v>
      </c>
      <c r="E1081" s="33" t="n">
        <v>45526</v>
      </c>
      <c r="F1081" s="21" t="s">
        <v>1175</v>
      </c>
      <c r="G1081" s="32"/>
      <c r="H1081" s="21"/>
      <c r="I1081" s="33"/>
      <c r="J1081" s="21" t="str">
        <f aca="false">INDEX(Students!$C$2:$C$601,MATCH(B1081,Students!$A$2:$A$601,0))</f>
        <v>Batch 2025</v>
      </c>
      <c r="K1081" s="21" t="str">
        <f aca="false">INDEX(Students!$D$2:$D$601,MATCH(B1081,Students!$A$2:$A$601,0))</f>
        <v>Data Analytics</v>
      </c>
      <c r="L1081" s="21" t="str">
        <f aca="false">INDEX(Companies!$C$2:$C$31,MATCH(C1081,Companies!$A$2:$A$31,0))</f>
        <v>Healthtech</v>
      </c>
      <c r="M1081" s="21" t="str">
        <f aca="false">INDEX(Companies!$D$2:$D$31,MATCH(C1081,Companies!$A$2:$A$31,0))</f>
        <v>Tier 2</v>
      </c>
      <c r="N1081" s="34" t="n">
        <f aca="false">MATCH(F1081,Assumptions!$K$4:$K$8,0)</f>
        <v>1</v>
      </c>
      <c r="O1081" s="21" t="str">
        <f aca="false">IF(H1081="Yes",MONTH(I1081),"")</f>
        <v/>
      </c>
      <c r="P1081" s="21" t="str">
        <f aca="false">IF(H1081="Yes",B1081,"")</f>
        <v/>
      </c>
    </row>
    <row r="1082" customFormat="false" ht="15" hidden="false" customHeight="false" outlineLevel="0" collapsed="false">
      <c r="A1082" s="21" t="s">
        <v>2297</v>
      </c>
      <c r="B1082" s="21" t="s">
        <v>460</v>
      </c>
      <c r="C1082" s="21" t="s">
        <v>1266</v>
      </c>
      <c r="D1082" s="21" t="s">
        <v>1181</v>
      </c>
      <c r="E1082" s="33" t="n">
        <v>45527</v>
      </c>
      <c r="F1082" s="21" t="s">
        <v>1175</v>
      </c>
      <c r="G1082" s="32"/>
      <c r="H1082" s="21"/>
      <c r="I1082" s="33"/>
      <c r="J1082" s="21" t="str">
        <f aca="false">INDEX(Students!$C$2:$C$601,MATCH(B1082,Students!$A$2:$A$601,0))</f>
        <v>Batch 2025</v>
      </c>
      <c r="K1082" s="21" t="str">
        <f aca="false">INDEX(Students!$D$2:$D$601,MATCH(B1082,Students!$A$2:$A$601,0))</f>
        <v>Full Stack Development</v>
      </c>
      <c r="L1082" s="21" t="str">
        <f aca="false">INDEX(Companies!$C$2:$C$31,MATCH(C1082,Companies!$A$2:$A$31,0))</f>
        <v>IT Services</v>
      </c>
      <c r="M1082" s="21" t="str">
        <f aca="false">INDEX(Companies!$D$2:$D$31,MATCH(C1082,Companies!$A$2:$A$31,0))</f>
        <v>Tier 3</v>
      </c>
      <c r="N1082" s="34" t="n">
        <f aca="false">MATCH(F1082,Assumptions!$K$4:$K$8,0)</f>
        <v>1</v>
      </c>
      <c r="O1082" s="21" t="str">
        <f aca="false">IF(H1082="Yes",MONTH(I1082),"")</f>
        <v/>
      </c>
      <c r="P1082" s="21" t="str">
        <f aca="false">IF(H1082="Yes",B1082,"")</f>
        <v/>
      </c>
    </row>
    <row r="1083" customFormat="false" ht="15" hidden="false" customHeight="false" outlineLevel="0" collapsed="false">
      <c r="A1083" s="21" t="s">
        <v>2298</v>
      </c>
      <c r="B1083" s="21" t="s">
        <v>542</v>
      </c>
      <c r="C1083" s="21" t="s">
        <v>1201</v>
      </c>
      <c r="D1083" s="21" t="s">
        <v>1191</v>
      </c>
      <c r="E1083" s="33" t="n">
        <v>45527</v>
      </c>
      <c r="F1083" s="21" t="s">
        <v>1197</v>
      </c>
      <c r="G1083" s="32"/>
      <c r="H1083" s="21"/>
      <c r="I1083" s="33"/>
      <c r="J1083" s="21" t="str">
        <f aca="false">INDEX(Students!$C$2:$C$601,MATCH(B1083,Students!$A$2:$A$601,0))</f>
        <v>Batch 2025</v>
      </c>
      <c r="K1083" s="21" t="str">
        <f aca="false">INDEX(Students!$D$2:$D$601,MATCH(B1083,Students!$A$2:$A$601,0))</f>
        <v>DSA with Java</v>
      </c>
      <c r="L1083" s="21" t="str">
        <f aca="false">INDEX(Companies!$C$2:$C$31,MATCH(C1083,Companies!$A$2:$A$31,0))</f>
        <v>IT Services</v>
      </c>
      <c r="M1083" s="21" t="str">
        <f aca="false">INDEX(Companies!$D$2:$D$31,MATCH(C1083,Companies!$A$2:$A$31,0))</f>
        <v>Tier 3</v>
      </c>
      <c r="N1083" s="34" t="n">
        <f aca="false">MATCH(F1083,Assumptions!$K$4:$K$8,0)</f>
        <v>3</v>
      </c>
      <c r="O1083" s="21" t="str">
        <f aca="false">IF(H1083="Yes",MONTH(I1083),"")</f>
        <v/>
      </c>
      <c r="P1083" s="21" t="str">
        <f aca="false">IF(H1083="Yes",B1083,"")</f>
        <v/>
      </c>
    </row>
    <row r="1084" customFormat="false" ht="15" hidden="false" customHeight="false" outlineLevel="0" collapsed="false">
      <c r="A1084" s="21" t="s">
        <v>2299</v>
      </c>
      <c r="B1084" s="21" t="s">
        <v>468</v>
      </c>
      <c r="C1084" s="21" t="s">
        <v>1266</v>
      </c>
      <c r="D1084" s="21" t="s">
        <v>1181</v>
      </c>
      <c r="E1084" s="33" t="n">
        <v>45527</v>
      </c>
      <c r="F1084" s="21" t="s">
        <v>1178</v>
      </c>
      <c r="G1084" s="32"/>
      <c r="H1084" s="21"/>
      <c r="I1084" s="33"/>
      <c r="J1084" s="21" t="str">
        <f aca="false">INDEX(Students!$C$2:$C$601,MATCH(B1084,Students!$A$2:$A$601,0))</f>
        <v>Batch 2025</v>
      </c>
      <c r="K1084" s="21" t="str">
        <f aca="false">INDEX(Students!$D$2:$D$601,MATCH(B1084,Students!$A$2:$A$601,0))</f>
        <v>Full Stack Development</v>
      </c>
      <c r="L1084" s="21" t="str">
        <f aca="false">INDEX(Companies!$C$2:$C$31,MATCH(C1084,Companies!$A$2:$A$31,0))</f>
        <v>IT Services</v>
      </c>
      <c r="M1084" s="21" t="str">
        <f aca="false">INDEX(Companies!$D$2:$D$31,MATCH(C1084,Companies!$A$2:$A$31,0))</f>
        <v>Tier 3</v>
      </c>
      <c r="N1084" s="34" t="n">
        <f aca="false">MATCH(F1084,Assumptions!$K$4:$K$8,0)</f>
        <v>2</v>
      </c>
      <c r="O1084" s="21" t="str">
        <f aca="false">IF(H1084="Yes",MONTH(I1084),"")</f>
        <v/>
      </c>
      <c r="P1084" s="21" t="str">
        <f aca="false">IF(H1084="Yes",B1084,"")</f>
        <v/>
      </c>
    </row>
    <row r="1085" customFormat="false" ht="15" hidden="false" customHeight="false" outlineLevel="0" collapsed="false">
      <c r="A1085" s="21" t="s">
        <v>2300</v>
      </c>
      <c r="B1085" s="21" t="s">
        <v>645</v>
      </c>
      <c r="C1085" s="21" t="s">
        <v>1208</v>
      </c>
      <c r="D1085" s="21" t="s">
        <v>1209</v>
      </c>
      <c r="E1085" s="33" t="n">
        <v>45527</v>
      </c>
      <c r="F1085" s="21" t="s">
        <v>1218</v>
      </c>
      <c r="G1085" s="32"/>
      <c r="H1085" s="21"/>
      <c r="I1085" s="33"/>
      <c r="J1085" s="21" t="str">
        <f aca="false">INDEX(Students!$C$2:$C$601,MATCH(B1085,Students!$A$2:$A$601,0))</f>
        <v>Batch 2025</v>
      </c>
      <c r="K1085" s="21" t="str">
        <f aca="false">INDEX(Students!$D$2:$D$601,MATCH(B1085,Students!$A$2:$A$601,0))</f>
        <v>Data Analytics</v>
      </c>
      <c r="L1085" s="21" t="str">
        <f aca="false">INDEX(Companies!$C$2:$C$31,MATCH(C1085,Companies!$A$2:$A$31,0))</f>
        <v>E-commerce</v>
      </c>
      <c r="M1085" s="21" t="str">
        <f aca="false">INDEX(Companies!$D$2:$D$31,MATCH(C1085,Companies!$A$2:$A$31,0))</f>
        <v>Tier 1</v>
      </c>
      <c r="N1085" s="34" t="n">
        <f aca="false">MATCH(F1085,Assumptions!$K$4:$K$8,0)</f>
        <v>4</v>
      </c>
      <c r="O1085" s="21" t="str">
        <f aca="false">IF(H1085="Yes",MONTH(I1085),"")</f>
        <v/>
      </c>
      <c r="P1085" s="21" t="str">
        <f aca="false">IF(H1085="Yes",B1085,"")</f>
        <v/>
      </c>
    </row>
    <row r="1086" customFormat="false" ht="15" hidden="false" customHeight="false" outlineLevel="0" collapsed="false">
      <c r="A1086" s="21" t="s">
        <v>2301</v>
      </c>
      <c r="B1086" s="21" t="s">
        <v>755</v>
      </c>
      <c r="C1086" s="21" t="s">
        <v>1263</v>
      </c>
      <c r="D1086" s="21" t="s">
        <v>1188</v>
      </c>
      <c r="E1086" s="33" t="n">
        <v>45527</v>
      </c>
      <c r="F1086" s="21" t="s">
        <v>1175</v>
      </c>
      <c r="G1086" s="32"/>
      <c r="H1086" s="21"/>
      <c r="I1086" s="33"/>
      <c r="J1086" s="21" t="str">
        <f aca="false">INDEX(Students!$C$2:$C$601,MATCH(B1086,Students!$A$2:$A$601,0))</f>
        <v>Batch 2025</v>
      </c>
      <c r="K1086" s="21" t="str">
        <f aca="false">INDEX(Students!$D$2:$D$601,MATCH(B1086,Students!$A$2:$A$601,0))</f>
        <v>Data Analytics</v>
      </c>
      <c r="L1086" s="21" t="str">
        <f aca="false">INDEX(Companies!$C$2:$C$31,MATCH(C1086,Companies!$A$2:$A$31,0))</f>
        <v>Analytics &amp; Consulting</v>
      </c>
      <c r="M1086" s="21" t="str">
        <f aca="false">INDEX(Companies!$D$2:$D$31,MATCH(C1086,Companies!$A$2:$A$31,0))</f>
        <v>Tier 2</v>
      </c>
      <c r="N1086" s="34" t="n">
        <f aca="false">MATCH(F1086,Assumptions!$K$4:$K$8,0)</f>
        <v>1</v>
      </c>
      <c r="O1086" s="21" t="str">
        <f aca="false">IF(H1086="Yes",MONTH(I1086),"")</f>
        <v/>
      </c>
      <c r="P1086" s="21" t="str">
        <f aca="false">IF(H1086="Yes",B1086,"")</f>
        <v/>
      </c>
    </row>
    <row r="1087" customFormat="false" ht="15" hidden="false" customHeight="false" outlineLevel="0" collapsed="false">
      <c r="A1087" s="21" t="s">
        <v>2302</v>
      </c>
      <c r="B1087" s="21" t="s">
        <v>701</v>
      </c>
      <c r="C1087" s="21" t="s">
        <v>1201</v>
      </c>
      <c r="D1087" s="21" t="s">
        <v>1240</v>
      </c>
      <c r="E1087" s="33" t="n">
        <v>45527</v>
      </c>
      <c r="F1087" s="21" t="s">
        <v>1178</v>
      </c>
      <c r="G1087" s="32"/>
      <c r="H1087" s="21"/>
      <c r="I1087" s="33"/>
      <c r="J1087" s="21" t="str">
        <f aca="false">INDEX(Students!$C$2:$C$601,MATCH(B1087,Students!$A$2:$A$601,0))</f>
        <v>Batch 2025</v>
      </c>
      <c r="K1087" s="21" t="str">
        <f aca="false">INDEX(Students!$D$2:$D$601,MATCH(B1087,Students!$A$2:$A$601,0))</f>
        <v>Cybersecurity</v>
      </c>
      <c r="L1087" s="21" t="str">
        <f aca="false">INDEX(Companies!$C$2:$C$31,MATCH(C1087,Companies!$A$2:$A$31,0))</f>
        <v>IT Services</v>
      </c>
      <c r="M1087" s="21" t="str">
        <f aca="false">INDEX(Companies!$D$2:$D$31,MATCH(C1087,Companies!$A$2:$A$31,0))</f>
        <v>Tier 3</v>
      </c>
      <c r="N1087" s="34" t="n">
        <f aca="false">MATCH(F1087,Assumptions!$K$4:$K$8,0)</f>
        <v>2</v>
      </c>
      <c r="O1087" s="21" t="str">
        <f aca="false">IF(H1087="Yes",MONTH(I1087),"")</f>
        <v/>
      </c>
      <c r="P1087" s="21" t="str">
        <f aca="false">IF(H1087="Yes",B1087,"")</f>
        <v/>
      </c>
    </row>
    <row r="1088" customFormat="false" ht="15" hidden="false" customHeight="false" outlineLevel="0" collapsed="false">
      <c r="A1088" s="21" t="s">
        <v>2303</v>
      </c>
      <c r="B1088" s="21" t="s">
        <v>610</v>
      </c>
      <c r="C1088" s="21" t="s">
        <v>1234</v>
      </c>
      <c r="D1088" s="21" t="s">
        <v>1174</v>
      </c>
      <c r="E1088" s="33" t="n">
        <v>45527</v>
      </c>
      <c r="F1088" s="21" t="s">
        <v>1178</v>
      </c>
      <c r="G1088" s="32"/>
      <c r="H1088" s="21"/>
      <c r="I1088" s="33"/>
      <c r="J1088" s="21" t="str">
        <f aca="false">INDEX(Students!$C$2:$C$601,MATCH(B1088,Students!$A$2:$A$601,0))</f>
        <v>Batch 2025</v>
      </c>
      <c r="K1088" s="21" t="str">
        <f aca="false">INDEX(Students!$D$2:$D$601,MATCH(B1088,Students!$A$2:$A$601,0))</f>
        <v>Full Stack Development</v>
      </c>
      <c r="L1088" s="21" t="str">
        <f aca="false">INDEX(Companies!$C$2:$C$31,MATCH(C1088,Companies!$A$2:$A$31,0))</f>
        <v>EdTech</v>
      </c>
      <c r="M1088" s="21" t="str">
        <f aca="false">INDEX(Companies!$D$2:$D$31,MATCH(C1088,Companies!$A$2:$A$31,0))</f>
        <v>Tier 3</v>
      </c>
      <c r="N1088" s="34" t="n">
        <f aca="false">MATCH(F1088,Assumptions!$K$4:$K$8,0)</f>
        <v>2</v>
      </c>
      <c r="O1088" s="21" t="str">
        <f aca="false">IF(H1088="Yes",MONTH(I1088),"")</f>
        <v/>
      </c>
      <c r="P1088" s="21" t="str">
        <f aca="false">IF(H1088="Yes",B1088,"")</f>
        <v/>
      </c>
    </row>
    <row r="1089" customFormat="false" ht="15" hidden="false" customHeight="false" outlineLevel="0" collapsed="false">
      <c r="A1089" s="21" t="s">
        <v>2304</v>
      </c>
      <c r="B1089" s="21" t="s">
        <v>684</v>
      </c>
      <c r="C1089" s="21" t="s">
        <v>1180</v>
      </c>
      <c r="D1089" s="21" t="s">
        <v>1194</v>
      </c>
      <c r="E1089" s="33" t="n">
        <v>45528</v>
      </c>
      <c r="F1089" s="21" t="s">
        <v>1175</v>
      </c>
      <c r="G1089" s="32"/>
      <c r="H1089" s="21"/>
      <c r="I1089" s="33"/>
      <c r="J1089" s="21" t="str">
        <f aca="false">INDEX(Students!$C$2:$C$601,MATCH(B1089,Students!$A$2:$A$601,0))</f>
        <v>Batch 2025</v>
      </c>
      <c r="K1089" s="21" t="str">
        <f aca="false">INDEX(Students!$D$2:$D$601,MATCH(B1089,Students!$A$2:$A$601,0))</f>
        <v>Data Science &amp; ML</v>
      </c>
      <c r="L1089" s="21" t="str">
        <f aca="false">INDEX(Companies!$C$2:$C$31,MATCH(C1089,Companies!$A$2:$A$31,0))</f>
        <v>IT Services</v>
      </c>
      <c r="M1089" s="21" t="str">
        <f aca="false">INDEX(Companies!$D$2:$D$31,MATCH(C1089,Companies!$A$2:$A$31,0))</f>
        <v>Tier 3</v>
      </c>
      <c r="N1089" s="34" t="n">
        <f aca="false">MATCH(F1089,Assumptions!$K$4:$K$8,0)</f>
        <v>1</v>
      </c>
      <c r="O1089" s="21" t="str">
        <f aca="false">IF(H1089="Yes",MONTH(I1089),"")</f>
        <v/>
      </c>
      <c r="P1089" s="21" t="str">
        <f aca="false">IF(H1089="Yes",B1089,"")</f>
        <v/>
      </c>
    </row>
    <row r="1090" customFormat="false" ht="15" hidden="false" customHeight="false" outlineLevel="0" collapsed="false">
      <c r="A1090" s="21" t="s">
        <v>2305</v>
      </c>
      <c r="B1090" s="21" t="s">
        <v>482</v>
      </c>
      <c r="C1090" s="21" t="s">
        <v>1255</v>
      </c>
      <c r="D1090" s="21" t="s">
        <v>1209</v>
      </c>
      <c r="E1090" s="33" t="n">
        <v>45528</v>
      </c>
      <c r="F1090" s="21" t="s">
        <v>1175</v>
      </c>
      <c r="G1090" s="32"/>
      <c r="H1090" s="21"/>
      <c r="I1090" s="33"/>
      <c r="J1090" s="21" t="str">
        <f aca="false">INDEX(Students!$C$2:$C$601,MATCH(B1090,Students!$A$2:$A$601,0))</f>
        <v>Batch 2025</v>
      </c>
      <c r="K1090" s="21" t="str">
        <f aca="false">INDEX(Students!$D$2:$D$601,MATCH(B1090,Students!$A$2:$A$601,0))</f>
        <v>Data Analytics</v>
      </c>
      <c r="L1090" s="21" t="str">
        <f aca="false">INDEX(Companies!$C$2:$C$31,MATCH(C1090,Companies!$A$2:$A$31,0))</f>
        <v>IT Services</v>
      </c>
      <c r="M1090" s="21" t="str">
        <f aca="false">INDEX(Companies!$D$2:$D$31,MATCH(C1090,Companies!$A$2:$A$31,0))</f>
        <v>Tier 3</v>
      </c>
      <c r="N1090" s="34" t="n">
        <f aca="false">MATCH(F1090,Assumptions!$K$4:$K$8,0)</f>
        <v>1</v>
      </c>
      <c r="O1090" s="21" t="str">
        <f aca="false">IF(H1090="Yes",MONTH(I1090),"")</f>
        <v/>
      </c>
      <c r="P1090" s="21" t="str">
        <f aca="false">IF(H1090="Yes",B1090,"")</f>
        <v/>
      </c>
    </row>
    <row r="1091" customFormat="false" ht="15" hidden="false" customHeight="false" outlineLevel="0" collapsed="false">
      <c r="A1091" s="21" t="s">
        <v>2306</v>
      </c>
      <c r="B1091" s="21" t="s">
        <v>675</v>
      </c>
      <c r="C1091" s="21" t="s">
        <v>1180</v>
      </c>
      <c r="D1091" s="21" t="s">
        <v>1181</v>
      </c>
      <c r="E1091" s="33" t="n">
        <v>45528</v>
      </c>
      <c r="F1091" s="21" t="s">
        <v>1218</v>
      </c>
      <c r="G1091" s="32"/>
      <c r="H1091" s="21"/>
      <c r="I1091" s="33"/>
      <c r="J1091" s="21" t="str">
        <f aca="false">INDEX(Students!$C$2:$C$601,MATCH(B1091,Students!$A$2:$A$601,0))</f>
        <v>Batch 2025</v>
      </c>
      <c r="K1091" s="21" t="str">
        <f aca="false">INDEX(Students!$D$2:$D$601,MATCH(B1091,Students!$A$2:$A$601,0))</f>
        <v>Full Stack Development</v>
      </c>
      <c r="L1091" s="21" t="str">
        <f aca="false">INDEX(Companies!$C$2:$C$31,MATCH(C1091,Companies!$A$2:$A$31,0))</f>
        <v>IT Services</v>
      </c>
      <c r="M1091" s="21" t="str">
        <f aca="false">INDEX(Companies!$D$2:$D$31,MATCH(C1091,Companies!$A$2:$A$31,0))</f>
        <v>Tier 3</v>
      </c>
      <c r="N1091" s="34" t="n">
        <f aca="false">MATCH(F1091,Assumptions!$K$4:$K$8,0)</f>
        <v>4</v>
      </c>
      <c r="O1091" s="21" t="str">
        <f aca="false">IF(H1091="Yes",MONTH(I1091),"")</f>
        <v/>
      </c>
      <c r="P1091" s="21" t="str">
        <f aca="false">IF(H1091="Yes",B1091,"")</f>
        <v/>
      </c>
    </row>
    <row r="1092" customFormat="false" ht="15" hidden="false" customHeight="false" outlineLevel="0" collapsed="false">
      <c r="A1092" s="21" t="s">
        <v>2307</v>
      </c>
      <c r="B1092" s="21" t="s">
        <v>497</v>
      </c>
      <c r="C1092" s="21" t="s">
        <v>1322</v>
      </c>
      <c r="D1092" s="21" t="s">
        <v>1209</v>
      </c>
      <c r="E1092" s="33" t="n">
        <v>45528</v>
      </c>
      <c r="F1092" s="21" t="s">
        <v>1175</v>
      </c>
      <c r="G1092" s="32"/>
      <c r="H1092" s="21"/>
      <c r="I1092" s="33"/>
      <c r="J1092" s="21" t="str">
        <f aca="false">INDEX(Students!$C$2:$C$601,MATCH(B1092,Students!$A$2:$A$601,0))</f>
        <v>Batch 2025</v>
      </c>
      <c r="K1092" s="21" t="str">
        <f aca="false">INDEX(Students!$D$2:$D$601,MATCH(B1092,Students!$A$2:$A$601,0))</f>
        <v>Data Analytics</v>
      </c>
      <c r="L1092" s="21" t="str">
        <f aca="false">INDEX(Companies!$C$2:$C$31,MATCH(C1092,Companies!$A$2:$A$31,0))</f>
        <v>Healthtech</v>
      </c>
      <c r="M1092" s="21" t="str">
        <f aca="false">INDEX(Companies!$D$2:$D$31,MATCH(C1092,Companies!$A$2:$A$31,0))</f>
        <v>Tier 2</v>
      </c>
      <c r="N1092" s="34" t="n">
        <f aca="false">MATCH(F1092,Assumptions!$K$4:$K$8,0)</f>
        <v>1</v>
      </c>
      <c r="O1092" s="21" t="str">
        <f aca="false">IF(H1092="Yes",MONTH(I1092),"")</f>
        <v/>
      </c>
      <c r="P1092" s="21" t="str">
        <f aca="false">IF(H1092="Yes",B1092,"")</f>
        <v/>
      </c>
    </row>
    <row r="1093" customFormat="false" ht="15" hidden="false" customHeight="false" outlineLevel="0" collapsed="false">
      <c r="A1093" s="21" t="s">
        <v>2308</v>
      </c>
      <c r="B1093" s="21" t="s">
        <v>478</v>
      </c>
      <c r="C1093" s="21" t="s">
        <v>1255</v>
      </c>
      <c r="D1093" s="21" t="s">
        <v>1191</v>
      </c>
      <c r="E1093" s="33" t="n">
        <v>45528</v>
      </c>
      <c r="F1093" s="21" t="s">
        <v>1185</v>
      </c>
      <c r="G1093" s="32" t="n">
        <v>4.9</v>
      </c>
      <c r="H1093" s="21" t="s">
        <v>120</v>
      </c>
      <c r="I1093" s="33" t="n">
        <v>45571</v>
      </c>
      <c r="J1093" s="21" t="str">
        <f aca="false">INDEX(Students!$C$2:$C$601,MATCH(B1093,Students!$A$2:$A$601,0))</f>
        <v>Batch 2025</v>
      </c>
      <c r="K1093" s="21" t="str">
        <f aca="false">INDEX(Students!$D$2:$D$601,MATCH(B1093,Students!$A$2:$A$601,0))</f>
        <v>DSA with Java</v>
      </c>
      <c r="L1093" s="21" t="str">
        <f aca="false">INDEX(Companies!$C$2:$C$31,MATCH(C1093,Companies!$A$2:$A$31,0))</f>
        <v>IT Services</v>
      </c>
      <c r="M1093" s="21" t="str">
        <f aca="false">INDEX(Companies!$D$2:$D$31,MATCH(C1093,Companies!$A$2:$A$31,0))</f>
        <v>Tier 3</v>
      </c>
      <c r="N1093" s="34" t="n">
        <f aca="false">MATCH(F1093,Assumptions!$K$4:$K$8,0)</f>
        <v>5</v>
      </c>
      <c r="O1093" s="21" t="n">
        <f aca="false">IF(H1093="Yes",MONTH(I1093),"")</f>
        <v>10</v>
      </c>
      <c r="P1093" s="21" t="str">
        <f aca="false">IF(H1093="Yes",B1093,"")</f>
        <v>S0193</v>
      </c>
    </row>
    <row r="1094" customFormat="false" ht="15" hidden="false" customHeight="false" outlineLevel="0" collapsed="false">
      <c r="A1094" s="21" t="s">
        <v>2309</v>
      </c>
      <c r="B1094" s="21" t="s">
        <v>761</v>
      </c>
      <c r="C1094" s="21" t="s">
        <v>1266</v>
      </c>
      <c r="D1094" s="21" t="s">
        <v>1174</v>
      </c>
      <c r="E1094" s="33" t="n">
        <v>45529</v>
      </c>
      <c r="F1094" s="21" t="s">
        <v>1185</v>
      </c>
      <c r="G1094" s="32" t="n">
        <v>4.6</v>
      </c>
      <c r="H1094" s="21" t="s">
        <v>120</v>
      </c>
      <c r="I1094" s="33" t="n">
        <v>45576</v>
      </c>
      <c r="J1094" s="21" t="str">
        <f aca="false">INDEX(Students!$C$2:$C$601,MATCH(B1094,Students!$A$2:$A$601,0))</f>
        <v>Batch 2025</v>
      </c>
      <c r="K1094" s="21" t="str">
        <f aca="false">INDEX(Students!$D$2:$D$601,MATCH(B1094,Students!$A$2:$A$601,0))</f>
        <v>Full Stack Development</v>
      </c>
      <c r="L1094" s="21" t="str">
        <f aca="false">INDEX(Companies!$C$2:$C$31,MATCH(C1094,Companies!$A$2:$A$31,0))</f>
        <v>IT Services</v>
      </c>
      <c r="M1094" s="21" t="str">
        <f aca="false">INDEX(Companies!$D$2:$D$31,MATCH(C1094,Companies!$A$2:$A$31,0))</f>
        <v>Tier 3</v>
      </c>
      <c r="N1094" s="34" t="n">
        <f aca="false">MATCH(F1094,Assumptions!$K$4:$K$8,0)</f>
        <v>5</v>
      </c>
      <c r="O1094" s="21" t="n">
        <f aca="false">IF(H1094="Yes",MONTH(I1094),"")</f>
        <v>10</v>
      </c>
      <c r="P1094" s="21" t="str">
        <f aca="false">IF(H1094="Yes",B1094,"")</f>
        <v>S0354</v>
      </c>
    </row>
    <row r="1095" customFormat="false" ht="15" hidden="false" customHeight="false" outlineLevel="0" collapsed="false">
      <c r="A1095" s="21" t="s">
        <v>2310</v>
      </c>
      <c r="B1095" s="21" t="s">
        <v>464</v>
      </c>
      <c r="C1095" s="21" t="s">
        <v>1211</v>
      </c>
      <c r="D1095" s="21" t="s">
        <v>1181</v>
      </c>
      <c r="E1095" s="33" t="n">
        <v>45529</v>
      </c>
      <c r="F1095" s="21" t="s">
        <v>1178</v>
      </c>
      <c r="G1095" s="32"/>
      <c r="H1095" s="21"/>
      <c r="I1095" s="33"/>
      <c r="J1095" s="21" t="str">
        <f aca="false">INDEX(Students!$C$2:$C$601,MATCH(B1095,Students!$A$2:$A$601,0))</f>
        <v>Batch 2025</v>
      </c>
      <c r="K1095" s="21" t="str">
        <f aca="false">INDEX(Students!$D$2:$D$601,MATCH(B1095,Students!$A$2:$A$601,0))</f>
        <v>Full Stack Development</v>
      </c>
      <c r="L1095" s="21" t="str">
        <f aca="false">INDEX(Companies!$C$2:$C$31,MATCH(C1095,Companies!$A$2:$A$31,0))</f>
        <v>Analytics &amp; Consulting</v>
      </c>
      <c r="M1095" s="21" t="str">
        <f aca="false">INDEX(Companies!$D$2:$D$31,MATCH(C1095,Companies!$A$2:$A$31,0))</f>
        <v>Tier 3</v>
      </c>
      <c r="N1095" s="34" t="n">
        <f aca="false">MATCH(F1095,Assumptions!$K$4:$K$8,0)</f>
        <v>2</v>
      </c>
      <c r="O1095" s="21" t="str">
        <f aca="false">IF(H1095="Yes",MONTH(I1095),"")</f>
        <v/>
      </c>
      <c r="P1095" s="21" t="str">
        <f aca="false">IF(H1095="Yes",B1095,"")</f>
        <v/>
      </c>
    </row>
    <row r="1096" customFormat="false" ht="15" hidden="false" customHeight="false" outlineLevel="0" collapsed="false">
      <c r="A1096" s="21" t="s">
        <v>2311</v>
      </c>
      <c r="B1096" s="21" t="s">
        <v>685</v>
      </c>
      <c r="C1096" s="21" t="s">
        <v>1298</v>
      </c>
      <c r="D1096" s="21" t="s">
        <v>1194</v>
      </c>
      <c r="E1096" s="33" t="n">
        <v>45529</v>
      </c>
      <c r="F1096" s="21" t="s">
        <v>1185</v>
      </c>
      <c r="G1096" s="32" t="n">
        <v>11.7</v>
      </c>
      <c r="H1096" s="21" t="s">
        <v>120</v>
      </c>
      <c r="I1096" s="33" t="n">
        <v>45567</v>
      </c>
      <c r="J1096" s="21" t="str">
        <f aca="false">INDEX(Students!$C$2:$C$601,MATCH(B1096,Students!$A$2:$A$601,0))</f>
        <v>Batch 2025</v>
      </c>
      <c r="K1096" s="21" t="str">
        <f aca="false">INDEX(Students!$D$2:$D$601,MATCH(B1096,Students!$A$2:$A$601,0))</f>
        <v>Data Science &amp; ML</v>
      </c>
      <c r="L1096" s="21" t="str">
        <f aca="false">INDEX(Companies!$C$2:$C$31,MATCH(C1096,Companies!$A$2:$A$31,0))</f>
        <v>Fintech</v>
      </c>
      <c r="M1096" s="21" t="str">
        <f aca="false">INDEX(Companies!$D$2:$D$31,MATCH(C1096,Companies!$A$2:$A$31,0))</f>
        <v>Tier 2</v>
      </c>
      <c r="N1096" s="34" t="n">
        <f aca="false">MATCH(F1096,Assumptions!$K$4:$K$8,0)</f>
        <v>5</v>
      </c>
      <c r="O1096" s="21" t="n">
        <f aca="false">IF(H1096="Yes",MONTH(I1096),"")</f>
        <v>10</v>
      </c>
      <c r="P1096" s="21" t="str">
        <f aca="false">IF(H1096="Yes",B1096,"")</f>
        <v>S0310</v>
      </c>
    </row>
    <row r="1097" customFormat="false" ht="15" hidden="false" customHeight="false" outlineLevel="0" collapsed="false">
      <c r="A1097" s="21" t="s">
        <v>2312</v>
      </c>
      <c r="B1097" s="21" t="s">
        <v>504</v>
      </c>
      <c r="C1097" s="21" t="s">
        <v>1225</v>
      </c>
      <c r="D1097" s="21" t="s">
        <v>1181</v>
      </c>
      <c r="E1097" s="33" t="n">
        <v>45529</v>
      </c>
      <c r="F1097" s="21" t="s">
        <v>1197</v>
      </c>
      <c r="G1097" s="32"/>
      <c r="H1097" s="21"/>
      <c r="I1097" s="33"/>
      <c r="J1097" s="21" t="str">
        <f aca="false">INDEX(Students!$C$2:$C$601,MATCH(B1097,Students!$A$2:$A$601,0))</f>
        <v>Batch 2025</v>
      </c>
      <c r="K1097" s="21" t="str">
        <f aca="false">INDEX(Students!$D$2:$D$601,MATCH(B1097,Students!$A$2:$A$601,0))</f>
        <v>Full Stack Development</v>
      </c>
      <c r="L1097" s="21" t="str">
        <f aca="false">INDEX(Companies!$C$2:$C$31,MATCH(C1097,Companies!$A$2:$A$31,0))</f>
        <v>EdTech</v>
      </c>
      <c r="M1097" s="21" t="str">
        <f aca="false">INDEX(Companies!$D$2:$D$31,MATCH(C1097,Companies!$A$2:$A$31,0))</f>
        <v>Tier 2</v>
      </c>
      <c r="N1097" s="34" t="n">
        <f aca="false">MATCH(F1097,Assumptions!$K$4:$K$8,0)</f>
        <v>3</v>
      </c>
      <c r="O1097" s="21" t="str">
        <f aca="false">IF(H1097="Yes",MONTH(I1097),"")</f>
        <v/>
      </c>
      <c r="P1097" s="21" t="str">
        <f aca="false">IF(H1097="Yes",B1097,"")</f>
        <v/>
      </c>
    </row>
    <row r="1098" customFormat="false" ht="15" hidden="false" customHeight="false" outlineLevel="0" collapsed="false">
      <c r="A1098" s="21" t="s">
        <v>2313</v>
      </c>
      <c r="B1098" s="21" t="s">
        <v>497</v>
      </c>
      <c r="C1098" s="21" t="s">
        <v>1225</v>
      </c>
      <c r="D1098" s="21" t="s">
        <v>1209</v>
      </c>
      <c r="E1098" s="33" t="n">
        <v>45529</v>
      </c>
      <c r="F1098" s="21" t="s">
        <v>1175</v>
      </c>
      <c r="G1098" s="32"/>
      <c r="H1098" s="21"/>
      <c r="I1098" s="33"/>
      <c r="J1098" s="21" t="str">
        <f aca="false">INDEX(Students!$C$2:$C$601,MATCH(B1098,Students!$A$2:$A$601,0))</f>
        <v>Batch 2025</v>
      </c>
      <c r="K1098" s="21" t="str">
        <f aca="false">INDEX(Students!$D$2:$D$601,MATCH(B1098,Students!$A$2:$A$601,0))</f>
        <v>Data Analytics</v>
      </c>
      <c r="L1098" s="21" t="str">
        <f aca="false">INDEX(Companies!$C$2:$C$31,MATCH(C1098,Companies!$A$2:$A$31,0))</f>
        <v>EdTech</v>
      </c>
      <c r="M1098" s="21" t="str">
        <f aca="false">INDEX(Companies!$D$2:$D$31,MATCH(C1098,Companies!$A$2:$A$31,0))</f>
        <v>Tier 2</v>
      </c>
      <c r="N1098" s="34" t="n">
        <f aca="false">MATCH(F1098,Assumptions!$K$4:$K$8,0)</f>
        <v>1</v>
      </c>
      <c r="O1098" s="21" t="str">
        <f aca="false">IF(H1098="Yes",MONTH(I1098),"")</f>
        <v/>
      </c>
      <c r="P1098" s="21" t="str">
        <f aca="false">IF(H1098="Yes",B1098,"")</f>
        <v/>
      </c>
    </row>
    <row r="1099" customFormat="false" ht="15" hidden="false" customHeight="false" outlineLevel="0" collapsed="false">
      <c r="A1099" s="21" t="s">
        <v>2314</v>
      </c>
      <c r="B1099" s="21" t="s">
        <v>499</v>
      </c>
      <c r="C1099" s="21" t="s">
        <v>1266</v>
      </c>
      <c r="D1099" s="21" t="s">
        <v>1191</v>
      </c>
      <c r="E1099" s="33" t="n">
        <v>45529</v>
      </c>
      <c r="F1099" s="21" t="s">
        <v>1175</v>
      </c>
      <c r="G1099" s="32"/>
      <c r="H1099" s="21"/>
      <c r="I1099" s="33"/>
      <c r="J1099" s="21" t="str">
        <f aca="false">INDEX(Students!$C$2:$C$601,MATCH(B1099,Students!$A$2:$A$601,0))</f>
        <v>Batch 2025</v>
      </c>
      <c r="K1099" s="21" t="str">
        <f aca="false">INDEX(Students!$D$2:$D$601,MATCH(B1099,Students!$A$2:$A$601,0))</f>
        <v>DSA with Java</v>
      </c>
      <c r="L1099" s="21" t="str">
        <f aca="false">INDEX(Companies!$C$2:$C$31,MATCH(C1099,Companies!$A$2:$A$31,0))</f>
        <v>IT Services</v>
      </c>
      <c r="M1099" s="21" t="str">
        <f aca="false">INDEX(Companies!$D$2:$D$31,MATCH(C1099,Companies!$A$2:$A$31,0))</f>
        <v>Tier 3</v>
      </c>
      <c r="N1099" s="34" t="n">
        <f aca="false">MATCH(F1099,Assumptions!$K$4:$K$8,0)</f>
        <v>1</v>
      </c>
      <c r="O1099" s="21" t="str">
        <f aca="false">IF(H1099="Yes",MONTH(I1099),"")</f>
        <v/>
      </c>
      <c r="P1099" s="21" t="str">
        <f aca="false">IF(H1099="Yes",B1099,"")</f>
        <v/>
      </c>
    </row>
    <row r="1100" customFormat="false" ht="15" hidden="false" customHeight="false" outlineLevel="0" collapsed="false">
      <c r="A1100" s="21" t="s">
        <v>2315</v>
      </c>
      <c r="B1100" s="21" t="s">
        <v>751</v>
      </c>
      <c r="C1100" s="21" t="s">
        <v>1275</v>
      </c>
      <c r="D1100" s="21" t="s">
        <v>1188</v>
      </c>
      <c r="E1100" s="33" t="n">
        <v>45529</v>
      </c>
      <c r="F1100" s="21" t="s">
        <v>1175</v>
      </c>
      <c r="G1100" s="32"/>
      <c r="H1100" s="21"/>
      <c r="I1100" s="33"/>
      <c r="J1100" s="21" t="str">
        <f aca="false">INDEX(Students!$C$2:$C$601,MATCH(B1100,Students!$A$2:$A$601,0))</f>
        <v>Batch 2025</v>
      </c>
      <c r="K1100" s="21" t="str">
        <f aca="false">INDEX(Students!$D$2:$D$601,MATCH(B1100,Students!$A$2:$A$601,0))</f>
        <v>Data Analytics</v>
      </c>
      <c r="L1100" s="21" t="str">
        <f aca="false">INDEX(Companies!$C$2:$C$31,MATCH(C1100,Companies!$A$2:$A$31,0))</f>
        <v>Cybersecurity</v>
      </c>
      <c r="M1100" s="21" t="str">
        <f aca="false">INDEX(Companies!$D$2:$D$31,MATCH(C1100,Companies!$A$2:$A$31,0))</f>
        <v>Tier 2</v>
      </c>
      <c r="N1100" s="34" t="n">
        <f aca="false">MATCH(F1100,Assumptions!$K$4:$K$8,0)</f>
        <v>1</v>
      </c>
      <c r="O1100" s="21" t="str">
        <f aca="false">IF(H1100="Yes",MONTH(I1100),"")</f>
        <v/>
      </c>
      <c r="P1100" s="21" t="str">
        <f aca="false">IF(H1100="Yes",B1100,"")</f>
        <v/>
      </c>
    </row>
    <row r="1101" customFormat="false" ht="15" hidden="false" customHeight="false" outlineLevel="0" collapsed="false">
      <c r="A1101" s="21" t="s">
        <v>2316</v>
      </c>
      <c r="B1101" s="21" t="s">
        <v>637</v>
      </c>
      <c r="C1101" s="21" t="s">
        <v>1205</v>
      </c>
      <c r="D1101" s="21" t="s">
        <v>1209</v>
      </c>
      <c r="E1101" s="33" t="n">
        <v>45530</v>
      </c>
      <c r="F1101" s="21" t="s">
        <v>1185</v>
      </c>
      <c r="G1101" s="32" t="n">
        <v>5.6</v>
      </c>
      <c r="H1101" s="21" t="s">
        <v>113</v>
      </c>
      <c r="I1101" s="33" t="n">
        <v>45557</v>
      </c>
      <c r="J1101" s="21" t="str">
        <f aca="false">INDEX(Students!$C$2:$C$601,MATCH(B1101,Students!$A$2:$A$601,0))</f>
        <v>Batch 2025</v>
      </c>
      <c r="K1101" s="21" t="str">
        <f aca="false">INDEX(Students!$D$2:$D$601,MATCH(B1101,Students!$A$2:$A$601,0))</f>
        <v>Data Analytics</v>
      </c>
      <c r="L1101" s="21" t="str">
        <f aca="false">INDEX(Companies!$C$2:$C$31,MATCH(C1101,Companies!$A$2:$A$31,0))</f>
        <v>Healthtech</v>
      </c>
      <c r="M1101" s="21" t="str">
        <f aca="false">INDEX(Companies!$D$2:$D$31,MATCH(C1101,Companies!$A$2:$A$31,0))</f>
        <v>Tier 3</v>
      </c>
      <c r="N1101" s="34" t="n">
        <f aca="false">MATCH(F1101,Assumptions!$K$4:$K$8,0)</f>
        <v>5</v>
      </c>
      <c r="O1101" s="21" t="str">
        <f aca="false">IF(H1101="Yes",MONTH(I1101),"")</f>
        <v/>
      </c>
      <c r="P1101" s="21" t="str">
        <f aca="false">IF(H1101="Yes",B1101,"")</f>
        <v/>
      </c>
    </row>
    <row r="1102" customFormat="false" ht="15" hidden="false" customHeight="false" outlineLevel="0" collapsed="false">
      <c r="A1102" s="21" t="s">
        <v>2317</v>
      </c>
      <c r="B1102" s="21" t="s">
        <v>772</v>
      </c>
      <c r="C1102" s="21" t="s">
        <v>1199</v>
      </c>
      <c r="D1102" s="21" t="s">
        <v>1243</v>
      </c>
      <c r="E1102" s="33" t="n">
        <v>45530</v>
      </c>
      <c r="F1102" s="21" t="s">
        <v>1185</v>
      </c>
      <c r="G1102" s="32" t="n">
        <v>13.7</v>
      </c>
      <c r="H1102" s="21" t="s">
        <v>120</v>
      </c>
      <c r="I1102" s="33" t="n">
        <v>45550</v>
      </c>
      <c r="J1102" s="21" t="str">
        <f aca="false">INDEX(Students!$C$2:$C$601,MATCH(B1102,Students!$A$2:$A$601,0))</f>
        <v>Batch 2025</v>
      </c>
      <c r="K1102" s="21" t="str">
        <f aca="false">INDEX(Students!$D$2:$D$601,MATCH(B1102,Students!$A$2:$A$601,0))</f>
        <v>Data Science &amp; ML</v>
      </c>
      <c r="L1102" s="21" t="str">
        <f aca="false">INDEX(Companies!$C$2:$C$31,MATCH(C1102,Companies!$A$2:$A$31,0))</f>
        <v>E-commerce</v>
      </c>
      <c r="M1102" s="21" t="str">
        <f aca="false">INDEX(Companies!$D$2:$D$31,MATCH(C1102,Companies!$A$2:$A$31,0))</f>
        <v>Tier 2</v>
      </c>
      <c r="N1102" s="34" t="n">
        <f aca="false">MATCH(F1102,Assumptions!$K$4:$K$8,0)</f>
        <v>5</v>
      </c>
      <c r="O1102" s="21" t="n">
        <f aca="false">IF(H1102="Yes",MONTH(I1102),"")</f>
        <v>9</v>
      </c>
      <c r="P1102" s="21" t="str">
        <f aca="false">IF(H1102="Yes",B1102,"")</f>
        <v>S0360</v>
      </c>
    </row>
    <row r="1103" customFormat="false" ht="15" hidden="false" customHeight="false" outlineLevel="0" collapsed="false">
      <c r="A1103" s="21" t="s">
        <v>2318</v>
      </c>
      <c r="B1103" s="21" t="s">
        <v>472</v>
      </c>
      <c r="C1103" s="21" t="s">
        <v>1239</v>
      </c>
      <c r="D1103" s="21" t="s">
        <v>1243</v>
      </c>
      <c r="E1103" s="33" t="n">
        <v>45530</v>
      </c>
      <c r="F1103" s="21" t="s">
        <v>1175</v>
      </c>
      <c r="G1103" s="32"/>
      <c r="H1103" s="21"/>
      <c r="I1103" s="33"/>
      <c r="J1103" s="21" t="str">
        <f aca="false">INDEX(Students!$C$2:$C$601,MATCH(B1103,Students!$A$2:$A$601,0))</f>
        <v>Batch 2025</v>
      </c>
      <c r="K1103" s="21" t="str">
        <f aca="false">INDEX(Students!$D$2:$D$601,MATCH(B1103,Students!$A$2:$A$601,0))</f>
        <v>Data Science &amp; ML</v>
      </c>
      <c r="L1103" s="21" t="str">
        <f aca="false">INDEX(Companies!$C$2:$C$31,MATCH(C1103,Companies!$A$2:$A$31,0))</f>
        <v>E-commerce</v>
      </c>
      <c r="M1103" s="21" t="str">
        <f aca="false">INDEX(Companies!$D$2:$D$31,MATCH(C1103,Companies!$A$2:$A$31,0))</f>
        <v>Tier 3</v>
      </c>
      <c r="N1103" s="34" t="n">
        <f aca="false">MATCH(F1103,Assumptions!$K$4:$K$8,0)</f>
        <v>1</v>
      </c>
      <c r="O1103" s="21" t="str">
        <f aca="false">IF(H1103="Yes",MONTH(I1103),"")</f>
        <v/>
      </c>
      <c r="P1103" s="21" t="str">
        <f aca="false">IF(H1103="Yes",B1103,"")</f>
        <v/>
      </c>
    </row>
    <row r="1104" customFormat="false" ht="15" hidden="false" customHeight="false" outlineLevel="0" collapsed="false">
      <c r="A1104" s="21" t="s">
        <v>2319</v>
      </c>
      <c r="B1104" s="21" t="s">
        <v>521</v>
      </c>
      <c r="C1104" s="21" t="s">
        <v>1275</v>
      </c>
      <c r="D1104" s="21" t="s">
        <v>1181</v>
      </c>
      <c r="E1104" s="33" t="n">
        <v>45530</v>
      </c>
      <c r="F1104" s="21" t="s">
        <v>1178</v>
      </c>
      <c r="G1104" s="32"/>
      <c r="H1104" s="21"/>
      <c r="I1104" s="33"/>
      <c r="J1104" s="21" t="str">
        <f aca="false">INDEX(Students!$C$2:$C$601,MATCH(B1104,Students!$A$2:$A$601,0))</f>
        <v>Batch 2025</v>
      </c>
      <c r="K1104" s="21" t="str">
        <f aca="false">INDEX(Students!$D$2:$D$601,MATCH(B1104,Students!$A$2:$A$601,0))</f>
        <v>Full Stack Development</v>
      </c>
      <c r="L1104" s="21" t="str">
        <f aca="false">INDEX(Companies!$C$2:$C$31,MATCH(C1104,Companies!$A$2:$A$31,0))</f>
        <v>Cybersecurity</v>
      </c>
      <c r="M1104" s="21" t="str">
        <f aca="false">INDEX(Companies!$D$2:$D$31,MATCH(C1104,Companies!$A$2:$A$31,0))</f>
        <v>Tier 2</v>
      </c>
      <c r="N1104" s="34" t="n">
        <f aca="false">MATCH(F1104,Assumptions!$K$4:$K$8,0)</f>
        <v>2</v>
      </c>
      <c r="O1104" s="21" t="str">
        <f aca="false">IF(H1104="Yes",MONTH(I1104),"")</f>
        <v/>
      </c>
      <c r="P1104" s="21" t="str">
        <f aca="false">IF(H1104="Yes",B1104,"")</f>
        <v/>
      </c>
    </row>
    <row r="1105" customFormat="false" ht="15" hidden="false" customHeight="false" outlineLevel="0" collapsed="false">
      <c r="A1105" s="21" t="s">
        <v>2320</v>
      </c>
      <c r="B1105" s="21" t="s">
        <v>716</v>
      </c>
      <c r="C1105" s="21" t="s">
        <v>1290</v>
      </c>
      <c r="D1105" s="21" t="s">
        <v>1184</v>
      </c>
      <c r="E1105" s="33" t="n">
        <v>45530</v>
      </c>
      <c r="F1105" s="21" t="s">
        <v>1197</v>
      </c>
      <c r="G1105" s="32"/>
      <c r="H1105" s="21"/>
      <c r="I1105" s="33"/>
      <c r="J1105" s="21" t="str">
        <f aca="false">INDEX(Students!$C$2:$C$601,MATCH(B1105,Students!$A$2:$A$601,0))</f>
        <v>Batch 2025</v>
      </c>
      <c r="K1105" s="21" t="str">
        <f aca="false">INDEX(Students!$D$2:$D$601,MATCH(B1105,Students!$A$2:$A$601,0))</f>
        <v>DSA with Java</v>
      </c>
      <c r="L1105" s="21" t="str">
        <f aca="false">INDEX(Companies!$C$2:$C$31,MATCH(C1105,Companies!$A$2:$A$31,0))</f>
        <v>Fintech</v>
      </c>
      <c r="M1105" s="21" t="str">
        <f aca="false">INDEX(Companies!$D$2:$D$31,MATCH(C1105,Companies!$A$2:$A$31,0))</f>
        <v>Tier 2</v>
      </c>
      <c r="N1105" s="34" t="n">
        <f aca="false">MATCH(F1105,Assumptions!$K$4:$K$8,0)</f>
        <v>3</v>
      </c>
      <c r="O1105" s="21" t="str">
        <f aca="false">IF(H1105="Yes",MONTH(I1105),"")</f>
        <v/>
      </c>
      <c r="P1105" s="21" t="str">
        <f aca="false">IF(H1105="Yes",B1105,"")</f>
        <v/>
      </c>
    </row>
    <row r="1106" customFormat="false" ht="15" hidden="false" customHeight="false" outlineLevel="0" collapsed="false">
      <c r="A1106" s="21" t="s">
        <v>2321</v>
      </c>
      <c r="B1106" s="21" t="s">
        <v>771</v>
      </c>
      <c r="C1106" s="21" t="s">
        <v>1290</v>
      </c>
      <c r="D1106" s="21" t="s">
        <v>1209</v>
      </c>
      <c r="E1106" s="33" t="n">
        <v>45530</v>
      </c>
      <c r="F1106" s="21" t="s">
        <v>1175</v>
      </c>
      <c r="G1106" s="32"/>
      <c r="H1106" s="21"/>
      <c r="I1106" s="33"/>
      <c r="J1106" s="21" t="str">
        <f aca="false">INDEX(Students!$C$2:$C$601,MATCH(B1106,Students!$A$2:$A$601,0))</f>
        <v>Batch 2025</v>
      </c>
      <c r="K1106" s="21" t="str">
        <f aca="false">INDEX(Students!$D$2:$D$601,MATCH(B1106,Students!$A$2:$A$601,0))</f>
        <v>Data Analytics</v>
      </c>
      <c r="L1106" s="21" t="str">
        <f aca="false">INDEX(Companies!$C$2:$C$31,MATCH(C1106,Companies!$A$2:$A$31,0))</f>
        <v>Fintech</v>
      </c>
      <c r="M1106" s="21" t="str">
        <f aca="false">INDEX(Companies!$D$2:$D$31,MATCH(C1106,Companies!$A$2:$A$31,0))</f>
        <v>Tier 2</v>
      </c>
      <c r="N1106" s="34" t="n">
        <f aca="false">MATCH(F1106,Assumptions!$K$4:$K$8,0)</f>
        <v>1</v>
      </c>
      <c r="O1106" s="21" t="str">
        <f aca="false">IF(H1106="Yes",MONTH(I1106),"")</f>
        <v/>
      </c>
      <c r="P1106" s="21" t="str">
        <f aca="false">IF(H1106="Yes",B1106,"")</f>
        <v/>
      </c>
    </row>
    <row r="1107" customFormat="false" ht="15" hidden="false" customHeight="false" outlineLevel="0" collapsed="false">
      <c r="A1107" s="21" t="s">
        <v>2322</v>
      </c>
      <c r="B1107" s="21" t="s">
        <v>464</v>
      </c>
      <c r="C1107" s="21" t="s">
        <v>1234</v>
      </c>
      <c r="D1107" s="21" t="s">
        <v>1181</v>
      </c>
      <c r="E1107" s="33" t="n">
        <v>45531</v>
      </c>
      <c r="F1107" s="21" t="s">
        <v>1197</v>
      </c>
      <c r="G1107" s="32"/>
      <c r="H1107" s="21"/>
      <c r="I1107" s="33"/>
      <c r="J1107" s="21" t="str">
        <f aca="false">INDEX(Students!$C$2:$C$601,MATCH(B1107,Students!$A$2:$A$601,0))</f>
        <v>Batch 2025</v>
      </c>
      <c r="K1107" s="21" t="str">
        <f aca="false">INDEX(Students!$D$2:$D$601,MATCH(B1107,Students!$A$2:$A$601,0))</f>
        <v>Full Stack Development</v>
      </c>
      <c r="L1107" s="21" t="str">
        <f aca="false">INDEX(Companies!$C$2:$C$31,MATCH(C1107,Companies!$A$2:$A$31,0))</f>
        <v>EdTech</v>
      </c>
      <c r="M1107" s="21" t="str">
        <f aca="false">INDEX(Companies!$D$2:$D$31,MATCH(C1107,Companies!$A$2:$A$31,0))</f>
        <v>Tier 3</v>
      </c>
      <c r="N1107" s="34" t="n">
        <f aca="false">MATCH(F1107,Assumptions!$K$4:$K$8,0)</f>
        <v>3</v>
      </c>
      <c r="O1107" s="21" t="str">
        <f aca="false">IF(H1107="Yes",MONTH(I1107),"")</f>
        <v/>
      </c>
      <c r="P1107" s="21" t="str">
        <f aca="false">IF(H1107="Yes",B1107,"")</f>
        <v/>
      </c>
    </row>
    <row r="1108" customFormat="false" ht="15" hidden="false" customHeight="false" outlineLevel="0" collapsed="false">
      <c r="A1108" s="21" t="s">
        <v>2323</v>
      </c>
      <c r="B1108" s="21" t="s">
        <v>481</v>
      </c>
      <c r="C1108" s="21" t="s">
        <v>1216</v>
      </c>
      <c r="D1108" s="21" t="s">
        <v>1184</v>
      </c>
      <c r="E1108" s="33" t="n">
        <v>45531</v>
      </c>
      <c r="F1108" s="21" t="s">
        <v>1175</v>
      </c>
      <c r="G1108" s="32"/>
      <c r="H1108" s="21"/>
      <c r="I1108" s="33"/>
      <c r="J1108" s="21" t="str">
        <f aca="false">INDEX(Students!$C$2:$C$601,MATCH(B1108,Students!$A$2:$A$601,0))</f>
        <v>Batch 2025</v>
      </c>
      <c r="K1108" s="21" t="str">
        <f aca="false">INDEX(Students!$D$2:$D$601,MATCH(B1108,Students!$A$2:$A$601,0))</f>
        <v>DSA with Java</v>
      </c>
      <c r="L1108" s="21" t="str">
        <f aca="false">INDEX(Companies!$C$2:$C$31,MATCH(C1108,Companies!$A$2:$A$31,0))</f>
        <v>IT Services</v>
      </c>
      <c r="M1108" s="21" t="str">
        <f aca="false">INDEX(Companies!$D$2:$D$31,MATCH(C1108,Companies!$A$2:$A$31,0))</f>
        <v>Tier 3</v>
      </c>
      <c r="N1108" s="34" t="n">
        <f aca="false">MATCH(F1108,Assumptions!$K$4:$K$8,0)</f>
        <v>1</v>
      </c>
      <c r="O1108" s="21" t="str">
        <f aca="false">IF(H1108="Yes",MONTH(I1108),"")</f>
        <v/>
      </c>
      <c r="P1108" s="21" t="str">
        <f aca="false">IF(H1108="Yes",B1108,"")</f>
        <v/>
      </c>
    </row>
    <row r="1109" customFormat="false" ht="15" hidden="false" customHeight="false" outlineLevel="0" collapsed="false">
      <c r="A1109" s="21" t="s">
        <v>2324</v>
      </c>
      <c r="B1109" s="21" t="s">
        <v>677</v>
      </c>
      <c r="C1109" s="21" t="s">
        <v>1255</v>
      </c>
      <c r="D1109" s="21" t="s">
        <v>1174</v>
      </c>
      <c r="E1109" s="33" t="n">
        <v>45532</v>
      </c>
      <c r="F1109" s="21" t="s">
        <v>1185</v>
      </c>
      <c r="G1109" s="32" t="n">
        <v>6.3</v>
      </c>
      <c r="H1109" s="21" t="s">
        <v>113</v>
      </c>
      <c r="I1109" s="33" t="n">
        <v>45552</v>
      </c>
      <c r="J1109" s="21" t="str">
        <f aca="false">INDEX(Students!$C$2:$C$601,MATCH(B1109,Students!$A$2:$A$601,0))</f>
        <v>Batch 2025</v>
      </c>
      <c r="K1109" s="21" t="str">
        <f aca="false">INDEX(Students!$D$2:$D$601,MATCH(B1109,Students!$A$2:$A$601,0))</f>
        <v>Full Stack Development</v>
      </c>
      <c r="L1109" s="21" t="str">
        <f aca="false">INDEX(Companies!$C$2:$C$31,MATCH(C1109,Companies!$A$2:$A$31,0))</f>
        <v>IT Services</v>
      </c>
      <c r="M1109" s="21" t="str">
        <f aca="false">INDEX(Companies!$D$2:$D$31,MATCH(C1109,Companies!$A$2:$A$31,0))</f>
        <v>Tier 3</v>
      </c>
      <c r="N1109" s="34" t="n">
        <f aca="false">MATCH(F1109,Assumptions!$K$4:$K$8,0)</f>
        <v>5</v>
      </c>
      <c r="O1109" s="21" t="str">
        <f aca="false">IF(H1109="Yes",MONTH(I1109),"")</f>
        <v/>
      </c>
      <c r="P1109" s="21" t="str">
        <f aca="false">IF(H1109="Yes",B1109,"")</f>
        <v/>
      </c>
    </row>
    <row r="1110" customFormat="false" ht="15" hidden="false" customHeight="false" outlineLevel="0" collapsed="false">
      <c r="A1110" s="21" t="s">
        <v>2325</v>
      </c>
      <c r="B1110" s="21" t="s">
        <v>615</v>
      </c>
      <c r="C1110" s="21" t="s">
        <v>1190</v>
      </c>
      <c r="D1110" s="21" t="s">
        <v>1191</v>
      </c>
      <c r="E1110" s="33" t="n">
        <v>45532</v>
      </c>
      <c r="F1110" s="21" t="s">
        <v>1175</v>
      </c>
      <c r="G1110" s="32"/>
      <c r="H1110" s="21"/>
      <c r="I1110" s="33"/>
      <c r="J1110" s="21" t="str">
        <f aca="false">INDEX(Students!$C$2:$C$601,MATCH(B1110,Students!$A$2:$A$601,0))</f>
        <v>Batch 2025</v>
      </c>
      <c r="K1110" s="21" t="str">
        <f aca="false">INDEX(Students!$D$2:$D$601,MATCH(B1110,Students!$A$2:$A$601,0))</f>
        <v>DSA with Java</v>
      </c>
      <c r="L1110" s="21" t="str">
        <f aca="false">INDEX(Companies!$C$2:$C$31,MATCH(C1110,Companies!$A$2:$A$31,0))</f>
        <v>Analytics &amp; Consulting</v>
      </c>
      <c r="M1110" s="21" t="str">
        <f aca="false">INDEX(Companies!$D$2:$D$31,MATCH(C1110,Companies!$A$2:$A$31,0))</f>
        <v>Tier 1</v>
      </c>
      <c r="N1110" s="34" t="n">
        <f aca="false">MATCH(F1110,Assumptions!$K$4:$K$8,0)</f>
        <v>1</v>
      </c>
      <c r="O1110" s="21" t="str">
        <f aca="false">IF(H1110="Yes",MONTH(I1110),"")</f>
        <v/>
      </c>
      <c r="P1110" s="21" t="str">
        <f aca="false">IF(H1110="Yes",B1110,"")</f>
        <v/>
      </c>
    </row>
    <row r="1111" customFormat="false" ht="15" hidden="false" customHeight="false" outlineLevel="0" collapsed="false">
      <c r="A1111" s="21" t="s">
        <v>2326</v>
      </c>
      <c r="B1111" s="21" t="s">
        <v>641</v>
      </c>
      <c r="C1111" s="21" t="s">
        <v>1180</v>
      </c>
      <c r="D1111" s="21" t="s">
        <v>1174</v>
      </c>
      <c r="E1111" s="33" t="n">
        <v>45533</v>
      </c>
      <c r="F1111" s="21" t="s">
        <v>1175</v>
      </c>
      <c r="G1111" s="32"/>
      <c r="H1111" s="21"/>
      <c r="I1111" s="33"/>
      <c r="J1111" s="21" t="str">
        <f aca="false">INDEX(Students!$C$2:$C$601,MATCH(B1111,Students!$A$2:$A$601,0))</f>
        <v>Batch 2025</v>
      </c>
      <c r="K1111" s="21" t="str">
        <f aca="false">INDEX(Students!$D$2:$D$601,MATCH(B1111,Students!$A$2:$A$601,0))</f>
        <v>Full Stack Development</v>
      </c>
      <c r="L1111" s="21" t="str">
        <f aca="false">INDEX(Companies!$C$2:$C$31,MATCH(C1111,Companies!$A$2:$A$31,0))</f>
        <v>IT Services</v>
      </c>
      <c r="M1111" s="21" t="str">
        <f aca="false">INDEX(Companies!$D$2:$D$31,MATCH(C1111,Companies!$A$2:$A$31,0))</f>
        <v>Tier 3</v>
      </c>
      <c r="N1111" s="34" t="n">
        <f aca="false">MATCH(F1111,Assumptions!$K$4:$K$8,0)</f>
        <v>1</v>
      </c>
      <c r="O1111" s="21" t="str">
        <f aca="false">IF(H1111="Yes",MONTH(I1111),"")</f>
        <v/>
      </c>
      <c r="P1111" s="21" t="str">
        <f aca="false">IF(H1111="Yes",B1111,"")</f>
        <v/>
      </c>
    </row>
    <row r="1112" customFormat="false" ht="15" hidden="false" customHeight="false" outlineLevel="0" collapsed="false">
      <c r="A1112" s="21" t="s">
        <v>2327</v>
      </c>
      <c r="B1112" s="21" t="s">
        <v>565</v>
      </c>
      <c r="C1112" s="21" t="s">
        <v>1216</v>
      </c>
      <c r="D1112" s="21" t="s">
        <v>1184</v>
      </c>
      <c r="E1112" s="33" t="n">
        <v>45533</v>
      </c>
      <c r="F1112" s="21" t="s">
        <v>1185</v>
      </c>
      <c r="G1112" s="32" t="n">
        <v>6</v>
      </c>
      <c r="H1112" s="21" t="s">
        <v>113</v>
      </c>
      <c r="I1112" s="33" t="n">
        <v>45570</v>
      </c>
      <c r="J1112" s="21" t="str">
        <f aca="false">INDEX(Students!$C$2:$C$601,MATCH(B1112,Students!$A$2:$A$601,0))</f>
        <v>Batch 2025</v>
      </c>
      <c r="K1112" s="21" t="str">
        <f aca="false">INDEX(Students!$D$2:$D$601,MATCH(B1112,Students!$A$2:$A$601,0))</f>
        <v>DSA with Java</v>
      </c>
      <c r="L1112" s="21" t="str">
        <f aca="false">INDEX(Companies!$C$2:$C$31,MATCH(C1112,Companies!$A$2:$A$31,0))</f>
        <v>IT Services</v>
      </c>
      <c r="M1112" s="21" t="str">
        <f aca="false">INDEX(Companies!$D$2:$D$31,MATCH(C1112,Companies!$A$2:$A$31,0))</f>
        <v>Tier 3</v>
      </c>
      <c r="N1112" s="34" t="n">
        <f aca="false">MATCH(F1112,Assumptions!$K$4:$K$8,0)</f>
        <v>5</v>
      </c>
      <c r="O1112" s="21" t="str">
        <f aca="false">IF(H1112="Yes",MONTH(I1112),"")</f>
        <v/>
      </c>
      <c r="P1112" s="21" t="str">
        <f aca="false">IF(H1112="Yes",B1112,"")</f>
        <v/>
      </c>
    </row>
    <row r="1113" customFormat="false" ht="15" hidden="false" customHeight="false" outlineLevel="0" collapsed="false">
      <c r="A1113" s="21" t="s">
        <v>2328</v>
      </c>
      <c r="B1113" s="21" t="s">
        <v>691</v>
      </c>
      <c r="C1113" s="21" t="s">
        <v>1203</v>
      </c>
      <c r="D1113" s="21" t="s">
        <v>1209</v>
      </c>
      <c r="E1113" s="33" t="n">
        <v>45533</v>
      </c>
      <c r="F1113" s="21" t="s">
        <v>1175</v>
      </c>
      <c r="G1113" s="32"/>
      <c r="H1113" s="21"/>
      <c r="I1113" s="33"/>
      <c r="J1113" s="21" t="str">
        <f aca="false">INDEX(Students!$C$2:$C$601,MATCH(B1113,Students!$A$2:$A$601,0))</f>
        <v>Batch 2025</v>
      </c>
      <c r="K1113" s="21" t="str">
        <f aca="false">INDEX(Students!$D$2:$D$601,MATCH(B1113,Students!$A$2:$A$601,0))</f>
        <v>Data Analytics</v>
      </c>
      <c r="L1113" s="21" t="str">
        <f aca="false">INDEX(Companies!$C$2:$C$31,MATCH(C1113,Companies!$A$2:$A$31,0))</f>
        <v>Healthtech</v>
      </c>
      <c r="M1113" s="21" t="str">
        <f aca="false">INDEX(Companies!$D$2:$D$31,MATCH(C1113,Companies!$A$2:$A$31,0))</f>
        <v>Tier 2</v>
      </c>
      <c r="N1113" s="34" t="n">
        <f aca="false">MATCH(F1113,Assumptions!$K$4:$K$8,0)</f>
        <v>1</v>
      </c>
      <c r="O1113" s="21" t="str">
        <f aca="false">IF(H1113="Yes",MONTH(I1113),"")</f>
        <v/>
      </c>
      <c r="P1113" s="21" t="str">
        <f aca="false">IF(H1113="Yes",B1113,"")</f>
        <v/>
      </c>
    </row>
    <row r="1114" customFormat="false" ht="15" hidden="false" customHeight="false" outlineLevel="0" collapsed="false">
      <c r="A1114" s="21" t="s">
        <v>2329</v>
      </c>
      <c r="B1114" s="21" t="s">
        <v>688</v>
      </c>
      <c r="C1114" s="21" t="s">
        <v>1201</v>
      </c>
      <c r="D1114" s="21" t="s">
        <v>1240</v>
      </c>
      <c r="E1114" s="33" t="n">
        <v>45533</v>
      </c>
      <c r="F1114" s="21" t="s">
        <v>1175</v>
      </c>
      <c r="G1114" s="32"/>
      <c r="H1114" s="21"/>
      <c r="I1114" s="33"/>
      <c r="J1114" s="21" t="str">
        <f aca="false">INDEX(Students!$C$2:$C$601,MATCH(B1114,Students!$A$2:$A$601,0))</f>
        <v>Batch 2025</v>
      </c>
      <c r="K1114" s="21" t="str">
        <f aca="false">INDEX(Students!$D$2:$D$601,MATCH(B1114,Students!$A$2:$A$601,0))</f>
        <v>Cybersecurity</v>
      </c>
      <c r="L1114" s="21" t="str">
        <f aca="false">INDEX(Companies!$C$2:$C$31,MATCH(C1114,Companies!$A$2:$A$31,0))</f>
        <v>IT Services</v>
      </c>
      <c r="M1114" s="21" t="str">
        <f aca="false">INDEX(Companies!$D$2:$D$31,MATCH(C1114,Companies!$A$2:$A$31,0))</f>
        <v>Tier 3</v>
      </c>
      <c r="N1114" s="34" t="n">
        <f aca="false">MATCH(F1114,Assumptions!$K$4:$K$8,0)</f>
        <v>1</v>
      </c>
      <c r="O1114" s="21" t="str">
        <f aca="false">IF(H1114="Yes",MONTH(I1114),"")</f>
        <v/>
      </c>
      <c r="P1114" s="21" t="str">
        <f aca="false">IF(H1114="Yes",B1114,"")</f>
        <v/>
      </c>
    </row>
    <row r="1115" customFormat="false" ht="15" hidden="false" customHeight="false" outlineLevel="0" collapsed="false">
      <c r="A1115" s="21" t="s">
        <v>2330</v>
      </c>
      <c r="B1115" s="21" t="s">
        <v>781</v>
      </c>
      <c r="C1115" s="21" t="s">
        <v>1322</v>
      </c>
      <c r="D1115" s="21" t="s">
        <v>1184</v>
      </c>
      <c r="E1115" s="33" t="n">
        <v>45533</v>
      </c>
      <c r="F1115" s="21" t="s">
        <v>1178</v>
      </c>
      <c r="G1115" s="32"/>
      <c r="H1115" s="21"/>
      <c r="I1115" s="33"/>
      <c r="J1115" s="21" t="str">
        <f aca="false">INDEX(Students!$C$2:$C$601,MATCH(B1115,Students!$A$2:$A$601,0))</f>
        <v>Batch 2025</v>
      </c>
      <c r="K1115" s="21" t="str">
        <f aca="false">INDEX(Students!$D$2:$D$601,MATCH(B1115,Students!$A$2:$A$601,0))</f>
        <v>DSA with Java</v>
      </c>
      <c r="L1115" s="21" t="str">
        <f aca="false">INDEX(Companies!$C$2:$C$31,MATCH(C1115,Companies!$A$2:$A$31,0))</f>
        <v>Healthtech</v>
      </c>
      <c r="M1115" s="21" t="str">
        <f aca="false">INDEX(Companies!$D$2:$D$31,MATCH(C1115,Companies!$A$2:$A$31,0))</f>
        <v>Tier 2</v>
      </c>
      <c r="N1115" s="34" t="n">
        <f aca="false">MATCH(F1115,Assumptions!$K$4:$K$8,0)</f>
        <v>2</v>
      </c>
      <c r="O1115" s="21" t="str">
        <f aca="false">IF(H1115="Yes",MONTH(I1115),"")</f>
        <v/>
      </c>
      <c r="P1115" s="21" t="str">
        <f aca="false">IF(H1115="Yes",B1115,"")</f>
        <v/>
      </c>
    </row>
    <row r="1116" customFormat="false" ht="15" hidden="false" customHeight="false" outlineLevel="0" collapsed="false">
      <c r="A1116" s="21" t="s">
        <v>2331</v>
      </c>
      <c r="B1116" s="21" t="s">
        <v>647</v>
      </c>
      <c r="C1116" s="21" t="s">
        <v>1193</v>
      </c>
      <c r="D1116" s="21" t="s">
        <v>1243</v>
      </c>
      <c r="E1116" s="33" t="n">
        <v>45533</v>
      </c>
      <c r="F1116" s="21" t="s">
        <v>1197</v>
      </c>
      <c r="G1116" s="32"/>
      <c r="H1116" s="21"/>
      <c r="I1116" s="33"/>
      <c r="J1116" s="21" t="str">
        <f aca="false">INDEX(Students!$C$2:$C$601,MATCH(B1116,Students!$A$2:$A$601,0))</f>
        <v>Batch 2025</v>
      </c>
      <c r="K1116" s="21" t="str">
        <f aca="false">INDEX(Students!$D$2:$D$601,MATCH(B1116,Students!$A$2:$A$601,0))</f>
        <v>Data Science &amp; ML</v>
      </c>
      <c r="L1116" s="21" t="str">
        <f aca="false">INDEX(Companies!$C$2:$C$31,MATCH(C1116,Companies!$A$2:$A$31,0))</f>
        <v>Analytics &amp; Consulting</v>
      </c>
      <c r="M1116" s="21" t="str">
        <f aca="false">INDEX(Companies!$D$2:$D$31,MATCH(C1116,Companies!$A$2:$A$31,0))</f>
        <v>Tier 2</v>
      </c>
      <c r="N1116" s="34" t="n">
        <f aca="false">MATCH(F1116,Assumptions!$K$4:$K$8,0)</f>
        <v>3</v>
      </c>
      <c r="O1116" s="21" t="str">
        <f aca="false">IF(H1116="Yes",MONTH(I1116),"")</f>
        <v/>
      </c>
      <c r="P1116" s="21" t="str">
        <f aca="false">IF(H1116="Yes",B1116,"")</f>
        <v/>
      </c>
    </row>
    <row r="1117" customFormat="false" ht="15" hidden="false" customHeight="false" outlineLevel="0" collapsed="false">
      <c r="A1117" s="21" t="s">
        <v>2332</v>
      </c>
      <c r="B1117" s="21" t="s">
        <v>691</v>
      </c>
      <c r="C1117" s="21" t="s">
        <v>1208</v>
      </c>
      <c r="D1117" s="21" t="s">
        <v>1188</v>
      </c>
      <c r="E1117" s="33" t="n">
        <v>45534</v>
      </c>
      <c r="F1117" s="21" t="s">
        <v>1175</v>
      </c>
      <c r="G1117" s="32"/>
      <c r="H1117" s="21"/>
      <c r="I1117" s="33"/>
      <c r="J1117" s="21" t="str">
        <f aca="false">INDEX(Students!$C$2:$C$601,MATCH(B1117,Students!$A$2:$A$601,0))</f>
        <v>Batch 2025</v>
      </c>
      <c r="K1117" s="21" t="str">
        <f aca="false">INDEX(Students!$D$2:$D$601,MATCH(B1117,Students!$A$2:$A$601,0))</f>
        <v>Data Analytics</v>
      </c>
      <c r="L1117" s="21" t="str">
        <f aca="false">INDEX(Companies!$C$2:$C$31,MATCH(C1117,Companies!$A$2:$A$31,0))</f>
        <v>E-commerce</v>
      </c>
      <c r="M1117" s="21" t="str">
        <f aca="false">INDEX(Companies!$D$2:$D$31,MATCH(C1117,Companies!$A$2:$A$31,0))</f>
        <v>Tier 1</v>
      </c>
      <c r="N1117" s="34" t="n">
        <f aca="false">MATCH(F1117,Assumptions!$K$4:$K$8,0)</f>
        <v>1</v>
      </c>
      <c r="O1117" s="21" t="str">
        <f aca="false">IF(H1117="Yes",MONTH(I1117),"")</f>
        <v/>
      </c>
      <c r="P1117" s="21" t="str">
        <f aca="false">IF(H1117="Yes",B1117,"")</f>
        <v/>
      </c>
    </row>
    <row r="1118" customFormat="false" ht="15" hidden="false" customHeight="false" outlineLevel="0" collapsed="false">
      <c r="A1118" s="21" t="s">
        <v>2333</v>
      </c>
      <c r="B1118" s="21" t="s">
        <v>607</v>
      </c>
      <c r="C1118" s="21" t="s">
        <v>1216</v>
      </c>
      <c r="D1118" s="21" t="s">
        <v>1243</v>
      </c>
      <c r="E1118" s="33" t="n">
        <v>45534</v>
      </c>
      <c r="F1118" s="21" t="s">
        <v>1175</v>
      </c>
      <c r="G1118" s="32"/>
      <c r="H1118" s="21"/>
      <c r="I1118" s="33"/>
      <c r="J1118" s="21" t="str">
        <f aca="false">INDEX(Students!$C$2:$C$601,MATCH(B1118,Students!$A$2:$A$601,0))</f>
        <v>Batch 2025</v>
      </c>
      <c r="K1118" s="21" t="str">
        <f aca="false">INDEX(Students!$D$2:$D$601,MATCH(B1118,Students!$A$2:$A$601,0))</f>
        <v>Data Science &amp; ML</v>
      </c>
      <c r="L1118" s="21" t="str">
        <f aca="false">INDEX(Companies!$C$2:$C$31,MATCH(C1118,Companies!$A$2:$A$31,0))</f>
        <v>IT Services</v>
      </c>
      <c r="M1118" s="21" t="str">
        <f aca="false">INDEX(Companies!$D$2:$D$31,MATCH(C1118,Companies!$A$2:$A$31,0))</f>
        <v>Tier 3</v>
      </c>
      <c r="N1118" s="34" t="n">
        <f aca="false">MATCH(F1118,Assumptions!$K$4:$K$8,0)</f>
        <v>1</v>
      </c>
      <c r="O1118" s="21" t="str">
        <f aca="false">IF(H1118="Yes",MONTH(I1118),"")</f>
        <v/>
      </c>
      <c r="P1118" s="21" t="str">
        <f aca="false">IF(H1118="Yes",B1118,"")</f>
        <v/>
      </c>
    </row>
    <row r="1119" customFormat="false" ht="15" hidden="false" customHeight="false" outlineLevel="0" collapsed="false">
      <c r="A1119" s="21" t="s">
        <v>2334</v>
      </c>
      <c r="B1119" s="21" t="s">
        <v>720</v>
      </c>
      <c r="C1119" s="21" t="s">
        <v>1201</v>
      </c>
      <c r="D1119" s="21" t="s">
        <v>1184</v>
      </c>
      <c r="E1119" s="33" t="n">
        <v>45534</v>
      </c>
      <c r="F1119" s="21" t="s">
        <v>1175</v>
      </c>
      <c r="G1119" s="32"/>
      <c r="H1119" s="21"/>
      <c r="I1119" s="33"/>
      <c r="J1119" s="21" t="str">
        <f aca="false">INDEX(Students!$C$2:$C$601,MATCH(B1119,Students!$A$2:$A$601,0))</f>
        <v>Batch 2025</v>
      </c>
      <c r="K1119" s="21" t="str">
        <f aca="false">INDEX(Students!$D$2:$D$601,MATCH(B1119,Students!$A$2:$A$601,0))</f>
        <v>DSA with Java</v>
      </c>
      <c r="L1119" s="21" t="str">
        <f aca="false">INDEX(Companies!$C$2:$C$31,MATCH(C1119,Companies!$A$2:$A$31,0))</f>
        <v>IT Services</v>
      </c>
      <c r="M1119" s="21" t="str">
        <f aca="false">INDEX(Companies!$D$2:$D$31,MATCH(C1119,Companies!$A$2:$A$31,0))</f>
        <v>Tier 3</v>
      </c>
      <c r="N1119" s="34" t="n">
        <f aca="false">MATCH(F1119,Assumptions!$K$4:$K$8,0)</f>
        <v>1</v>
      </c>
      <c r="O1119" s="21" t="str">
        <f aca="false">IF(H1119="Yes",MONTH(I1119),"")</f>
        <v/>
      </c>
      <c r="P1119" s="21" t="str">
        <f aca="false">IF(H1119="Yes",B1119,"")</f>
        <v/>
      </c>
    </row>
    <row r="1120" customFormat="false" ht="15" hidden="false" customHeight="false" outlineLevel="0" collapsed="false">
      <c r="A1120" s="21" t="s">
        <v>2335</v>
      </c>
      <c r="B1120" s="21" t="s">
        <v>599</v>
      </c>
      <c r="C1120" s="21" t="s">
        <v>1201</v>
      </c>
      <c r="D1120" s="21" t="s">
        <v>1181</v>
      </c>
      <c r="E1120" s="33" t="n">
        <v>45534</v>
      </c>
      <c r="F1120" s="21" t="s">
        <v>1178</v>
      </c>
      <c r="G1120" s="32"/>
      <c r="H1120" s="21"/>
      <c r="I1120" s="33"/>
      <c r="J1120" s="21" t="str">
        <f aca="false">INDEX(Students!$C$2:$C$601,MATCH(B1120,Students!$A$2:$A$601,0))</f>
        <v>Batch 2025</v>
      </c>
      <c r="K1120" s="21" t="str">
        <f aca="false">INDEX(Students!$D$2:$D$601,MATCH(B1120,Students!$A$2:$A$601,0))</f>
        <v>Full Stack Development</v>
      </c>
      <c r="L1120" s="21" t="str">
        <f aca="false">INDEX(Companies!$C$2:$C$31,MATCH(C1120,Companies!$A$2:$A$31,0))</f>
        <v>IT Services</v>
      </c>
      <c r="M1120" s="21" t="str">
        <f aca="false">INDEX(Companies!$D$2:$D$31,MATCH(C1120,Companies!$A$2:$A$31,0))</f>
        <v>Tier 3</v>
      </c>
      <c r="N1120" s="34" t="n">
        <f aca="false">MATCH(F1120,Assumptions!$K$4:$K$8,0)</f>
        <v>2</v>
      </c>
      <c r="O1120" s="21" t="str">
        <f aca="false">IF(H1120="Yes",MONTH(I1120),"")</f>
        <v/>
      </c>
      <c r="P1120" s="21" t="str">
        <f aca="false">IF(H1120="Yes",B1120,"")</f>
        <v/>
      </c>
    </row>
    <row r="1121" customFormat="false" ht="15" hidden="false" customHeight="false" outlineLevel="0" collapsed="false">
      <c r="A1121" s="21" t="s">
        <v>2336</v>
      </c>
      <c r="B1121" s="21" t="s">
        <v>599</v>
      </c>
      <c r="C1121" s="21" t="s">
        <v>1216</v>
      </c>
      <c r="D1121" s="21" t="s">
        <v>1181</v>
      </c>
      <c r="E1121" s="33" t="n">
        <v>45534</v>
      </c>
      <c r="F1121" s="21" t="s">
        <v>1197</v>
      </c>
      <c r="G1121" s="32"/>
      <c r="H1121" s="21"/>
      <c r="I1121" s="33"/>
      <c r="J1121" s="21" t="str">
        <f aca="false">INDEX(Students!$C$2:$C$601,MATCH(B1121,Students!$A$2:$A$601,0))</f>
        <v>Batch 2025</v>
      </c>
      <c r="K1121" s="21" t="str">
        <f aca="false">INDEX(Students!$D$2:$D$601,MATCH(B1121,Students!$A$2:$A$601,0))</f>
        <v>Full Stack Development</v>
      </c>
      <c r="L1121" s="21" t="str">
        <f aca="false">INDEX(Companies!$C$2:$C$31,MATCH(C1121,Companies!$A$2:$A$31,0))</f>
        <v>IT Services</v>
      </c>
      <c r="M1121" s="21" t="str">
        <f aca="false">INDEX(Companies!$D$2:$D$31,MATCH(C1121,Companies!$A$2:$A$31,0))</f>
        <v>Tier 3</v>
      </c>
      <c r="N1121" s="34" t="n">
        <f aca="false">MATCH(F1121,Assumptions!$K$4:$K$8,0)</f>
        <v>3</v>
      </c>
      <c r="O1121" s="21" t="str">
        <f aca="false">IF(H1121="Yes",MONTH(I1121),"")</f>
        <v/>
      </c>
      <c r="P1121" s="21" t="str">
        <f aca="false">IF(H1121="Yes",B1121,"")</f>
        <v/>
      </c>
    </row>
    <row r="1122" customFormat="false" ht="15" hidden="false" customHeight="false" outlineLevel="0" collapsed="false">
      <c r="A1122" s="21" t="s">
        <v>2337</v>
      </c>
      <c r="B1122" s="21" t="s">
        <v>517</v>
      </c>
      <c r="C1122" s="21" t="s">
        <v>1205</v>
      </c>
      <c r="D1122" s="21" t="s">
        <v>1191</v>
      </c>
      <c r="E1122" s="33" t="n">
        <v>45534</v>
      </c>
      <c r="F1122" s="21" t="s">
        <v>1185</v>
      </c>
      <c r="G1122" s="32" t="n">
        <v>5.8</v>
      </c>
      <c r="H1122" s="21" t="s">
        <v>113</v>
      </c>
      <c r="I1122" s="33" t="n">
        <v>45558</v>
      </c>
      <c r="J1122" s="21" t="str">
        <f aca="false">INDEX(Students!$C$2:$C$601,MATCH(B1122,Students!$A$2:$A$601,0))</f>
        <v>Batch 2025</v>
      </c>
      <c r="K1122" s="21" t="str">
        <f aca="false">INDEX(Students!$D$2:$D$601,MATCH(B1122,Students!$A$2:$A$601,0))</f>
        <v>DSA with Java</v>
      </c>
      <c r="L1122" s="21" t="str">
        <f aca="false">INDEX(Companies!$C$2:$C$31,MATCH(C1122,Companies!$A$2:$A$31,0))</f>
        <v>Healthtech</v>
      </c>
      <c r="M1122" s="21" t="str">
        <f aca="false">INDEX(Companies!$D$2:$D$31,MATCH(C1122,Companies!$A$2:$A$31,0))</f>
        <v>Tier 3</v>
      </c>
      <c r="N1122" s="34" t="n">
        <f aca="false">MATCH(F1122,Assumptions!$K$4:$K$8,0)</f>
        <v>5</v>
      </c>
      <c r="O1122" s="21" t="str">
        <f aca="false">IF(H1122="Yes",MONTH(I1122),"")</f>
        <v/>
      </c>
      <c r="P1122" s="21" t="str">
        <f aca="false">IF(H1122="Yes",B1122,"")</f>
        <v/>
      </c>
    </row>
    <row r="1123" customFormat="false" ht="15" hidden="false" customHeight="false" outlineLevel="0" collapsed="false">
      <c r="A1123" s="21" t="s">
        <v>2338</v>
      </c>
      <c r="B1123" s="21" t="s">
        <v>699</v>
      </c>
      <c r="C1123" s="21" t="s">
        <v>1196</v>
      </c>
      <c r="D1123" s="21" t="s">
        <v>1174</v>
      </c>
      <c r="E1123" s="33" t="n">
        <v>45534</v>
      </c>
      <c r="F1123" s="21" t="s">
        <v>1218</v>
      </c>
      <c r="G1123" s="32"/>
      <c r="H1123" s="21"/>
      <c r="I1123" s="33"/>
      <c r="J1123" s="21" t="str">
        <f aca="false">INDEX(Students!$C$2:$C$601,MATCH(B1123,Students!$A$2:$A$601,0))</f>
        <v>Batch 2025</v>
      </c>
      <c r="K1123" s="21" t="str">
        <f aca="false">INDEX(Students!$D$2:$D$601,MATCH(B1123,Students!$A$2:$A$601,0))</f>
        <v>Full Stack Development</v>
      </c>
      <c r="L1123" s="21" t="str">
        <f aca="false">INDEX(Companies!$C$2:$C$31,MATCH(C1123,Companies!$A$2:$A$31,0))</f>
        <v>IT Services</v>
      </c>
      <c r="M1123" s="21" t="str">
        <f aca="false">INDEX(Companies!$D$2:$D$31,MATCH(C1123,Companies!$A$2:$A$31,0))</f>
        <v>Tier 3</v>
      </c>
      <c r="N1123" s="34" t="n">
        <f aca="false">MATCH(F1123,Assumptions!$K$4:$K$8,0)</f>
        <v>4</v>
      </c>
      <c r="O1123" s="21" t="str">
        <f aca="false">IF(H1123="Yes",MONTH(I1123),"")</f>
        <v/>
      </c>
      <c r="P1123" s="21" t="str">
        <f aca="false">IF(H1123="Yes",B1123,"")</f>
        <v/>
      </c>
    </row>
    <row r="1124" customFormat="false" ht="15" hidden="false" customHeight="false" outlineLevel="0" collapsed="false">
      <c r="A1124" s="21" t="s">
        <v>2339</v>
      </c>
      <c r="B1124" s="21" t="s">
        <v>712</v>
      </c>
      <c r="C1124" s="21" t="s">
        <v>1199</v>
      </c>
      <c r="D1124" s="21" t="s">
        <v>1184</v>
      </c>
      <c r="E1124" s="33" t="n">
        <v>45534</v>
      </c>
      <c r="F1124" s="21" t="s">
        <v>1178</v>
      </c>
      <c r="G1124" s="32"/>
      <c r="H1124" s="21"/>
      <c r="I1124" s="33"/>
      <c r="J1124" s="21" t="str">
        <f aca="false">INDEX(Students!$C$2:$C$601,MATCH(B1124,Students!$A$2:$A$601,0))</f>
        <v>Batch 2025</v>
      </c>
      <c r="K1124" s="21" t="str">
        <f aca="false">INDEX(Students!$D$2:$D$601,MATCH(B1124,Students!$A$2:$A$601,0))</f>
        <v>DSA with Java</v>
      </c>
      <c r="L1124" s="21" t="str">
        <f aca="false">INDEX(Companies!$C$2:$C$31,MATCH(C1124,Companies!$A$2:$A$31,0))</f>
        <v>E-commerce</v>
      </c>
      <c r="M1124" s="21" t="str">
        <f aca="false">INDEX(Companies!$D$2:$D$31,MATCH(C1124,Companies!$A$2:$A$31,0))</f>
        <v>Tier 2</v>
      </c>
      <c r="N1124" s="34" t="n">
        <f aca="false">MATCH(F1124,Assumptions!$K$4:$K$8,0)</f>
        <v>2</v>
      </c>
      <c r="O1124" s="21" t="str">
        <f aca="false">IF(H1124="Yes",MONTH(I1124),"")</f>
        <v/>
      </c>
      <c r="P1124" s="21" t="str">
        <f aca="false">IF(H1124="Yes",B1124,"")</f>
        <v/>
      </c>
    </row>
    <row r="1125" customFormat="false" ht="15" hidden="false" customHeight="false" outlineLevel="0" collapsed="false">
      <c r="A1125" s="21" t="s">
        <v>2340</v>
      </c>
      <c r="B1125" s="21" t="s">
        <v>783</v>
      </c>
      <c r="C1125" s="21" t="s">
        <v>1225</v>
      </c>
      <c r="D1125" s="21" t="s">
        <v>1174</v>
      </c>
      <c r="E1125" s="33" t="n">
        <v>45535</v>
      </c>
      <c r="F1125" s="21" t="s">
        <v>1218</v>
      </c>
      <c r="G1125" s="32"/>
      <c r="H1125" s="21"/>
      <c r="I1125" s="33"/>
      <c r="J1125" s="21" t="str">
        <f aca="false">INDEX(Students!$C$2:$C$601,MATCH(B1125,Students!$A$2:$A$601,0))</f>
        <v>Batch 2025</v>
      </c>
      <c r="K1125" s="21" t="str">
        <f aca="false">INDEX(Students!$D$2:$D$601,MATCH(B1125,Students!$A$2:$A$601,0))</f>
        <v>Full Stack Development</v>
      </c>
      <c r="L1125" s="21" t="str">
        <f aca="false">INDEX(Companies!$C$2:$C$31,MATCH(C1125,Companies!$A$2:$A$31,0))</f>
        <v>EdTech</v>
      </c>
      <c r="M1125" s="21" t="str">
        <f aca="false">INDEX(Companies!$D$2:$D$31,MATCH(C1125,Companies!$A$2:$A$31,0))</f>
        <v>Tier 2</v>
      </c>
      <c r="N1125" s="34" t="n">
        <f aca="false">MATCH(F1125,Assumptions!$K$4:$K$8,0)</f>
        <v>4</v>
      </c>
      <c r="O1125" s="21" t="str">
        <f aca="false">IF(H1125="Yes",MONTH(I1125),"")</f>
        <v/>
      </c>
      <c r="P1125" s="21" t="str">
        <f aca="false">IF(H1125="Yes",B1125,"")</f>
        <v/>
      </c>
    </row>
    <row r="1126" customFormat="false" ht="15" hidden="false" customHeight="false" outlineLevel="0" collapsed="false">
      <c r="A1126" s="21" t="s">
        <v>2341</v>
      </c>
      <c r="B1126" s="21" t="s">
        <v>797</v>
      </c>
      <c r="C1126" s="21" t="s">
        <v>1239</v>
      </c>
      <c r="D1126" s="21" t="s">
        <v>1191</v>
      </c>
      <c r="E1126" s="33" t="n">
        <v>45535</v>
      </c>
      <c r="F1126" s="21" t="s">
        <v>1185</v>
      </c>
      <c r="G1126" s="32" t="n">
        <v>7</v>
      </c>
      <c r="H1126" s="21" t="s">
        <v>113</v>
      </c>
      <c r="I1126" s="33" t="n">
        <v>45572</v>
      </c>
      <c r="J1126" s="21" t="str">
        <f aca="false">INDEX(Students!$C$2:$C$601,MATCH(B1126,Students!$A$2:$A$601,0))</f>
        <v>Batch 2025</v>
      </c>
      <c r="K1126" s="21" t="str">
        <f aca="false">INDEX(Students!$D$2:$D$601,MATCH(B1126,Students!$A$2:$A$601,0))</f>
        <v>DSA with Java</v>
      </c>
      <c r="L1126" s="21" t="str">
        <f aca="false">INDEX(Companies!$C$2:$C$31,MATCH(C1126,Companies!$A$2:$A$31,0))</f>
        <v>E-commerce</v>
      </c>
      <c r="M1126" s="21" t="str">
        <f aca="false">INDEX(Companies!$D$2:$D$31,MATCH(C1126,Companies!$A$2:$A$31,0))</f>
        <v>Tier 3</v>
      </c>
      <c r="N1126" s="34" t="n">
        <f aca="false">MATCH(F1126,Assumptions!$K$4:$K$8,0)</f>
        <v>5</v>
      </c>
      <c r="O1126" s="21" t="str">
        <f aca="false">IF(H1126="Yes",MONTH(I1126),"")</f>
        <v/>
      </c>
      <c r="P1126" s="21" t="str">
        <f aca="false">IF(H1126="Yes",B1126,"")</f>
        <v/>
      </c>
    </row>
    <row r="1127" customFormat="false" ht="15" hidden="false" customHeight="false" outlineLevel="0" collapsed="false">
      <c r="A1127" s="21" t="s">
        <v>2342</v>
      </c>
      <c r="B1127" s="21" t="s">
        <v>763</v>
      </c>
      <c r="C1127" s="21" t="s">
        <v>1222</v>
      </c>
      <c r="D1127" s="21" t="s">
        <v>1243</v>
      </c>
      <c r="E1127" s="33" t="n">
        <v>45535</v>
      </c>
      <c r="F1127" s="21" t="s">
        <v>1175</v>
      </c>
      <c r="G1127" s="32"/>
      <c r="H1127" s="21"/>
      <c r="I1127" s="33"/>
      <c r="J1127" s="21" t="str">
        <f aca="false">INDEX(Students!$C$2:$C$601,MATCH(B1127,Students!$A$2:$A$601,0))</f>
        <v>Batch 2025</v>
      </c>
      <c r="K1127" s="21" t="str">
        <f aca="false">INDEX(Students!$D$2:$D$601,MATCH(B1127,Students!$A$2:$A$601,0))</f>
        <v>Data Science &amp; ML</v>
      </c>
      <c r="L1127" s="21" t="str">
        <f aca="false">INDEX(Companies!$C$2:$C$31,MATCH(C1127,Companies!$A$2:$A$31,0))</f>
        <v>Product</v>
      </c>
      <c r="M1127" s="21" t="str">
        <f aca="false">INDEX(Companies!$D$2:$D$31,MATCH(C1127,Companies!$A$2:$A$31,0))</f>
        <v>Tier 2</v>
      </c>
      <c r="N1127" s="34" t="n">
        <f aca="false">MATCH(F1127,Assumptions!$K$4:$K$8,0)</f>
        <v>1</v>
      </c>
      <c r="O1127" s="21" t="str">
        <f aca="false">IF(H1127="Yes",MONTH(I1127),"")</f>
        <v/>
      </c>
      <c r="P1127" s="21" t="str">
        <f aca="false">IF(H1127="Yes",B1127,"")</f>
        <v/>
      </c>
    </row>
    <row r="1128" customFormat="false" ht="15" hidden="false" customHeight="false" outlineLevel="0" collapsed="false">
      <c r="A1128" s="21" t="s">
        <v>2343</v>
      </c>
      <c r="B1128" s="21" t="s">
        <v>536</v>
      </c>
      <c r="C1128" s="21" t="s">
        <v>1193</v>
      </c>
      <c r="D1128" s="21" t="s">
        <v>1243</v>
      </c>
      <c r="E1128" s="33" t="n">
        <v>45535</v>
      </c>
      <c r="F1128" s="21" t="s">
        <v>1178</v>
      </c>
      <c r="G1128" s="32"/>
      <c r="H1128" s="21"/>
      <c r="I1128" s="33"/>
      <c r="J1128" s="21" t="str">
        <f aca="false">INDEX(Students!$C$2:$C$601,MATCH(B1128,Students!$A$2:$A$601,0))</f>
        <v>Batch 2025</v>
      </c>
      <c r="K1128" s="21" t="str">
        <f aca="false">INDEX(Students!$D$2:$D$601,MATCH(B1128,Students!$A$2:$A$601,0))</f>
        <v>Data Science &amp; ML</v>
      </c>
      <c r="L1128" s="21" t="str">
        <f aca="false">INDEX(Companies!$C$2:$C$31,MATCH(C1128,Companies!$A$2:$A$31,0))</f>
        <v>Analytics &amp; Consulting</v>
      </c>
      <c r="M1128" s="21" t="str">
        <f aca="false">INDEX(Companies!$D$2:$D$31,MATCH(C1128,Companies!$A$2:$A$31,0))</f>
        <v>Tier 2</v>
      </c>
      <c r="N1128" s="34" t="n">
        <f aca="false">MATCH(F1128,Assumptions!$K$4:$K$8,0)</f>
        <v>2</v>
      </c>
      <c r="O1128" s="21" t="str">
        <f aca="false">IF(H1128="Yes",MONTH(I1128),"")</f>
        <v/>
      </c>
      <c r="P1128" s="21" t="str">
        <f aca="false">IF(H1128="Yes",B1128,"")</f>
        <v/>
      </c>
    </row>
    <row r="1129" customFormat="false" ht="15" hidden="false" customHeight="false" outlineLevel="0" collapsed="false">
      <c r="A1129" s="21" t="s">
        <v>2344</v>
      </c>
      <c r="B1129" s="21" t="s">
        <v>582</v>
      </c>
      <c r="C1129" s="21" t="s">
        <v>1190</v>
      </c>
      <c r="D1129" s="21" t="s">
        <v>1243</v>
      </c>
      <c r="E1129" s="33" t="n">
        <v>45535</v>
      </c>
      <c r="F1129" s="21" t="s">
        <v>1175</v>
      </c>
      <c r="G1129" s="32"/>
      <c r="H1129" s="21"/>
      <c r="I1129" s="33"/>
      <c r="J1129" s="21" t="str">
        <f aca="false">INDEX(Students!$C$2:$C$601,MATCH(B1129,Students!$A$2:$A$601,0))</f>
        <v>Batch 2025</v>
      </c>
      <c r="K1129" s="21" t="str">
        <f aca="false">INDEX(Students!$D$2:$D$601,MATCH(B1129,Students!$A$2:$A$601,0))</f>
        <v>Data Science &amp; ML</v>
      </c>
      <c r="L1129" s="21" t="str">
        <f aca="false">INDEX(Companies!$C$2:$C$31,MATCH(C1129,Companies!$A$2:$A$31,0))</f>
        <v>Analytics &amp; Consulting</v>
      </c>
      <c r="M1129" s="21" t="str">
        <f aca="false">INDEX(Companies!$D$2:$D$31,MATCH(C1129,Companies!$A$2:$A$31,0))</f>
        <v>Tier 1</v>
      </c>
      <c r="N1129" s="34" t="n">
        <f aca="false">MATCH(F1129,Assumptions!$K$4:$K$8,0)</f>
        <v>1</v>
      </c>
      <c r="O1129" s="21" t="str">
        <f aca="false">IF(H1129="Yes",MONTH(I1129),"")</f>
        <v/>
      </c>
      <c r="P1129" s="21" t="str">
        <f aca="false">IF(H1129="Yes",B1129,"")</f>
        <v/>
      </c>
    </row>
    <row r="1130" customFormat="false" ht="15" hidden="false" customHeight="false" outlineLevel="0" collapsed="false">
      <c r="A1130" s="21" t="s">
        <v>2345</v>
      </c>
      <c r="B1130" s="21" t="s">
        <v>724</v>
      </c>
      <c r="C1130" s="21" t="s">
        <v>1203</v>
      </c>
      <c r="D1130" s="21" t="s">
        <v>1174</v>
      </c>
      <c r="E1130" s="33" t="n">
        <v>45536</v>
      </c>
      <c r="F1130" s="21" t="s">
        <v>1175</v>
      </c>
      <c r="G1130" s="32"/>
      <c r="H1130" s="21"/>
      <c r="I1130" s="33"/>
      <c r="J1130" s="21" t="str">
        <f aca="false">INDEX(Students!$C$2:$C$601,MATCH(B1130,Students!$A$2:$A$601,0))</f>
        <v>Batch 2025</v>
      </c>
      <c r="K1130" s="21" t="str">
        <f aca="false">INDEX(Students!$D$2:$D$601,MATCH(B1130,Students!$A$2:$A$601,0))</f>
        <v>Full Stack Development</v>
      </c>
      <c r="L1130" s="21" t="str">
        <f aca="false">INDEX(Companies!$C$2:$C$31,MATCH(C1130,Companies!$A$2:$A$31,0))</f>
        <v>Healthtech</v>
      </c>
      <c r="M1130" s="21" t="str">
        <f aca="false">INDEX(Companies!$D$2:$D$31,MATCH(C1130,Companies!$A$2:$A$31,0))</f>
        <v>Tier 2</v>
      </c>
      <c r="N1130" s="34" t="n">
        <f aca="false">MATCH(F1130,Assumptions!$K$4:$K$8,0)</f>
        <v>1</v>
      </c>
      <c r="O1130" s="21" t="str">
        <f aca="false">IF(H1130="Yes",MONTH(I1130),"")</f>
        <v/>
      </c>
      <c r="P1130" s="21" t="str">
        <f aca="false">IF(H1130="Yes",B1130,"")</f>
        <v/>
      </c>
    </row>
    <row r="1131" customFormat="false" ht="15" hidden="false" customHeight="false" outlineLevel="0" collapsed="false">
      <c r="A1131" s="21" t="s">
        <v>2346</v>
      </c>
      <c r="B1131" s="21" t="s">
        <v>641</v>
      </c>
      <c r="C1131" s="21" t="s">
        <v>1322</v>
      </c>
      <c r="D1131" s="21" t="s">
        <v>1181</v>
      </c>
      <c r="E1131" s="33" t="n">
        <v>45536</v>
      </c>
      <c r="F1131" s="21" t="s">
        <v>1197</v>
      </c>
      <c r="G1131" s="32"/>
      <c r="H1131" s="21"/>
      <c r="I1131" s="33"/>
      <c r="J1131" s="21" t="str">
        <f aca="false">INDEX(Students!$C$2:$C$601,MATCH(B1131,Students!$A$2:$A$601,0))</f>
        <v>Batch 2025</v>
      </c>
      <c r="K1131" s="21" t="str">
        <f aca="false">INDEX(Students!$D$2:$D$601,MATCH(B1131,Students!$A$2:$A$601,0))</f>
        <v>Full Stack Development</v>
      </c>
      <c r="L1131" s="21" t="str">
        <f aca="false">INDEX(Companies!$C$2:$C$31,MATCH(C1131,Companies!$A$2:$A$31,0))</f>
        <v>Healthtech</v>
      </c>
      <c r="M1131" s="21" t="str">
        <f aca="false">INDEX(Companies!$D$2:$D$31,MATCH(C1131,Companies!$A$2:$A$31,0))</f>
        <v>Tier 2</v>
      </c>
      <c r="N1131" s="34" t="n">
        <f aca="false">MATCH(F1131,Assumptions!$K$4:$K$8,0)</f>
        <v>3</v>
      </c>
      <c r="O1131" s="21" t="str">
        <f aca="false">IF(H1131="Yes",MONTH(I1131),"")</f>
        <v/>
      </c>
      <c r="P1131" s="21" t="str">
        <f aca="false">IF(H1131="Yes",B1131,"")</f>
        <v/>
      </c>
    </row>
    <row r="1132" customFormat="false" ht="15" hidden="false" customHeight="false" outlineLevel="0" collapsed="false">
      <c r="A1132" s="21" t="s">
        <v>2347</v>
      </c>
      <c r="B1132" s="21" t="s">
        <v>714</v>
      </c>
      <c r="C1132" s="21" t="s">
        <v>1275</v>
      </c>
      <c r="D1132" s="21" t="s">
        <v>1209</v>
      </c>
      <c r="E1132" s="33" t="n">
        <v>45537</v>
      </c>
      <c r="F1132" s="21" t="s">
        <v>1175</v>
      </c>
      <c r="G1132" s="32"/>
      <c r="H1132" s="21"/>
      <c r="I1132" s="33"/>
      <c r="J1132" s="21" t="str">
        <f aca="false">INDEX(Students!$C$2:$C$601,MATCH(B1132,Students!$A$2:$A$601,0))</f>
        <v>Batch 2025</v>
      </c>
      <c r="K1132" s="21" t="str">
        <f aca="false">INDEX(Students!$D$2:$D$601,MATCH(B1132,Students!$A$2:$A$601,0))</f>
        <v>Data Analytics</v>
      </c>
      <c r="L1132" s="21" t="str">
        <f aca="false">INDEX(Companies!$C$2:$C$31,MATCH(C1132,Companies!$A$2:$A$31,0))</f>
        <v>Cybersecurity</v>
      </c>
      <c r="M1132" s="21" t="str">
        <f aca="false">INDEX(Companies!$D$2:$D$31,MATCH(C1132,Companies!$A$2:$A$31,0))</f>
        <v>Tier 2</v>
      </c>
      <c r="N1132" s="34" t="n">
        <f aca="false">MATCH(F1132,Assumptions!$K$4:$K$8,0)</f>
        <v>1</v>
      </c>
      <c r="O1132" s="21" t="str">
        <f aca="false">IF(H1132="Yes",MONTH(I1132),"")</f>
        <v/>
      </c>
      <c r="P1132" s="21" t="str">
        <f aca="false">IF(H1132="Yes",B1132,"")</f>
        <v/>
      </c>
    </row>
    <row r="1133" customFormat="false" ht="15" hidden="false" customHeight="false" outlineLevel="0" collapsed="false">
      <c r="A1133" s="21" t="s">
        <v>2348</v>
      </c>
      <c r="B1133" s="21" t="s">
        <v>540</v>
      </c>
      <c r="C1133" s="21" t="s">
        <v>1263</v>
      </c>
      <c r="D1133" s="21" t="s">
        <v>1194</v>
      </c>
      <c r="E1133" s="33" t="n">
        <v>45537</v>
      </c>
      <c r="F1133" s="21" t="s">
        <v>1185</v>
      </c>
      <c r="G1133" s="32" t="n">
        <v>11.5</v>
      </c>
      <c r="H1133" s="21" t="s">
        <v>120</v>
      </c>
      <c r="I1133" s="33" t="n">
        <v>45566</v>
      </c>
      <c r="J1133" s="21" t="str">
        <f aca="false">INDEX(Students!$C$2:$C$601,MATCH(B1133,Students!$A$2:$A$601,0))</f>
        <v>Batch 2025</v>
      </c>
      <c r="K1133" s="21" t="str">
        <f aca="false">INDEX(Students!$D$2:$D$601,MATCH(B1133,Students!$A$2:$A$601,0))</f>
        <v>Data Science &amp; ML</v>
      </c>
      <c r="L1133" s="21" t="str">
        <f aca="false">INDEX(Companies!$C$2:$C$31,MATCH(C1133,Companies!$A$2:$A$31,0))</f>
        <v>Analytics &amp; Consulting</v>
      </c>
      <c r="M1133" s="21" t="str">
        <f aca="false">INDEX(Companies!$D$2:$D$31,MATCH(C1133,Companies!$A$2:$A$31,0))</f>
        <v>Tier 2</v>
      </c>
      <c r="N1133" s="34" t="n">
        <f aca="false">MATCH(F1133,Assumptions!$K$4:$K$8,0)</f>
        <v>5</v>
      </c>
      <c r="O1133" s="21" t="n">
        <f aca="false">IF(H1133="Yes",MONTH(I1133),"")</f>
        <v>10</v>
      </c>
      <c r="P1133" s="21" t="str">
        <f aca="false">IF(H1133="Yes",B1133,"")</f>
        <v>S0228</v>
      </c>
    </row>
    <row r="1134" customFormat="false" ht="15" hidden="false" customHeight="false" outlineLevel="0" collapsed="false">
      <c r="A1134" s="21" t="s">
        <v>2349</v>
      </c>
      <c r="B1134" s="21" t="s">
        <v>716</v>
      </c>
      <c r="C1134" s="21" t="s">
        <v>1230</v>
      </c>
      <c r="D1134" s="21" t="s">
        <v>1184</v>
      </c>
      <c r="E1134" s="33" t="n">
        <v>45537</v>
      </c>
      <c r="F1134" s="21" t="s">
        <v>1197</v>
      </c>
      <c r="G1134" s="32"/>
      <c r="H1134" s="21"/>
      <c r="I1134" s="33"/>
      <c r="J1134" s="21" t="str">
        <f aca="false">INDEX(Students!$C$2:$C$601,MATCH(B1134,Students!$A$2:$A$601,0))</f>
        <v>Batch 2025</v>
      </c>
      <c r="K1134" s="21" t="str">
        <f aca="false">INDEX(Students!$D$2:$D$601,MATCH(B1134,Students!$A$2:$A$601,0))</f>
        <v>DSA with Java</v>
      </c>
      <c r="L1134" s="21" t="str">
        <f aca="false">INDEX(Companies!$C$2:$C$31,MATCH(C1134,Companies!$A$2:$A$31,0))</f>
        <v>IT Services</v>
      </c>
      <c r="M1134" s="21" t="str">
        <f aca="false">INDEX(Companies!$D$2:$D$31,MATCH(C1134,Companies!$A$2:$A$31,0))</f>
        <v>Tier 3</v>
      </c>
      <c r="N1134" s="34" t="n">
        <f aca="false">MATCH(F1134,Assumptions!$K$4:$K$8,0)</f>
        <v>3</v>
      </c>
      <c r="O1134" s="21" t="str">
        <f aca="false">IF(H1134="Yes",MONTH(I1134),"")</f>
        <v/>
      </c>
      <c r="P1134" s="21" t="str">
        <f aca="false">IF(H1134="Yes",B1134,"")</f>
        <v/>
      </c>
    </row>
    <row r="1135" customFormat="false" ht="15" hidden="false" customHeight="false" outlineLevel="0" collapsed="false">
      <c r="A1135" s="21" t="s">
        <v>2350</v>
      </c>
      <c r="B1135" s="21" t="s">
        <v>767</v>
      </c>
      <c r="C1135" s="21" t="s">
        <v>1298</v>
      </c>
      <c r="D1135" s="21" t="s">
        <v>1240</v>
      </c>
      <c r="E1135" s="33" t="n">
        <v>45537</v>
      </c>
      <c r="F1135" s="21" t="s">
        <v>1185</v>
      </c>
      <c r="G1135" s="32" t="n">
        <v>8.4</v>
      </c>
      <c r="H1135" s="21" t="s">
        <v>120</v>
      </c>
      <c r="I1135" s="33" t="n">
        <v>45587</v>
      </c>
      <c r="J1135" s="21" t="str">
        <f aca="false">INDEX(Students!$C$2:$C$601,MATCH(B1135,Students!$A$2:$A$601,0))</f>
        <v>Batch 2025</v>
      </c>
      <c r="K1135" s="21" t="str">
        <f aca="false">INDEX(Students!$D$2:$D$601,MATCH(B1135,Students!$A$2:$A$601,0))</f>
        <v>Cybersecurity</v>
      </c>
      <c r="L1135" s="21" t="str">
        <f aca="false">INDEX(Companies!$C$2:$C$31,MATCH(C1135,Companies!$A$2:$A$31,0))</f>
        <v>Fintech</v>
      </c>
      <c r="M1135" s="21" t="str">
        <f aca="false">INDEX(Companies!$D$2:$D$31,MATCH(C1135,Companies!$A$2:$A$31,0))</f>
        <v>Tier 2</v>
      </c>
      <c r="N1135" s="34" t="n">
        <f aca="false">MATCH(F1135,Assumptions!$K$4:$K$8,0)</f>
        <v>5</v>
      </c>
      <c r="O1135" s="21" t="n">
        <f aca="false">IF(H1135="Yes",MONTH(I1135),"")</f>
        <v>10</v>
      </c>
      <c r="P1135" s="21" t="str">
        <f aca="false">IF(H1135="Yes",B1135,"")</f>
        <v>S0357</v>
      </c>
    </row>
    <row r="1136" customFormat="false" ht="15" hidden="false" customHeight="false" outlineLevel="0" collapsed="false">
      <c r="A1136" s="21" t="s">
        <v>2351</v>
      </c>
      <c r="B1136" s="21" t="s">
        <v>775</v>
      </c>
      <c r="C1136" s="21" t="s">
        <v>1211</v>
      </c>
      <c r="D1136" s="21" t="s">
        <v>1243</v>
      </c>
      <c r="E1136" s="33" t="n">
        <v>45538</v>
      </c>
      <c r="F1136" s="21" t="s">
        <v>1175</v>
      </c>
      <c r="G1136" s="32"/>
      <c r="H1136" s="21"/>
      <c r="I1136" s="33"/>
      <c r="J1136" s="21" t="str">
        <f aca="false">INDEX(Students!$C$2:$C$601,MATCH(B1136,Students!$A$2:$A$601,0))</f>
        <v>Batch 2025</v>
      </c>
      <c r="K1136" s="21" t="str">
        <f aca="false">INDEX(Students!$D$2:$D$601,MATCH(B1136,Students!$A$2:$A$601,0))</f>
        <v>Data Science &amp; ML</v>
      </c>
      <c r="L1136" s="21" t="str">
        <f aca="false">INDEX(Companies!$C$2:$C$31,MATCH(C1136,Companies!$A$2:$A$31,0))</f>
        <v>Analytics &amp; Consulting</v>
      </c>
      <c r="M1136" s="21" t="str">
        <f aca="false">INDEX(Companies!$D$2:$D$31,MATCH(C1136,Companies!$A$2:$A$31,0))</f>
        <v>Tier 3</v>
      </c>
      <c r="N1136" s="34" t="n">
        <f aca="false">MATCH(F1136,Assumptions!$K$4:$K$8,0)</f>
        <v>1</v>
      </c>
      <c r="O1136" s="21" t="str">
        <f aca="false">IF(H1136="Yes",MONTH(I1136),"")</f>
        <v/>
      </c>
      <c r="P1136" s="21" t="str">
        <f aca="false">IF(H1136="Yes",B1136,"")</f>
        <v/>
      </c>
    </row>
    <row r="1137" customFormat="false" ht="15" hidden="false" customHeight="false" outlineLevel="0" collapsed="false">
      <c r="A1137" s="21" t="s">
        <v>2352</v>
      </c>
      <c r="B1137" s="21" t="s">
        <v>580</v>
      </c>
      <c r="C1137" s="21" t="s">
        <v>1216</v>
      </c>
      <c r="D1137" s="21" t="s">
        <v>1181</v>
      </c>
      <c r="E1137" s="33" t="n">
        <v>45538</v>
      </c>
      <c r="F1137" s="21" t="s">
        <v>1178</v>
      </c>
      <c r="G1137" s="32"/>
      <c r="H1137" s="21"/>
      <c r="I1137" s="33"/>
      <c r="J1137" s="21" t="str">
        <f aca="false">INDEX(Students!$C$2:$C$601,MATCH(B1137,Students!$A$2:$A$601,0))</f>
        <v>Batch 2025</v>
      </c>
      <c r="K1137" s="21" t="str">
        <f aca="false">INDEX(Students!$D$2:$D$601,MATCH(B1137,Students!$A$2:$A$601,0))</f>
        <v>Full Stack Development</v>
      </c>
      <c r="L1137" s="21" t="str">
        <f aca="false">INDEX(Companies!$C$2:$C$31,MATCH(C1137,Companies!$A$2:$A$31,0))</f>
        <v>IT Services</v>
      </c>
      <c r="M1137" s="21" t="str">
        <f aca="false">INDEX(Companies!$D$2:$D$31,MATCH(C1137,Companies!$A$2:$A$31,0))</f>
        <v>Tier 3</v>
      </c>
      <c r="N1137" s="34" t="n">
        <f aca="false">MATCH(F1137,Assumptions!$K$4:$K$8,0)</f>
        <v>2</v>
      </c>
      <c r="O1137" s="21" t="str">
        <f aca="false">IF(H1137="Yes",MONTH(I1137),"")</f>
        <v/>
      </c>
      <c r="P1137" s="21" t="str">
        <f aca="false">IF(H1137="Yes",B1137,"")</f>
        <v/>
      </c>
    </row>
    <row r="1138" customFormat="false" ht="15" hidden="false" customHeight="false" outlineLevel="0" collapsed="false">
      <c r="A1138" s="21" t="s">
        <v>2353</v>
      </c>
      <c r="B1138" s="21" t="s">
        <v>663</v>
      </c>
      <c r="C1138" s="21" t="s">
        <v>1290</v>
      </c>
      <c r="D1138" s="21" t="s">
        <v>1184</v>
      </c>
      <c r="E1138" s="33" t="n">
        <v>45538</v>
      </c>
      <c r="F1138" s="21" t="s">
        <v>1185</v>
      </c>
      <c r="G1138" s="32" t="n">
        <v>12.8</v>
      </c>
      <c r="H1138" s="21" t="s">
        <v>113</v>
      </c>
      <c r="I1138" s="33" t="n">
        <v>45570</v>
      </c>
      <c r="J1138" s="21" t="str">
        <f aca="false">INDEX(Students!$C$2:$C$601,MATCH(B1138,Students!$A$2:$A$601,0))</f>
        <v>Batch 2025</v>
      </c>
      <c r="K1138" s="21" t="str">
        <f aca="false">INDEX(Students!$D$2:$D$601,MATCH(B1138,Students!$A$2:$A$601,0))</f>
        <v>DSA with Java</v>
      </c>
      <c r="L1138" s="21" t="str">
        <f aca="false">INDEX(Companies!$C$2:$C$31,MATCH(C1138,Companies!$A$2:$A$31,0))</f>
        <v>Fintech</v>
      </c>
      <c r="M1138" s="21" t="str">
        <f aca="false">INDEX(Companies!$D$2:$D$31,MATCH(C1138,Companies!$A$2:$A$31,0))</f>
        <v>Tier 2</v>
      </c>
      <c r="N1138" s="34" t="n">
        <f aca="false">MATCH(F1138,Assumptions!$K$4:$K$8,0)</f>
        <v>5</v>
      </c>
      <c r="O1138" s="21" t="str">
        <f aca="false">IF(H1138="Yes",MONTH(I1138),"")</f>
        <v/>
      </c>
      <c r="P1138" s="21" t="str">
        <f aca="false">IF(H1138="Yes",B1138,"")</f>
        <v/>
      </c>
    </row>
    <row r="1139" customFormat="false" ht="15" hidden="false" customHeight="false" outlineLevel="0" collapsed="false">
      <c r="A1139" s="21" t="s">
        <v>2354</v>
      </c>
      <c r="B1139" s="21" t="s">
        <v>528</v>
      </c>
      <c r="C1139" s="21" t="s">
        <v>1201</v>
      </c>
      <c r="D1139" s="21" t="s">
        <v>1191</v>
      </c>
      <c r="E1139" s="33" t="n">
        <v>45539</v>
      </c>
      <c r="F1139" s="21" t="s">
        <v>1218</v>
      </c>
      <c r="G1139" s="32"/>
      <c r="H1139" s="21"/>
      <c r="I1139" s="33"/>
      <c r="J1139" s="21" t="str">
        <f aca="false">INDEX(Students!$C$2:$C$601,MATCH(B1139,Students!$A$2:$A$601,0))</f>
        <v>Batch 2025</v>
      </c>
      <c r="K1139" s="21" t="str">
        <f aca="false">INDEX(Students!$D$2:$D$601,MATCH(B1139,Students!$A$2:$A$601,0))</f>
        <v>DSA with Java</v>
      </c>
      <c r="L1139" s="21" t="str">
        <f aca="false">INDEX(Companies!$C$2:$C$31,MATCH(C1139,Companies!$A$2:$A$31,0))</f>
        <v>IT Services</v>
      </c>
      <c r="M1139" s="21" t="str">
        <f aca="false">INDEX(Companies!$D$2:$D$31,MATCH(C1139,Companies!$A$2:$A$31,0))</f>
        <v>Tier 3</v>
      </c>
      <c r="N1139" s="34" t="n">
        <f aca="false">MATCH(F1139,Assumptions!$K$4:$K$8,0)</f>
        <v>4</v>
      </c>
      <c r="O1139" s="21" t="str">
        <f aca="false">IF(H1139="Yes",MONTH(I1139),"")</f>
        <v/>
      </c>
      <c r="P1139" s="21" t="str">
        <f aca="false">IF(H1139="Yes",B1139,"")</f>
        <v/>
      </c>
    </row>
    <row r="1140" customFormat="false" ht="15" hidden="false" customHeight="false" outlineLevel="0" collapsed="false">
      <c r="A1140" s="21" t="s">
        <v>2355</v>
      </c>
      <c r="B1140" s="21" t="s">
        <v>563</v>
      </c>
      <c r="C1140" s="21" t="s">
        <v>1205</v>
      </c>
      <c r="D1140" s="21" t="s">
        <v>1181</v>
      </c>
      <c r="E1140" s="33" t="n">
        <v>45539</v>
      </c>
      <c r="F1140" s="21" t="s">
        <v>1197</v>
      </c>
      <c r="G1140" s="32"/>
      <c r="H1140" s="21"/>
      <c r="I1140" s="33"/>
      <c r="J1140" s="21" t="str">
        <f aca="false">INDEX(Students!$C$2:$C$601,MATCH(B1140,Students!$A$2:$A$601,0))</f>
        <v>Batch 2025</v>
      </c>
      <c r="K1140" s="21" t="str">
        <f aca="false">INDEX(Students!$D$2:$D$601,MATCH(B1140,Students!$A$2:$A$601,0))</f>
        <v>Full Stack Development</v>
      </c>
      <c r="L1140" s="21" t="str">
        <f aca="false">INDEX(Companies!$C$2:$C$31,MATCH(C1140,Companies!$A$2:$A$31,0))</f>
        <v>Healthtech</v>
      </c>
      <c r="M1140" s="21" t="str">
        <f aca="false">INDEX(Companies!$D$2:$D$31,MATCH(C1140,Companies!$A$2:$A$31,0))</f>
        <v>Tier 3</v>
      </c>
      <c r="N1140" s="34" t="n">
        <f aca="false">MATCH(F1140,Assumptions!$K$4:$K$8,0)</f>
        <v>3</v>
      </c>
      <c r="O1140" s="21" t="str">
        <f aca="false">IF(H1140="Yes",MONTH(I1140),"")</f>
        <v/>
      </c>
      <c r="P1140" s="21" t="str">
        <f aca="false">IF(H1140="Yes",B1140,"")</f>
        <v/>
      </c>
    </row>
    <row r="1141" customFormat="false" ht="15" hidden="false" customHeight="false" outlineLevel="0" collapsed="false">
      <c r="A1141" s="21" t="s">
        <v>2356</v>
      </c>
      <c r="B1141" s="21" t="s">
        <v>635</v>
      </c>
      <c r="C1141" s="21" t="s">
        <v>1263</v>
      </c>
      <c r="D1141" s="21" t="s">
        <v>1191</v>
      </c>
      <c r="E1141" s="33" t="n">
        <v>45539</v>
      </c>
      <c r="F1141" s="21" t="s">
        <v>1175</v>
      </c>
      <c r="G1141" s="32"/>
      <c r="H1141" s="21"/>
      <c r="I1141" s="33"/>
      <c r="J1141" s="21" t="str">
        <f aca="false">INDEX(Students!$C$2:$C$601,MATCH(B1141,Students!$A$2:$A$601,0))</f>
        <v>Batch 2025</v>
      </c>
      <c r="K1141" s="21" t="str">
        <f aca="false">INDEX(Students!$D$2:$D$601,MATCH(B1141,Students!$A$2:$A$601,0))</f>
        <v>DSA with Java</v>
      </c>
      <c r="L1141" s="21" t="str">
        <f aca="false">INDEX(Companies!$C$2:$C$31,MATCH(C1141,Companies!$A$2:$A$31,0))</f>
        <v>Analytics &amp; Consulting</v>
      </c>
      <c r="M1141" s="21" t="str">
        <f aca="false">INDEX(Companies!$D$2:$D$31,MATCH(C1141,Companies!$A$2:$A$31,0))</f>
        <v>Tier 2</v>
      </c>
      <c r="N1141" s="34" t="n">
        <f aca="false">MATCH(F1141,Assumptions!$K$4:$K$8,0)</f>
        <v>1</v>
      </c>
      <c r="O1141" s="21" t="str">
        <f aca="false">IF(H1141="Yes",MONTH(I1141),"")</f>
        <v/>
      </c>
      <c r="P1141" s="21" t="str">
        <f aca="false">IF(H1141="Yes",B1141,"")</f>
        <v/>
      </c>
    </row>
    <row r="1142" customFormat="false" ht="15" hidden="false" customHeight="false" outlineLevel="0" collapsed="false">
      <c r="A1142" s="21" t="s">
        <v>2357</v>
      </c>
      <c r="B1142" s="21" t="s">
        <v>765</v>
      </c>
      <c r="C1142" s="21" t="s">
        <v>1180</v>
      </c>
      <c r="D1142" s="21" t="s">
        <v>1191</v>
      </c>
      <c r="E1142" s="33" t="n">
        <v>45539</v>
      </c>
      <c r="F1142" s="21" t="s">
        <v>1185</v>
      </c>
      <c r="G1142" s="32" t="n">
        <v>6</v>
      </c>
      <c r="H1142" s="21" t="s">
        <v>113</v>
      </c>
      <c r="I1142" s="33" t="n">
        <v>45590</v>
      </c>
      <c r="J1142" s="21" t="str">
        <f aca="false">INDEX(Students!$C$2:$C$601,MATCH(B1142,Students!$A$2:$A$601,0))</f>
        <v>Batch 2025</v>
      </c>
      <c r="K1142" s="21" t="str">
        <f aca="false">INDEX(Students!$D$2:$D$601,MATCH(B1142,Students!$A$2:$A$601,0))</f>
        <v>DSA with Java</v>
      </c>
      <c r="L1142" s="21" t="str">
        <f aca="false">INDEX(Companies!$C$2:$C$31,MATCH(C1142,Companies!$A$2:$A$31,0))</f>
        <v>IT Services</v>
      </c>
      <c r="M1142" s="21" t="str">
        <f aca="false">INDEX(Companies!$D$2:$D$31,MATCH(C1142,Companies!$A$2:$A$31,0))</f>
        <v>Tier 3</v>
      </c>
      <c r="N1142" s="34" t="n">
        <f aca="false">MATCH(F1142,Assumptions!$K$4:$K$8,0)</f>
        <v>5</v>
      </c>
      <c r="O1142" s="21" t="str">
        <f aca="false">IF(H1142="Yes",MONTH(I1142),"")</f>
        <v/>
      </c>
      <c r="P1142" s="21" t="str">
        <f aca="false">IF(H1142="Yes",B1142,"")</f>
        <v/>
      </c>
    </row>
    <row r="1143" customFormat="false" ht="15" hidden="false" customHeight="false" outlineLevel="0" collapsed="false">
      <c r="A1143" s="21" t="s">
        <v>2358</v>
      </c>
      <c r="B1143" s="21" t="s">
        <v>559</v>
      </c>
      <c r="C1143" s="21" t="s">
        <v>1225</v>
      </c>
      <c r="D1143" s="21" t="s">
        <v>1243</v>
      </c>
      <c r="E1143" s="33" t="n">
        <v>45539</v>
      </c>
      <c r="F1143" s="21" t="s">
        <v>1175</v>
      </c>
      <c r="G1143" s="32"/>
      <c r="H1143" s="21"/>
      <c r="I1143" s="33"/>
      <c r="J1143" s="21" t="str">
        <f aca="false">INDEX(Students!$C$2:$C$601,MATCH(B1143,Students!$A$2:$A$601,0))</f>
        <v>Batch 2025</v>
      </c>
      <c r="K1143" s="21" t="str">
        <f aca="false">INDEX(Students!$D$2:$D$601,MATCH(B1143,Students!$A$2:$A$601,0))</f>
        <v>Data Science &amp; ML</v>
      </c>
      <c r="L1143" s="21" t="str">
        <f aca="false">INDEX(Companies!$C$2:$C$31,MATCH(C1143,Companies!$A$2:$A$31,0))</f>
        <v>EdTech</v>
      </c>
      <c r="M1143" s="21" t="str">
        <f aca="false">INDEX(Companies!$D$2:$D$31,MATCH(C1143,Companies!$A$2:$A$31,0))</f>
        <v>Tier 2</v>
      </c>
      <c r="N1143" s="34" t="n">
        <f aca="false">MATCH(F1143,Assumptions!$K$4:$K$8,0)</f>
        <v>1</v>
      </c>
      <c r="O1143" s="21" t="str">
        <f aca="false">IF(H1143="Yes",MONTH(I1143),"")</f>
        <v/>
      </c>
      <c r="P1143" s="21" t="str">
        <f aca="false">IF(H1143="Yes",B1143,"")</f>
        <v/>
      </c>
    </row>
    <row r="1144" customFormat="false" ht="15" hidden="false" customHeight="false" outlineLevel="0" collapsed="false">
      <c r="A1144" s="21" t="s">
        <v>2359</v>
      </c>
      <c r="B1144" s="21" t="s">
        <v>798</v>
      </c>
      <c r="C1144" s="21" t="s">
        <v>1309</v>
      </c>
      <c r="D1144" s="21" t="s">
        <v>1181</v>
      </c>
      <c r="E1144" s="33" t="n">
        <v>45540</v>
      </c>
      <c r="F1144" s="21" t="s">
        <v>1175</v>
      </c>
      <c r="G1144" s="32"/>
      <c r="H1144" s="21"/>
      <c r="I1144" s="33"/>
      <c r="J1144" s="21" t="str">
        <f aca="false">INDEX(Students!$C$2:$C$601,MATCH(B1144,Students!$A$2:$A$601,0))</f>
        <v>Batch 2025</v>
      </c>
      <c r="K1144" s="21" t="str">
        <f aca="false">INDEX(Students!$D$2:$D$601,MATCH(B1144,Students!$A$2:$A$601,0))</f>
        <v>Full Stack Development</v>
      </c>
      <c r="L1144" s="21" t="str">
        <f aca="false">INDEX(Companies!$C$2:$C$31,MATCH(C1144,Companies!$A$2:$A$31,0))</f>
        <v>EdTech</v>
      </c>
      <c r="M1144" s="21" t="str">
        <f aca="false">INDEX(Companies!$D$2:$D$31,MATCH(C1144,Companies!$A$2:$A$31,0))</f>
        <v>Tier 2</v>
      </c>
      <c r="N1144" s="34" t="n">
        <f aca="false">MATCH(F1144,Assumptions!$K$4:$K$8,0)</f>
        <v>1</v>
      </c>
      <c r="O1144" s="21" t="str">
        <f aca="false">IF(H1144="Yes",MONTH(I1144),"")</f>
        <v/>
      </c>
      <c r="P1144" s="21" t="str">
        <f aca="false">IF(H1144="Yes",B1144,"")</f>
        <v/>
      </c>
    </row>
    <row r="1145" customFormat="false" ht="15" hidden="false" customHeight="false" outlineLevel="0" collapsed="false">
      <c r="A1145" s="21" t="s">
        <v>2360</v>
      </c>
      <c r="B1145" s="21" t="s">
        <v>741</v>
      </c>
      <c r="C1145" s="21" t="s">
        <v>1190</v>
      </c>
      <c r="D1145" s="21" t="s">
        <v>1243</v>
      </c>
      <c r="E1145" s="33" t="n">
        <v>45540</v>
      </c>
      <c r="F1145" s="21" t="s">
        <v>1175</v>
      </c>
      <c r="G1145" s="32"/>
      <c r="H1145" s="21"/>
      <c r="I1145" s="33"/>
      <c r="J1145" s="21" t="str">
        <f aca="false">INDEX(Students!$C$2:$C$601,MATCH(B1145,Students!$A$2:$A$601,0))</f>
        <v>Batch 2025</v>
      </c>
      <c r="K1145" s="21" t="str">
        <f aca="false">INDEX(Students!$D$2:$D$601,MATCH(B1145,Students!$A$2:$A$601,0))</f>
        <v>Data Science &amp; ML</v>
      </c>
      <c r="L1145" s="21" t="str">
        <f aca="false">INDEX(Companies!$C$2:$C$31,MATCH(C1145,Companies!$A$2:$A$31,0))</f>
        <v>Analytics &amp; Consulting</v>
      </c>
      <c r="M1145" s="21" t="str">
        <f aca="false">INDEX(Companies!$D$2:$D$31,MATCH(C1145,Companies!$A$2:$A$31,0))</f>
        <v>Tier 1</v>
      </c>
      <c r="N1145" s="34" t="n">
        <f aca="false">MATCH(F1145,Assumptions!$K$4:$K$8,0)</f>
        <v>1</v>
      </c>
      <c r="O1145" s="21" t="str">
        <f aca="false">IF(H1145="Yes",MONTH(I1145),"")</f>
        <v/>
      </c>
      <c r="P1145" s="21" t="str">
        <f aca="false">IF(H1145="Yes",B1145,"")</f>
        <v/>
      </c>
    </row>
    <row r="1146" customFormat="false" ht="15" hidden="false" customHeight="false" outlineLevel="0" collapsed="false">
      <c r="A1146" s="21" t="s">
        <v>2361</v>
      </c>
      <c r="B1146" s="21" t="s">
        <v>693</v>
      </c>
      <c r="C1146" s="21" t="s">
        <v>1230</v>
      </c>
      <c r="D1146" s="21" t="s">
        <v>1226</v>
      </c>
      <c r="E1146" s="33" t="n">
        <v>45540</v>
      </c>
      <c r="F1146" s="21" t="s">
        <v>1178</v>
      </c>
      <c r="G1146" s="32"/>
      <c r="H1146" s="21"/>
      <c r="I1146" s="33"/>
      <c r="J1146" s="21" t="str">
        <f aca="false">INDEX(Students!$C$2:$C$601,MATCH(B1146,Students!$A$2:$A$601,0))</f>
        <v>Batch 2025</v>
      </c>
      <c r="K1146" s="21" t="str">
        <f aca="false">INDEX(Students!$D$2:$D$601,MATCH(B1146,Students!$A$2:$A$601,0))</f>
        <v>Cybersecurity</v>
      </c>
      <c r="L1146" s="21" t="str">
        <f aca="false">INDEX(Companies!$C$2:$C$31,MATCH(C1146,Companies!$A$2:$A$31,0))</f>
        <v>IT Services</v>
      </c>
      <c r="M1146" s="21" t="str">
        <f aca="false">INDEX(Companies!$D$2:$D$31,MATCH(C1146,Companies!$A$2:$A$31,0))</f>
        <v>Tier 3</v>
      </c>
      <c r="N1146" s="34" t="n">
        <f aca="false">MATCH(F1146,Assumptions!$K$4:$K$8,0)</f>
        <v>2</v>
      </c>
      <c r="O1146" s="21" t="str">
        <f aca="false">IF(H1146="Yes",MONTH(I1146),"")</f>
        <v/>
      </c>
      <c r="P1146" s="21" t="str">
        <f aca="false">IF(H1146="Yes",B1146,"")</f>
        <v/>
      </c>
    </row>
    <row r="1147" customFormat="false" ht="15" hidden="false" customHeight="false" outlineLevel="0" collapsed="false">
      <c r="A1147" s="21" t="s">
        <v>2362</v>
      </c>
      <c r="B1147" s="21" t="s">
        <v>618</v>
      </c>
      <c r="C1147" s="21" t="s">
        <v>1239</v>
      </c>
      <c r="D1147" s="21" t="s">
        <v>1181</v>
      </c>
      <c r="E1147" s="33" t="n">
        <v>45540</v>
      </c>
      <c r="F1147" s="21" t="s">
        <v>1197</v>
      </c>
      <c r="G1147" s="32"/>
      <c r="H1147" s="21"/>
      <c r="I1147" s="33"/>
      <c r="J1147" s="21" t="str">
        <f aca="false">INDEX(Students!$C$2:$C$601,MATCH(B1147,Students!$A$2:$A$601,0))</f>
        <v>Batch 2025</v>
      </c>
      <c r="K1147" s="21" t="str">
        <f aca="false">INDEX(Students!$D$2:$D$601,MATCH(B1147,Students!$A$2:$A$601,0))</f>
        <v>Full Stack Development</v>
      </c>
      <c r="L1147" s="21" t="str">
        <f aca="false">INDEX(Companies!$C$2:$C$31,MATCH(C1147,Companies!$A$2:$A$31,0))</f>
        <v>E-commerce</v>
      </c>
      <c r="M1147" s="21" t="str">
        <f aca="false">INDEX(Companies!$D$2:$D$31,MATCH(C1147,Companies!$A$2:$A$31,0))</f>
        <v>Tier 3</v>
      </c>
      <c r="N1147" s="34" t="n">
        <f aca="false">MATCH(F1147,Assumptions!$K$4:$K$8,0)</f>
        <v>3</v>
      </c>
      <c r="O1147" s="21" t="str">
        <f aca="false">IF(H1147="Yes",MONTH(I1147),"")</f>
        <v/>
      </c>
      <c r="P1147" s="21" t="str">
        <f aca="false">IF(H1147="Yes",B1147,"")</f>
        <v/>
      </c>
    </row>
    <row r="1148" customFormat="false" ht="15" hidden="false" customHeight="false" outlineLevel="0" collapsed="false">
      <c r="A1148" s="21" t="s">
        <v>2363</v>
      </c>
      <c r="B1148" s="21" t="s">
        <v>732</v>
      </c>
      <c r="C1148" s="21" t="s">
        <v>1199</v>
      </c>
      <c r="D1148" s="21" t="s">
        <v>1243</v>
      </c>
      <c r="E1148" s="33" t="n">
        <v>45540</v>
      </c>
      <c r="F1148" s="21" t="s">
        <v>1185</v>
      </c>
      <c r="G1148" s="32" t="n">
        <v>11.5</v>
      </c>
      <c r="H1148" s="21" t="s">
        <v>113</v>
      </c>
      <c r="I1148" s="33" t="n">
        <v>45577</v>
      </c>
      <c r="J1148" s="21" t="str">
        <f aca="false">INDEX(Students!$C$2:$C$601,MATCH(B1148,Students!$A$2:$A$601,0))</f>
        <v>Batch 2025</v>
      </c>
      <c r="K1148" s="21" t="str">
        <f aca="false">INDEX(Students!$D$2:$D$601,MATCH(B1148,Students!$A$2:$A$601,0))</f>
        <v>Data Science &amp; ML</v>
      </c>
      <c r="L1148" s="21" t="str">
        <f aca="false">INDEX(Companies!$C$2:$C$31,MATCH(C1148,Companies!$A$2:$A$31,0))</f>
        <v>E-commerce</v>
      </c>
      <c r="M1148" s="21" t="str">
        <f aca="false">INDEX(Companies!$D$2:$D$31,MATCH(C1148,Companies!$A$2:$A$31,0))</f>
        <v>Tier 2</v>
      </c>
      <c r="N1148" s="34" t="n">
        <f aca="false">MATCH(F1148,Assumptions!$K$4:$K$8,0)</f>
        <v>5</v>
      </c>
      <c r="O1148" s="21" t="str">
        <f aca="false">IF(H1148="Yes",MONTH(I1148),"")</f>
        <v/>
      </c>
      <c r="P1148" s="21" t="str">
        <f aca="false">IF(H1148="Yes",B1148,"")</f>
        <v/>
      </c>
    </row>
    <row r="1149" customFormat="false" ht="15" hidden="false" customHeight="false" outlineLevel="0" collapsed="false">
      <c r="A1149" s="21" t="s">
        <v>2364</v>
      </c>
      <c r="B1149" s="21" t="s">
        <v>649</v>
      </c>
      <c r="C1149" s="21" t="s">
        <v>1234</v>
      </c>
      <c r="D1149" s="21" t="s">
        <v>1184</v>
      </c>
      <c r="E1149" s="33" t="n">
        <v>45540</v>
      </c>
      <c r="F1149" s="21" t="s">
        <v>1185</v>
      </c>
      <c r="G1149" s="32" t="n">
        <v>7.2</v>
      </c>
      <c r="H1149" s="21" t="s">
        <v>120</v>
      </c>
      <c r="I1149" s="33" t="n">
        <v>45582</v>
      </c>
      <c r="J1149" s="21" t="str">
        <f aca="false">INDEX(Students!$C$2:$C$601,MATCH(B1149,Students!$A$2:$A$601,0))</f>
        <v>Batch 2025</v>
      </c>
      <c r="K1149" s="21" t="str">
        <f aca="false">INDEX(Students!$D$2:$D$601,MATCH(B1149,Students!$A$2:$A$601,0))</f>
        <v>DSA with Java</v>
      </c>
      <c r="L1149" s="21" t="str">
        <f aca="false">INDEX(Companies!$C$2:$C$31,MATCH(C1149,Companies!$A$2:$A$31,0))</f>
        <v>EdTech</v>
      </c>
      <c r="M1149" s="21" t="str">
        <f aca="false">INDEX(Companies!$D$2:$D$31,MATCH(C1149,Companies!$A$2:$A$31,0))</f>
        <v>Tier 3</v>
      </c>
      <c r="N1149" s="34" t="n">
        <f aca="false">MATCH(F1149,Assumptions!$K$4:$K$8,0)</f>
        <v>5</v>
      </c>
      <c r="O1149" s="21" t="n">
        <f aca="false">IF(H1149="Yes",MONTH(I1149),"")</f>
        <v>10</v>
      </c>
      <c r="P1149" s="21" t="str">
        <f aca="false">IF(H1149="Yes",B1149,"")</f>
        <v>S0289</v>
      </c>
    </row>
    <row r="1150" customFormat="false" ht="15" hidden="false" customHeight="false" outlineLevel="0" collapsed="false">
      <c r="A1150" s="21" t="s">
        <v>2365</v>
      </c>
      <c r="B1150" s="21" t="s">
        <v>614</v>
      </c>
      <c r="C1150" s="21" t="s">
        <v>1263</v>
      </c>
      <c r="D1150" s="21" t="s">
        <v>1243</v>
      </c>
      <c r="E1150" s="33" t="n">
        <v>45541</v>
      </c>
      <c r="F1150" s="21" t="s">
        <v>1185</v>
      </c>
      <c r="G1150" s="32" t="n">
        <v>10.7</v>
      </c>
      <c r="H1150" s="21" t="s">
        <v>120</v>
      </c>
      <c r="I1150" s="33" t="n">
        <v>45580</v>
      </c>
      <c r="J1150" s="21" t="str">
        <f aca="false">INDEX(Students!$C$2:$C$601,MATCH(B1150,Students!$A$2:$A$601,0))</f>
        <v>Batch 2025</v>
      </c>
      <c r="K1150" s="21" t="str">
        <f aca="false">INDEX(Students!$D$2:$D$601,MATCH(B1150,Students!$A$2:$A$601,0))</f>
        <v>Data Science &amp; ML</v>
      </c>
      <c r="L1150" s="21" t="str">
        <f aca="false">INDEX(Companies!$C$2:$C$31,MATCH(C1150,Companies!$A$2:$A$31,0))</f>
        <v>Analytics &amp; Consulting</v>
      </c>
      <c r="M1150" s="21" t="str">
        <f aca="false">INDEX(Companies!$D$2:$D$31,MATCH(C1150,Companies!$A$2:$A$31,0))</f>
        <v>Tier 2</v>
      </c>
      <c r="N1150" s="34" t="n">
        <f aca="false">MATCH(F1150,Assumptions!$K$4:$K$8,0)</f>
        <v>5</v>
      </c>
      <c r="O1150" s="21" t="n">
        <f aca="false">IF(H1150="Yes",MONTH(I1150),"")</f>
        <v>10</v>
      </c>
      <c r="P1150" s="21" t="str">
        <f aca="false">IF(H1150="Yes",B1150,"")</f>
        <v>S0269</v>
      </c>
    </row>
    <row r="1151" customFormat="false" ht="15" hidden="false" customHeight="false" outlineLevel="0" collapsed="false">
      <c r="A1151" s="21" t="s">
        <v>2366</v>
      </c>
      <c r="B1151" s="21" t="s">
        <v>487</v>
      </c>
      <c r="C1151" s="21" t="s">
        <v>1177</v>
      </c>
      <c r="D1151" s="21" t="s">
        <v>1243</v>
      </c>
      <c r="E1151" s="33" t="n">
        <v>45541</v>
      </c>
      <c r="F1151" s="21" t="s">
        <v>1185</v>
      </c>
      <c r="G1151" s="32" t="n">
        <v>6.5</v>
      </c>
      <c r="H1151" s="21" t="s">
        <v>113</v>
      </c>
      <c r="I1151" s="33" t="n">
        <v>45572</v>
      </c>
      <c r="J1151" s="21" t="str">
        <f aca="false">INDEX(Students!$C$2:$C$601,MATCH(B1151,Students!$A$2:$A$601,0))</f>
        <v>Batch 2025</v>
      </c>
      <c r="K1151" s="21" t="str">
        <f aca="false">INDEX(Students!$D$2:$D$601,MATCH(B1151,Students!$A$2:$A$601,0))</f>
        <v>Data Science &amp; ML</v>
      </c>
      <c r="L1151" s="21" t="str">
        <f aca="false">INDEX(Companies!$C$2:$C$31,MATCH(C1151,Companies!$A$2:$A$31,0))</f>
        <v>IT Services</v>
      </c>
      <c r="M1151" s="21" t="str">
        <f aca="false">INDEX(Companies!$D$2:$D$31,MATCH(C1151,Companies!$A$2:$A$31,0))</f>
        <v>Tier 3</v>
      </c>
      <c r="N1151" s="34" t="n">
        <f aca="false">MATCH(F1151,Assumptions!$K$4:$K$8,0)</f>
        <v>5</v>
      </c>
      <c r="O1151" s="21" t="str">
        <f aca="false">IF(H1151="Yes",MONTH(I1151),"")</f>
        <v/>
      </c>
      <c r="P1151" s="21" t="str">
        <f aca="false">IF(H1151="Yes",B1151,"")</f>
        <v/>
      </c>
    </row>
    <row r="1152" customFormat="false" ht="15" hidden="false" customHeight="false" outlineLevel="0" collapsed="false">
      <c r="A1152" s="21" t="s">
        <v>2367</v>
      </c>
      <c r="B1152" s="21" t="s">
        <v>561</v>
      </c>
      <c r="C1152" s="21" t="s">
        <v>1180</v>
      </c>
      <c r="D1152" s="21" t="s">
        <v>1181</v>
      </c>
      <c r="E1152" s="33" t="n">
        <v>45541</v>
      </c>
      <c r="F1152" s="21" t="s">
        <v>1197</v>
      </c>
      <c r="G1152" s="32"/>
      <c r="H1152" s="21"/>
      <c r="I1152" s="33"/>
      <c r="J1152" s="21" t="str">
        <f aca="false">INDEX(Students!$C$2:$C$601,MATCH(B1152,Students!$A$2:$A$601,0))</f>
        <v>Batch 2025</v>
      </c>
      <c r="K1152" s="21" t="str">
        <f aca="false">INDEX(Students!$D$2:$D$601,MATCH(B1152,Students!$A$2:$A$601,0))</f>
        <v>Full Stack Development</v>
      </c>
      <c r="L1152" s="21" t="str">
        <f aca="false">INDEX(Companies!$C$2:$C$31,MATCH(C1152,Companies!$A$2:$A$31,0))</f>
        <v>IT Services</v>
      </c>
      <c r="M1152" s="21" t="str">
        <f aca="false">INDEX(Companies!$D$2:$D$31,MATCH(C1152,Companies!$A$2:$A$31,0))</f>
        <v>Tier 3</v>
      </c>
      <c r="N1152" s="34" t="n">
        <f aca="false">MATCH(F1152,Assumptions!$K$4:$K$8,0)</f>
        <v>3</v>
      </c>
      <c r="O1152" s="21" t="str">
        <f aca="false">IF(H1152="Yes",MONTH(I1152),"")</f>
        <v/>
      </c>
      <c r="P1152" s="21" t="str">
        <f aca="false">IF(H1152="Yes",B1152,"")</f>
        <v/>
      </c>
    </row>
    <row r="1153" customFormat="false" ht="15" hidden="false" customHeight="false" outlineLevel="0" collapsed="false">
      <c r="A1153" s="21" t="s">
        <v>2368</v>
      </c>
      <c r="B1153" s="21" t="s">
        <v>643</v>
      </c>
      <c r="C1153" s="21" t="s">
        <v>1290</v>
      </c>
      <c r="D1153" s="21" t="s">
        <v>1209</v>
      </c>
      <c r="E1153" s="33" t="n">
        <v>45542</v>
      </c>
      <c r="F1153" s="21" t="s">
        <v>1175</v>
      </c>
      <c r="G1153" s="32"/>
      <c r="H1153" s="21"/>
      <c r="I1153" s="33"/>
      <c r="J1153" s="21" t="str">
        <f aca="false">INDEX(Students!$C$2:$C$601,MATCH(B1153,Students!$A$2:$A$601,0))</f>
        <v>Batch 2025</v>
      </c>
      <c r="K1153" s="21" t="str">
        <f aca="false">INDEX(Students!$D$2:$D$601,MATCH(B1153,Students!$A$2:$A$601,0))</f>
        <v>Data Analytics</v>
      </c>
      <c r="L1153" s="21" t="str">
        <f aca="false">INDEX(Companies!$C$2:$C$31,MATCH(C1153,Companies!$A$2:$A$31,0))</f>
        <v>Fintech</v>
      </c>
      <c r="M1153" s="21" t="str">
        <f aca="false">INDEX(Companies!$D$2:$D$31,MATCH(C1153,Companies!$A$2:$A$31,0))</f>
        <v>Tier 2</v>
      </c>
      <c r="N1153" s="34" t="n">
        <f aca="false">MATCH(F1153,Assumptions!$K$4:$K$8,0)</f>
        <v>1</v>
      </c>
      <c r="O1153" s="21" t="str">
        <f aca="false">IF(H1153="Yes",MONTH(I1153),"")</f>
        <v/>
      </c>
      <c r="P1153" s="21" t="str">
        <f aca="false">IF(H1153="Yes",B1153,"")</f>
        <v/>
      </c>
    </row>
    <row r="1154" customFormat="false" ht="15" hidden="false" customHeight="false" outlineLevel="0" collapsed="false">
      <c r="A1154" s="21" t="s">
        <v>2369</v>
      </c>
      <c r="B1154" s="21" t="s">
        <v>519</v>
      </c>
      <c r="C1154" s="21" t="s">
        <v>1298</v>
      </c>
      <c r="D1154" s="21" t="s">
        <v>1184</v>
      </c>
      <c r="E1154" s="33" t="n">
        <v>45542</v>
      </c>
      <c r="F1154" s="21" t="s">
        <v>1175</v>
      </c>
      <c r="G1154" s="32"/>
      <c r="H1154" s="21"/>
      <c r="I1154" s="33"/>
      <c r="J1154" s="21" t="str">
        <f aca="false">INDEX(Students!$C$2:$C$601,MATCH(B1154,Students!$A$2:$A$601,0))</f>
        <v>Batch 2025</v>
      </c>
      <c r="K1154" s="21" t="str">
        <f aca="false">INDEX(Students!$D$2:$D$601,MATCH(B1154,Students!$A$2:$A$601,0))</f>
        <v>DSA with Java</v>
      </c>
      <c r="L1154" s="21" t="str">
        <f aca="false">INDEX(Companies!$C$2:$C$31,MATCH(C1154,Companies!$A$2:$A$31,0))</f>
        <v>Fintech</v>
      </c>
      <c r="M1154" s="21" t="str">
        <f aca="false">INDEX(Companies!$D$2:$D$31,MATCH(C1154,Companies!$A$2:$A$31,0))</f>
        <v>Tier 2</v>
      </c>
      <c r="N1154" s="34" t="n">
        <f aca="false">MATCH(F1154,Assumptions!$K$4:$K$8,0)</f>
        <v>1</v>
      </c>
      <c r="O1154" s="21" t="str">
        <f aca="false">IF(H1154="Yes",MONTH(I1154),"")</f>
        <v/>
      </c>
      <c r="P1154" s="21" t="str">
        <f aca="false">IF(H1154="Yes",B1154,"")</f>
        <v/>
      </c>
    </row>
    <row r="1155" customFormat="false" ht="15" hidden="false" customHeight="false" outlineLevel="0" collapsed="false">
      <c r="A1155" s="21" t="s">
        <v>2370</v>
      </c>
      <c r="B1155" s="21" t="s">
        <v>645</v>
      </c>
      <c r="C1155" s="21" t="s">
        <v>1199</v>
      </c>
      <c r="D1155" s="21" t="s">
        <v>1209</v>
      </c>
      <c r="E1155" s="33" t="n">
        <v>45542</v>
      </c>
      <c r="F1155" s="21" t="s">
        <v>1178</v>
      </c>
      <c r="G1155" s="32"/>
      <c r="H1155" s="21"/>
      <c r="I1155" s="33"/>
      <c r="J1155" s="21" t="str">
        <f aca="false">INDEX(Students!$C$2:$C$601,MATCH(B1155,Students!$A$2:$A$601,0))</f>
        <v>Batch 2025</v>
      </c>
      <c r="K1155" s="21" t="str">
        <f aca="false">INDEX(Students!$D$2:$D$601,MATCH(B1155,Students!$A$2:$A$601,0))</f>
        <v>Data Analytics</v>
      </c>
      <c r="L1155" s="21" t="str">
        <f aca="false">INDEX(Companies!$C$2:$C$31,MATCH(C1155,Companies!$A$2:$A$31,0))</f>
        <v>E-commerce</v>
      </c>
      <c r="M1155" s="21" t="str">
        <f aca="false">INDEX(Companies!$D$2:$D$31,MATCH(C1155,Companies!$A$2:$A$31,0))</f>
        <v>Tier 2</v>
      </c>
      <c r="N1155" s="34" t="n">
        <f aca="false">MATCH(F1155,Assumptions!$K$4:$K$8,0)</f>
        <v>2</v>
      </c>
      <c r="O1155" s="21" t="str">
        <f aca="false">IF(H1155="Yes",MONTH(I1155),"")</f>
        <v/>
      </c>
      <c r="P1155" s="21" t="str">
        <f aca="false">IF(H1155="Yes",B1155,"")</f>
        <v/>
      </c>
    </row>
    <row r="1156" customFormat="false" ht="15" hidden="false" customHeight="false" outlineLevel="0" collapsed="false">
      <c r="A1156" s="21" t="s">
        <v>2371</v>
      </c>
      <c r="B1156" s="21" t="s">
        <v>729</v>
      </c>
      <c r="C1156" s="21" t="s">
        <v>1173</v>
      </c>
      <c r="D1156" s="21" t="s">
        <v>1240</v>
      </c>
      <c r="E1156" s="33" t="n">
        <v>45542</v>
      </c>
      <c r="F1156" s="21" t="s">
        <v>1218</v>
      </c>
      <c r="G1156" s="32"/>
      <c r="H1156" s="21"/>
      <c r="I1156" s="33"/>
      <c r="J1156" s="21" t="str">
        <f aca="false">INDEX(Students!$C$2:$C$601,MATCH(B1156,Students!$A$2:$A$601,0))</f>
        <v>Batch 2025</v>
      </c>
      <c r="K1156" s="21" t="str">
        <f aca="false">INDEX(Students!$D$2:$D$601,MATCH(B1156,Students!$A$2:$A$601,0))</f>
        <v>Cybersecurity</v>
      </c>
      <c r="L1156" s="21" t="str">
        <f aca="false">INDEX(Companies!$C$2:$C$31,MATCH(C1156,Companies!$A$2:$A$31,0))</f>
        <v>Cybersecurity</v>
      </c>
      <c r="M1156" s="21" t="str">
        <f aca="false">INDEX(Companies!$D$2:$D$31,MATCH(C1156,Companies!$A$2:$A$31,0))</f>
        <v>Tier 1</v>
      </c>
      <c r="N1156" s="34" t="n">
        <f aca="false">MATCH(F1156,Assumptions!$K$4:$K$8,0)</f>
        <v>4</v>
      </c>
      <c r="O1156" s="21" t="str">
        <f aca="false">IF(H1156="Yes",MONTH(I1156),"")</f>
        <v/>
      </c>
      <c r="P1156" s="21" t="str">
        <f aca="false">IF(H1156="Yes",B1156,"")</f>
        <v/>
      </c>
    </row>
    <row r="1157" customFormat="false" ht="15" hidden="false" customHeight="false" outlineLevel="0" collapsed="false">
      <c r="A1157" s="21" t="s">
        <v>2372</v>
      </c>
      <c r="B1157" s="21" t="s">
        <v>501</v>
      </c>
      <c r="C1157" s="21" t="s">
        <v>1234</v>
      </c>
      <c r="D1157" s="21" t="s">
        <v>1191</v>
      </c>
      <c r="E1157" s="33" t="n">
        <v>45543</v>
      </c>
      <c r="F1157" s="21" t="s">
        <v>1185</v>
      </c>
      <c r="G1157" s="32" t="n">
        <v>6</v>
      </c>
      <c r="H1157" s="21" t="s">
        <v>113</v>
      </c>
      <c r="I1157" s="33" t="n">
        <v>45585</v>
      </c>
      <c r="J1157" s="21" t="str">
        <f aca="false">INDEX(Students!$C$2:$C$601,MATCH(B1157,Students!$A$2:$A$601,0))</f>
        <v>Batch 2025</v>
      </c>
      <c r="K1157" s="21" t="str">
        <f aca="false">INDEX(Students!$D$2:$D$601,MATCH(B1157,Students!$A$2:$A$601,0))</f>
        <v>DSA with Java</v>
      </c>
      <c r="L1157" s="21" t="str">
        <f aca="false">INDEX(Companies!$C$2:$C$31,MATCH(C1157,Companies!$A$2:$A$31,0))</f>
        <v>EdTech</v>
      </c>
      <c r="M1157" s="21" t="str">
        <f aca="false">INDEX(Companies!$D$2:$D$31,MATCH(C1157,Companies!$A$2:$A$31,0))</f>
        <v>Tier 3</v>
      </c>
      <c r="N1157" s="34" t="n">
        <f aca="false">MATCH(F1157,Assumptions!$K$4:$K$8,0)</f>
        <v>5</v>
      </c>
      <c r="O1157" s="21" t="str">
        <f aca="false">IF(H1157="Yes",MONTH(I1157),"")</f>
        <v/>
      </c>
      <c r="P1157" s="21" t="str">
        <f aca="false">IF(H1157="Yes",B1157,"")</f>
        <v/>
      </c>
    </row>
    <row r="1158" customFormat="false" ht="15" hidden="false" customHeight="false" outlineLevel="0" collapsed="false">
      <c r="A1158" s="21" t="s">
        <v>2373</v>
      </c>
      <c r="B1158" s="21" t="s">
        <v>499</v>
      </c>
      <c r="C1158" s="21" t="s">
        <v>1177</v>
      </c>
      <c r="D1158" s="21" t="s">
        <v>1191</v>
      </c>
      <c r="E1158" s="33" t="n">
        <v>45543</v>
      </c>
      <c r="F1158" s="21" t="s">
        <v>1218</v>
      </c>
      <c r="G1158" s="32"/>
      <c r="H1158" s="21"/>
      <c r="I1158" s="33"/>
      <c r="J1158" s="21" t="str">
        <f aca="false">INDEX(Students!$C$2:$C$601,MATCH(B1158,Students!$A$2:$A$601,0))</f>
        <v>Batch 2025</v>
      </c>
      <c r="K1158" s="21" t="str">
        <f aca="false">INDEX(Students!$D$2:$D$601,MATCH(B1158,Students!$A$2:$A$601,0))</f>
        <v>DSA with Java</v>
      </c>
      <c r="L1158" s="21" t="str">
        <f aca="false">INDEX(Companies!$C$2:$C$31,MATCH(C1158,Companies!$A$2:$A$31,0))</f>
        <v>IT Services</v>
      </c>
      <c r="M1158" s="21" t="str">
        <f aca="false">INDEX(Companies!$D$2:$D$31,MATCH(C1158,Companies!$A$2:$A$31,0))</f>
        <v>Tier 3</v>
      </c>
      <c r="N1158" s="34" t="n">
        <f aca="false">MATCH(F1158,Assumptions!$K$4:$K$8,0)</f>
        <v>4</v>
      </c>
      <c r="O1158" s="21" t="str">
        <f aca="false">IF(H1158="Yes",MONTH(I1158),"")</f>
        <v/>
      </c>
      <c r="P1158" s="21" t="str">
        <f aca="false">IF(H1158="Yes",B1158,"")</f>
        <v/>
      </c>
    </row>
    <row r="1159" customFormat="false" ht="15" hidden="false" customHeight="false" outlineLevel="0" collapsed="false">
      <c r="A1159" s="21" t="s">
        <v>2374</v>
      </c>
      <c r="B1159" s="21" t="s">
        <v>679</v>
      </c>
      <c r="C1159" s="21" t="s">
        <v>1199</v>
      </c>
      <c r="D1159" s="21" t="s">
        <v>1194</v>
      </c>
      <c r="E1159" s="33" t="n">
        <v>45543</v>
      </c>
      <c r="F1159" s="21" t="s">
        <v>1197</v>
      </c>
      <c r="G1159" s="32"/>
      <c r="H1159" s="21"/>
      <c r="I1159" s="33"/>
      <c r="J1159" s="21" t="str">
        <f aca="false">INDEX(Students!$C$2:$C$601,MATCH(B1159,Students!$A$2:$A$601,0))</f>
        <v>Batch 2025</v>
      </c>
      <c r="K1159" s="21" t="str">
        <f aca="false">INDEX(Students!$D$2:$D$601,MATCH(B1159,Students!$A$2:$A$601,0))</f>
        <v>Data Science &amp; ML</v>
      </c>
      <c r="L1159" s="21" t="str">
        <f aca="false">INDEX(Companies!$C$2:$C$31,MATCH(C1159,Companies!$A$2:$A$31,0))</f>
        <v>E-commerce</v>
      </c>
      <c r="M1159" s="21" t="str">
        <f aca="false">INDEX(Companies!$D$2:$D$31,MATCH(C1159,Companies!$A$2:$A$31,0))</f>
        <v>Tier 2</v>
      </c>
      <c r="N1159" s="34" t="n">
        <f aca="false">MATCH(F1159,Assumptions!$K$4:$K$8,0)</f>
        <v>3</v>
      </c>
      <c r="O1159" s="21" t="str">
        <f aca="false">IF(H1159="Yes",MONTH(I1159),"")</f>
        <v/>
      </c>
      <c r="P1159" s="21" t="str">
        <f aca="false">IF(H1159="Yes",B1159,"")</f>
        <v/>
      </c>
    </row>
    <row r="1160" customFormat="false" ht="15" hidden="false" customHeight="false" outlineLevel="0" collapsed="false">
      <c r="A1160" s="21" t="s">
        <v>2375</v>
      </c>
      <c r="B1160" s="21" t="s">
        <v>679</v>
      </c>
      <c r="C1160" s="21" t="s">
        <v>1177</v>
      </c>
      <c r="D1160" s="21" t="s">
        <v>1243</v>
      </c>
      <c r="E1160" s="33" t="n">
        <v>45543</v>
      </c>
      <c r="F1160" s="21" t="s">
        <v>1197</v>
      </c>
      <c r="G1160" s="32"/>
      <c r="H1160" s="21"/>
      <c r="I1160" s="33"/>
      <c r="J1160" s="21" t="str">
        <f aca="false">INDEX(Students!$C$2:$C$601,MATCH(B1160,Students!$A$2:$A$601,0))</f>
        <v>Batch 2025</v>
      </c>
      <c r="K1160" s="21" t="str">
        <f aca="false">INDEX(Students!$D$2:$D$601,MATCH(B1160,Students!$A$2:$A$601,0))</f>
        <v>Data Science &amp; ML</v>
      </c>
      <c r="L1160" s="21" t="str">
        <f aca="false">INDEX(Companies!$C$2:$C$31,MATCH(C1160,Companies!$A$2:$A$31,0))</f>
        <v>IT Services</v>
      </c>
      <c r="M1160" s="21" t="str">
        <f aca="false">INDEX(Companies!$D$2:$D$31,MATCH(C1160,Companies!$A$2:$A$31,0))</f>
        <v>Tier 3</v>
      </c>
      <c r="N1160" s="34" t="n">
        <f aca="false">MATCH(F1160,Assumptions!$K$4:$K$8,0)</f>
        <v>3</v>
      </c>
      <c r="O1160" s="21" t="str">
        <f aca="false">IF(H1160="Yes",MONTH(I1160),"")</f>
        <v/>
      </c>
      <c r="P1160" s="21" t="str">
        <f aca="false">IF(H1160="Yes",B1160,"")</f>
        <v/>
      </c>
    </row>
    <row r="1161" customFormat="false" ht="15" hidden="false" customHeight="false" outlineLevel="0" collapsed="false">
      <c r="A1161" s="21" t="s">
        <v>2376</v>
      </c>
      <c r="B1161" s="21" t="s">
        <v>507</v>
      </c>
      <c r="C1161" s="21" t="s">
        <v>1205</v>
      </c>
      <c r="D1161" s="21" t="s">
        <v>1240</v>
      </c>
      <c r="E1161" s="33" t="n">
        <v>45544</v>
      </c>
      <c r="F1161" s="21" t="s">
        <v>1197</v>
      </c>
      <c r="G1161" s="32"/>
      <c r="H1161" s="21"/>
      <c r="I1161" s="33"/>
      <c r="J1161" s="21" t="str">
        <f aca="false">INDEX(Students!$C$2:$C$601,MATCH(B1161,Students!$A$2:$A$601,0))</f>
        <v>Batch 2025</v>
      </c>
      <c r="K1161" s="21" t="str">
        <f aca="false">INDEX(Students!$D$2:$D$601,MATCH(B1161,Students!$A$2:$A$601,0))</f>
        <v>Cybersecurity</v>
      </c>
      <c r="L1161" s="21" t="str">
        <f aca="false">INDEX(Companies!$C$2:$C$31,MATCH(C1161,Companies!$A$2:$A$31,0))</f>
        <v>Healthtech</v>
      </c>
      <c r="M1161" s="21" t="str">
        <f aca="false">INDEX(Companies!$D$2:$D$31,MATCH(C1161,Companies!$A$2:$A$31,0))</f>
        <v>Tier 3</v>
      </c>
      <c r="N1161" s="34" t="n">
        <f aca="false">MATCH(F1161,Assumptions!$K$4:$K$8,0)</f>
        <v>3</v>
      </c>
      <c r="O1161" s="21" t="str">
        <f aca="false">IF(H1161="Yes",MONTH(I1161),"")</f>
        <v/>
      </c>
      <c r="P1161" s="21" t="str">
        <f aca="false">IF(H1161="Yes",B1161,"")</f>
        <v/>
      </c>
    </row>
    <row r="1162" customFormat="false" ht="15" hidden="false" customHeight="false" outlineLevel="0" collapsed="false">
      <c r="A1162" s="21" t="s">
        <v>2377</v>
      </c>
      <c r="B1162" s="21" t="s">
        <v>463</v>
      </c>
      <c r="C1162" s="21" t="s">
        <v>1230</v>
      </c>
      <c r="D1162" s="21" t="s">
        <v>1226</v>
      </c>
      <c r="E1162" s="33" t="n">
        <v>45544</v>
      </c>
      <c r="F1162" s="21" t="s">
        <v>1185</v>
      </c>
      <c r="G1162" s="32" t="n">
        <v>6.5</v>
      </c>
      <c r="H1162" s="21" t="s">
        <v>113</v>
      </c>
      <c r="I1162" s="33" t="n">
        <v>45584</v>
      </c>
      <c r="J1162" s="21" t="str">
        <f aca="false">INDEX(Students!$C$2:$C$601,MATCH(B1162,Students!$A$2:$A$601,0))</f>
        <v>Batch 2025</v>
      </c>
      <c r="K1162" s="21" t="str">
        <f aca="false">INDEX(Students!$D$2:$D$601,MATCH(B1162,Students!$A$2:$A$601,0))</f>
        <v>Cybersecurity</v>
      </c>
      <c r="L1162" s="21" t="str">
        <f aca="false">INDEX(Companies!$C$2:$C$31,MATCH(C1162,Companies!$A$2:$A$31,0))</f>
        <v>IT Services</v>
      </c>
      <c r="M1162" s="21" t="str">
        <f aca="false">INDEX(Companies!$D$2:$D$31,MATCH(C1162,Companies!$A$2:$A$31,0))</f>
        <v>Tier 3</v>
      </c>
      <c r="N1162" s="34" t="n">
        <f aca="false">MATCH(F1162,Assumptions!$K$4:$K$8,0)</f>
        <v>5</v>
      </c>
      <c r="O1162" s="21" t="str">
        <f aca="false">IF(H1162="Yes",MONTH(I1162),"")</f>
        <v/>
      </c>
      <c r="P1162" s="21" t="str">
        <f aca="false">IF(H1162="Yes",B1162,"")</f>
        <v/>
      </c>
    </row>
    <row r="1163" customFormat="false" ht="15" hidden="false" customHeight="false" outlineLevel="0" collapsed="false">
      <c r="A1163" s="21" t="s">
        <v>2378</v>
      </c>
      <c r="B1163" s="21" t="s">
        <v>509</v>
      </c>
      <c r="C1163" s="21" t="s">
        <v>1255</v>
      </c>
      <c r="D1163" s="21" t="s">
        <v>1209</v>
      </c>
      <c r="E1163" s="33" t="n">
        <v>45544</v>
      </c>
      <c r="F1163" s="21" t="s">
        <v>1197</v>
      </c>
      <c r="G1163" s="32"/>
      <c r="H1163" s="21"/>
      <c r="I1163" s="33"/>
      <c r="J1163" s="21" t="str">
        <f aca="false">INDEX(Students!$C$2:$C$601,MATCH(B1163,Students!$A$2:$A$601,0))</f>
        <v>Batch 2025</v>
      </c>
      <c r="K1163" s="21" t="str">
        <f aca="false">INDEX(Students!$D$2:$D$601,MATCH(B1163,Students!$A$2:$A$601,0))</f>
        <v>Data Analytics</v>
      </c>
      <c r="L1163" s="21" t="str">
        <f aca="false">INDEX(Companies!$C$2:$C$31,MATCH(C1163,Companies!$A$2:$A$31,0))</f>
        <v>IT Services</v>
      </c>
      <c r="M1163" s="21" t="str">
        <f aca="false">INDEX(Companies!$D$2:$D$31,MATCH(C1163,Companies!$A$2:$A$31,0))</f>
        <v>Tier 3</v>
      </c>
      <c r="N1163" s="34" t="n">
        <f aca="false">MATCH(F1163,Assumptions!$K$4:$K$8,0)</f>
        <v>3</v>
      </c>
      <c r="O1163" s="21" t="str">
        <f aca="false">IF(H1163="Yes",MONTH(I1163),"")</f>
        <v/>
      </c>
      <c r="P1163" s="21" t="str">
        <f aca="false">IF(H1163="Yes",B1163,"")</f>
        <v/>
      </c>
    </row>
    <row r="1164" customFormat="false" ht="15" hidden="false" customHeight="false" outlineLevel="0" collapsed="false">
      <c r="A1164" s="21" t="s">
        <v>2379</v>
      </c>
      <c r="B1164" s="21" t="s">
        <v>517</v>
      </c>
      <c r="C1164" s="21" t="s">
        <v>1263</v>
      </c>
      <c r="D1164" s="21" t="s">
        <v>1191</v>
      </c>
      <c r="E1164" s="33" t="n">
        <v>45544</v>
      </c>
      <c r="F1164" s="21" t="s">
        <v>1185</v>
      </c>
      <c r="G1164" s="32" t="n">
        <v>13.2</v>
      </c>
      <c r="H1164" s="21" t="s">
        <v>120</v>
      </c>
      <c r="I1164" s="33" t="n">
        <v>45584</v>
      </c>
      <c r="J1164" s="21" t="str">
        <f aca="false">INDEX(Students!$C$2:$C$601,MATCH(B1164,Students!$A$2:$A$601,0))</f>
        <v>Batch 2025</v>
      </c>
      <c r="K1164" s="21" t="str">
        <f aca="false">INDEX(Students!$D$2:$D$601,MATCH(B1164,Students!$A$2:$A$601,0))</f>
        <v>DSA with Java</v>
      </c>
      <c r="L1164" s="21" t="str">
        <f aca="false">INDEX(Companies!$C$2:$C$31,MATCH(C1164,Companies!$A$2:$A$31,0))</f>
        <v>Analytics &amp; Consulting</v>
      </c>
      <c r="M1164" s="21" t="str">
        <f aca="false">INDEX(Companies!$D$2:$D$31,MATCH(C1164,Companies!$A$2:$A$31,0))</f>
        <v>Tier 2</v>
      </c>
      <c r="N1164" s="34" t="n">
        <f aca="false">MATCH(F1164,Assumptions!$K$4:$K$8,0)</f>
        <v>5</v>
      </c>
      <c r="O1164" s="21" t="n">
        <f aca="false">IF(H1164="Yes",MONTH(I1164),"")</f>
        <v>10</v>
      </c>
      <c r="P1164" s="21" t="str">
        <f aca="false">IF(H1164="Yes",B1164,"")</f>
        <v>S0215</v>
      </c>
    </row>
    <row r="1165" customFormat="false" ht="15" hidden="false" customHeight="false" outlineLevel="0" collapsed="false">
      <c r="A1165" s="21" t="s">
        <v>2380</v>
      </c>
      <c r="B1165" s="21" t="s">
        <v>682</v>
      </c>
      <c r="C1165" s="21" t="s">
        <v>1290</v>
      </c>
      <c r="D1165" s="21" t="s">
        <v>1191</v>
      </c>
      <c r="E1165" s="33" t="n">
        <v>45545</v>
      </c>
      <c r="F1165" s="21" t="s">
        <v>1185</v>
      </c>
      <c r="G1165" s="32" t="n">
        <v>12.9</v>
      </c>
      <c r="H1165" s="21" t="s">
        <v>120</v>
      </c>
      <c r="I1165" s="33" t="n">
        <v>45590</v>
      </c>
      <c r="J1165" s="21" t="str">
        <f aca="false">INDEX(Students!$C$2:$C$601,MATCH(B1165,Students!$A$2:$A$601,0))</f>
        <v>Batch 2025</v>
      </c>
      <c r="K1165" s="21" t="str">
        <f aca="false">INDEX(Students!$D$2:$D$601,MATCH(B1165,Students!$A$2:$A$601,0))</f>
        <v>DSA with Java</v>
      </c>
      <c r="L1165" s="21" t="str">
        <f aca="false">INDEX(Companies!$C$2:$C$31,MATCH(C1165,Companies!$A$2:$A$31,0))</f>
        <v>Fintech</v>
      </c>
      <c r="M1165" s="21" t="str">
        <f aca="false">INDEX(Companies!$D$2:$D$31,MATCH(C1165,Companies!$A$2:$A$31,0))</f>
        <v>Tier 2</v>
      </c>
      <c r="N1165" s="34" t="n">
        <f aca="false">MATCH(F1165,Assumptions!$K$4:$K$8,0)</f>
        <v>5</v>
      </c>
      <c r="O1165" s="21" t="n">
        <f aca="false">IF(H1165="Yes",MONTH(I1165),"")</f>
        <v>10</v>
      </c>
      <c r="P1165" s="21" t="str">
        <f aca="false">IF(H1165="Yes",B1165,"")</f>
        <v>S0308</v>
      </c>
    </row>
    <row r="1166" customFormat="false" ht="15" hidden="false" customHeight="false" outlineLevel="0" collapsed="false">
      <c r="A1166" s="21" t="s">
        <v>2381</v>
      </c>
      <c r="B1166" s="21" t="s">
        <v>626</v>
      </c>
      <c r="C1166" s="21" t="s">
        <v>1180</v>
      </c>
      <c r="D1166" s="21" t="s">
        <v>1209</v>
      </c>
      <c r="E1166" s="33" t="n">
        <v>45545</v>
      </c>
      <c r="F1166" s="21" t="s">
        <v>1185</v>
      </c>
      <c r="G1166" s="32" t="n">
        <v>7.9</v>
      </c>
      <c r="H1166" s="21" t="s">
        <v>113</v>
      </c>
      <c r="I1166" s="33" t="n">
        <v>45594</v>
      </c>
      <c r="J1166" s="21" t="str">
        <f aca="false">INDEX(Students!$C$2:$C$601,MATCH(B1166,Students!$A$2:$A$601,0))</f>
        <v>Batch 2025</v>
      </c>
      <c r="K1166" s="21" t="str">
        <f aca="false">INDEX(Students!$D$2:$D$601,MATCH(B1166,Students!$A$2:$A$601,0))</f>
        <v>Data Analytics</v>
      </c>
      <c r="L1166" s="21" t="str">
        <f aca="false">INDEX(Companies!$C$2:$C$31,MATCH(C1166,Companies!$A$2:$A$31,0))</f>
        <v>IT Services</v>
      </c>
      <c r="M1166" s="21" t="str">
        <f aca="false">INDEX(Companies!$D$2:$D$31,MATCH(C1166,Companies!$A$2:$A$31,0))</f>
        <v>Tier 3</v>
      </c>
      <c r="N1166" s="34" t="n">
        <f aca="false">MATCH(F1166,Assumptions!$K$4:$K$8,0)</f>
        <v>5</v>
      </c>
      <c r="O1166" s="21" t="str">
        <f aca="false">IF(H1166="Yes",MONTH(I1166),"")</f>
        <v/>
      </c>
      <c r="P1166" s="21" t="str">
        <f aca="false">IF(H1166="Yes",B1166,"")</f>
        <v/>
      </c>
    </row>
    <row r="1167" customFormat="false" ht="15" hidden="false" customHeight="false" outlineLevel="0" collapsed="false">
      <c r="A1167" s="21" t="s">
        <v>2382</v>
      </c>
      <c r="B1167" s="21" t="s">
        <v>741</v>
      </c>
      <c r="C1167" s="21" t="s">
        <v>1211</v>
      </c>
      <c r="D1167" s="21" t="s">
        <v>1194</v>
      </c>
      <c r="E1167" s="33" t="n">
        <v>45545</v>
      </c>
      <c r="F1167" s="21" t="s">
        <v>1178</v>
      </c>
      <c r="G1167" s="32"/>
      <c r="H1167" s="21"/>
      <c r="I1167" s="33"/>
      <c r="J1167" s="21" t="str">
        <f aca="false">INDEX(Students!$C$2:$C$601,MATCH(B1167,Students!$A$2:$A$601,0))</f>
        <v>Batch 2025</v>
      </c>
      <c r="K1167" s="21" t="str">
        <f aca="false">INDEX(Students!$D$2:$D$601,MATCH(B1167,Students!$A$2:$A$601,0))</f>
        <v>Data Science &amp; ML</v>
      </c>
      <c r="L1167" s="21" t="str">
        <f aca="false">INDEX(Companies!$C$2:$C$31,MATCH(C1167,Companies!$A$2:$A$31,0))</f>
        <v>Analytics &amp; Consulting</v>
      </c>
      <c r="M1167" s="21" t="str">
        <f aca="false">INDEX(Companies!$D$2:$D$31,MATCH(C1167,Companies!$A$2:$A$31,0))</f>
        <v>Tier 3</v>
      </c>
      <c r="N1167" s="34" t="n">
        <f aca="false">MATCH(F1167,Assumptions!$K$4:$K$8,0)</f>
        <v>2</v>
      </c>
      <c r="O1167" s="21" t="str">
        <f aca="false">IF(H1167="Yes",MONTH(I1167),"")</f>
        <v/>
      </c>
      <c r="P1167" s="21" t="str">
        <f aca="false">IF(H1167="Yes",B1167,"")</f>
        <v/>
      </c>
    </row>
    <row r="1168" customFormat="false" ht="15" hidden="false" customHeight="false" outlineLevel="0" collapsed="false">
      <c r="A1168" s="21" t="s">
        <v>2383</v>
      </c>
      <c r="B1168" s="21" t="s">
        <v>641</v>
      </c>
      <c r="C1168" s="21" t="s">
        <v>1183</v>
      </c>
      <c r="D1168" s="21" t="s">
        <v>1181</v>
      </c>
      <c r="E1168" s="33" t="n">
        <v>45545</v>
      </c>
      <c r="F1168" s="21" t="s">
        <v>1197</v>
      </c>
      <c r="G1168" s="32"/>
      <c r="H1168" s="21"/>
      <c r="I1168" s="33"/>
      <c r="J1168" s="21" t="str">
        <f aca="false">INDEX(Students!$C$2:$C$601,MATCH(B1168,Students!$A$2:$A$601,0))</f>
        <v>Batch 2025</v>
      </c>
      <c r="K1168" s="21" t="str">
        <f aca="false">INDEX(Students!$D$2:$D$601,MATCH(B1168,Students!$A$2:$A$601,0))</f>
        <v>Full Stack Development</v>
      </c>
      <c r="L1168" s="21" t="str">
        <f aca="false">INDEX(Companies!$C$2:$C$31,MATCH(C1168,Companies!$A$2:$A$31,0))</f>
        <v>E-commerce</v>
      </c>
      <c r="M1168" s="21" t="str">
        <f aca="false">INDEX(Companies!$D$2:$D$31,MATCH(C1168,Companies!$A$2:$A$31,0))</f>
        <v>Tier 2</v>
      </c>
      <c r="N1168" s="34" t="n">
        <f aca="false">MATCH(F1168,Assumptions!$K$4:$K$8,0)</f>
        <v>3</v>
      </c>
      <c r="O1168" s="21" t="str">
        <f aca="false">IF(H1168="Yes",MONTH(I1168),"")</f>
        <v/>
      </c>
      <c r="P1168" s="21" t="str">
        <f aca="false">IF(H1168="Yes",B1168,"")</f>
        <v/>
      </c>
    </row>
    <row r="1169" customFormat="false" ht="15" hidden="false" customHeight="false" outlineLevel="0" collapsed="false">
      <c r="A1169" s="21" t="s">
        <v>2384</v>
      </c>
      <c r="B1169" s="21" t="s">
        <v>794</v>
      </c>
      <c r="C1169" s="21" t="s">
        <v>1193</v>
      </c>
      <c r="D1169" s="21" t="s">
        <v>1194</v>
      </c>
      <c r="E1169" s="33" t="n">
        <v>45545</v>
      </c>
      <c r="F1169" s="21" t="s">
        <v>1178</v>
      </c>
      <c r="G1169" s="32"/>
      <c r="H1169" s="21"/>
      <c r="I1169" s="33"/>
      <c r="J1169" s="21" t="str">
        <f aca="false">INDEX(Students!$C$2:$C$601,MATCH(B1169,Students!$A$2:$A$601,0))</f>
        <v>Batch 2025</v>
      </c>
      <c r="K1169" s="21" t="str">
        <f aca="false">INDEX(Students!$D$2:$D$601,MATCH(B1169,Students!$A$2:$A$601,0))</f>
        <v>Data Science &amp; ML</v>
      </c>
      <c r="L1169" s="21" t="str">
        <f aca="false">INDEX(Companies!$C$2:$C$31,MATCH(C1169,Companies!$A$2:$A$31,0))</f>
        <v>Analytics &amp; Consulting</v>
      </c>
      <c r="M1169" s="21" t="str">
        <f aca="false">INDEX(Companies!$D$2:$D$31,MATCH(C1169,Companies!$A$2:$A$31,0))</f>
        <v>Tier 2</v>
      </c>
      <c r="N1169" s="34" t="n">
        <f aca="false">MATCH(F1169,Assumptions!$K$4:$K$8,0)</f>
        <v>2</v>
      </c>
      <c r="O1169" s="21" t="str">
        <f aca="false">IF(H1169="Yes",MONTH(I1169),"")</f>
        <v/>
      </c>
      <c r="P1169" s="21" t="str">
        <f aca="false">IF(H1169="Yes",B1169,"")</f>
        <v/>
      </c>
    </row>
    <row r="1170" customFormat="false" ht="15" hidden="false" customHeight="false" outlineLevel="0" collapsed="false">
      <c r="A1170" s="21" t="s">
        <v>2385</v>
      </c>
      <c r="B1170" s="21" t="s">
        <v>507</v>
      </c>
      <c r="C1170" s="21" t="s">
        <v>1214</v>
      </c>
      <c r="D1170" s="21" t="s">
        <v>1240</v>
      </c>
      <c r="E1170" s="33" t="n">
        <v>45546</v>
      </c>
      <c r="F1170" s="21" t="s">
        <v>1218</v>
      </c>
      <c r="G1170" s="32"/>
      <c r="H1170" s="21"/>
      <c r="I1170" s="33"/>
      <c r="J1170" s="21" t="str">
        <f aca="false">INDEX(Students!$C$2:$C$601,MATCH(B1170,Students!$A$2:$A$601,0))</f>
        <v>Batch 2025</v>
      </c>
      <c r="K1170" s="21" t="str">
        <f aca="false">INDEX(Students!$D$2:$D$601,MATCH(B1170,Students!$A$2:$A$601,0))</f>
        <v>Cybersecurity</v>
      </c>
      <c r="L1170" s="21" t="str">
        <f aca="false">INDEX(Companies!$C$2:$C$31,MATCH(C1170,Companies!$A$2:$A$31,0))</f>
        <v>Product</v>
      </c>
      <c r="M1170" s="21" t="str">
        <f aca="false">INDEX(Companies!$D$2:$D$31,MATCH(C1170,Companies!$A$2:$A$31,0))</f>
        <v>Tier 1</v>
      </c>
      <c r="N1170" s="34" t="n">
        <f aca="false">MATCH(F1170,Assumptions!$K$4:$K$8,0)</f>
        <v>4</v>
      </c>
      <c r="O1170" s="21" t="str">
        <f aca="false">IF(H1170="Yes",MONTH(I1170),"")</f>
        <v/>
      </c>
      <c r="P1170" s="21" t="str">
        <f aca="false">IF(H1170="Yes",B1170,"")</f>
        <v/>
      </c>
    </row>
    <row r="1171" customFormat="false" ht="15" hidden="false" customHeight="false" outlineLevel="0" collapsed="false">
      <c r="A1171" s="21" t="s">
        <v>2386</v>
      </c>
      <c r="B1171" s="21" t="s">
        <v>517</v>
      </c>
      <c r="C1171" s="21" t="s">
        <v>1298</v>
      </c>
      <c r="D1171" s="21" t="s">
        <v>1191</v>
      </c>
      <c r="E1171" s="33" t="n">
        <v>45546</v>
      </c>
      <c r="F1171" s="21" t="s">
        <v>1197</v>
      </c>
      <c r="G1171" s="32"/>
      <c r="H1171" s="21"/>
      <c r="I1171" s="33"/>
      <c r="J1171" s="21" t="str">
        <f aca="false">INDEX(Students!$C$2:$C$601,MATCH(B1171,Students!$A$2:$A$601,0))</f>
        <v>Batch 2025</v>
      </c>
      <c r="K1171" s="21" t="str">
        <f aca="false">INDEX(Students!$D$2:$D$601,MATCH(B1171,Students!$A$2:$A$601,0))</f>
        <v>DSA with Java</v>
      </c>
      <c r="L1171" s="21" t="str">
        <f aca="false">INDEX(Companies!$C$2:$C$31,MATCH(C1171,Companies!$A$2:$A$31,0))</f>
        <v>Fintech</v>
      </c>
      <c r="M1171" s="21" t="str">
        <f aca="false">INDEX(Companies!$D$2:$D$31,MATCH(C1171,Companies!$A$2:$A$31,0))</f>
        <v>Tier 2</v>
      </c>
      <c r="N1171" s="34" t="n">
        <f aca="false">MATCH(F1171,Assumptions!$K$4:$K$8,0)</f>
        <v>3</v>
      </c>
      <c r="O1171" s="21" t="str">
        <f aca="false">IF(H1171="Yes",MONTH(I1171),"")</f>
        <v/>
      </c>
      <c r="P1171" s="21" t="str">
        <f aca="false">IF(H1171="Yes",B1171,"")</f>
        <v/>
      </c>
    </row>
    <row r="1172" customFormat="false" ht="15" hidden="false" customHeight="false" outlineLevel="0" collapsed="false">
      <c r="A1172" s="21" t="s">
        <v>2387</v>
      </c>
      <c r="B1172" s="21" t="s">
        <v>682</v>
      </c>
      <c r="C1172" s="21" t="s">
        <v>1183</v>
      </c>
      <c r="D1172" s="21" t="s">
        <v>1191</v>
      </c>
      <c r="E1172" s="33" t="n">
        <v>45546</v>
      </c>
      <c r="F1172" s="21" t="s">
        <v>1197</v>
      </c>
      <c r="G1172" s="32"/>
      <c r="H1172" s="21"/>
      <c r="I1172" s="33"/>
      <c r="J1172" s="21" t="str">
        <f aca="false">INDEX(Students!$C$2:$C$601,MATCH(B1172,Students!$A$2:$A$601,0))</f>
        <v>Batch 2025</v>
      </c>
      <c r="K1172" s="21" t="str">
        <f aca="false">INDEX(Students!$D$2:$D$601,MATCH(B1172,Students!$A$2:$A$601,0))</f>
        <v>DSA with Java</v>
      </c>
      <c r="L1172" s="21" t="str">
        <f aca="false">INDEX(Companies!$C$2:$C$31,MATCH(C1172,Companies!$A$2:$A$31,0))</f>
        <v>E-commerce</v>
      </c>
      <c r="M1172" s="21" t="str">
        <f aca="false">INDEX(Companies!$D$2:$D$31,MATCH(C1172,Companies!$A$2:$A$31,0))</f>
        <v>Tier 2</v>
      </c>
      <c r="N1172" s="34" t="n">
        <f aca="false">MATCH(F1172,Assumptions!$K$4:$K$8,0)</f>
        <v>3</v>
      </c>
      <c r="O1172" s="21" t="str">
        <f aca="false">IF(H1172="Yes",MONTH(I1172),"")</f>
        <v/>
      </c>
      <c r="P1172" s="21" t="str">
        <f aca="false">IF(H1172="Yes",B1172,"")</f>
        <v/>
      </c>
    </row>
    <row r="1173" customFormat="false" ht="15" hidden="false" customHeight="false" outlineLevel="0" collapsed="false">
      <c r="A1173" s="21" t="s">
        <v>2388</v>
      </c>
      <c r="B1173" s="21" t="s">
        <v>630</v>
      </c>
      <c r="C1173" s="21" t="s">
        <v>1230</v>
      </c>
      <c r="D1173" s="21" t="s">
        <v>1174</v>
      </c>
      <c r="E1173" s="33" t="n">
        <v>45547</v>
      </c>
      <c r="F1173" s="21" t="s">
        <v>1175</v>
      </c>
      <c r="G1173" s="32"/>
      <c r="H1173" s="21"/>
      <c r="I1173" s="33"/>
      <c r="J1173" s="21" t="str">
        <f aca="false">INDEX(Students!$C$2:$C$601,MATCH(B1173,Students!$A$2:$A$601,0))</f>
        <v>Batch 2025</v>
      </c>
      <c r="K1173" s="21" t="str">
        <f aca="false">INDEX(Students!$D$2:$D$601,MATCH(B1173,Students!$A$2:$A$601,0))</f>
        <v>Full Stack Development</v>
      </c>
      <c r="L1173" s="21" t="str">
        <f aca="false">INDEX(Companies!$C$2:$C$31,MATCH(C1173,Companies!$A$2:$A$31,0))</f>
        <v>IT Services</v>
      </c>
      <c r="M1173" s="21" t="str">
        <f aca="false">INDEX(Companies!$D$2:$D$31,MATCH(C1173,Companies!$A$2:$A$31,0))</f>
        <v>Tier 3</v>
      </c>
      <c r="N1173" s="34" t="n">
        <f aca="false">MATCH(F1173,Assumptions!$K$4:$K$8,0)</f>
        <v>1</v>
      </c>
      <c r="O1173" s="21" t="str">
        <f aca="false">IF(H1173="Yes",MONTH(I1173),"")</f>
        <v/>
      </c>
      <c r="P1173" s="21" t="str">
        <f aca="false">IF(H1173="Yes",B1173,"")</f>
        <v/>
      </c>
    </row>
    <row r="1174" customFormat="false" ht="15" hidden="false" customHeight="false" outlineLevel="0" collapsed="false">
      <c r="A1174" s="21" t="s">
        <v>2389</v>
      </c>
      <c r="B1174" s="21" t="s">
        <v>752</v>
      </c>
      <c r="C1174" s="21" t="s">
        <v>1225</v>
      </c>
      <c r="D1174" s="21" t="s">
        <v>1191</v>
      </c>
      <c r="E1174" s="33" t="n">
        <v>45547</v>
      </c>
      <c r="F1174" s="21" t="s">
        <v>1175</v>
      </c>
      <c r="G1174" s="32"/>
      <c r="H1174" s="21"/>
      <c r="I1174" s="33"/>
      <c r="J1174" s="21" t="str">
        <f aca="false">INDEX(Students!$C$2:$C$601,MATCH(B1174,Students!$A$2:$A$601,0))</f>
        <v>Batch 2025</v>
      </c>
      <c r="K1174" s="21" t="str">
        <f aca="false">INDEX(Students!$D$2:$D$601,MATCH(B1174,Students!$A$2:$A$601,0))</f>
        <v>DSA with Java</v>
      </c>
      <c r="L1174" s="21" t="str">
        <f aca="false">INDEX(Companies!$C$2:$C$31,MATCH(C1174,Companies!$A$2:$A$31,0))</f>
        <v>EdTech</v>
      </c>
      <c r="M1174" s="21" t="str">
        <f aca="false">INDEX(Companies!$D$2:$D$31,MATCH(C1174,Companies!$A$2:$A$31,0))</f>
        <v>Tier 2</v>
      </c>
      <c r="N1174" s="34" t="n">
        <f aca="false">MATCH(F1174,Assumptions!$K$4:$K$8,0)</f>
        <v>1</v>
      </c>
      <c r="O1174" s="21" t="str">
        <f aca="false">IF(H1174="Yes",MONTH(I1174),"")</f>
        <v/>
      </c>
      <c r="P1174" s="21" t="str">
        <f aca="false">IF(H1174="Yes",B1174,"")</f>
        <v/>
      </c>
    </row>
    <row r="1175" customFormat="false" ht="15" hidden="false" customHeight="false" outlineLevel="0" collapsed="false">
      <c r="A1175" s="21" t="s">
        <v>2390</v>
      </c>
      <c r="B1175" s="21" t="s">
        <v>614</v>
      </c>
      <c r="C1175" s="21" t="s">
        <v>1177</v>
      </c>
      <c r="D1175" s="21" t="s">
        <v>1243</v>
      </c>
      <c r="E1175" s="33" t="n">
        <v>45547</v>
      </c>
      <c r="F1175" s="21" t="s">
        <v>1185</v>
      </c>
      <c r="G1175" s="32" t="n">
        <v>5.6</v>
      </c>
      <c r="H1175" s="21" t="s">
        <v>113</v>
      </c>
      <c r="I1175" s="33" t="n">
        <v>45584</v>
      </c>
      <c r="J1175" s="21" t="str">
        <f aca="false">INDEX(Students!$C$2:$C$601,MATCH(B1175,Students!$A$2:$A$601,0))</f>
        <v>Batch 2025</v>
      </c>
      <c r="K1175" s="21" t="str">
        <f aca="false">INDEX(Students!$D$2:$D$601,MATCH(B1175,Students!$A$2:$A$601,0))</f>
        <v>Data Science &amp; ML</v>
      </c>
      <c r="L1175" s="21" t="str">
        <f aca="false">INDEX(Companies!$C$2:$C$31,MATCH(C1175,Companies!$A$2:$A$31,0))</f>
        <v>IT Services</v>
      </c>
      <c r="M1175" s="21" t="str">
        <f aca="false">INDEX(Companies!$D$2:$D$31,MATCH(C1175,Companies!$A$2:$A$31,0))</f>
        <v>Tier 3</v>
      </c>
      <c r="N1175" s="34" t="n">
        <f aca="false">MATCH(F1175,Assumptions!$K$4:$K$8,0)</f>
        <v>5</v>
      </c>
      <c r="O1175" s="21" t="str">
        <f aca="false">IF(H1175="Yes",MONTH(I1175),"")</f>
        <v/>
      </c>
      <c r="P1175" s="21" t="str">
        <f aca="false">IF(H1175="Yes",B1175,"")</f>
        <v/>
      </c>
    </row>
    <row r="1176" customFormat="false" ht="15" hidden="false" customHeight="false" outlineLevel="0" collapsed="false">
      <c r="A1176" s="21" t="s">
        <v>2391</v>
      </c>
      <c r="B1176" s="21" t="s">
        <v>489</v>
      </c>
      <c r="C1176" s="21" t="s">
        <v>1190</v>
      </c>
      <c r="D1176" s="21" t="s">
        <v>1240</v>
      </c>
      <c r="E1176" s="33" t="n">
        <v>45547</v>
      </c>
      <c r="F1176" s="21" t="s">
        <v>1175</v>
      </c>
      <c r="G1176" s="32"/>
      <c r="H1176" s="21"/>
      <c r="I1176" s="33"/>
      <c r="J1176" s="21" t="str">
        <f aca="false">INDEX(Students!$C$2:$C$601,MATCH(B1176,Students!$A$2:$A$601,0))</f>
        <v>Batch 2025</v>
      </c>
      <c r="K1176" s="21" t="str">
        <f aca="false">INDEX(Students!$D$2:$D$601,MATCH(B1176,Students!$A$2:$A$601,0))</f>
        <v>Cybersecurity</v>
      </c>
      <c r="L1176" s="21" t="str">
        <f aca="false">INDEX(Companies!$C$2:$C$31,MATCH(C1176,Companies!$A$2:$A$31,0))</f>
        <v>Analytics &amp; Consulting</v>
      </c>
      <c r="M1176" s="21" t="str">
        <f aca="false">INDEX(Companies!$D$2:$D$31,MATCH(C1176,Companies!$A$2:$A$31,0))</f>
        <v>Tier 1</v>
      </c>
      <c r="N1176" s="34" t="n">
        <f aca="false">MATCH(F1176,Assumptions!$K$4:$K$8,0)</f>
        <v>1</v>
      </c>
      <c r="O1176" s="21" t="str">
        <f aca="false">IF(H1176="Yes",MONTH(I1176),"")</f>
        <v/>
      </c>
      <c r="P1176" s="21" t="str">
        <f aca="false">IF(H1176="Yes",B1176,"")</f>
        <v/>
      </c>
    </row>
    <row r="1177" customFormat="false" ht="15" hidden="false" customHeight="false" outlineLevel="0" collapsed="false">
      <c r="A1177" s="21" t="s">
        <v>2392</v>
      </c>
      <c r="B1177" s="21" t="s">
        <v>515</v>
      </c>
      <c r="C1177" s="21" t="s">
        <v>1239</v>
      </c>
      <c r="D1177" s="21" t="s">
        <v>1194</v>
      </c>
      <c r="E1177" s="33" t="n">
        <v>45547</v>
      </c>
      <c r="F1177" s="21" t="s">
        <v>1218</v>
      </c>
      <c r="G1177" s="32"/>
      <c r="H1177" s="21"/>
      <c r="I1177" s="33"/>
      <c r="J1177" s="21" t="str">
        <f aca="false">INDEX(Students!$C$2:$C$601,MATCH(B1177,Students!$A$2:$A$601,0))</f>
        <v>Batch 2025</v>
      </c>
      <c r="K1177" s="21" t="str">
        <f aca="false">INDEX(Students!$D$2:$D$601,MATCH(B1177,Students!$A$2:$A$601,0))</f>
        <v>Data Science &amp; ML</v>
      </c>
      <c r="L1177" s="21" t="str">
        <f aca="false">INDEX(Companies!$C$2:$C$31,MATCH(C1177,Companies!$A$2:$A$31,0))</f>
        <v>E-commerce</v>
      </c>
      <c r="M1177" s="21" t="str">
        <f aca="false">INDEX(Companies!$D$2:$D$31,MATCH(C1177,Companies!$A$2:$A$31,0))</f>
        <v>Tier 3</v>
      </c>
      <c r="N1177" s="34" t="n">
        <f aca="false">MATCH(F1177,Assumptions!$K$4:$K$8,0)</f>
        <v>4</v>
      </c>
      <c r="O1177" s="21" t="str">
        <f aca="false">IF(H1177="Yes",MONTH(I1177),"")</f>
        <v/>
      </c>
      <c r="P1177" s="21" t="str">
        <f aca="false">IF(H1177="Yes",B1177,"")</f>
        <v/>
      </c>
    </row>
    <row r="1178" customFormat="false" ht="15" hidden="false" customHeight="false" outlineLevel="0" collapsed="false">
      <c r="A1178" s="21" t="s">
        <v>2393</v>
      </c>
      <c r="B1178" s="21" t="s">
        <v>522</v>
      </c>
      <c r="C1178" s="21" t="s">
        <v>1216</v>
      </c>
      <c r="D1178" s="21" t="s">
        <v>1191</v>
      </c>
      <c r="E1178" s="33" t="n">
        <v>45547</v>
      </c>
      <c r="F1178" s="21" t="s">
        <v>1178</v>
      </c>
      <c r="G1178" s="32"/>
      <c r="H1178" s="21"/>
      <c r="I1178" s="33"/>
      <c r="J1178" s="21" t="str">
        <f aca="false">INDEX(Students!$C$2:$C$601,MATCH(B1178,Students!$A$2:$A$601,0))</f>
        <v>Batch 2025</v>
      </c>
      <c r="K1178" s="21" t="str">
        <f aca="false">INDEX(Students!$D$2:$D$601,MATCH(B1178,Students!$A$2:$A$601,0))</f>
        <v>DSA with Java</v>
      </c>
      <c r="L1178" s="21" t="str">
        <f aca="false">INDEX(Companies!$C$2:$C$31,MATCH(C1178,Companies!$A$2:$A$31,0))</f>
        <v>IT Services</v>
      </c>
      <c r="M1178" s="21" t="str">
        <f aca="false">INDEX(Companies!$D$2:$D$31,MATCH(C1178,Companies!$A$2:$A$31,0))</f>
        <v>Tier 3</v>
      </c>
      <c r="N1178" s="34" t="n">
        <f aca="false">MATCH(F1178,Assumptions!$K$4:$K$8,0)</f>
        <v>2</v>
      </c>
      <c r="O1178" s="21" t="str">
        <f aca="false">IF(H1178="Yes",MONTH(I1178),"")</f>
        <v/>
      </c>
      <c r="P1178" s="21" t="str">
        <f aca="false">IF(H1178="Yes",B1178,"")</f>
        <v/>
      </c>
    </row>
    <row r="1179" customFormat="false" ht="15" hidden="false" customHeight="false" outlineLevel="0" collapsed="false">
      <c r="A1179" s="21" t="s">
        <v>2394</v>
      </c>
      <c r="B1179" s="21" t="s">
        <v>594</v>
      </c>
      <c r="C1179" s="21" t="s">
        <v>1190</v>
      </c>
      <c r="D1179" s="21" t="s">
        <v>1240</v>
      </c>
      <c r="E1179" s="33" t="n">
        <v>45547</v>
      </c>
      <c r="F1179" s="21" t="s">
        <v>1175</v>
      </c>
      <c r="G1179" s="32"/>
      <c r="H1179" s="21"/>
      <c r="I1179" s="33"/>
      <c r="J1179" s="21" t="str">
        <f aca="false">INDEX(Students!$C$2:$C$601,MATCH(B1179,Students!$A$2:$A$601,0))</f>
        <v>Batch 2025</v>
      </c>
      <c r="K1179" s="21" t="str">
        <f aca="false">INDEX(Students!$D$2:$D$601,MATCH(B1179,Students!$A$2:$A$601,0))</f>
        <v>Cybersecurity</v>
      </c>
      <c r="L1179" s="21" t="str">
        <f aca="false">INDEX(Companies!$C$2:$C$31,MATCH(C1179,Companies!$A$2:$A$31,0))</f>
        <v>Analytics &amp; Consulting</v>
      </c>
      <c r="M1179" s="21" t="str">
        <f aca="false">INDEX(Companies!$D$2:$D$31,MATCH(C1179,Companies!$A$2:$A$31,0))</f>
        <v>Tier 1</v>
      </c>
      <c r="N1179" s="34" t="n">
        <f aca="false">MATCH(F1179,Assumptions!$K$4:$K$8,0)</f>
        <v>1</v>
      </c>
      <c r="O1179" s="21" t="str">
        <f aca="false">IF(H1179="Yes",MONTH(I1179),"")</f>
        <v/>
      </c>
      <c r="P1179" s="21" t="str">
        <f aca="false">IF(H1179="Yes",B1179,"")</f>
        <v/>
      </c>
    </row>
    <row r="1180" customFormat="false" ht="15" hidden="false" customHeight="false" outlineLevel="0" collapsed="false">
      <c r="A1180" s="21" t="s">
        <v>2395</v>
      </c>
      <c r="B1180" s="21" t="s">
        <v>603</v>
      </c>
      <c r="C1180" s="21" t="s">
        <v>1275</v>
      </c>
      <c r="D1180" s="21" t="s">
        <v>1243</v>
      </c>
      <c r="E1180" s="33" t="n">
        <v>45548</v>
      </c>
      <c r="F1180" s="21" t="s">
        <v>1175</v>
      </c>
      <c r="G1180" s="32"/>
      <c r="H1180" s="21"/>
      <c r="I1180" s="33"/>
      <c r="J1180" s="21" t="str">
        <f aca="false">INDEX(Students!$C$2:$C$601,MATCH(B1180,Students!$A$2:$A$601,0))</f>
        <v>Batch 2025</v>
      </c>
      <c r="K1180" s="21" t="str">
        <f aca="false">INDEX(Students!$D$2:$D$601,MATCH(B1180,Students!$A$2:$A$601,0))</f>
        <v>Data Science &amp; ML</v>
      </c>
      <c r="L1180" s="21" t="str">
        <f aca="false">INDEX(Companies!$C$2:$C$31,MATCH(C1180,Companies!$A$2:$A$31,0))</f>
        <v>Cybersecurity</v>
      </c>
      <c r="M1180" s="21" t="str">
        <f aca="false">INDEX(Companies!$D$2:$D$31,MATCH(C1180,Companies!$A$2:$A$31,0))</f>
        <v>Tier 2</v>
      </c>
      <c r="N1180" s="34" t="n">
        <f aca="false">MATCH(F1180,Assumptions!$K$4:$K$8,0)</f>
        <v>1</v>
      </c>
      <c r="O1180" s="21" t="str">
        <f aca="false">IF(H1180="Yes",MONTH(I1180),"")</f>
        <v/>
      </c>
      <c r="P1180" s="21" t="str">
        <f aca="false">IF(H1180="Yes",B1180,"")</f>
        <v/>
      </c>
    </row>
    <row r="1181" customFormat="false" ht="15" hidden="false" customHeight="false" outlineLevel="0" collapsed="false">
      <c r="A1181" s="21" t="s">
        <v>2396</v>
      </c>
      <c r="B1181" s="21" t="s">
        <v>699</v>
      </c>
      <c r="C1181" s="21" t="s">
        <v>1203</v>
      </c>
      <c r="D1181" s="21" t="s">
        <v>1181</v>
      </c>
      <c r="E1181" s="33" t="n">
        <v>45548</v>
      </c>
      <c r="F1181" s="21" t="s">
        <v>1178</v>
      </c>
      <c r="G1181" s="32"/>
      <c r="H1181" s="21"/>
      <c r="I1181" s="33"/>
      <c r="J1181" s="21" t="str">
        <f aca="false">INDEX(Students!$C$2:$C$601,MATCH(B1181,Students!$A$2:$A$601,0))</f>
        <v>Batch 2025</v>
      </c>
      <c r="K1181" s="21" t="str">
        <f aca="false">INDEX(Students!$D$2:$D$601,MATCH(B1181,Students!$A$2:$A$601,0))</f>
        <v>Full Stack Development</v>
      </c>
      <c r="L1181" s="21" t="str">
        <f aca="false">INDEX(Companies!$C$2:$C$31,MATCH(C1181,Companies!$A$2:$A$31,0))</f>
        <v>Healthtech</v>
      </c>
      <c r="M1181" s="21" t="str">
        <f aca="false">INDEX(Companies!$D$2:$D$31,MATCH(C1181,Companies!$A$2:$A$31,0))</f>
        <v>Tier 2</v>
      </c>
      <c r="N1181" s="34" t="n">
        <f aca="false">MATCH(F1181,Assumptions!$K$4:$K$8,0)</f>
        <v>2</v>
      </c>
      <c r="O1181" s="21" t="str">
        <f aca="false">IF(H1181="Yes",MONTH(I1181),"")</f>
        <v/>
      </c>
      <c r="P1181" s="21" t="str">
        <f aca="false">IF(H1181="Yes",B1181,"")</f>
        <v/>
      </c>
    </row>
    <row r="1182" customFormat="false" ht="15" hidden="false" customHeight="false" outlineLevel="0" collapsed="false">
      <c r="A1182" s="21" t="s">
        <v>2397</v>
      </c>
      <c r="B1182" s="21" t="s">
        <v>667</v>
      </c>
      <c r="C1182" s="21" t="s">
        <v>1255</v>
      </c>
      <c r="D1182" s="21" t="s">
        <v>1240</v>
      </c>
      <c r="E1182" s="33" t="n">
        <v>45548</v>
      </c>
      <c r="F1182" s="21" t="s">
        <v>1175</v>
      </c>
      <c r="G1182" s="32"/>
      <c r="H1182" s="21"/>
      <c r="I1182" s="33"/>
      <c r="J1182" s="21" t="str">
        <f aca="false">INDEX(Students!$C$2:$C$601,MATCH(B1182,Students!$A$2:$A$601,0))</f>
        <v>Batch 2025</v>
      </c>
      <c r="K1182" s="21" t="str">
        <f aca="false">INDEX(Students!$D$2:$D$601,MATCH(B1182,Students!$A$2:$A$601,0))</f>
        <v>Cybersecurity</v>
      </c>
      <c r="L1182" s="21" t="str">
        <f aca="false">INDEX(Companies!$C$2:$C$31,MATCH(C1182,Companies!$A$2:$A$31,0))</f>
        <v>IT Services</v>
      </c>
      <c r="M1182" s="21" t="str">
        <f aca="false">INDEX(Companies!$D$2:$D$31,MATCH(C1182,Companies!$A$2:$A$31,0))</f>
        <v>Tier 3</v>
      </c>
      <c r="N1182" s="34" t="n">
        <f aca="false">MATCH(F1182,Assumptions!$K$4:$K$8,0)</f>
        <v>1</v>
      </c>
      <c r="O1182" s="21" t="str">
        <f aca="false">IF(H1182="Yes",MONTH(I1182),"")</f>
        <v/>
      </c>
      <c r="P1182" s="21" t="str">
        <f aca="false">IF(H1182="Yes",B1182,"")</f>
        <v/>
      </c>
    </row>
    <row r="1183" customFormat="false" ht="15" hidden="false" customHeight="false" outlineLevel="0" collapsed="false">
      <c r="A1183" s="21" t="s">
        <v>2398</v>
      </c>
      <c r="B1183" s="21" t="s">
        <v>631</v>
      </c>
      <c r="C1183" s="21" t="s">
        <v>1203</v>
      </c>
      <c r="D1183" s="21" t="s">
        <v>1184</v>
      </c>
      <c r="E1183" s="33" t="n">
        <v>45549</v>
      </c>
      <c r="F1183" s="21" t="s">
        <v>1197</v>
      </c>
      <c r="G1183" s="32"/>
      <c r="H1183" s="21"/>
      <c r="I1183" s="33"/>
      <c r="J1183" s="21" t="str">
        <f aca="false">INDEX(Students!$C$2:$C$601,MATCH(B1183,Students!$A$2:$A$601,0))</f>
        <v>Batch 2025</v>
      </c>
      <c r="K1183" s="21" t="str">
        <f aca="false">INDEX(Students!$D$2:$D$601,MATCH(B1183,Students!$A$2:$A$601,0))</f>
        <v>DSA with Java</v>
      </c>
      <c r="L1183" s="21" t="str">
        <f aca="false">INDEX(Companies!$C$2:$C$31,MATCH(C1183,Companies!$A$2:$A$31,0))</f>
        <v>Healthtech</v>
      </c>
      <c r="M1183" s="21" t="str">
        <f aca="false">INDEX(Companies!$D$2:$D$31,MATCH(C1183,Companies!$A$2:$A$31,0))</f>
        <v>Tier 2</v>
      </c>
      <c r="N1183" s="34" t="n">
        <f aca="false">MATCH(F1183,Assumptions!$K$4:$K$8,0)</f>
        <v>3</v>
      </c>
      <c r="O1183" s="21" t="str">
        <f aca="false">IF(H1183="Yes",MONTH(I1183),"")</f>
        <v/>
      </c>
      <c r="P1183" s="21" t="str">
        <f aca="false">IF(H1183="Yes",B1183,"")</f>
        <v/>
      </c>
    </row>
    <row r="1184" customFormat="false" ht="15" hidden="false" customHeight="false" outlineLevel="0" collapsed="false">
      <c r="A1184" s="21" t="s">
        <v>2399</v>
      </c>
      <c r="B1184" s="21" t="s">
        <v>624</v>
      </c>
      <c r="C1184" s="21" t="s">
        <v>1190</v>
      </c>
      <c r="D1184" s="21" t="s">
        <v>1191</v>
      </c>
      <c r="E1184" s="33" t="n">
        <v>45549</v>
      </c>
      <c r="F1184" s="21" t="s">
        <v>1178</v>
      </c>
      <c r="G1184" s="32"/>
      <c r="H1184" s="21"/>
      <c r="I1184" s="33"/>
      <c r="J1184" s="21" t="str">
        <f aca="false">INDEX(Students!$C$2:$C$601,MATCH(B1184,Students!$A$2:$A$601,0))</f>
        <v>Batch 2025</v>
      </c>
      <c r="K1184" s="21" t="str">
        <f aca="false">INDEX(Students!$D$2:$D$601,MATCH(B1184,Students!$A$2:$A$601,0))</f>
        <v>DSA with Java</v>
      </c>
      <c r="L1184" s="21" t="str">
        <f aca="false">INDEX(Companies!$C$2:$C$31,MATCH(C1184,Companies!$A$2:$A$31,0))</f>
        <v>Analytics &amp; Consulting</v>
      </c>
      <c r="M1184" s="21" t="str">
        <f aca="false">INDEX(Companies!$D$2:$D$31,MATCH(C1184,Companies!$A$2:$A$31,0))</f>
        <v>Tier 1</v>
      </c>
      <c r="N1184" s="34" t="n">
        <f aca="false">MATCH(F1184,Assumptions!$K$4:$K$8,0)</f>
        <v>2</v>
      </c>
      <c r="O1184" s="21" t="str">
        <f aca="false">IF(H1184="Yes",MONTH(I1184),"")</f>
        <v/>
      </c>
      <c r="P1184" s="21" t="str">
        <f aca="false">IF(H1184="Yes",B1184,"")</f>
        <v/>
      </c>
    </row>
    <row r="1185" customFormat="false" ht="15" hidden="false" customHeight="false" outlineLevel="0" collapsed="false">
      <c r="A1185" s="21" t="s">
        <v>2400</v>
      </c>
      <c r="B1185" s="21" t="s">
        <v>491</v>
      </c>
      <c r="C1185" s="21" t="s">
        <v>1230</v>
      </c>
      <c r="D1185" s="21" t="s">
        <v>1184</v>
      </c>
      <c r="E1185" s="33" t="n">
        <v>45549</v>
      </c>
      <c r="F1185" s="21" t="s">
        <v>1175</v>
      </c>
      <c r="G1185" s="32"/>
      <c r="H1185" s="21"/>
      <c r="I1185" s="33"/>
      <c r="J1185" s="21" t="str">
        <f aca="false">INDEX(Students!$C$2:$C$601,MATCH(B1185,Students!$A$2:$A$601,0))</f>
        <v>Batch 2025</v>
      </c>
      <c r="K1185" s="21" t="str">
        <f aca="false">INDEX(Students!$D$2:$D$601,MATCH(B1185,Students!$A$2:$A$601,0))</f>
        <v>DSA with Java</v>
      </c>
      <c r="L1185" s="21" t="str">
        <f aca="false">INDEX(Companies!$C$2:$C$31,MATCH(C1185,Companies!$A$2:$A$31,0))</f>
        <v>IT Services</v>
      </c>
      <c r="M1185" s="21" t="str">
        <f aca="false">INDEX(Companies!$D$2:$D$31,MATCH(C1185,Companies!$A$2:$A$31,0))</f>
        <v>Tier 3</v>
      </c>
      <c r="N1185" s="34" t="n">
        <f aca="false">MATCH(F1185,Assumptions!$K$4:$K$8,0)</f>
        <v>1</v>
      </c>
      <c r="O1185" s="21" t="str">
        <f aca="false">IF(H1185="Yes",MONTH(I1185),"")</f>
        <v/>
      </c>
      <c r="P1185" s="21" t="str">
        <f aca="false">IF(H1185="Yes",B1185,"")</f>
        <v/>
      </c>
    </row>
    <row r="1186" customFormat="false" ht="15" hidden="false" customHeight="false" outlineLevel="0" collapsed="false">
      <c r="A1186" s="21" t="s">
        <v>2401</v>
      </c>
      <c r="B1186" s="21" t="s">
        <v>737</v>
      </c>
      <c r="C1186" s="21" t="s">
        <v>1196</v>
      </c>
      <c r="D1186" s="21" t="s">
        <v>1181</v>
      </c>
      <c r="E1186" s="33" t="n">
        <v>45549</v>
      </c>
      <c r="F1186" s="21" t="s">
        <v>1178</v>
      </c>
      <c r="G1186" s="32"/>
      <c r="H1186" s="21"/>
      <c r="I1186" s="33"/>
      <c r="J1186" s="21" t="str">
        <f aca="false">INDEX(Students!$C$2:$C$601,MATCH(B1186,Students!$A$2:$A$601,0))</f>
        <v>Batch 2025</v>
      </c>
      <c r="K1186" s="21" t="str">
        <f aca="false">INDEX(Students!$D$2:$D$601,MATCH(B1186,Students!$A$2:$A$601,0))</f>
        <v>Full Stack Development</v>
      </c>
      <c r="L1186" s="21" t="str">
        <f aca="false">INDEX(Companies!$C$2:$C$31,MATCH(C1186,Companies!$A$2:$A$31,0))</f>
        <v>IT Services</v>
      </c>
      <c r="M1186" s="21" t="str">
        <f aca="false">INDEX(Companies!$D$2:$D$31,MATCH(C1186,Companies!$A$2:$A$31,0))</f>
        <v>Tier 3</v>
      </c>
      <c r="N1186" s="34" t="n">
        <f aca="false">MATCH(F1186,Assumptions!$K$4:$K$8,0)</f>
        <v>2</v>
      </c>
      <c r="O1186" s="21" t="str">
        <f aca="false">IF(H1186="Yes",MONTH(I1186),"")</f>
        <v/>
      </c>
      <c r="P1186" s="21" t="str">
        <f aca="false">IF(H1186="Yes",B1186,"")</f>
        <v/>
      </c>
    </row>
    <row r="1187" customFormat="false" ht="15" hidden="false" customHeight="false" outlineLevel="0" collapsed="false">
      <c r="A1187" s="21" t="s">
        <v>2402</v>
      </c>
      <c r="B1187" s="21" t="s">
        <v>495</v>
      </c>
      <c r="C1187" s="21" t="s">
        <v>1298</v>
      </c>
      <c r="D1187" s="21" t="s">
        <v>1243</v>
      </c>
      <c r="E1187" s="33" t="n">
        <v>45549</v>
      </c>
      <c r="F1187" s="21" t="s">
        <v>1218</v>
      </c>
      <c r="G1187" s="32"/>
      <c r="H1187" s="21"/>
      <c r="I1187" s="33"/>
      <c r="J1187" s="21" t="str">
        <f aca="false">INDEX(Students!$C$2:$C$601,MATCH(B1187,Students!$A$2:$A$601,0))</f>
        <v>Batch 2025</v>
      </c>
      <c r="K1187" s="21" t="str">
        <f aca="false">INDEX(Students!$D$2:$D$601,MATCH(B1187,Students!$A$2:$A$601,0))</f>
        <v>Data Science &amp; ML</v>
      </c>
      <c r="L1187" s="21" t="str">
        <f aca="false">INDEX(Companies!$C$2:$C$31,MATCH(C1187,Companies!$A$2:$A$31,0))</f>
        <v>Fintech</v>
      </c>
      <c r="M1187" s="21" t="str">
        <f aca="false">INDEX(Companies!$D$2:$D$31,MATCH(C1187,Companies!$A$2:$A$31,0))</f>
        <v>Tier 2</v>
      </c>
      <c r="N1187" s="34" t="n">
        <f aca="false">MATCH(F1187,Assumptions!$K$4:$K$8,0)</f>
        <v>4</v>
      </c>
      <c r="O1187" s="21" t="str">
        <f aca="false">IF(H1187="Yes",MONTH(I1187),"")</f>
        <v/>
      </c>
      <c r="P1187" s="21" t="str">
        <f aca="false">IF(H1187="Yes",B1187,"")</f>
        <v/>
      </c>
    </row>
    <row r="1188" customFormat="false" ht="15" hidden="false" customHeight="false" outlineLevel="0" collapsed="false">
      <c r="A1188" s="21" t="s">
        <v>2403</v>
      </c>
      <c r="B1188" s="21" t="s">
        <v>517</v>
      </c>
      <c r="C1188" s="21" t="s">
        <v>1193</v>
      </c>
      <c r="D1188" s="21" t="s">
        <v>1184</v>
      </c>
      <c r="E1188" s="33" t="n">
        <v>45549</v>
      </c>
      <c r="F1188" s="21" t="s">
        <v>1185</v>
      </c>
      <c r="G1188" s="32" t="n">
        <v>8</v>
      </c>
      <c r="H1188" s="21" t="s">
        <v>113</v>
      </c>
      <c r="I1188" s="33" t="n">
        <v>45581</v>
      </c>
      <c r="J1188" s="21" t="str">
        <f aca="false">INDEX(Students!$C$2:$C$601,MATCH(B1188,Students!$A$2:$A$601,0))</f>
        <v>Batch 2025</v>
      </c>
      <c r="K1188" s="21" t="str">
        <f aca="false">INDEX(Students!$D$2:$D$601,MATCH(B1188,Students!$A$2:$A$601,0))</f>
        <v>DSA with Java</v>
      </c>
      <c r="L1188" s="21" t="str">
        <f aca="false">INDEX(Companies!$C$2:$C$31,MATCH(C1188,Companies!$A$2:$A$31,0))</f>
        <v>Analytics &amp; Consulting</v>
      </c>
      <c r="M1188" s="21" t="str">
        <f aca="false">INDEX(Companies!$D$2:$D$31,MATCH(C1188,Companies!$A$2:$A$31,0))</f>
        <v>Tier 2</v>
      </c>
      <c r="N1188" s="34" t="n">
        <f aca="false">MATCH(F1188,Assumptions!$K$4:$K$8,0)</f>
        <v>5</v>
      </c>
      <c r="O1188" s="21" t="str">
        <f aca="false">IF(H1188="Yes",MONTH(I1188),"")</f>
        <v/>
      </c>
      <c r="P1188" s="21" t="str">
        <f aca="false">IF(H1188="Yes",B1188,"")</f>
        <v/>
      </c>
    </row>
    <row r="1189" customFormat="false" ht="15" hidden="false" customHeight="false" outlineLevel="0" collapsed="false">
      <c r="A1189" s="21" t="s">
        <v>2404</v>
      </c>
      <c r="B1189" s="21" t="s">
        <v>612</v>
      </c>
      <c r="C1189" s="21" t="s">
        <v>1222</v>
      </c>
      <c r="D1189" s="21" t="s">
        <v>1174</v>
      </c>
      <c r="E1189" s="33" t="n">
        <v>45549</v>
      </c>
      <c r="F1189" s="21" t="s">
        <v>1185</v>
      </c>
      <c r="G1189" s="32" t="n">
        <v>15</v>
      </c>
      <c r="H1189" s="21" t="s">
        <v>120</v>
      </c>
      <c r="I1189" s="33" t="n">
        <v>45590</v>
      </c>
      <c r="J1189" s="21" t="str">
        <f aca="false">INDEX(Students!$C$2:$C$601,MATCH(B1189,Students!$A$2:$A$601,0))</f>
        <v>Batch 2025</v>
      </c>
      <c r="K1189" s="21" t="str">
        <f aca="false">INDEX(Students!$D$2:$D$601,MATCH(B1189,Students!$A$2:$A$601,0))</f>
        <v>Full Stack Development</v>
      </c>
      <c r="L1189" s="21" t="str">
        <f aca="false">INDEX(Companies!$C$2:$C$31,MATCH(C1189,Companies!$A$2:$A$31,0))</f>
        <v>Product</v>
      </c>
      <c r="M1189" s="21" t="str">
        <f aca="false">INDEX(Companies!$D$2:$D$31,MATCH(C1189,Companies!$A$2:$A$31,0))</f>
        <v>Tier 2</v>
      </c>
      <c r="N1189" s="34" t="n">
        <f aca="false">MATCH(F1189,Assumptions!$K$4:$K$8,0)</f>
        <v>5</v>
      </c>
      <c r="O1189" s="21" t="n">
        <f aca="false">IF(H1189="Yes",MONTH(I1189),"")</f>
        <v>10</v>
      </c>
      <c r="P1189" s="21" t="str">
        <f aca="false">IF(H1189="Yes",B1189,"")</f>
        <v>S0268</v>
      </c>
    </row>
    <row r="1190" customFormat="false" ht="15" hidden="false" customHeight="false" outlineLevel="0" collapsed="false">
      <c r="A1190" s="21" t="s">
        <v>2405</v>
      </c>
      <c r="B1190" s="21" t="s">
        <v>675</v>
      </c>
      <c r="C1190" s="21" t="s">
        <v>1266</v>
      </c>
      <c r="D1190" s="21" t="s">
        <v>1181</v>
      </c>
      <c r="E1190" s="33" t="n">
        <v>45550</v>
      </c>
      <c r="F1190" s="21" t="s">
        <v>1197</v>
      </c>
      <c r="G1190" s="32"/>
      <c r="H1190" s="21"/>
      <c r="I1190" s="33"/>
      <c r="J1190" s="21" t="str">
        <f aca="false">INDEX(Students!$C$2:$C$601,MATCH(B1190,Students!$A$2:$A$601,0))</f>
        <v>Batch 2025</v>
      </c>
      <c r="K1190" s="21" t="str">
        <f aca="false">INDEX(Students!$D$2:$D$601,MATCH(B1190,Students!$A$2:$A$601,0))</f>
        <v>Full Stack Development</v>
      </c>
      <c r="L1190" s="21" t="str">
        <f aca="false">INDEX(Companies!$C$2:$C$31,MATCH(C1190,Companies!$A$2:$A$31,0))</f>
        <v>IT Services</v>
      </c>
      <c r="M1190" s="21" t="str">
        <f aca="false">INDEX(Companies!$D$2:$D$31,MATCH(C1190,Companies!$A$2:$A$31,0))</f>
        <v>Tier 3</v>
      </c>
      <c r="N1190" s="34" t="n">
        <f aca="false">MATCH(F1190,Assumptions!$K$4:$K$8,0)</f>
        <v>3</v>
      </c>
      <c r="O1190" s="21" t="str">
        <f aca="false">IF(H1190="Yes",MONTH(I1190),"")</f>
        <v/>
      </c>
      <c r="P1190" s="21" t="str">
        <f aca="false">IF(H1190="Yes",B1190,"")</f>
        <v/>
      </c>
    </row>
    <row r="1191" customFormat="false" ht="15" hidden="false" customHeight="false" outlineLevel="0" collapsed="false">
      <c r="A1191" s="21" t="s">
        <v>2406</v>
      </c>
      <c r="B1191" s="21" t="s">
        <v>699</v>
      </c>
      <c r="C1191" s="21" t="s">
        <v>1177</v>
      </c>
      <c r="D1191" s="21" t="s">
        <v>1181</v>
      </c>
      <c r="E1191" s="33" t="n">
        <v>45550</v>
      </c>
      <c r="F1191" s="21" t="s">
        <v>1175</v>
      </c>
      <c r="G1191" s="32"/>
      <c r="H1191" s="21"/>
      <c r="I1191" s="33"/>
      <c r="J1191" s="21" t="str">
        <f aca="false">INDEX(Students!$C$2:$C$601,MATCH(B1191,Students!$A$2:$A$601,0))</f>
        <v>Batch 2025</v>
      </c>
      <c r="K1191" s="21" t="str">
        <f aca="false">INDEX(Students!$D$2:$D$601,MATCH(B1191,Students!$A$2:$A$601,0))</f>
        <v>Full Stack Development</v>
      </c>
      <c r="L1191" s="21" t="str">
        <f aca="false">INDEX(Companies!$C$2:$C$31,MATCH(C1191,Companies!$A$2:$A$31,0))</f>
        <v>IT Services</v>
      </c>
      <c r="M1191" s="21" t="str">
        <f aca="false">INDEX(Companies!$D$2:$D$31,MATCH(C1191,Companies!$A$2:$A$31,0))</f>
        <v>Tier 3</v>
      </c>
      <c r="N1191" s="34" t="n">
        <f aca="false">MATCH(F1191,Assumptions!$K$4:$K$8,0)</f>
        <v>1</v>
      </c>
      <c r="O1191" s="21" t="str">
        <f aca="false">IF(H1191="Yes",MONTH(I1191),"")</f>
        <v/>
      </c>
      <c r="P1191" s="21" t="str">
        <f aca="false">IF(H1191="Yes",B1191,"")</f>
        <v/>
      </c>
    </row>
    <row r="1192" customFormat="false" ht="15" hidden="false" customHeight="false" outlineLevel="0" collapsed="false">
      <c r="A1192" s="21" t="s">
        <v>2407</v>
      </c>
      <c r="B1192" s="21" t="s">
        <v>547</v>
      </c>
      <c r="C1192" s="21" t="s">
        <v>1298</v>
      </c>
      <c r="D1192" s="21" t="s">
        <v>1181</v>
      </c>
      <c r="E1192" s="33" t="n">
        <v>45550</v>
      </c>
      <c r="F1192" s="21" t="s">
        <v>1175</v>
      </c>
      <c r="G1192" s="32"/>
      <c r="H1192" s="21"/>
      <c r="I1192" s="33"/>
      <c r="J1192" s="21" t="str">
        <f aca="false">INDEX(Students!$C$2:$C$601,MATCH(B1192,Students!$A$2:$A$601,0))</f>
        <v>Batch 2025</v>
      </c>
      <c r="K1192" s="21" t="str">
        <f aca="false">INDEX(Students!$D$2:$D$601,MATCH(B1192,Students!$A$2:$A$601,0))</f>
        <v>Full Stack Development</v>
      </c>
      <c r="L1192" s="21" t="str">
        <f aca="false">INDEX(Companies!$C$2:$C$31,MATCH(C1192,Companies!$A$2:$A$31,0))</f>
        <v>Fintech</v>
      </c>
      <c r="M1192" s="21" t="str">
        <f aca="false">INDEX(Companies!$D$2:$D$31,MATCH(C1192,Companies!$A$2:$A$31,0))</f>
        <v>Tier 2</v>
      </c>
      <c r="N1192" s="34" t="n">
        <f aca="false">MATCH(F1192,Assumptions!$K$4:$K$8,0)</f>
        <v>1</v>
      </c>
      <c r="O1192" s="21" t="str">
        <f aca="false">IF(H1192="Yes",MONTH(I1192),"")</f>
        <v/>
      </c>
      <c r="P1192" s="21" t="str">
        <f aca="false">IF(H1192="Yes",B1192,"")</f>
        <v/>
      </c>
    </row>
    <row r="1193" customFormat="false" ht="15" hidden="false" customHeight="false" outlineLevel="0" collapsed="false">
      <c r="A1193" s="21" t="s">
        <v>2408</v>
      </c>
      <c r="B1193" s="21" t="s">
        <v>645</v>
      </c>
      <c r="C1193" s="21" t="s">
        <v>1239</v>
      </c>
      <c r="D1193" s="21" t="s">
        <v>1188</v>
      </c>
      <c r="E1193" s="33" t="n">
        <v>45550</v>
      </c>
      <c r="F1193" s="21" t="s">
        <v>1175</v>
      </c>
      <c r="G1193" s="32"/>
      <c r="H1193" s="21"/>
      <c r="I1193" s="33"/>
      <c r="J1193" s="21" t="str">
        <f aca="false">INDEX(Students!$C$2:$C$601,MATCH(B1193,Students!$A$2:$A$601,0))</f>
        <v>Batch 2025</v>
      </c>
      <c r="K1193" s="21" t="str">
        <f aca="false">INDEX(Students!$D$2:$D$601,MATCH(B1193,Students!$A$2:$A$601,0))</f>
        <v>Data Analytics</v>
      </c>
      <c r="L1193" s="21" t="str">
        <f aca="false">INDEX(Companies!$C$2:$C$31,MATCH(C1193,Companies!$A$2:$A$31,0))</f>
        <v>E-commerce</v>
      </c>
      <c r="M1193" s="21" t="str">
        <f aca="false">INDEX(Companies!$D$2:$D$31,MATCH(C1193,Companies!$A$2:$A$31,0))</f>
        <v>Tier 3</v>
      </c>
      <c r="N1193" s="34" t="n">
        <f aca="false">MATCH(F1193,Assumptions!$K$4:$K$8,0)</f>
        <v>1</v>
      </c>
      <c r="O1193" s="21" t="str">
        <f aca="false">IF(H1193="Yes",MONTH(I1193),"")</f>
        <v/>
      </c>
      <c r="P1193" s="21" t="str">
        <f aca="false">IF(H1193="Yes",B1193,"")</f>
        <v/>
      </c>
    </row>
    <row r="1194" customFormat="false" ht="15" hidden="false" customHeight="false" outlineLevel="0" collapsed="false">
      <c r="A1194" s="21" t="s">
        <v>2409</v>
      </c>
      <c r="B1194" s="21" t="s">
        <v>530</v>
      </c>
      <c r="C1194" s="21" t="s">
        <v>1180</v>
      </c>
      <c r="D1194" s="21" t="s">
        <v>1240</v>
      </c>
      <c r="E1194" s="33" t="n">
        <v>45550</v>
      </c>
      <c r="F1194" s="21" t="s">
        <v>1178</v>
      </c>
      <c r="G1194" s="32"/>
      <c r="H1194" s="21"/>
      <c r="I1194" s="33"/>
      <c r="J1194" s="21" t="str">
        <f aca="false">INDEX(Students!$C$2:$C$601,MATCH(B1194,Students!$A$2:$A$601,0))</f>
        <v>Batch 2025</v>
      </c>
      <c r="K1194" s="21" t="str">
        <f aca="false">INDEX(Students!$D$2:$D$601,MATCH(B1194,Students!$A$2:$A$601,0))</f>
        <v>Cybersecurity</v>
      </c>
      <c r="L1194" s="21" t="str">
        <f aca="false">INDEX(Companies!$C$2:$C$31,MATCH(C1194,Companies!$A$2:$A$31,0))</f>
        <v>IT Services</v>
      </c>
      <c r="M1194" s="21" t="str">
        <f aca="false">INDEX(Companies!$D$2:$D$31,MATCH(C1194,Companies!$A$2:$A$31,0))</f>
        <v>Tier 3</v>
      </c>
      <c r="N1194" s="34" t="n">
        <f aca="false">MATCH(F1194,Assumptions!$K$4:$K$8,0)</f>
        <v>2</v>
      </c>
      <c r="O1194" s="21" t="str">
        <f aca="false">IF(H1194="Yes",MONTH(I1194),"")</f>
        <v/>
      </c>
      <c r="P1194" s="21" t="str">
        <f aca="false">IF(H1194="Yes",B1194,"")</f>
        <v/>
      </c>
    </row>
    <row r="1195" customFormat="false" ht="15" hidden="false" customHeight="false" outlineLevel="0" collapsed="false">
      <c r="A1195" s="21" t="s">
        <v>2410</v>
      </c>
      <c r="B1195" s="21" t="s">
        <v>674</v>
      </c>
      <c r="C1195" s="21" t="s">
        <v>1193</v>
      </c>
      <c r="D1195" s="21" t="s">
        <v>1174</v>
      </c>
      <c r="E1195" s="33" t="n">
        <v>45550</v>
      </c>
      <c r="F1195" s="21" t="s">
        <v>1178</v>
      </c>
      <c r="G1195" s="32"/>
      <c r="H1195" s="21"/>
      <c r="I1195" s="33"/>
      <c r="J1195" s="21" t="str">
        <f aca="false">INDEX(Students!$C$2:$C$601,MATCH(B1195,Students!$A$2:$A$601,0))</f>
        <v>Batch 2025</v>
      </c>
      <c r="K1195" s="21" t="str">
        <f aca="false">INDEX(Students!$D$2:$D$601,MATCH(B1195,Students!$A$2:$A$601,0))</f>
        <v>Full Stack Development</v>
      </c>
      <c r="L1195" s="21" t="str">
        <f aca="false">INDEX(Companies!$C$2:$C$31,MATCH(C1195,Companies!$A$2:$A$31,0))</f>
        <v>Analytics &amp; Consulting</v>
      </c>
      <c r="M1195" s="21" t="str">
        <f aca="false">INDEX(Companies!$D$2:$D$31,MATCH(C1195,Companies!$A$2:$A$31,0))</f>
        <v>Tier 2</v>
      </c>
      <c r="N1195" s="34" t="n">
        <f aca="false">MATCH(F1195,Assumptions!$K$4:$K$8,0)</f>
        <v>2</v>
      </c>
      <c r="O1195" s="21" t="str">
        <f aca="false">IF(H1195="Yes",MONTH(I1195),"")</f>
        <v/>
      </c>
      <c r="P1195" s="21" t="str">
        <f aca="false">IF(H1195="Yes",B1195,"")</f>
        <v/>
      </c>
    </row>
    <row r="1196" customFormat="false" ht="15" hidden="false" customHeight="false" outlineLevel="0" collapsed="false">
      <c r="A1196" s="21" t="s">
        <v>2411</v>
      </c>
      <c r="B1196" s="21" t="s">
        <v>729</v>
      </c>
      <c r="C1196" s="21" t="s">
        <v>1263</v>
      </c>
      <c r="D1196" s="21" t="s">
        <v>1240</v>
      </c>
      <c r="E1196" s="33" t="n">
        <v>45550</v>
      </c>
      <c r="F1196" s="21" t="s">
        <v>1178</v>
      </c>
      <c r="G1196" s="32"/>
      <c r="H1196" s="21"/>
      <c r="I1196" s="33"/>
      <c r="J1196" s="21" t="str">
        <f aca="false">INDEX(Students!$C$2:$C$601,MATCH(B1196,Students!$A$2:$A$601,0))</f>
        <v>Batch 2025</v>
      </c>
      <c r="K1196" s="21" t="str">
        <f aca="false">INDEX(Students!$D$2:$D$601,MATCH(B1196,Students!$A$2:$A$601,0))</f>
        <v>Cybersecurity</v>
      </c>
      <c r="L1196" s="21" t="str">
        <f aca="false">INDEX(Companies!$C$2:$C$31,MATCH(C1196,Companies!$A$2:$A$31,0))</f>
        <v>Analytics &amp; Consulting</v>
      </c>
      <c r="M1196" s="21" t="str">
        <f aca="false">INDEX(Companies!$D$2:$D$31,MATCH(C1196,Companies!$A$2:$A$31,0))</f>
        <v>Tier 2</v>
      </c>
      <c r="N1196" s="34" t="n">
        <f aca="false">MATCH(F1196,Assumptions!$K$4:$K$8,0)</f>
        <v>2</v>
      </c>
      <c r="O1196" s="21" t="str">
        <f aca="false">IF(H1196="Yes",MONTH(I1196),"")</f>
        <v/>
      </c>
      <c r="P1196" s="21" t="str">
        <f aca="false">IF(H1196="Yes",B1196,"")</f>
        <v/>
      </c>
    </row>
    <row r="1197" customFormat="false" ht="15" hidden="false" customHeight="false" outlineLevel="0" collapsed="false">
      <c r="A1197" s="21" t="s">
        <v>2412</v>
      </c>
      <c r="B1197" s="21" t="s">
        <v>559</v>
      </c>
      <c r="C1197" s="21" t="s">
        <v>1234</v>
      </c>
      <c r="D1197" s="21" t="s">
        <v>1194</v>
      </c>
      <c r="E1197" s="33" t="n">
        <v>45551</v>
      </c>
      <c r="F1197" s="21" t="s">
        <v>1185</v>
      </c>
      <c r="G1197" s="32" t="n">
        <v>4.9</v>
      </c>
      <c r="H1197" s="21" t="s">
        <v>120</v>
      </c>
      <c r="I1197" s="33" t="n">
        <v>45594</v>
      </c>
      <c r="J1197" s="21" t="str">
        <f aca="false">INDEX(Students!$C$2:$C$601,MATCH(B1197,Students!$A$2:$A$601,0))</f>
        <v>Batch 2025</v>
      </c>
      <c r="K1197" s="21" t="str">
        <f aca="false">INDEX(Students!$D$2:$D$601,MATCH(B1197,Students!$A$2:$A$601,0))</f>
        <v>Data Science &amp; ML</v>
      </c>
      <c r="L1197" s="21" t="str">
        <f aca="false">INDEX(Companies!$C$2:$C$31,MATCH(C1197,Companies!$A$2:$A$31,0))</f>
        <v>EdTech</v>
      </c>
      <c r="M1197" s="21" t="str">
        <f aca="false">INDEX(Companies!$D$2:$D$31,MATCH(C1197,Companies!$A$2:$A$31,0))</f>
        <v>Tier 3</v>
      </c>
      <c r="N1197" s="34" t="n">
        <f aca="false">MATCH(F1197,Assumptions!$K$4:$K$8,0)</f>
        <v>5</v>
      </c>
      <c r="O1197" s="21" t="n">
        <f aca="false">IF(H1197="Yes",MONTH(I1197),"")</f>
        <v>10</v>
      </c>
      <c r="P1197" s="21" t="str">
        <f aca="false">IF(H1197="Yes",B1197,"")</f>
        <v>S0239</v>
      </c>
    </row>
    <row r="1198" customFormat="false" ht="15" hidden="false" customHeight="false" outlineLevel="0" collapsed="false">
      <c r="A1198" s="21" t="s">
        <v>2413</v>
      </c>
      <c r="B1198" s="21" t="s">
        <v>675</v>
      </c>
      <c r="C1198" s="21" t="s">
        <v>1275</v>
      </c>
      <c r="D1198" s="21" t="s">
        <v>1174</v>
      </c>
      <c r="E1198" s="33" t="n">
        <v>45551</v>
      </c>
      <c r="F1198" s="21" t="s">
        <v>1175</v>
      </c>
      <c r="G1198" s="32"/>
      <c r="H1198" s="21"/>
      <c r="I1198" s="33"/>
      <c r="J1198" s="21" t="str">
        <f aca="false">INDEX(Students!$C$2:$C$601,MATCH(B1198,Students!$A$2:$A$601,0))</f>
        <v>Batch 2025</v>
      </c>
      <c r="K1198" s="21" t="str">
        <f aca="false">INDEX(Students!$D$2:$D$601,MATCH(B1198,Students!$A$2:$A$601,0))</f>
        <v>Full Stack Development</v>
      </c>
      <c r="L1198" s="21" t="str">
        <f aca="false">INDEX(Companies!$C$2:$C$31,MATCH(C1198,Companies!$A$2:$A$31,0))</f>
        <v>Cybersecurity</v>
      </c>
      <c r="M1198" s="21" t="str">
        <f aca="false">INDEX(Companies!$D$2:$D$31,MATCH(C1198,Companies!$A$2:$A$31,0))</f>
        <v>Tier 2</v>
      </c>
      <c r="N1198" s="34" t="n">
        <f aca="false">MATCH(F1198,Assumptions!$K$4:$K$8,0)</f>
        <v>1</v>
      </c>
      <c r="O1198" s="21" t="str">
        <f aca="false">IF(H1198="Yes",MONTH(I1198),"")</f>
        <v/>
      </c>
      <c r="P1198" s="21" t="str">
        <f aca="false">IF(H1198="Yes",B1198,"")</f>
        <v/>
      </c>
    </row>
    <row r="1199" customFormat="false" ht="15" hidden="false" customHeight="false" outlineLevel="0" collapsed="false">
      <c r="A1199" s="21" t="s">
        <v>2414</v>
      </c>
      <c r="B1199" s="21" t="s">
        <v>615</v>
      </c>
      <c r="C1199" s="21" t="s">
        <v>1187</v>
      </c>
      <c r="D1199" s="21" t="s">
        <v>1184</v>
      </c>
      <c r="E1199" s="33" t="n">
        <v>45552</v>
      </c>
      <c r="F1199" s="21" t="s">
        <v>1175</v>
      </c>
      <c r="G1199" s="32"/>
      <c r="H1199" s="21"/>
      <c r="I1199" s="33"/>
      <c r="J1199" s="21" t="str">
        <f aca="false">INDEX(Students!$C$2:$C$601,MATCH(B1199,Students!$A$2:$A$601,0))</f>
        <v>Batch 2025</v>
      </c>
      <c r="K1199" s="21" t="str">
        <f aca="false">INDEX(Students!$D$2:$D$601,MATCH(B1199,Students!$A$2:$A$601,0))</f>
        <v>DSA with Java</v>
      </c>
      <c r="L1199" s="21" t="str">
        <f aca="false">INDEX(Companies!$C$2:$C$31,MATCH(C1199,Companies!$A$2:$A$31,0))</f>
        <v>Product</v>
      </c>
      <c r="M1199" s="21" t="str">
        <f aca="false">INDEX(Companies!$D$2:$D$31,MATCH(C1199,Companies!$A$2:$A$31,0))</f>
        <v>Tier 1</v>
      </c>
      <c r="N1199" s="34" t="n">
        <f aca="false">MATCH(F1199,Assumptions!$K$4:$K$8,0)</f>
        <v>1</v>
      </c>
      <c r="O1199" s="21" t="str">
        <f aca="false">IF(H1199="Yes",MONTH(I1199),"")</f>
        <v/>
      </c>
      <c r="P1199" s="21" t="str">
        <f aca="false">IF(H1199="Yes",B1199,"")</f>
        <v/>
      </c>
    </row>
    <row r="1200" customFormat="false" ht="15" hidden="false" customHeight="false" outlineLevel="0" collapsed="false">
      <c r="A1200" s="21" t="s">
        <v>2415</v>
      </c>
      <c r="B1200" s="21" t="s">
        <v>584</v>
      </c>
      <c r="C1200" s="21" t="s">
        <v>1263</v>
      </c>
      <c r="D1200" s="21" t="s">
        <v>1184</v>
      </c>
      <c r="E1200" s="33" t="n">
        <v>45552</v>
      </c>
      <c r="F1200" s="21" t="s">
        <v>1175</v>
      </c>
      <c r="G1200" s="32"/>
      <c r="H1200" s="21"/>
      <c r="I1200" s="33"/>
      <c r="J1200" s="21" t="str">
        <f aca="false">INDEX(Students!$C$2:$C$601,MATCH(B1200,Students!$A$2:$A$601,0))</f>
        <v>Batch 2025</v>
      </c>
      <c r="K1200" s="21" t="str">
        <f aca="false">INDEX(Students!$D$2:$D$601,MATCH(B1200,Students!$A$2:$A$601,0))</f>
        <v>DSA with Java</v>
      </c>
      <c r="L1200" s="21" t="str">
        <f aca="false">INDEX(Companies!$C$2:$C$31,MATCH(C1200,Companies!$A$2:$A$31,0))</f>
        <v>Analytics &amp; Consulting</v>
      </c>
      <c r="M1200" s="21" t="str">
        <f aca="false">INDEX(Companies!$D$2:$D$31,MATCH(C1200,Companies!$A$2:$A$31,0))</f>
        <v>Tier 2</v>
      </c>
      <c r="N1200" s="34" t="n">
        <f aca="false">MATCH(F1200,Assumptions!$K$4:$K$8,0)</f>
        <v>1</v>
      </c>
      <c r="O1200" s="21" t="str">
        <f aca="false">IF(H1200="Yes",MONTH(I1200),"")</f>
        <v/>
      </c>
      <c r="P1200" s="21" t="str">
        <f aca="false">IF(H1200="Yes",B1200,"")</f>
        <v/>
      </c>
    </row>
    <row r="1201" customFormat="false" ht="15" hidden="false" customHeight="false" outlineLevel="0" collapsed="false">
      <c r="A1201" s="21" t="s">
        <v>2416</v>
      </c>
      <c r="B1201" s="21" t="s">
        <v>760</v>
      </c>
      <c r="C1201" s="21" t="s">
        <v>1183</v>
      </c>
      <c r="D1201" s="21" t="s">
        <v>1174</v>
      </c>
      <c r="E1201" s="33" t="n">
        <v>45552</v>
      </c>
      <c r="F1201" s="21" t="s">
        <v>1185</v>
      </c>
      <c r="G1201" s="32" t="n">
        <v>10.7</v>
      </c>
      <c r="H1201" s="21" t="s">
        <v>120</v>
      </c>
      <c r="I1201" s="33" t="n">
        <v>45601</v>
      </c>
      <c r="J1201" s="21" t="str">
        <f aca="false">INDEX(Students!$C$2:$C$601,MATCH(B1201,Students!$A$2:$A$601,0))</f>
        <v>Batch 2025</v>
      </c>
      <c r="K1201" s="21" t="str">
        <f aca="false">INDEX(Students!$D$2:$D$601,MATCH(B1201,Students!$A$2:$A$601,0))</f>
        <v>Full Stack Development</v>
      </c>
      <c r="L1201" s="21" t="str">
        <f aca="false">INDEX(Companies!$C$2:$C$31,MATCH(C1201,Companies!$A$2:$A$31,0))</f>
        <v>E-commerce</v>
      </c>
      <c r="M1201" s="21" t="str">
        <f aca="false">INDEX(Companies!$D$2:$D$31,MATCH(C1201,Companies!$A$2:$A$31,0))</f>
        <v>Tier 2</v>
      </c>
      <c r="N1201" s="34" t="n">
        <f aca="false">MATCH(F1201,Assumptions!$K$4:$K$8,0)</f>
        <v>5</v>
      </c>
      <c r="O1201" s="21" t="n">
        <f aca="false">IF(H1201="Yes",MONTH(I1201),"")</f>
        <v>11</v>
      </c>
      <c r="P1201" s="21" t="str">
        <f aca="false">IF(H1201="Yes",B1201,"")</f>
        <v>S0353</v>
      </c>
    </row>
    <row r="1202" customFormat="false" ht="15" hidden="false" customHeight="false" outlineLevel="0" collapsed="false">
      <c r="A1202" s="21" t="s">
        <v>2417</v>
      </c>
      <c r="B1202" s="21" t="s">
        <v>706</v>
      </c>
      <c r="C1202" s="21" t="s">
        <v>1190</v>
      </c>
      <c r="D1202" s="21" t="s">
        <v>1181</v>
      </c>
      <c r="E1202" s="33" t="n">
        <v>45552</v>
      </c>
      <c r="F1202" s="21" t="s">
        <v>1178</v>
      </c>
      <c r="G1202" s="32"/>
      <c r="H1202" s="21"/>
      <c r="I1202" s="33"/>
      <c r="J1202" s="21" t="str">
        <f aca="false">INDEX(Students!$C$2:$C$601,MATCH(B1202,Students!$A$2:$A$601,0))</f>
        <v>Batch 2025</v>
      </c>
      <c r="K1202" s="21" t="str">
        <f aca="false">INDEX(Students!$D$2:$D$601,MATCH(B1202,Students!$A$2:$A$601,0))</f>
        <v>Full Stack Development</v>
      </c>
      <c r="L1202" s="21" t="str">
        <f aca="false">INDEX(Companies!$C$2:$C$31,MATCH(C1202,Companies!$A$2:$A$31,0))</f>
        <v>Analytics &amp; Consulting</v>
      </c>
      <c r="M1202" s="21" t="str">
        <f aca="false">INDEX(Companies!$D$2:$D$31,MATCH(C1202,Companies!$A$2:$A$31,0))</f>
        <v>Tier 1</v>
      </c>
      <c r="N1202" s="34" t="n">
        <f aca="false">MATCH(F1202,Assumptions!$K$4:$K$8,0)</f>
        <v>2</v>
      </c>
      <c r="O1202" s="21" t="str">
        <f aca="false">IF(H1202="Yes",MONTH(I1202),"")</f>
        <v/>
      </c>
      <c r="P1202" s="21" t="str">
        <f aca="false">IF(H1202="Yes",B1202,"")</f>
        <v/>
      </c>
    </row>
    <row r="1203" customFormat="false" ht="15" hidden="false" customHeight="false" outlineLevel="0" collapsed="false">
      <c r="A1203" s="21" t="s">
        <v>2418</v>
      </c>
      <c r="B1203" s="21" t="s">
        <v>761</v>
      </c>
      <c r="C1203" s="21" t="s">
        <v>1193</v>
      </c>
      <c r="D1203" s="21" t="s">
        <v>1174</v>
      </c>
      <c r="E1203" s="33" t="n">
        <v>45553</v>
      </c>
      <c r="F1203" s="21" t="s">
        <v>1175</v>
      </c>
      <c r="G1203" s="32"/>
      <c r="H1203" s="21"/>
      <c r="I1203" s="33"/>
      <c r="J1203" s="21" t="str">
        <f aca="false">INDEX(Students!$C$2:$C$601,MATCH(B1203,Students!$A$2:$A$601,0))</f>
        <v>Batch 2025</v>
      </c>
      <c r="K1203" s="21" t="str">
        <f aca="false">INDEX(Students!$D$2:$D$601,MATCH(B1203,Students!$A$2:$A$601,0))</f>
        <v>Full Stack Development</v>
      </c>
      <c r="L1203" s="21" t="str">
        <f aca="false">INDEX(Companies!$C$2:$C$31,MATCH(C1203,Companies!$A$2:$A$31,0))</f>
        <v>Analytics &amp; Consulting</v>
      </c>
      <c r="M1203" s="21" t="str">
        <f aca="false">INDEX(Companies!$D$2:$D$31,MATCH(C1203,Companies!$A$2:$A$31,0))</f>
        <v>Tier 2</v>
      </c>
      <c r="N1203" s="34" t="n">
        <f aca="false">MATCH(F1203,Assumptions!$K$4:$K$8,0)</f>
        <v>1</v>
      </c>
      <c r="O1203" s="21" t="str">
        <f aca="false">IF(H1203="Yes",MONTH(I1203),"")</f>
        <v/>
      </c>
      <c r="P1203" s="21" t="str">
        <f aca="false">IF(H1203="Yes",B1203,"")</f>
        <v/>
      </c>
    </row>
    <row r="1204" customFormat="false" ht="15" hidden="false" customHeight="false" outlineLevel="0" collapsed="false">
      <c r="A1204" s="21" t="s">
        <v>2419</v>
      </c>
      <c r="B1204" s="21" t="s">
        <v>679</v>
      </c>
      <c r="C1204" s="21" t="s">
        <v>1234</v>
      </c>
      <c r="D1204" s="21" t="s">
        <v>1243</v>
      </c>
      <c r="E1204" s="33" t="n">
        <v>45553</v>
      </c>
      <c r="F1204" s="21" t="s">
        <v>1185</v>
      </c>
      <c r="G1204" s="32" t="n">
        <v>5.1</v>
      </c>
      <c r="H1204" s="21" t="s">
        <v>113</v>
      </c>
      <c r="I1204" s="33" t="n">
        <v>45578</v>
      </c>
      <c r="J1204" s="21" t="str">
        <f aca="false">INDEX(Students!$C$2:$C$601,MATCH(B1204,Students!$A$2:$A$601,0))</f>
        <v>Batch 2025</v>
      </c>
      <c r="K1204" s="21" t="str">
        <f aca="false">INDEX(Students!$D$2:$D$601,MATCH(B1204,Students!$A$2:$A$601,0))</f>
        <v>Data Science &amp; ML</v>
      </c>
      <c r="L1204" s="21" t="str">
        <f aca="false">INDEX(Companies!$C$2:$C$31,MATCH(C1204,Companies!$A$2:$A$31,0))</f>
        <v>EdTech</v>
      </c>
      <c r="M1204" s="21" t="str">
        <f aca="false">INDEX(Companies!$D$2:$D$31,MATCH(C1204,Companies!$A$2:$A$31,0))</f>
        <v>Tier 3</v>
      </c>
      <c r="N1204" s="34" t="n">
        <f aca="false">MATCH(F1204,Assumptions!$K$4:$K$8,0)</f>
        <v>5</v>
      </c>
      <c r="O1204" s="21" t="str">
        <f aca="false">IF(H1204="Yes",MONTH(I1204),"")</f>
        <v/>
      </c>
      <c r="P1204" s="21" t="str">
        <f aca="false">IF(H1204="Yes",B1204,"")</f>
        <v/>
      </c>
    </row>
    <row r="1205" customFormat="false" ht="15" hidden="false" customHeight="false" outlineLevel="0" collapsed="false">
      <c r="A1205" s="21" t="s">
        <v>2420</v>
      </c>
      <c r="B1205" s="21" t="s">
        <v>487</v>
      </c>
      <c r="C1205" s="21" t="s">
        <v>1208</v>
      </c>
      <c r="D1205" s="21" t="s">
        <v>1243</v>
      </c>
      <c r="E1205" s="33" t="n">
        <v>45553</v>
      </c>
      <c r="F1205" s="21" t="s">
        <v>1185</v>
      </c>
      <c r="G1205" s="32" t="n">
        <v>21.4</v>
      </c>
      <c r="H1205" s="21" t="s">
        <v>113</v>
      </c>
      <c r="I1205" s="33" t="n">
        <v>45586</v>
      </c>
      <c r="J1205" s="21" t="str">
        <f aca="false">INDEX(Students!$C$2:$C$601,MATCH(B1205,Students!$A$2:$A$601,0))</f>
        <v>Batch 2025</v>
      </c>
      <c r="K1205" s="21" t="str">
        <f aca="false">INDEX(Students!$D$2:$D$601,MATCH(B1205,Students!$A$2:$A$601,0))</f>
        <v>Data Science &amp; ML</v>
      </c>
      <c r="L1205" s="21" t="str">
        <f aca="false">INDEX(Companies!$C$2:$C$31,MATCH(C1205,Companies!$A$2:$A$31,0))</f>
        <v>E-commerce</v>
      </c>
      <c r="M1205" s="21" t="str">
        <f aca="false">INDEX(Companies!$D$2:$D$31,MATCH(C1205,Companies!$A$2:$A$31,0))</f>
        <v>Tier 1</v>
      </c>
      <c r="N1205" s="34" t="n">
        <f aca="false">MATCH(F1205,Assumptions!$K$4:$K$8,0)</f>
        <v>5</v>
      </c>
      <c r="O1205" s="21" t="str">
        <f aca="false">IF(H1205="Yes",MONTH(I1205),"")</f>
        <v/>
      </c>
      <c r="P1205" s="21" t="str">
        <f aca="false">IF(H1205="Yes",B1205,"")</f>
        <v/>
      </c>
    </row>
    <row r="1206" customFormat="false" ht="15" hidden="false" customHeight="false" outlineLevel="0" collapsed="false">
      <c r="A1206" s="21" t="s">
        <v>2421</v>
      </c>
      <c r="B1206" s="21" t="s">
        <v>758</v>
      </c>
      <c r="C1206" s="21" t="s">
        <v>1187</v>
      </c>
      <c r="D1206" s="21" t="s">
        <v>1209</v>
      </c>
      <c r="E1206" s="33" t="n">
        <v>45553</v>
      </c>
      <c r="F1206" s="21" t="s">
        <v>1197</v>
      </c>
      <c r="G1206" s="32"/>
      <c r="H1206" s="21"/>
      <c r="I1206" s="33"/>
      <c r="J1206" s="21" t="str">
        <f aca="false">INDEX(Students!$C$2:$C$601,MATCH(B1206,Students!$A$2:$A$601,0))</f>
        <v>Batch 2025</v>
      </c>
      <c r="K1206" s="21" t="str">
        <f aca="false">INDEX(Students!$D$2:$D$601,MATCH(B1206,Students!$A$2:$A$601,0))</f>
        <v>Data Analytics</v>
      </c>
      <c r="L1206" s="21" t="str">
        <f aca="false">INDEX(Companies!$C$2:$C$31,MATCH(C1206,Companies!$A$2:$A$31,0))</f>
        <v>Product</v>
      </c>
      <c r="M1206" s="21" t="str">
        <f aca="false">INDEX(Companies!$D$2:$D$31,MATCH(C1206,Companies!$A$2:$A$31,0))</f>
        <v>Tier 1</v>
      </c>
      <c r="N1206" s="34" t="n">
        <f aca="false">MATCH(F1206,Assumptions!$K$4:$K$8,0)</f>
        <v>3</v>
      </c>
      <c r="O1206" s="21" t="str">
        <f aca="false">IF(H1206="Yes",MONTH(I1206),"")</f>
        <v/>
      </c>
      <c r="P1206" s="21" t="str">
        <f aca="false">IF(H1206="Yes",B1206,"")</f>
        <v/>
      </c>
    </row>
    <row r="1207" customFormat="false" ht="15" hidden="false" customHeight="false" outlineLevel="0" collapsed="false">
      <c r="A1207" s="21" t="s">
        <v>2422</v>
      </c>
      <c r="B1207" s="21" t="s">
        <v>756</v>
      </c>
      <c r="C1207" s="21" t="s">
        <v>1196</v>
      </c>
      <c r="D1207" s="21" t="s">
        <v>1194</v>
      </c>
      <c r="E1207" s="33" t="n">
        <v>45553</v>
      </c>
      <c r="F1207" s="21" t="s">
        <v>1185</v>
      </c>
      <c r="G1207" s="32" t="n">
        <v>5.4</v>
      </c>
      <c r="H1207" s="21" t="s">
        <v>113</v>
      </c>
      <c r="I1207" s="33" t="n">
        <v>45574</v>
      </c>
      <c r="J1207" s="21" t="str">
        <f aca="false">INDEX(Students!$C$2:$C$601,MATCH(B1207,Students!$A$2:$A$601,0))</f>
        <v>Batch 2025</v>
      </c>
      <c r="K1207" s="21" t="str">
        <f aca="false">INDEX(Students!$D$2:$D$601,MATCH(B1207,Students!$A$2:$A$601,0))</f>
        <v>Data Science &amp; ML</v>
      </c>
      <c r="L1207" s="21" t="str">
        <f aca="false">INDEX(Companies!$C$2:$C$31,MATCH(C1207,Companies!$A$2:$A$31,0))</f>
        <v>IT Services</v>
      </c>
      <c r="M1207" s="21" t="str">
        <f aca="false">INDEX(Companies!$D$2:$D$31,MATCH(C1207,Companies!$A$2:$A$31,0))</f>
        <v>Tier 3</v>
      </c>
      <c r="N1207" s="34" t="n">
        <f aca="false">MATCH(F1207,Assumptions!$K$4:$K$8,0)</f>
        <v>5</v>
      </c>
      <c r="O1207" s="21" t="str">
        <f aca="false">IF(H1207="Yes",MONTH(I1207),"")</f>
        <v/>
      </c>
      <c r="P1207" s="21" t="str">
        <f aca="false">IF(H1207="Yes",B1207,"")</f>
        <v/>
      </c>
    </row>
    <row r="1208" customFormat="false" ht="15" hidden="false" customHeight="false" outlineLevel="0" collapsed="false">
      <c r="A1208" s="21" t="s">
        <v>2423</v>
      </c>
      <c r="B1208" s="21" t="s">
        <v>682</v>
      </c>
      <c r="C1208" s="21" t="s">
        <v>1196</v>
      </c>
      <c r="D1208" s="21" t="s">
        <v>1191</v>
      </c>
      <c r="E1208" s="33" t="n">
        <v>45553</v>
      </c>
      <c r="F1208" s="21" t="s">
        <v>1185</v>
      </c>
      <c r="G1208" s="32" t="n">
        <v>5.1</v>
      </c>
      <c r="H1208" s="21" t="s">
        <v>113</v>
      </c>
      <c r="I1208" s="33" t="n">
        <v>45580</v>
      </c>
      <c r="J1208" s="21" t="str">
        <f aca="false">INDEX(Students!$C$2:$C$601,MATCH(B1208,Students!$A$2:$A$601,0))</f>
        <v>Batch 2025</v>
      </c>
      <c r="K1208" s="21" t="str">
        <f aca="false">INDEX(Students!$D$2:$D$601,MATCH(B1208,Students!$A$2:$A$601,0))</f>
        <v>DSA with Java</v>
      </c>
      <c r="L1208" s="21" t="str">
        <f aca="false">INDEX(Companies!$C$2:$C$31,MATCH(C1208,Companies!$A$2:$A$31,0))</f>
        <v>IT Services</v>
      </c>
      <c r="M1208" s="21" t="str">
        <f aca="false">INDEX(Companies!$D$2:$D$31,MATCH(C1208,Companies!$A$2:$A$31,0))</f>
        <v>Tier 3</v>
      </c>
      <c r="N1208" s="34" t="n">
        <f aca="false">MATCH(F1208,Assumptions!$K$4:$K$8,0)</f>
        <v>5</v>
      </c>
      <c r="O1208" s="21" t="str">
        <f aca="false">IF(H1208="Yes",MONTH(I1208),"")</f>
        <v/>
      </c>
      <c r="P1208" s="21" t="str">
        <f aca="false">IF(H1208="Yes",B1208,"")</f>
        <v/>
      </c>
    </row>
    <row r="1209" customFormat="false" ht="15" hidden="false" customHeight="false" outlineLevel="0" collapsed="false">
      <c r="A1209" s="21" t="s">
        <v>2424</v>
      </c>
      <c r="B1209" s="21" t="s">
        <v>647</v>
      </c>
      <c r="C1209" s="21" t="s">
        <v>1309</v>
      </c>
      <c r="D1209" s="21" t="s">
        <v>1194</v>
      </c>
      <c r="E1209" s="33" t="n">
        <v>45553</v>
      </c>
      <c r="F1209" s="21" t="s">
        <v>1175</v>
      </c>
      <c r="G1209" s="32"/>
      <c r="H1209" s="21"/>
      <c r="I1209" s="33"/>
      <c r="J1209" s="21" t="str">
        <f aca="false">INDEX(Students!$C$2:$C$601,MATCH(B1209,Students!$A$2:$A$601,0))</f>
        <v>Batch 2025</v>
      </c>
      <c r="K1209" s="21" t="str">
        <f aca="false">INDEX(Students!$D$2:$D$601,MATCH(B1209,Students!$A$2:$A$601,0))</f>
        <v>Data Science &amp; ML</v>
      </c>
      <c r="L1209" s="21" t="str">
        <f aca="false">INDEX(Companies!$C$2:$C$31,MATCH(C1209,Companies!$A$2:$A$31,0))</f>
        <v>EdTech</v>
      </c>
      <c r="M1209" s="21" t="str">
        <f aca="false">INDEX(Companies!$D$2:$D$31,MATCH(C1209,Companies!$A$2:$A$31,0))</f>
        <v>Tier 2</v>
      </c>
      <c r="N1209" s="34" t="n">
        <f aca="false">MATCH(F1209,Assumptions!$K$4:$K$8,0)</f>
        <v>1</v>
      </c>
      <c r="O1209" s="21" t="str">
        <f aca="false">IF(H1209="Yes",MONTH(I1209),"")</f>
        <v/>
      </c>
      <c r="P1209" s="21" t="str">
        <f aca="false">IF(H1209="Yes",B1209,"")</f>
        <v/>
      </c>
    </row>
    <row r="1210" customFormat="false" ht="15" hidden="false" customHeight="false" outlineLevel="0" collapsed="false">
      <c r="A1210" s="21" t="s">
        <v>2425</v>
      </c>
      <c r="B1210" s="21" t="s">
        <v>459</v>
      </c>
      <c r="C1210" s="21" t="s">
        <v>1322</v>
      </c>
      <c r="D1210" s="21" t="s">
        <v>1191</v>
      </c>
      <c r="E1210" s="33" t="n">
        <v>45554</v>
      </c>
      <c r="F1210" s="21" t="s">
        <v>1178</v>
      </c>
      <c r="G1210" s="32"/>
      <c r="H1210" s="21"/>
      <c r="I1210" s="33"/>
      <c r="J1210" s="21" t="str">
        <f aca="false">INDEX(Students!$C$2:$C$601,MATCH(B1210,Students!$A$2:$A$601,0))</f>
        <v>Batch 2025</v>
      </c>
      <c r="K1210" s="21" t="str">
        <f aca="false">INDEX(Students!$D$2:$D$601,MATCH(B1210,Students!$A$2:$A$601,0))</f>
        <v>DSA with Java</v>
      </c>
      <c r="L1210" s="21" t="str">
        <f aca="false">INDEX(Companies!$C$2:$C$31,MATCH(C1210,Companies!$A$2:$A$31,0))</f>
        <v>Healthtech</v>
      </c>
      <c r="M1210" s="21" t="str">
        <f aca="false">INDEX(Companies!$D$2:$D$31,MATCH(C1210,Companies!$A$2:$A$31,0))</f>
        <v>Tier 2</v>
      </c>
      <c r="N1210" s="34" t="n">
        <f aca="false">MATCH(F1210,Assumptions!$K$4:$K$8,0)</f>
        <v>2</v>
      </c>
      <c r="O1210" s="21" t="str">
        <f aca="false">IF(H1210="Yes",MONTH(I1210),"")</f>
        <v/>
      </c>
      <c r="P1210" s="21" t="str">
        <f aca="false">IF(H1210="Yes",B1210,"")</f>
        <v/>
      </c>
    </row>
    <row r="1211" customFormat="false" ht="15" hidden="false" customHeight="false" outlineLevel="0" collapsed="false">
      <c r="A1211" s="21" t="s">
        <v>2426</v>
      </c>
      <c r="B1211" s="21" t="s">
        <v>697</v>
      </c>
      <c r="C1211" s="21" t="s">
        <v>1196</v>
      </c>
      <c r="D1211" s="21" t="s">
        <v>1243</v>
      </c>
      <c r="E1211" s="33" t="n">
        <v>45554</v>
      </c>
      <c r="F1211" s="21" t="s">
        <v>1185</v>
      </c>
      <c r="G1211" s="32" t="n">
        <v>5.2</v>
      </c>
      <c r="H1211" s="21" t="s">
        <v>113</v>
      </c>
      <c r="I1211" s="33" t="n">
        <v>45604</v>
      </c>
      <c r="J1211" s="21" t="str">
        <f aca="false">INDEX(Students!$C$2:$C$601,MATCH(B1211,Students!$A$2:$A$601,0))</f>
        <v>Batch 2025</v>
      </c>
      <c r="K1211" s="21" t="str">
        <f aca="false">INDEX(Students!$D$2:$D$601,MATCH(B1211,Students!$A$2:$A$601,0))</f>
        <v>Data Science &amp; ML</v>
      </c>
      <c r="L1211" s="21" t="str">
        <f aca="false">INDEX(Companies!$C$2:$C$31,MATCH(C1211,Companies!$A$2:$A$31,0))</f>
        <v>IT Services</v>
      </c>
      <c r="M1211" s="21" t="str">
        <f aca="false">INDEX(Companies!$D$2:$D$31,MATCH(C1211,Companies!$A$2:$A$31,0))</f>
        <v>Tier 3</v>
      </c>
      <c r="N1211" s="34" t="n">
        <f aca="false">MATCH(F1211,Assumptions!$K$4:$K$8,0)</f>
        <v>5</v>
      </c>
      <c r="O1211" s="21" t="str">
        <f aca="false">IF(H1211="Yes",MONTH(I1211),"")</f>
        <v/>
      </c>
      <c r="P1211" s="21" t="str">
        <f aca="false">IF(H1211="Yes",B1211,"")</f>
        <v/>
      </c>
    </row>
    <row r="1212" customFormat="false" ht="15" hidden="false" customHeight="false" outlineLevel="0" collapsed="false">
      <c r="A1212" s="21" t="s">
        <v>2427</v>
      </c>
      <c r="B1212" s="21" t="s">
        <v>649</v>
      </c>
      <c r="C1212" s="21" t="s">
        <v>1239</v>
      </c>
      <c r="D1212" s="21" t="s">
        <v>1191</v>
      </c>
      <c r="E1212" s="33" t="n">
        <v>45554</v>
      </c>
      <c r="F1212" s="21" t="s">
        <v>1175</v>
      </c>
      <c r="G1212" s="32"/>
      <c r="H1212" s="21"/>
      <c r="I1212" s="33"/>
      <c r="J1212" s="21" t="str">
        <f aca="false">INDEX(Students!$C$2:$C$601,MATCH(B1212,Students!$A$2:$A$601,0))</f>
        <v>Batch 2025</v>
      </c>
      <c r="K1212" s="21" t="str">
        <f aca="false">INDEX(Students!$D$2:$D$601,MATCH(B1212,Students!$A$2:$A$601,0))</f>
        <v>DSA with Java</v>
      </c>
      <c r="L1212" s="21" t="str">
        <f aca="false">INDEX(Companies!$C$2:$C$31,MATCH(C1212,Companies!$A$2:$A$31,0))</f>
        <v>E-commerce</v>
      </c>
      <c r="M1212" s="21" t="str">
        <f aca="false">INDEX(Companies!$D$2:$D$31,MATCH(C1212,Companies!$A$2:$A$31,0))</f>
        <v>Tier 3</v>
      </c>
      <c r="N1212" s="34" t="n">
        <f aca="false">MATCH(F1212,Assumptions!$K$4:$K$8,0)</f>
        <v>1</v>
      </c>
      <c r="O1212" s="21" t="str">
        <f aca="false">IF(H1212="Yes",MONTH(I1212),"")</f>
        <v/>
      </c>
      <c r="P1212" s="21" t="str">
        <f aca="false">IF(H1212="Yes",B1212,"")</f>
        <v/>
      </c>
    </row>
    <row r="1213" customFormat="false" ht="15" hidden="false" customHeight="false" outlineLevel="0" collapsed="false">
      <c r="A1213" s="21" t="s">
        <v>2428</v>
      </c>
      <c r="B1213" s="21" t="s">
        <v>643</v>
      </c>
      <c r="C1213" s="21" t="s">
        <v>1322</v>
      </c>
      <c r="D1213" s="21" t="s">
        <v>1209</v>
      </c>
      <c r="E1213" s="33" t="n">
        <v>45554</v>
      </c>
      <c r="F1213" s="21" t="s">
        <v>1175</v>
      </c>
      <c r="G1213" s="32"/>
      <c r="H1213" s="21"/>
      <c r="I1213" s="33"/>
      <c r="J1213" s="21" t="str">
        <f aca="false">INDEX(Students!$C$2:$C$601,MATCH(B1213,Students!$A$2:$A$601,0))</f>
        <v>Batch 2025</v>
      </c>
      <c r="K1213" s="21" t="str">
        <f aca="false">INDEX(Students!$D$2:$D$601,MATCH(B1213,Students!$A$2:$A$601,0))</f>
        <v>Data Analytics</v>
      </c>
      <c r="L1213" s="21" t="str">
        <f aca="false">INDEX(Companies!$C$2:$C$31,MATCH(C1213,Companies!$A$2:$A$31,0))</f>
        <v>Healthtech</v>
      </c>
      <c r="M1213" s="21" t="str">
        <f aca="false">INDEX(Companies!$D$2:$D$31,MATCH(C1213,Companies!$A$2:$A$31,0))</f>
        <v>Tier 2</v>
      </c>
      <c r="N1213" s="34" t="n">
        <f aca="false">MATCH(F1213,Assumptions!$K$4:$K$8,0)</f>
        <v>1</v>
      </c>
      <c r="O1213" s="21" t="str">
        <f aca="false">IF(H1213="Yes",MONTH(I1213),"")</f>
        <v/>
      </c>
      <c r="P1213" s="21" t="str">
        <f aca="false">IF(H1213="Yes",B1213,"")</f>
        <v/>
      </c>
    </row>
    <row r="1214" customFormat="false" ht="15" hidden="false" customHeight="false" outlineLevel="0" collapsed="false">
      <c r="A1214" s="21" t="s">
        <v>2429</v>
      </c>
      <c r="B1214" s="21" t="s">
        <v>704</v>
      </c>
      <c r="C1214" s="21" t="s">
        <v>1228</v>
      </c>
      <c r="D1214" s="21" t="s">
        <v>1174</v>
      </c>
      <c r="E1214" s="33" t="n">
        <v>45554</v>
      </c>
      <c r="F1214" s="21" t="s">
        <v>1175</v>
      </c>
      <c r="G1214" s="32"/>
      <c r="H1214" s="21"/>
      <c r="I1214" s="33"/>
      <c r="J1214" s="21" t="str">
        <f aca="false">INDEX(Students!$C$2:$C$601,MATCH(B1214,Students!$A$2:$A$601,0))</f>
        <v>Batch 2025</v>
      </c>
      <c r="K1214" s="21" t="str">
        <f aca="false">INDEX(Students!$D$2:$D$601,MATCH(B1214,Students!$A$2:$A$601,0))</f>
        <v>Full Stack Development</v>
      </c>
      <c r="L1214" s="21" t="str">
        <f aca="false">INDEX(Companies!$C$2:$C$31,MATCH(C1214,Companies!$A$2:$A$31,0))</f>
        <v>Fintech</v>
      </c>
      <c r="M1214" s="21" t="str">
        <f aca="false">INDEX(Companies!$D$2:$D$31,MATCH(C1214,Companies!$A$2:$A$31,0))</f>
        <v>Tier 1</v>
      </c>
      <c r="N1214" s="34" t="n">
        <f aca="false">MATCH(F1214,Assumptions!$K$4:$K$8,0)</f>
        <v>1</v>
      </c>
      <c r="O1214" s="21" t="str">
        <f aca="false">IF(H1214="Yes",MONTH(I1214),"")</f>
        <v/>
      </c>
      <c r="P1214" s="21" t="str">
        <f aca="false">IF(H1214="Yes",B1214,"")</f>
        <v/>
      </c>
    </row>
    <row r="1215" customFormat="false" ht="15" hidden="false" customHeight="false" outlineLevel="0" collapsed="false">
      <c r="A1215" s="21" t="s">
        <v>2430</v>
      </c>
      <c r="B1215" s="21" t="s">
        <v>507</v>
      </c>
      <c r="C1215" s="21" t="s">
        <v>1193</v>
      </c>
      <c r="D1215" s="21" t="s">
        <v>1226</v>
      </c>
      <c r="E1215" s="33" t="n">
        <v>45554</v>
      </c>
      <c r="F1215" s="21" t="s">
        <v>1185</v>
      </c>
      <c r="G1215" s="32" t="n">
        <v>11.6</v>
      </c>
      <c r="H1215" s="21" t="s">
        <v>113</v>
      </c>
      <c r="I1215" s="33" t="n">
        <v>45601</v>
      </c>
      <c r="J1215" s="21" t="str">
        <f aca="false">INDEX(Students!$C$2:$C$601,MATCH(B1215,Students!$A$2:$A$601,0))</f>
        <v>Batch 2025</v>
      </c>
      <c r="K1215" s="21" t="str">
        <f aca="false">INDEX(Students!$D$2:$D$601,MATCH(B1215,Students!$A$2:$A$601,0))</f>
        <v>Cybersecurity</v>
      </c>
      <c r="L1215" s="21" t="str">
        <f aca="false">INDEX(Companies!$C$2:$C$31,MATCH(C1215,Companies!$A$2:$A$31,0))</f>
        <v>Analytics &amp; Consulting</v>
      </c>
      <c r="M1215" s="21" t="str">
        <f aca="false">INDEX(Companies!$D$2:$D$31,MATCH(C1215,Companies!$A$2:$A$31,0))</f>
        <v>Tier 2</v>
      </c>
      <c r="N1215" s="34" t="n">
        <f aca="false">MATCH(F1215,Assumptions!$K$4:$K$8,0)</f>
        <v>5</v>
      </c>
      <c r="O1215" s="21" t="str">
        <f aca="false">IF(H1215="Yes",MONTH(I1215),"")</f>
        <v/>
      </c>
      <c r="P1215" s="21" t="str">
        <f aca="false">IF(H1215="Yes",B1215,"")</f>
        <v/>
      </c>
    </row>
    <row r="1216" customFormat="false" ht="15" hidden="false" customHeight="false" outlineLevel="0" collapsed="false">
      <c r="A1216" s="21" t="s">
        <v>2431</v>
      </c>
      <c r="B1216" s="21" t="s">
        <v>576</v>
      </c>
      <c r="C1216" s="21" t="s">
        <v>1199</v>
      </c>
      <c r="D1216" s="21" t="s">
        <v>1184</v>
      </c>
      <c r="E1216" s="33" t="n">
        <v>45554</v>
      </c>
      <c r="F1216" s="21" t="s">
        <v>1185</v>
      </c>
      <c r="G1216" s="32" t="n">
        <v>13.6</v>
      </c>
      <c r="H1216" s="21" t="s">
        <v>113</v>
      </c>
      <c r="I1216" s="33" t="n">
        <v>45591</v>
      </c>
      <c r="J1216" s="21" t="str">
        <f aca="false">INDEX(Students!$C$2:$C$601,MATCH(B1216,Students!$A$2:$A$601,0))</f>
        <v>Batch 2025</v>
      </c>
      <c r="K1216" s="21" t="str">
        <f aca="false">INDEX(Students!$D$2:$D$601,MATCH(B1216,Students!$A$2:$A$601,0))</f>
        <v>DSA with Java</v>
      </c>
      <c r="L1216" s="21" t="str">
        <f aca="false">INDEX(Companies!$C$2:$C$31,MATCH(C1216,Companies!$A$2:$A$31,0))</f>
        <v>E-commerce</v>
      </c>
      <c r="M1216" s="21" t="str">
        <f aca="false">INDEX(Companies!$D$2:$D$31,MATCH(C1216,Companies!$A$2:$A$31,0))</f>
        <v>Tier 2</v>
      </c>
      <c r="N1216" s="34" t="n">
        <f aca="false">MATCH(F1216,Assumptions!$K$4:$K$8,0)</f>
        <v>5</v>
      </c>
      <c r="O1216" s="21" t="str">
        <f aca="false">IF(H1216="Yes",MONTH(I1216),"")</f>
        <v/>
      </c>
      <c r="P1216" s="21" t="str">
        <f aca="false">IF(H1216="Yes",B1216,"")</f>
        <v/>
      </c>
    </row>
    <row r="1217" customFormat="false" ht="15" hidden="false" customHeight="false" outlineLevel="0" collapsed="false">
      <c r="A1217" s="21" t="s">
        <v>2432</v>
      </c>
      <c r="B1217" s="21" t="s">
        <v>745</v>
      </c>
      <c r="C1217" s="21" t="s">
        <v>1214</v>
      </c>
      <c r="D1217" s="21" t="s">
        <v>1240</v>
      </c>
      <c r="E1217" s="33" t="n">
        <v>45555</v>
      </c>
      <c r="F1217" s="21" t="s">
        <v>1175</v>
      </c>
      <c r="G1217" s="32"/>
      <c r="H1217" s="21"/>
      <c r="I1217" s="33"/>
      <c r="J1217" s="21" t="str">
        <f aca="false">INDEX(Students!$C$2:$C$601,MATCH(B1217,Students!$A$2:$A$601,0))</f>
        <v>Batch 2025</v>
      </c>
      <c r="K1217" s="21" t="str">
        <f aca="false">INDEX(Students!$D$2:$D$601,MATCH(B1217,Students!$A$2:$A$601,0))</f>
        <v>Cybersecurity</v>
      </c>
      <c r="L1217" s="21" t="str">
        <f aca="false">INDEX(Companies!$C$2:$C$31,MATCH(C1217,Companies!$A$2:$A$31,0))</f>
        <v>Product</v>
      </c>
      <c r="M1217" s="21" t="str">
        <f aca="false">INDEX(Companies!$D$2:$D$31,MATCH(C1217,Companies!$A$2:$A$31,0))</f>
        <v>Tier 1</v>
      </c>
      <c r="N1217" s="34" t="n">
        <f aca="false">MATCH(F1217,Assumptions!$K$4:$K$8,0)</f>
        <v>1</v>
      </c>
      <c r="O1217" s="21" t="str">
        <f aca="false">IF(H1217="Yes",MONTH(I1217),"")</f>
        <v/>
      </c>
      <c r="P1217" s="21" t="str">
        <f aca="false">IF(H1217="Yes",B1217,"")</f>
        <v/>
      </c>
    </row>
    <row r="1218" customFormat="false" ht="15" hidden="false" customHeight="false" outlineLevel="0" collapsed="false">
      <c r="A1218" s="21" t="s">
        <v>2433</v>
      </c>
      <c r="B1218" s="21" t="s">
        <v>582</v>
      </c>
      <c r="C1218" s="21" t="s">
        <v>1203</v>
      </c>
      <c r="D1218" s="21" t="s">
        <v>1243</v>
      </c>
      <c r="E1218" s="33" t="n">
        <v>45555</v>
      </c>
      <c r="F1218" s="21" t="s">
        <v>1197</v>
      </c>
      <c r="G1218" s="32"/>
      <c r="H1218" s="21"/>
      <c r="I1218" s="33"/>
      <c r="J1218" s="21" t="str">
        <f aca="false">INDEX(Students!$C$2:$C$601,MATCH(B1218,Students!$A$2:$A$601,0))</f>
        <v>Batch 2025</v>
      </c>
      <c r="K1218" s="21" t="str">
        <f aca="false">INDEX(Students!$D$2:$D$601,MATCH(B1218,Students!$A$2:$A$601,0))</f>
        <v>Data Science &amp; ML</v>
      </c>
      <c r="L1218" s="21" t="str">
        <f aca="false">INDEX(Companies!$C$2:$C$31,MATCH(C1218,Companies!$A$2:$A$31,0))</f>
        <v>Healthtech</v>
      </c>
      <c r="M1218" s="21" t="str">
        <f aca="false">INDEX(Companies!$D$2:$D$31,MATCH(C1218,Companies!$A$2:$A$31,0))</f>
        <v>Tier 2</v>
      </c>
      <c r="N1218" s="34" t="n">
        <f aca="false">MATCH(F1218,Assumptions!$K$4:$K$8,0)</f>
        <v>3</v>
      </c>
      <c r="O1218" s="21" t="str">
        <f aca="false">IF(H1218="Yes",MONTH(I1218),"")</f>
        <v/>
      </c>
      <c r="P1218" s="21" t="str">
        <f aca="false">IF(H1218="Yes",B1218,"")</f>
        <v/>
      </c>
    </row>
    <row r="1219" customFormat="false" ht="15" hidden="false" customHeight="false" outlineLevel="0" collapsed="false">
      <c r="A1219" s="21" t="s">
        <v>2434</v>
      </c>
      <c r="B1219" s="21" t="s">
        <v>630</v>
      </c>
      <c r="C1219" s="21" t="s">
        <v>1208</v>
      </c>
      <c r="D1219" s="21" t="s">
        <v>1181</v>
      </c>
      <c r="E1219" s="33" t="n">
        <v>45555</v>
      </c>
      <c r="F1219" s="21" t="s">
        <v>1175</v>
      </c>
      <c r="G1219" s="32"/>
      <c r="H1219" s="21"/>
      <c r="I1219" s="33"/>
      <c r="J1219" s="21" t="str">
        <f aca="false">INDEX(Students!$C$2:$C$601,MATCH(B1219,Students!$A$2:$A$601,0))</f>
        <v>Batch 2025</v>
      </c>
      <c r="K1219" s="21" t="str">
        <f aca="false">INDEX(Students!$D$2:$D$601,MATCH(B1219,Students!$A$2:$A$601,0))</f>
        <v>Full Stack Development</v>
      </c>
      <c r="L1219" s="21" t="str">
        <f aca="false">INDEX(Companies!$C$2:$C$31,MATCH(C1219,Companies!$A$2:$A$31,0))</f>
        <v>E-commerce</v>
      </c>
      <c r="M1219" s="21" t="str">
        <f aca="false">INDEX(Companies!$D$2:$D$31,MATCH(C1219,Companies!$A$2:$A$31,0))</f>
        <v>Tier 1</v>
      </c>
      <c r="N1219" s="34" t="n">
        <f aca="false">MATCH(F1219,Assumptions!$K$4:$K$8,0)</f>
        <v>1</v>
      </c>
      <c r="O1219" s="21" t="str">
        <f aca="false">IF(H1219="Yes",MONTH(I1219),"")</f>
        <v/>
      </c>
      <c r="P1219" s="21" t="str">
        <f aca="false">IF(H1219="Yes",B1219,"")</f>
        <v/>
      </c>
    </row>
    <row r="1220" customFormat="false" ht="15" hidden="false" customHeight="false" outlineLevel="0" collapsed="false">
      <c r="A1220" s="21" t="s">
        <v>2435</v>
      </c>
      <c r="B1220" s="21" t="s">
        <v>752</v>
      </c>
      <c r="C1220" s="21" t="s">
        <v>1216</v>
      </c>
      <c r="D1220" s="21" t="s">
        <v>1191</v>
      </c>
      <c r="E1220" s="33" t="n">
        <v>45555</v>
      </c>
      <c r="F1220" s="21" t="s">
        <v>1175</v>
      </c>
      <c r="G1220" s="32"/>
      <c r="H1220" s="21"/>
      <c r="I1220" s="33"/>
      <c r="J1220" s="21" t="str">
        <f aca="false">INDEX(Students!$C$2:$C$601,MATCH(B1220,Students!$A$2:$A$601,0))</f>
        <v>Batch 2025</v>
      </c>
      <c r="K1220" s="21" t="str">
        <f aca="false">INDEX(Students!$D$2:$D$601,MATCH(B1220,Students!$A$2:$A$601,0))</f>
        <v>DSA with Java</v>
      </c>
      <c r="L1220" s="21" t="str">
        <f aca="false">INDEX(Companies!$C$2:$C$31,MATCH(C1220,Companies!$A$2:$A$31,0))</f>
        <v>IT Services</v>
      </c>
      <c r="M1220" s="21" t="str">
        <f aca="false">INDEX(Companies!$D$2:$D$31,MATCH(C1220,Companies!$A$2:$A$31,0))</f>
        <v>Tier 3</v>
      </c>
      <c r="N1220" s="34" t="n">
        <f aca="false">MATCH(F1220,Assumptions!$K$4:$K$8,0)</f>
        <v>1</v>
      </c>
      <c r="O1220" s="21" t="str">
        <f aca="false">IF(H1220="Yes",MONTH(I1220),"")</f>
        <v/>
      </c>
      <c r="P1220" s="21" t="str">
        <f aca="false">IF(H1220="Yes",B1220,"")</f>
        <v/>
      </c>
    </row>
    <row r="1221" customFormat="false" ht="15" hidden="false" customHeight="false" outlineLevel="0" collapsed="false">
      <c r="A1221" s="21" t="s">
        <v>2436</v>
      </c>
      <c r="B1221" s="21" t="s">
        <v>524</v>
      </c>
      <c r="C1221" s="21" t="s">
        <v>1214</v>
      </c>
      <c r="D1221" s="21" t="s">
        <v>1243</v>
      </c>
      <c r="E1221" s="33" t="n">
        <v>45555</v>
      </c>
      <c r="F1221" s="21" t="s">
        <v>1175</v>
      </c>
      <c r="G1221" s="32"/>
      <c r="H1221" s="21"/>
      <c r="I1221" s="33"/>
      <c r="J1221" s="21" t="str">
        <f aca="false">INDEX(Students!$C$2:$C$601,MATCH(B1221,Students!$A$2:$A$601,0))</f>
        <v>Batch 2025</v>
      </c>
      <c r="K1221" s="21" t="str">
        <f aca="false">INDEX(Students!$D$2:$D$601,MATCH(B1221,Students!$A$2:$A$601,0))</f>
        <v>Data Science &amp; ML</v>
      </c>
      <c r="L1221" s="21" t="str">
        <f aca="false">INDEX(Companies!$C$2:$C$31,MATCH(C1221,Companies!$A$2:$A$31,0))</f>
        <v>Product</v>
      </c>
      <c r="M1221" s="21" t="str">
        <f aca="false">INDEX(Companies!$D$2:$D$31,MATCH(C1221,Companies!$A$2:$A$31,0))</f>
        <v>Tier 1</v>
      </c>
      <c r="N1221" s="34" t="n">
        <f aca="false">MATCH(F1221,Assumptions!$K$4:$K$8,0)</f>
        <v>1</v>
      </c>
      <c r="O1221" s="21" t="str">
        <f aca="false">IF(H1221="Yes",MONTH(I1221),"")</f>
        <v/>
      </c>
      <c r="P1221" s="21" t="str">
        <f aca="false">IF(H1221="Yes",B1221,"")</f>
        <v/>
      </c>
    </row>
    <row r="1222" customFormat="false" ht="15" hidden="false" customHeight="false" outlineLevel="0" collapsed="false">
      <c r="A1222" s="21" t="s">
        <v>2437</v>
      </c>
      <c r="B1222" s="21" t="s">
        <v>487</v>
      </c>
      <c r="C1222" s="21" t="s">
        <v>1214</v>
      </c>
      <c r="D1222" s="21" t="s">
        <v>1194</v>
      </c>
      <c r="E1222" s="33" t="n">
        <v>45555</v>
      </c>
      <c r="F1222" s="21" t="s">
        <v>1185</v>
      </c>
      <c r="G1222" s="32" t="n">
        <v>21.8</v>
      </c>
      <c r="H1222" s="21" t="s">
        <v>120</v>
      </c>
      <c r="I1222" s="33" t="n">
        <v>45585</v>
      </c>
      <c r="J1222" s="21" t="str">
        <f aca="false">INDEX(Students!$C$2:$C$601,MATCH(B1222,Students!$A$2:$A$601,0))</f>
        <v>Batch 2025</v>
      </c>
      <c r="K1222" s="21" t="str">
        <f aca="false">INDEX(Students!$D$2:$D$601,MATCH(B1222,Students!$A$2:$A$601,0))</f>
        <v>Data Science &amp; ML</v>
      </c>
      <c r="L1222" s="21" t="str">
        <f aca="false">INDEX(Companies!$C$2:$C$31,MATCH(C1222,Companies!$A$2:$A$31,0))</f>
        <v>Product</v>
      </c>
      <c r="M1222" s="21" t="str">
        <f aca="false">INDEX(Companies!$D$2:$D$31,MATCH(C1222,Companies!$A$2:$A$31,0))</f>
        <v>Tier 1</v>
      </c>
      <c r="N1222" s="34" t="n">
        <f aca="false">MATCH(F1222,Assumptions!$K$4:$K$8,0)</f>
        <v>5</v>
      </c>
      <c r="O1222" s="21" t="n">
        <f aca="false">IF(H1222="Yes",MONTH(I1222),"")</f>
        <v>10</v>
      </c>
      <c r="P1222" s="21" t="str">
        <f aca="false">IF(H1222="Yes",B1222,"")</f>
        <v>S0199</v>
      </c>
    </row>
    <row r="1223" customFormat="false" ht="15" hidden="false" customHeight="false" outlineLevel="0" collapsed="false">
      <c r="A1223" s="21" t="s">
        <v>2438</v>
      </c>
      <c r="B1223" s="21" t="s">
        <v>470</v>
      </c>
      <c r="C1223" s="21" t="s">
        <v>1201</v>
      </c>
      <c r="D1223" s="21" t="s">
        <v>1209</v>
      </c>
      <c r="E1223" s="33" t="n">
        <v>45555</v>
      </c>
      <c r="F1223" s="21" t="s">
        <v>1175</v>
      </c>
      <c r="G1223" s="32"/>
      <c r="H1223" s="21"/>
      <c r="I1223" s="33"/>
      <c r="J1223" s="21" t="str">
        <f aca="false">INDEX(Students!$C$2:$C$601,MATCH(B1223,Students!$A$2:$A$601,0))</f>
        <v>Batch 2025</v>
      </c>
      <c r="K1223" s="21" t="str">
        <f aca="false">INDEX(Students!$D$2:$D$601,MATCH(B1223,Students!$A$2:$A$601,0))</f>
        <v>Data Analytics</v>
      </c>
      <c r="L1223" s="21" t="str">
        <f aca="false">INDEX(Companies!$C$2:$C$31,MATCH(C1223,Companies!$A$2:$A$31,0))</f>
        <v>IT Services</v>
      </c>
      <c r="M1223" s="21" t="str">
        <f aca="false">INDEX(Companies!$D$2:$D$31,MATCH(C1223,Companies!$A$2:$A$31,0))</f>
        <v>Tier 3</v>
      </c>
      <c r="N1223" s="34" t="n">
        <f aca="false">MATCH(F1223,Assumptions!$K$4:$K$8,0)</f>
        <v>1</v>
      </c>
      <c r="O1223" s="21" t="str">
        <f aca="false">IF(H1223="Yes",MONTH(I1223),"")</f>
        <v/>
      </c>
      <c r="P1223" s="21" t="str">
        <f aca="false">IF(H1223="Yes",B1223,"")</f>
        <v/>
      </c>
    </row>
    <row r="1224" customFormat="false" ht="15" hidden="false" customHeight="false" outlineLevel="0" collapsed="false">
      <c r="A1224" s="21" t="s">
        <v>2439</v>
      </c>
      <c r="B1224" s="21" t="s">
        <v>515</v>
      </c>
      <c r="C1224" s="21" t="s">
        <v>1255</v>
      </c>
      <c r="D1224" s="21" t="s">
        <v>1194</v>
      </c>
      <c r="E1224" s="33" t="n">
        <v>45555</v>
      </c>
      <c r="F1224" s="21" t="s">
        <v>1178</v>
      </c>
      <c r="G1224" s="32"/>
      <c r="H1224" s="21"/>
      <c r="I1224" s="33"/>
      <c r="J1224" s="21" t="str">
        <f aca="false">INDEX(Students!$C$2:$C$601,MATCH(B1224,Students!$A$2:$A$601,0))</f>
        <v>Batch 2025</v>
      </c>
      <c r="K1224" s="21" t="str">
        <f aca="false">INDEX(Students!$D$2:$D$601,MATCH(B1224,Students!$A$2:$A$601,0))</f>
        <v>Data Science &amp; ML</v>
      </c>
      <c r="L1224" s="21" t="str">
        <f aca="false">INDEX(Companies!$C$2:$C$31,MATCH(C1224,Companies!$A$2:$A$31,0))</f>
        <v>IT Services</v>
      </c>
      <c r="M1224" s="21" t="str">
        <f aca="false">INDEX(Companies!$D$2:$D$31,MATCH(C1224,Companies!$A$2:$A$31,0))</f>
        <v>Tier 3</v>
      </c>
      <c r="N1224" s="34" t="n">
        <f aca="false">MATCH(F1224,Assumptions!$K$4:$K$8,0)</f>
        <v>2</v>
      </c>
      <c r="O1224" s="21" t="str">
        <f aca="false">IF(H1224="Yes",MONTH(I1224),"")</f>
        <v/>
      </c>
      <c r="P1224" s="21" t="str">
        <f aca="false">IF(H1224="Yes",B1224,"")</f>
        <v/>
      </c>
    </row>
    <row r="1225" customFormat="false" ht="15" hidden="false" customHeight="false" outlineLevel="0" collapsed="false">
      <c r="A1225" s="21" t="s">
        <v>2440</v>
      </c>
      <c r="B1225" s="21" t="s">
        <v>511</v>
      </c>
      <c r="C1225" s="21" t="s">
        <v>1255</v>
      </c>
      <c r="D1225" s="21" t="s">
        <v>1209</v>
      </c>
      <c r="E1225" s="33" t="n">
        <v>45556</v>
      </c>
      <c r="F1225" s="21" t="s">
        <v>1185</v>
      </c>
      <c r="G1225" s="32" t="n">
        <v>6.9</v>
      </c>
      <c r="H1225" s="21" t="s">
        <v>113</v>
      </c>
      <c r="I1225" s="33" t="n">
        <v>45593</v>
      </c>
      <c r="J1225" s="21" t="str">
        <f aca="false">INDEX(Students!$C$2:$C$601,MATCH(B1225,Students!$A$2:$A$601,0))</f>
        <v>Batch 2025</v>
      </c>
      <c r="K1225" s="21" t="str">
        <f aca="false">INDEX(Students!$D$2:$D$601,MATCH(B1225,Students!$A$2:$A$601,0))</f>
        <v>Data Analytics</v>
      </c>
      <c r="L1225" s="21" t="str">
        <f aca="false">INDEX(Companies!$C$2:$C$31,MATCH(C1225,Companies!$A$2:$A$31,0))</f>
        <v>IT Services</v>
      </c>
      <c r="M1225" s="21" t="str">
        <f aca="false">INDEX(Companies!$D$2:$D$31,MATCH(C1225,Companies!$A$2:$A$31,0))</f>
        <v>Tier 3</v>
      </c>
      <c r="N1225" s="34" t="n">
        <f aca="false">MATCH(F1225,Assumptions!$K$4:$K$8,0)</f>
        <v>5</v>
      </c>
      <c r="O1225" s="21" t="str">
        <f aca="false">IF(H1225="Yes",MONTH(I1225),"")</f>
        <v/>
      </c>
      <c r="P1225" s="21" t="str">
        <f aca="false">IF(H1225="Yes",B1225,"")</f>
        <v/>
      </c>
    </row>
    <row r="1226" customFormat="false" ht="15" hidden="false" customHeight="false" outlineLevel="0" collapsed="false">
      <c r="A1226" s="21" t="s">
        <v>2441</v>
      </c>
      <c r="B1226" s="21" t="s">
        <v>616</v>
      </c>
      <c r="C1226" s="21" t="s">
        <v>1255</v>
      </c>
      <c r="D1226" s="21" t="s">
        <v>1194</v>
      </c>
      <c r="E1226" s="33" t="n">
        <v>45556</v>
      </c>
      <c r="F1226" s="21" t="s">
        <v>1218</v>
      </c>
      <c r="G1226" s="32"/>
      <c r="H1226" s="21"/>
      <c r="I1226" s="33"/>
      <c r="J1226" s="21" t="str">
        <f aca="false">INDEX(Students!$C$2:$C$601,MATCH(B1226,Students!$A$2:$A$601,0))</f>
        <v>Batch 2025</v>
      </c>
      <c r="K1226" s="21" t="str">
        <f aca="false">INDEX(Students!$D$2:$D$601,MATCH(B1226,Students!$A$2:$A$601,0))</f>
        <v>Data Science &amp; ML</v>
      </c>
      <c r="L1226" s="21" t="str">
        <f aca="false">INDEX(Companies!$C$2:$C$31,MATCH(C1226,Companies!$A$2:$A$31,0))</f>
        <v>IT Services</v>
      </c>
      <c r="M1226" s="21" t="str">
        <f aca="false">INDEX(Companies!$D$2:$D$31,MATCH(C1226,Companies!$A$2:$A$31,0))</f>
        <v>Tier 3</v>
      </c>
      <c r="N1226" s="34" t="n">
        <f aca="false">MATCH(F1226,Assumptions!$K$4:$K$8,0)</f>
        <v>4</v>
      </c>
      <c r="O1226" s="21" t="str">
        <f aca="false">IF(H1226="Yes",MONTH(I1226),"")</f>
        <v/>
      </c>
      <c r="P1226" s="21" t="str">
        <f aca="false">IF(H1226="Yes",B1226,"")</f>
        <v/>
      </c>
    </row>
    <row r="1227" customFormat="false" ht="15" hidden="false" customHeight="false" outlineLevel="0" collapsed="false">
      <c r="A1227" s="21" t="s">
        <v>2442</v>
      </c>
      <c r="B1227" s="21" t="s">
        <v>716</v>
      </c>
      <c r="C1227" s="21" t="s">
        <v>1214</v>
      </c>
      <c r="D1227" s="21" t="s">
        <v>1184</v>
      </c>
      <c r="E1227" s="33" t="n">
        <v>45556</v>
      </c>
      <c r="F1227" s="21" t="s">
        <v>1175</v>
      </c>
      <c r="G1227" s="32"/>
      <c r="H1227" s="21"/>
      <c r="I1227" s="33"/>
      <c r="J1227" s="21" t="str">
        <f aca="false">INDEX(Students!$C$2:$C$601,MATCH(B1227,Students!$A$2:$A$601,0))</f>
        <v>Batch 2025</v>
      </c>
      <c r="K1227" s="21" t="str">
        <f aca="false">INDEX(Students!$D$2:$D$601,MATCH(B1227,Students!$A$2:$A$601,0))</f>
        <v>DSA with Java</v>
      </c>
      <c r="L1227" s="21" t="str">
        <f aca="false">INDEX(Companies!$C$2:$C$31,MATCH(C1227,Companies!$A$2:$A$31,0))</f>
        <v>Product</v>
      </c>
      <c r="M1227" s="21" t="str">
        <f aca="false">INDEX(Companies!$D$2:$D$31,MATCH(C1227,Companies!$A$2:$A$31,0))</f>
        <v>Tier 1</v>
      </c>
      <c r="N1227" s="34" t="n">
        <f aca="false">MATCH(F1227,Assumptions!$K$4:$K$8,0)</f>
        <v>1</v>
      </c>
      <c r="O1227" s="21" t="str">
        <f aca="false">IF(H1227="Yes",MONTH(I1227),"")</f>
        <v/>
      </c>
      <c r="P1227" s="21" t="str">
        <f aca="false">IF(H1227="Yes",B1227,"")</f>
        <v/>
      </c>
    </row>
    <row r="1228" customFormat="false" ht="15" hidden="false" customHeight="false" outlineLevel="0" collapsed="false">
      <c r="A1228" s="21" t="s">
        <v>2443</v>
      </c>
      <c r="B1228" s="21" t="s">
        <v>538</v>
      </c>
      <c r="C1228" s="21" t="s">
        <v>1187</v>
      </c>
      <c r="D1228" s="21" t="s">
        <v>1191</v>
      </c>
      <c r="E1228" s="33" t="n">
        <v>45556</v>
      </c>
      <c r="F1228" s="21" t="s">
        <v>1218</v>
      </c>
      <c r="G1228" s="32"/>
      <c r="H1228" s="21"/>
      <c r="I1228" s="33"/>
      <c r="J1228" s="21" t="str">
        <f aca="false">INDEX(Students!$C$2:$C$601,MATCH(B1228,Students!$A$2:$A$601,0))</f>
        <v>Batch 2025</v>
      </c>
      <c r="K1228" s="21" t="str">
        <f aca="false">INDEX(Students!$D$2:$D$601,MATCH(B1228,Students!$A$2:$A$601,0))</f>
        <v>DSA with Java</v>
      </c>
      <c r="L1228" s="21" t="str">
        <f aca="false">INDEX(Companies!$C$2:$C$31,MATCH(C1228,Companies!$A$2:$A$31,0))</f>
        <v>Product</v>
      </c>
      <c r="M1228" s="21" t="str">
        <f aca="false">INDEX(Companies!$D$2:$D$31,MATCH(C1228,Companies!$A$2:$A$31,0))</f>
        <v>Tier 1</v>
      </c>
      <c r="N1228" s="34" t="n">
        <f aca="false">MATCH(F1228,Assumptions!$K$4:$K$8,0)</f>
        <v>4</v>
      </c>
      <c r="O1228" s="21" t="str">
        <f aca="false">IF(H1228="Yes",MONTH(I1228),"")</f>
        <v/>
      </c>
      <c r="P1228" s="21" t="str">
        <f aca="false">IF(H1228="Yes",B1228,"")</f>
        <v/>
      </c>
    </row>
    <row r="1229" customFormat="false" ht="15" hidden="false" customHeight="false" outlineLevel="0" collapsed="false">
      <c r="A1229" s="21" t="s">
        <v>2444</v>
      </c>
      <c r="B1229" s="21" t="s">
        <v>772</v>
      </c>
      <c r="C1229" s="21" t="s">
        <v>1177</v>
      </c>
      <c r="D1229" s="21" t="s">
        <v>1243</v>
      </c>
      <c r="E1229" s="33" t="n">
        <v>45557</v>
      </c>
      <c r="F1229" s="21" t="s">
        <v>1178</v>
      </c>
      <c r="G1229" s="32"/>
      <c r="H1229" s="21"/>
      <c r="I1229" s="33"/>
      <c r="J1229" s="21" t="str">
        <f aca="false">INDEX(Students!$C$2:$C$601,MATCH(B1229,Students!$A$2:$A$601,0))</f>
        <v>Batch 2025</v>
      </c>
      <c r="K1229" s="21" t="str">
        <f aca="false">INDEX(Students!$D$2:$D$601,MATCH(B1229,Students!$A$2:$A$601,0))</f>
        <v>Data Science &amp; ML</v>
      </c>
      <c r="L1229" s="21" t="str">
        <f aca="false">INDEX(Companies!$C$2:$C$31,MATCH(C1229,Companies!$A$2:$A$31,0))</f>
        <v>IT Services</v>
      </c>
      <c r="M1229" s="21" t="str">
        <f aca="false">INDEX(Companies!$D$2:$D$31,MATCH(C1229,Companies!$A$2:$A$31,0))</f>
        <v>Tier 3</v>
      </c>
      <c r="N1229" s="34" t="n">
        <f aca="false">MATCH(F1229,Assumptions!$K$4:$K$8,0)</f>
        <v>2</v>
      </c>
      <c r="O1229" s="21" t="str">
        <f aca="false">IF(H1229="Yes",MONTH(I1229),"")</f>
        <v/>
      </c>
      <c r="P1229" s="21" t="str">
        <f aca="false">IF(H1229="Yes",B1229,"")</f>
        <v/>
      </c>
    </row>
    <row r="1230" customFormat="false" ht="15" hidden="false" customHeight="false" outlineLevel="0" collapsed="false">
      <c r="A1230" s="21" t="s">
        <v>2445</v>
      </c>
      <c r="B1230" s="21" t="s">
        <v>783</v>
      </c>
      <c r="C1230" s="21" t="s">
        <v>1199</v>
      </c>
      <c r="D1230" s="21" t="s">
        <v>1174</v>
      </c>
      <c r="E1230" s="33" t="n">
        <v>45557</v>
      </c>
      <c r="F1230" s="21" t="s">
        <v>1178</v>
      </c>
      <c r="G1230" s="32"/>
      <c r="H1230" s="21"/>
      <c r="I1230" s="33"/>
      <c r="J1230" s="21" t="str">
        <f aca="false">INDEX(Students!$C$2:$C$601,MATCH(B1230,Students!$A$2:$A$601,0))</f>
        <v>Batch 2025</v>
      </c>
      <c r="K1230" s="21" t="str">
        <f aca="false">INDEX(Students!$D$2:$D$601,MATCH(B1230,Students!$A$2:$A$601,0))</f>
        <v>Full Stack Development</v>
      </c>
      <c r="L1230" s="21" t="str">
        <f aca="false">INDEX(Companies!$C$2:$C$31,MATCH(C1230,Companies!$A$2:$A$31,0))</f>
        <v>E-commerce</v>
      </c>
      <c r="M1230" s="21" t="str">
        <f aca="false">INDEX(Companies!$D$2:$D$31,MATCH(C1230,Companies!$A$2:$A$31,0))</f>
        <v>Tier 2</v>
      </c>
      <c r="N1230" s="34" t="n">
        <f aca="false">MATCH(F1230,Assumptions!$K$4:$K$8,0)</f>
        <v>2</v>
      </c>
      <c r="O1230" s="21" t="str">
        <f aca="false">IF(H1230="Yes",MONTH(I1230),"")</f>
        <v/>
      </c>
      <c r="P1230" s="21" t="str">
        <f aca="false">IF(H1230="Yes",B1230,"")</f>
        <v/>
      </c>
    </row>
    <row r="1231" customFormat="false" ht="15" hidden="false" customHeight="false" outlineLevel="0" collapsed="false">
      <c r="A1231" s="21" t="s">
        <v>2446</v>
      </c>
      <c r="B1231" s="21" t="s">
        <v>630</v>
      </c>
      <c r="C1231" s="21" t="s">
        <v>1211</v>
      </c>
      <c r="D1231" s="21" t="s">
        <v>1174</v>
      </c>
      <c r="E1231" s="33" t="n">
        <v>45558</v>
      </c>
      <c r="F1231" s="21" t="s">
        <v>1178</v>
      </c>
      <c r="G1231" s="32"/>
      <c r="H1231" s="21"/>
      <c r="I1231" s="33"/>
      <c r="J1231" s="21" t="str">
        <f aca="false">INDEX(Students!$C$2:$C$601,MATCH(B1231,Students!$A$2:$A$601,0))</f>
        <v>Batch 2025</v>
      </c>
      <c r="K1231" s="21" t="str">
        <f aca="false">INDEX(Students!$D$2:$D$601,MATCH(B1231,Students!$A$2:$A$601,0))</f>
        <v>Full Stack Development</v>
      </c>
      <c r="L1231" s="21" t="str">
        <f aca="false">INDEX(Companies!$C$2:$C$31,MATCH(C1231,Companies!$A$2:$A$31,0))</f>
        <v>Analytics &amp; Consulting</v>
      </c>
      <c r="M1231" s="21" t="str">
        <f aca="false">INDEX(Companies!$D$2:$D$31,MATCH(C1231,Companies!$A$2:$A$31,0))</f>
        <v>Tier 3</v>
      </c>
      <c r="N1231" s="34" t="n">
        <f aca="false">MATCH(F1231,Assumptions!$K$4:$K$8,0)</f>
        <v>2</v>
      </c>
      <c r="O1231" s="21" t="str">
        <f aca="false">IF(H1231="Yes",MONTH(I1231),"")</f>
        <v/>
      </c>
      <c r="P1231" s="21" t="str">
        <f aca="false">IF(H1231="Yes",B1231,"")</f>
        <v/>
      </c>
    </row>
    <row r="1232" customFormat="false" ht="15" hidden="false" customHeight="false" outlineLevel="0" collapsed="false">
      <c r="A1232" s="21" t="s">
        <v>2447</v>
      </c>
      <c r="B1232" s="21" t="s">
        <v>472</v>
      </c>
      <c r="C1232" s="21" t="s">
        <v>1216</v>
      </c>
      <c r="D1232" s="21" t="s">
        <v>1194</v>
      </c>
      <c r="E1232" s="33" t="n">
        <v>45558</v>
      </c>
      <c r="F1232" s="21" t="s">
        <v>1178</v>
      </c>
      <c r="G1232" s="32"/>
      <c r="H1232" s="21"/>
      <c r="I1232" s="33"/>
      <c r="J1232" s="21" t="str">
        <f aca="false">INDEX(Students!$C$2:$C$601,MATCH(B1232,Students!$A$2:$A$601,0))</f>
        <v>Batch 2025</v>
      </c>
      <c r="K1232" s="21" t="str">
        <f aca="false">INDEX(Students!$D$2:$D$601,MATCH(B1232,Students!$A$2:$A$601,0))</f>
        <v>Data Science &amp; ML</v>
      </c>
      <c r="L1232" s="21" t="str">
        <f aca="false">INDEX(Companies!$C$2:$C$31,MATCH(C1232,Companies!$A$2:$A$31,0))</f>
        <v>IT Services</v>
      </c>
      <c r="M1232" s="21" t="str">
        <f aca="false">INDEX(Companies!$D$2:$D$31,MATCH(C1232,Companies!$A$2:$A$31,0))</f>
        <v>Tier 3</v>
      </c>
      <c r="N1232" s="34" t="n">
        <f aca="false">MATCH(F1232,Assumptions!$K$4:$K$8,0)</f>
        <v>2</v>
      </c>
      <c r="O1232" s="21" t="str">
        <f aca="false">IF(H1232="Yes",MONTH(I1232),"")</f>
        <v/>
      </c>
      <c r="P1232" s="21" t="str">
        <f aca="false">IF(H1232="Yes",B1232,"")</f>
        <v/>
      </c>
    </row>
    <row r="1233" customFormat="false" ht="15" hidden="false" customHeight="false" outlineLevel="0" collapsed="false">
      <c r="A1233" s="21" t="s">
        <v>2448</v>
      </c>
      <c r="B1233" s="21" t="s">
        <v>653</v>
      </c>
      <c r="C1233" s="21" t="s">
        <v>1205</v>
      </c>
      <c r="D1233" s="21" t="s">
        <v>1240</v>
      </c>
      <c r="E1233" s="33" t="n">
        <v>45558</v>
      </c>
      <c r="F1233" s="21" t="s">
        <v>1178</v>
      </c>
      <c r="G1233" s="32"/>
      <c r="H1233" s="21"/>
      <c r="I1233" s="33"/>
      <c r="J1233" s="21" t="str">
        <f aca="false">INDEX(Students!$C$2:$C$601,MATCH(B1233,Students!$A$2:$A$601,0))</f>
        <v>Batch 2025</v>
      </c>
      <c r="K1233" s="21" t="str">
        <f aca="false">INDEX(Students!$D$2:$D$601,MATCH(B1233,Students!$A$2:$A$601,0))</f>
        <v>Cybersecurity</v>
      </c>
      <c r="L1233" s="21" t="str">
        <f aca="false">INDEX(Companies!$C$2:$C$31,MATCH(C1233,Companies!$A$2:$A$31,0))</f>
        <v>Healthtech</v>
      </c>
      <c r="M1233" s="21" t="str">
        <f aca="false">INDEX(Companies!$D$2:$D$31,MATCH(C1233,Companies!$A$2:$A$31,0))</f>
        <v>Tier 3</v>
      </c>
      <c r="N1233" s="34" t="n">
        <f aca="false">MATCH(F1233,Assumptions!$K$4:$K$8,0)</f>
        <v>2</v>
      </c>
      <c r="O1233" s="21" t="str">
        <f aca="false">IF(H1233="Yes",MONTH(I1233),"")</f>
        <v/>
      </c>
      <c r="P1233" s="21" t="str">
        <f aca="false">IF(H1233="Yes",B1233,"")</f>
        <v/>
      </c>
    </row>
    <row r="1234" customFormat="false" ht="15" hidden="false" customHeight="false" outlineLevel="0" collapsed="false">
      <c r="A1234" s="21" t="s">
        <v>2449</v>
      </c>
      <c r="B1234" s="21" t="s">
        <v>569</v>
      </c>
      <c r="C1234" s="21" t="s">
        <v>1190</v>
      </c>
      <c r="D1234" s="21" t="s">
        <v>1240</v>
      </c>
      <c r="E1234" s="33" t="n">
        <v>45558</v>
      </c>
      <c r="F1234" s="21" t="s">
        <v>1197</v>
      </c>
      <c r="G1234" s="32"/>
      <c r="H1234" s="21"/>
      <c r="I1234" s="33"/>
      <c r="J1234" s="21" t="str">
        <f aca="false">INDEX(Students!$C$2:$C$601,MATCH(B1234,Students!$A$2:$A$601,0))</f>
        <v>Batch 2025</v>
      </c>
      <c r="K1234" s="21" t="str">
        <f aca="false">INDEX(Students!$D$2:$D$601,MATCH(B1234,Students!$A$2:$A$601,0))</f>
        <v>Cybersecurity</v>
      </c>
      <c r="L1234" s="21" t="str">
        <f aca="false">INDEX(Companies!$C$2:$C$31,MATCH(C1234,Companies!$A$2:$A$31,0))</f>
        <v>Analytics &amp; Consulting</v>
      </c>
      <c r="M1234" s="21" t="str">
        <f aca="false">INDEX(Companies!$D$2:$D$31,MATCH(C1234,Companies!$A$2:$A$31,0))</f>
        <v>Tier 1</v>
      </c>
      <c r="N1234" s="34" t="n">
        <f aca="false">MATCH(F1234,Assumptions!$K$4:$K$8,0)</f>
        <v>3</v>
      </c>
      <c r="O1234" s="21" t="str">
        <f aca="false">IF(H1234="Yes",MONTH(I1234),"")</f>
        <v/>
      </c>
      <c r="P1234" s="21" t="str">
        <f aca="false">IF(H1234="Yes",B1234,"")</f>
        <v/>
      </c>
    </row>
    <row r="1235" customFormat="false" ht="15" hidden="false" customHeight="false" outlineLevel="0" collapsed="false">
      <c r="A1235" s="21" t="s">
        <v>2450</v>
      </c>
      <c r="B1235" s="21" t="s">
        <v>797</v>
      </c>
      <c r="C1235" s="21" t="s">
        <v>1193</v>
      </c>
      <c r="D1235" s="21" t="s">
        <v>1184</v>
      </c>
      <c r="E1235" s="33" t="n">
        <v>45559</v>
      </c>
      <c r="F1235" s="21" t="s">
        <v>1185</v>
      </c>
      <c r="G1235" s="32" t="n">
        <v>15.2</v>
      </c>
      <c r="H1235" s="21" t="s">
        <v>113</v>
      </c>
      <c r="I1235" s="33" t="n">
        <v>45585</v>
      </c>
      <c r="J1235" s="21" t="str">
        <f aca="false">INDEX(Students!$C$2:$C$601,MATCH(B1235,Students!$A$2:$A$601,0))</f>
        <v>Batch 2025</v>
      </c>
      <c r="K1235" s="21" t="str">
        <f aca="false">INDEX(Students!$D$2:$D$601,MATCH(B1235,Students!$A$2:$A$601,0))</f>
        <v>DSA with Java</v>
      </c>
      <c r="L1235" s="21" t="str">
        <f aca="false">INDEX(Companies!$C$2:$C$31,MATCH(C1235,Companies!$A$2:$A$31,0))</f>
        <v>Analytics &amp; Consulting</v>
      </c>
      <c r="M1235" s="21" t="str">
        <f aca="false">INDEX(Companies!$D$2:$D$31,MATCH(C1235,Companies!$A$2:$A$31,0))</f>
        <v>Tier 2</v>
      </c>
      <c r="N1235" s="34" t="n">
        <f aca="false">MATCH(F1235,Assumptions!$K$4:$K$8,0)</f>
        <v>5</v>
      </c>
      <c r="O1235" s="21" t="str">
        <f aca="false">IF(H1235="Yes",MONTH(I1235),"")</f>
        <v/>
      </c>
      <c r="P1235" s="21" t="str">
        <f aca="false">IF(H1235="Yes",B1235,"")</f>
        <v/>
      </c>
    </row>
    <row r="1236" customFormat="false" ht="15" hidden="false" customHeight="false" outlineLevel="0" collapsed="false">
      <c r="A1236" s="21" t="s">
        <v>2451</v>
      </c>
      <c r="B1236" s="21" t="s">
        <v>761</v>
      </c>
      <c r="C1236" s="21" t="s">
        <v>1225</v>
      </c>
      <c r="D1236" s="21" t="s">
        <v>1174</v>
      </c>
      <c r="E1236" s="33" t="n">
        <v>45559</v>
      </c>
      <c r="F1236" s="21" t="s">
        <v>1175</v>
      </c>
      <c r="G1236" s="32"/>
      <c r="H1236" s="21"/>
      <c r="I1236" s="33"/>
      <c r="J1236" s="21" t="str">
        <f aca="false">INDEX(Students!$C$2:$C$601,MATCH(B1236,Students!$A$2:$A$601,0))</f>
        <v>Batch 2025</v>
      </c>
      <c r="K1236" s="21" t="str">
        <f aca="false">INDEX(Students!$D$2:$D$601,MATCH(B1236,Students!$A$2:$A$601,0))</f>
        <v>Full Stack Development</v>
      </c>
      <c r="L1236" s="21" t="str">
        <f aca="false">INDEX(Companies!$C$2:$C$31,MATCH(C1236,Companies!$A$2:$A$31,0))</f>
        <v>EdTech</v>
      </c>
      <c r="M1236" s="21" t="str">
        <f aca="false">INDEX(Companies!$D$2:$D$31,MATCH(C1236,Companies!$A$2:$A$31,0))</f>
        <v>Tier 2</v>
      </c>
      <c r="N1236" s="34" t="n">
        <f aca="false">MATCH(F1236,Assumptions!$K$4:$K$8,0)</f>
        <v>1</v>
      </c>
      <c r="O1236" s="21" t="str">
        <f aca="false">IF(H1236="Yes",MONTH(I1236),"")</f>
        <v/>
      </c>
      <c r="P1236" s="21" t="str">
        <f aca="false">IF(H1236="Yes",B1236,"")</f>
        <v/>
      </c>
    </row>
    <row r="1237" customFormat="false" ht="15" hidden="false" customHeight="false" outlineLevel="0" collapsed="false">
      <c r="A1237" s="21" t="s">
        <v>2452</v>
      </c>
      <c r="B1237" s="21" t="s">
        <v>735</v>
      </c>
      <c r="C1237" s="21" t="s">
        <v>1201</v>
      </c>
      <c r="D1237" s="21" t="s">
        <v>1184</v>
      </c>
      <c r="E1237" s="33" t="n">
        <v>45559</v>
      </c>
      <c r="F1237" s="21" t="s">
        <v>1175</v>
      </c>
      <c r="G1237" s="32"/>
      <c r="H1237" s="21"/>
      <c r="I1237" s="33"/>
      <c r="J1237" s="21" t="str">
        <f aca="false">INDEX(Students!$C$2:$C$601,MATCH(B1237,Students!$A$2:$A$601,0))</f>
        <v>Batch 2025</v>
      </c>
      <c r="K1237" s="21" t="str">
        <f aca="false">INDEX(Students!$D$2:$D$601,MATCH(B1237,Students!$A$2:$A$601,0))</f>
        <v>DSA with Java</v>
      </c>
      <c r="L1237" s="21" t="str">
        <f aca="false">INDEX(Companies!$C$2:$C$31,MATCH(C1237,Companies!$A$2:$A$31,0))</f>
        <v>IT Services</v>
      </c>
      <c r="M1237" s="21" t="str">
        <f aca="false">INDEX(Companies!$D$2:$D$31,MATCH(C1237,Companies!$A$2:$A$31,0))</f>
        <v>Tier 3</v>
      </c>
      <c r="N1237" s="34" t="n">
        <f aca="false">MATCH(F1237,Assumptions!$K$4:$K$8,0)</f>
        <v>1</v>
      </c>
      <c r="O1237" s="21" t="str">
        <f aca="false">IF(H1237="Yes",MONTH(I1237),"")</f>
        <v/>
      </c>
      <c r="P1237" s="21" t="str">
        <f aca="false">IF(H1237="Yes",B1237,"")</f>
        <v/>
      </c>
    </row>
    <row r="1238" customFormat="false" ht="15" hidden="false" customHeight="false" outlineLevel="0" collapsed="false">
      <c r="A1238" s="21" t="s">
        <v>2453</v>
      </c>
      <c r="B1238" s="21" t="s">
        <v>637</v>
      </c>
      <c r="C1238" s="21" t="s">
        <v>1183</v>
      </c>
      <c r="D1238" s="21" t="s">
        <v>1188</v>
      </c>
      <c r="E1238" s="33" t="n">
        <v>45560</v>
      </c>
      <c r="F1238" s="21" t="s">
        <v>1185</v>
      </c>
      <c r="G1238" s="32" t="n">
        <v>9.8</v>
      </c>
      <c r="H1238" s="21" t="s">
        <v>120</v>
      </c>
      <c r="I1238" s="33" t="n">
        <v>45587</v>
      </c>
      <c r="J1238" s="21" t="str">
        <f aca="false">INDEX(Students!$C$2:$C$601,MATCH(B1238,Students!$A$2:$A$601,0))</f>
        <v>Batch 2025</v>
      </c>
      <c r="K1238" s="21" t="str">
        <f aca="false">INDEX(Students!$D$2:$D$601,MATCH(B1238,Students!$A$2:$A$601,0))</f>
        <v>Data Analytics</v>
      </c>
      <c r="L1238" s="21" t="str">
        <f aca="false">INDEX(Companies!$C$2:$C$31,MATCH(C1238,Companies!$A$2:$A$31,0))</f>
        <v>E-commerce</v>
      </c>
      <c r="M1238" s="21" t="str">
        <f aca="false">INDEX(Companies!$D$2:$D$31,MATCH(C1238,Companies!$A$2:$A$31,0))</f>
        <v>Tier 2</v>
      </c>
      <c r="N1238" s="34" t="n">
        <f aca="false">MATCH(F1238,Assumptions!$K$4:$K$8,0)</f>
        <v>5</v>
      </c>
      <c r="O1238" s="21" t="n">
        <f aca="false">IF(H1238="Yes",MONTH(I1238),"")</f>
        <v>10</v>
      </c>
      <c r="P1238" s="21" t="str">
        <f aca="false">IF(H1238="Yes",B1238,"")</f>
        <v>S0283</v>
      </c>
    </row>
    <row r="1239" customFormat="false" ht="15" hidden="false" customHeight="false" outlineLevel="0" collapsed="false">
      <c r="A1239" s="21" t="s">
        <v>2454</v>
      </c>
      <c r="B1239" s="21" t="s">
        <v>795</v>
      </c>
      <c r="C1239" s="21" t="s">
        <v>1322</v>
      </c>
      <c r="D1239" s="21" t="s">
        <v>1174</v>
      </c>
      <c r="E1239" s="33" t="n">
        <v>45560</v>
      </c>
      <c r="F1239" s="21" t="s">
        <v>1178</v>
      </c>
      <c r="G1239" s="32"/>
      <c r="H1239" s="21"/>
      <c r="I1239" s="33"/>
      <c r="J1239" s="21" t="str">
        <f aca="false">INDEX(Students!$C$2:$C$601,MATCH(B1239,Students!$A$2:$A$601,0))</f>
        <v>Batch 2025</v>
      </c>
      <c r="K1239" s="21" t="str">
        <f aca="false">INDEX(Students!$D$2:$D$601,MATCH(B1239,Students!$A$2:$A$601,0))</f>
        <v>Full Stack Development</v>
      </c>
      <c r="L1239" s="21" t="str">
        <f aca="false">INDEX(Companies!$C$2:$C$31,MATCH(C1239,Companies!$A$2:$A$31,0))</f>
        <v>Healthtech</v>
      </c>
      <c r="M1239" s="21" t="str">
        <f aca="false">INDEX(Companies!$D$2:$D$31,MATCH(C1239,Companies!$A$2:$A$31,0))</f>
        <v>Tier 2</v>
      </c>
      <c r="N1239" s="34" t="n">
        <f aca="false">MATCH(F1239,Assumptions!$K$4:$K$8,0)</f>
        <v>2</v>
      </c>
      <c r="O1239" s="21" t="str">
        <f aca="false">IF(H1239="Yes",MONTH(I1239),"")</f>
        <v/>
      </c>
      <c r="P1239" s="21" t="str">
        <f aca="false">IF(H1239="Yes",B1239,"")</f>
        <v/>
      </c>
    </row>
    <row r="1240" customFormat="false" ht="15" hidden="false" customHeight="false" outlineLevel="0" collapsed="false">
      <c r="A1240" s="21" t="s">
        <v>2455</v>
      </c>
      <c r="B1240" s="21" t="s">
        <v>716</v>
      </c>
      <c r="C1240" s="21" t="s">
        <v>1255</v>
      </c>
      <c r="D1240" s="21" t="s">
        <v>1191</v>
      </c>
      <c r="E1240" s="33" t="n">
        <v>45560</v>
      </c>
      <c r="F1240" s="21" t="s">
        <v>1178</v>
      </c>
      <c r="G1240" s="32"/>
      <c r="H1240" s="21"/>
      <c r="I1240" s="33"/>
      <c r="J1240" s="21" t="str">
        <f aca="false">INDEX(Students!$C$2:$C$601,MATCH(B1240,Students!$A$2:$A$601,0))</f>
        <v>Batch 2025</v>
      </c>
      <c r="K1240" s="21" t="str">
        <f aca="false">INDEX(Students!$D$2:$D$601,MATCH(B1240,Students!$A$2:$A$601,0))</f>
        <v>DSA with Java</v>
      </c>
      <c r="L1240" s="21" t="str">
        <f aca="false">INDEX(Companies!$C$2:$C$31,MATCH(C1240,Companies!$A$2:$A$31,0))</f>
        <v>IT Services</v>
      </c>
      <c r="M1240" s="21" t="str">
        <f aca="false">INDEX(Companies!$D$2:$D$31,MATCH(C1240,Companies!$A$2:$A$31,0))</f>
        <v>Tier 3</v>
      </c>
      <c r="N1240" s="34" t="n">
        <f aca="false">MATCH(F1240,Assumptions!$K$4:$K$8,0)</f>
        <v>2</v>
      </c>
      <c r="O1240" s="21" t="str">
        <f aca="false">IF(H1240="Yes",MONTH(I1240),"")</f>
        <v/>
      </c>
      <c r="P1240" s="21" t="str">
        <f aca="false">IF(H1240="Yes",B1240,"")</f>
        <v/>
      </c>
    </row>
    <row r="1241" customFormat="false" ht="15" hidden="false" customHeight="false" outlineLevel="0" collapsed="false">
      <c r="A1241" s="21" t="s">
        <v>2456</v>
      </c>
      <c r="B1241" s="21" t="s">
        <v>653</v>
      </c>
      <c r="C1241" s="21" t="s">
        <v>1211</v>
      </c>
      <c r="D1241" s="21" t="s">
        <v>1240</v>
      </c>
      <c r="E1241" s="33" t="n">
        <v>45560</v>
      </c>
      <c r="F1241" s="21" t="s">
        <v>1178</v>
      </c>
      <c r="G1241" s="32"/>
      <c r="H1241" s="21"/>
      <c r="I1241" s="33"/>
      <c r="J1241" s="21" t="str">
        <f aca="false">INDEX(Students!$C$2:$C$601,MATCH(B1241,Students!$A$2:$A$601,0))</f>
        <v>Batch 2025</v>
      </c>
      <c r="K1241" s="21" t="str">
        <f aca="false">INDEX(Students!$D$2:$D$601,MATCH(B1241,Students!$A$2:$A$601,0))</f>
        <v>Cybersecurity</v>
      </c>
      <c r="L1241" s="21" t="str">
        <f aca="false">INDEX(Companies!$C$2:$C$31,MATCH(C1241,Companies!$A$2:$A$31,0))</f>
        <v>Analytics &amp; Consulting</v>
      </c>
      <c r="M1241" s="21" t="str">
        <f aca="false">INDEX(Companies!$D$2:$D$31,MATCH(C1241,Companies!$A$2:$A$31,0))</f>
        <v>Tier 3</v>
      </c>
      <c r="N1241" s="34" t="n">
        <f aca="false">MATCH(F1241,Assumptions!$K$4:$K$8,0)</f>
        <v>2</v>
      </c>
      <c r="O1241" s="21" t="str">
        <f aca="false">IF(H1241="Yes",MONTH(I1241),"")</f>
        <v/>
      </c>
      <c r="P1241" s="21" t="str">
        <f aca="false">IF(H1241="Yes",B1241,"")</f>
        <v/>
      </c>
    </row>
    <row r="1242" customFormat="false" ht="15" hidden="false" customHeight="false" outlineLevel="0" collapsed="false">
      <c r="A1242" s="21" t="s">
        <v>2457</v>
      </c>
      <c r="B1242" s="21" t="s">
        <v>522</v>
      </c>
      <c r="C1242" s="21" t="s">
        <v>1263</v>
      </c>
      <c r="D1242" s="21" t="s">
        <v>1191</v>
      </c>
      <c r="E1242" s="33" t="n">
        <v>45560</v>
      </c>
      <c r="F1242" s="21" t="s">
        <v>1178</v>
      </c>
      <c r="G1242" s="32"/>
      <c r="H1242" s="21"/>
      <c r="I1242" s="33"/>
      <c r="J1242" s="21" t="str">
        <f aca="false">INDEX(Students!$C$2:$C$601,MATCH(B1242,Students!$A$2:$A$601,0))</f>
        <v>Batch 2025</v>
      </c>
      <c r="K1242" s="21" t="str">
        <f aca="false">INDEX(Students!$D$2:$D$601,MATCH(B1242,Students!$A$2:$A$601,0))</f>
        <v>DSA with Java</v>
      </c>
      <c r="L1242" s="21" t="str">
        <f aca="false">INDEX(Companies!$C$2:$C$31,MATCH(C1242,Companies!$A$2:$A$31,0))</f>
        <v>Analytics &amp; Consulting</v>
      </c>
      <c r="M1242" s="21" t="str">
        <f aca="false">INDEX(Companies!$D$2:$D$31,MATCH(C1242,Companies!$A$2:$A$31,0))</f>
        <v>Tier 2</v>
      </c>
      <c r="N1242" s="34" t="n">
        <f aca="false">MATCH(F1242,Assumptions!$K$4:$K$8,0)</f>
        <v>2</v>
      </c>
      <c r="O1242" s="21" t="str">
        <f aca="false">IF(H1242="Yes",MONTH(I1242),"")</f>
        <v/>
      </c>
      <c r="P1242" s="21" t="str">
        <f aca="false">IF(H1242="Yes",B1242,"")</f>
        <v/>
      </c>
    </row>
    <row r="1243" customFormat="false" ht="15" hidden="false" customHeight="false" outlineLevel="0" collapsed="false">
      <c r="A1243" s="21" t="s">
        <v>2458</v>
      </c>
      <c r="B1243" s="21" t="s">
        <v>503</v>
      </c>
      <c r="C1243" s="21" t="s">
        <v>1222</v>
      </c>
      <c r="D1243" s="21" t="s">
        <v>1174</v>
      </c>
      <c r="E1243" s="33" t="n">
        <v>45561</v>
      </c>
      <c r="F1243" s="21" t="s">
        <v>1218</v>
      </c>
      <c r="G1243" s="32"/>
      <c r="H1243" s="21"/>
      <c r="I1243" s="33"/>
      <c r="J1243" s="21" t="str">
        <f aca="false">INDEX(Students!$C$2:$C$601,MATCH(B1243,Students!$A$2:$A$601,0))</f>
        <v>Batch 2025</v>
      </c>
      <c r="K1243" s="21" t="str">
        <f aca="false">INDEX(Students!$D$2:$D$601,MATCH(B1243,Students!$A$2:$A$601,0))</f>
        <v>Full Stack Development</v>
      </c>
      <c r="L1243" s="21" t="str">
        <f aca="false">INDEX(Companies!$C$2:$C$31,MATCH(C1243,Companies!$A$2:$A$31,0))</f>
        <v>Product</v>
      </c>
      <c r="M1243" s="21" t="str">
        <f aca="false">INDEX(Companies!$D$2:$D$31,MATCH(C1243,Companies!$A$2:$A$31,0))</f>
        <v>Tier 2</v>
      </c>
      <c r="N1243" s="34" t="n">
        <f aca="false">MATCH(F1243,Assumptions!$K$4:$K$8,0)</f>
        <v>4</v>
      </c>
      <c r="O1243" s="21" t="str">
        <f aca="false">IF(H1243="Yes",MONTH(I1243),"")</f>
        <v/>
      </c>
      <c r="P1243" s="21" t="str">
        <f aca="false">IF(H1243="Yes",B1243,"")</f>
        <v/>
      </c>
    </row>
    <row r="1244" customFormat="false" ht="15" hidden="false" customHeight="false" outlineLevel="0" collapsed="false">
      <c r="A1244" s="21" t="s">
        <v>2459</v>
      </c>
      <c r="B1244" s="21" t="s">
        <v>590</v>
      </c>
      <c r="C1244" s="21" t="s">
        <v>1199</v>
      </c>
      <c r="D1244" s="21" t="s">
        <v>1209</v>
      </c>
      <c r="E1244" s="33" t="n">
        <v>45561</v>
      </c>
      <c r="F1244" s="21" t="s">
        <v>1178</v>
      </c>
      <c r="G1244" s="32"/>
      <c r="H1244" s="21"/>
      <c r="I1244" s="33"/>
      <c r="J1244" s="21" t="str">
        <f aca="false">INDEX(Students!$C$2:$C$601,MATCH(B1244,Students!$A$2:$A$601,0))</f>
        <v>Batch 2025</v>
      </c>
      <c r="K1244" s="21" t="str">
        <f aca="false">INDEX(Students!$D$2:$D$601,MATCH(B1244,Students!$A$2:$A$601,0))</f>
        <v>Data Analytics</v>
      </c>
      <c r="L1244" s="21" t="str">
        <f aca="false">INDEX(Companies!$C$2:$C$31,MATCH(C1244,Companies!$A$2:$A$31,0))</f>
        <v>E-commerce</v>
      </c>
      <c r="M1244" s="21" t="str">
        <f aca="false">INDEX(Companies!$D$2:$D$31,MATCH(C1244,Companies!$A$2:$A$31,0))</f>
        <v>Tier 2</v>
      </c>
      <c r="N1244" s="34" t="n">
        <f aca="false">MATCH(F1244,Assumptions!$K$4:$K$8,0)</f>
        <v>2</v>
      </c>
      <c r="O1244" s="21" t="str">
        <f aca="false">IF(H1244="Yes",MONTH(I1244),"")</f>
        <v/>
      </c>
      <c r="P1244" s="21" t="str">
        <f aca="false">IF(H1244="Yes",B1244,"")</f>
        <v/>
      </c>
    </row>
    <row r="1245" customFormat="false" ht="15" hidden="false" customHeight="false" outlineLevel="0" collapsed="false">
      <c r="A1245" s="21" t="s">
        <v>2460</v>
      </c>
      <c r="B1245" s="21" t="s">
        <v>679</v>
      </c>
      <c r="C1245" s="21" t="s">
        <v>1298</v>
      </c>
      <c r="D1245" s="21" t="s">
        <v>1194</v>
      </c>
      <c r="E1245" s="33" t="n">
        <v>45561</v>
      </c>
      <c r="F1245" s="21" t="s">
        <v>1178</v>
      </c>
      <c r="G1245" s="32"/>
      <c r="H1245" s="21"/>
      <c r="I1245" s="33"/>
      <c r="J1245" s="21" t="str">
        <f aca="false">INDEX(Students!$C$2:$C$601,MATCH(B1245,Students!$A$2:$A$601,0))</f>
        <v>Batch 2025</v>
      </c>
      <c r="K1245" s="21" t="str">
        <f aca="false">INDEX(Students!$D$2:$D$601,MATCH(B1245,Students!$A$2:$A$601,0))</f>
        <v>Data Science &amp; ML</v>
      </c>
      <c r="L1245" s="21" t="str">
        <f aca="false">INDEX(Companies!$C$2:$C$31,MATCH(C1245,Companies!$A$2:$A$31,0))</f>
        <v>Fintech</v>
      </c>
      <c r="M1245" s="21" t="str">
        <f aca="false">INDEX(Companies!$D$2:$D$31,MATCH(C1245,Companies!$A$2:$A$31,0))</f>
        <v>Tier 2</v>
      </c>
      <c r="N1245" s="34" t="n">
        <f aca="false">MATCH(F1245,Assumptions!$K$4:$K$8,0)</f>
        <v>2</v>
      </c>
      <c r="O1245" s="21" t="str">
        <f aca="false">IF(H1245="Yes",MONTH(I1245),"")</f>
        <v/>
      </c>
      <c r="P1245" s="21" t="str">
        <f aca="false">IF(H1245="Yes",B1245,"")</f>
        <v/>
      </c>
    </row>
    <row r="1246" customFormat="false" ht="15" hidden="false" customHeight="false" outlineLevel="0" collapsed="false">
      <c r="A1246" s="21" t="s">
        <v>2461</v>
      </c>
      <c r="B1246" s="21" t="s">
        <v>633</v>
      </c>
      <c r="C1246" s="21" t="s">
        <v>1214</v>
      </c>
      <c r="D1246" s="21" t="s">
        <v>1226</v>
      </c>
      <c r="E1246" s="33" t="n">
        <v>45561</v>
      </c>
      <c r="F1246" s="21" t="s">
        <v>1175</v>
      </c>
      <c r="G1246" s="32"/>
      <c r="H1246" s="21"/>
      <c r="I1246" s="33"/>
      <c r="J1246" s="21" t="str">
        <f aca="false">INDEX(Students!$C$2:$C$601,MATCH(B1246,Students!$A$2:$A$601,0))</f>
        <v>Batch 2025</v>
      </c>
      <c r="K1246" s="21" t="str">
        <f aca="false">INDEX(Students!$D$2:$D$601,MATCH(B1246,Students!$A$2:$A$601,0))</f>
        <v>Cybersecurity</v>
      </c>
      <c r="L1246" s="21" t="str">
        <f aca="false">INDEX(Companies!$C$2:$C$31,MATCH(C1246,Companies!$A$2:$A$31,0))</f>
        <v>Product</v>
      </c>
      <c r="M1246" s="21" t="str">
        <f aca="false">INDEX(Companies!$D$2:$D$31,MATCH(C1246,Companies!$A$2:$A$31,0))</f>
        <v>Tier 1</v>
      </c>
      <c r="N1246" s="34" t="n">
        <f aca="false">MATCH(F1246,Assumptions!$K$4:$K$8,0)</f>
        <v>1</v>
      </c>
      <c r="O1246" s="21" t="str">
        <f aca="false">IF(H1246="Yes",MONTH(I1246),"")</f>
        <v/>
      </c>
      <c r="P1246" s="21" t="str">
        <f aca="false">IF(H1246="Yes",B1246,"")</f>
        <v/>
      </c>
    </row>
    <row r="1247" customFormat="false" ht="15" hidden="false" customHeight="false" outlineLevel="0" collapsed="false">
      <c r="A1247" s="21" t="s">
        <v>2462</v>
      </c>
      <c r="B1247" s="21" t="s">
        <v>637</v>
      </c>
      <c r="C1247" s="21" t="s">
        <v>1180</v>
      </c>
      <c r="D1247" s="21" t="s">
        <v>1188</v>
      </c>
      <c r="E1247" s="33" t="n">
        <v>45561</v>
      </c>
      <c r="F1247" s="21" t="s">
        <v>1185</v>
      </c>
      <c r="G1247" s="32" t="n">
        <v>5.9</v>
      </c>
      <c r="H1247" s="21" t="s">
        <v>113</v>
      </c>
      <c r="I1247" s="33" t="n">
        <v>45609</v>
      </c>
      <c r="J1247" s="21" t="str">
        <f aca="false">INDEX(Students!$C$2:$C$601,MATCH(B1247,Students!$A$2:$A$601,0))</f>
        <v>Batch 2025</v>
      </c>
      <c r="K1247" s="21" t="str">
        <f aca="false">INDEX(Students!$D$2:$D$601,MATCH(B1247,Students!$A$2:$A$601,0))</f>
        <v>Data Analytics</v>
      </c>
      <c r="L1247" s="21" t="str">
        <f aca="false">INDEX(Companies!$C$2:$C$31,MATCH(C1247,Companies!$A$2:$A$31,0))</f>
        <v>IT Services</v>
      </c>
      <c r="M1247" s="21" t="str">
        <f aca="false">INDEX(Companies!$D$2:$D$31,MATCH(C1247,Companies!$A$2:$A$31,0))</f>
        <v>Tier 3</v>
      </c>
      <c r="N1247" s="34" t="n">
        <f aca="false">MATCH(F1247,Assumptions!$K$4:$K$8,0)</f>
        <v>5</v>
      </c>
      <c r="O1247" s="21" t="str">
        <f aca="false">IF(H1247="Yes",MONTH(I1247),"")</f>
        <v/>
      </c>
      <c r="P1247" s="21" t="str">
        <f aca="false">IF(H1247="Yes",B1247,"")</f>
        <v/>
      </c>
    </row>
    <row r="1248" customFormat="false" ht="15" hidden="false" customHeight="false" outlineLevel="0" collapsed="false">
      <c r="A1248" s="21" t="s">
        <v>2463</v>
      </c>
      <c r="B1248" s="21" t="s">
        <v>620</v>
      </c>
      <c r="C1248" s="21" t="s">
        <v>1266</v>
      </c>
      <c r="D1248" s="21" t="s">
        <v>1240</v>
      </c>
      <c r="E1248" s="33" t="n">
        <v>45561</v>
      </c>
      <c r="F1248" s="21" t="s">
        <v>1185</v>
      </c>
      <c r="G1248" s="32" t="n">
        <v>6.6</v>
      </c>
      <c r="H1248" s="21" t="s">
        <v>120</v>
      </c>
      <c r="I1248" s="33" t="n">
        <v>45593</v>
      </c>
      <c r="J1248" s="21" t="str">
        <f aca="false">INDEX(Students!$C$2:$C$601,MATCH(B1248,Students!$A$2:$A$601,0))</f>
        <v>Batch 2025</v>
      </c>
      <c r="K1248" s="21" t="str">
        <f aca="false">INDEX(Students!$D$2:$D$601,MATCH(B1248,Students!$A$2:$A$601,0))</f>
        <v>Cybersecurity</v>
      </c>
      <c r="L1248" s="21" t="str">
        <f aca="false">INDEX(Companies!$C$2:$C$31,MATCH(C1248,Companies!$A$2:$A$31,0))</f>
        <v>IT Services</v>
      </c>
      <c r="M1248" s="21" t="str">
        <f aca="false">INDEX(Companies!$D$2:$D$31,MATCH(C1248,Companies!$A$2:$A$31,0))</f>
        <v>Tier 3</v>
      </c>
      <c r="N1248" s="34" t="n">
        <f aca="false">MATCH(F1248,Assumptions!$K$4:$K$8,0)</f>
        <v>5</v>
      </c>
      <c r="O1248" s="21" t="n">
        <f aca="false">IF(H1248="Yes",MONTH(I1248),"")</f>
        <v>10</v>
      </c>
      <c r="P1248" s="21" t="str">
        <f aca="false">IF(H1248="Yes",B1248,"")</f>
        <v>S0273</v>
      </c>
    </row>
    <row r="1249" customFormat="false" ht="15" hidden="false" customHeight="false" outlineLevel="0" collapsed="false">
      <c r="A1249" s="21" t="s">
        <v>2464</v>
      </c>
      <c r="B1249" s="21" t="s">
        <v>487</v>
      </c>
      <c r="C1249" s="21" t="s">
        <v>1266</v>
      </c>
      <c r="D1249" s="21" t="s">
        <v>1243</v>
      </c>
      <c r="E1249" s="33" t="n">
        <v>45561</v>
      </c>
      <c r="F1249" s="21" t="s">
        <v>1185</v>
      </c>
      <c r="G1249" s="32" t="n">
        <v>5.5</v>
      </c>
      <c r="H1249" s="21" t="s">
        <v>113</v>
      </c>
      <c r="I1249" s="33" t="n">
        <v>45590</v>
      </c>
      <c r="J1249" s="21" t="str">
        <f aca="false">INDEX(Students!$C$2:$C$601,MATCH(B1249,Students!$A$2:$A$601,0))</f>
        <v>Batch 2025</v>
      </c>
      <c r="K1249" s="21" t="str">
        <f aca="false">INDEX(Students!$D$2:$D$601,MATCH(B1249,Students!$A$2:$A$601,0))</f>
        <v>Data Science &amp; ML</v>
      </c>
      <c r="L1249" s="21" t="str">
        <f aca="false">INDEX(Companies!$C$2:$C$31,MATCH(C1249,Companies!$A$2:$A$31,0))</f>
        <v>IT Services</v>
      </c>
      <c r="M1249" s="21" t="str">
        <f aca="false">INDEX(Companies!$D$2:$D$31,MATCH(C1249,Companies!$A$2:$A$31,0))</f>
        <v>Tier 3</v>
      </c>
      <c r="N1249" s="34" t="n">
        <f aca="false">MATCH(F1249,Assumptions!$K$4:$K$8,0)</f>
        <v>5</v>
      </c>
      <c r="O1249" s="21" t="str">
        <f aca="false">IF(H1249="Yes",MONTH(I1249),"")</f>
        <v/>
      </c>
      <c r="P1249" s="21" t="str">
        <f aca="false">IF(H1249="Yes",B1249,"")</f>
        <v/>
      </c>
    </row>
    <row r="1250" customFormat="false" ht="15" hidden="false" customHeight="false" outlineLevel="0" collapsed="false">
      <c r="A1250" s="21" t="s">
        <v>2465</v>
      </c>
      <c r="B1250" s="21" t="s">
        <v>668</v>
      </c>
      <c r="C1250" s="21" t="s">
        <v>1298</v>
      </c>
      <c r="D1250" s="21" t="s">
        <v>1243</v>
      </c>
      <c r="E1250" s="33" t="n">
        <v>45561</v>
      </c>
      <c r="F1250" s="21" t="s">
        <v>1175</v>
      </c>
      <c r="G1250" s="32"/>
      <c r="H1250" s="21"/>
      <c r="I1250" s="33"/>
      <c r="J1250" s="21" t="str">
        <f aca="false">INDEX(Students!$C$2:$C$601,MATCH(B1250,Students!$A$2:$A$601,0))</f>
        <v>Batch 2025</v>
      </c>
      <c r="K1250" s="21" t="str">
        <f aca="false">INDEX(Students!$D$2:$D$601,MATCH(B1250,Students!$A$2:$A$601,0))</f>
        <v>Data Science &amp; ML</v>
      </c>
      <c r="L1250" s="21" t="str">
        <f aca="false">INDEX(Companies!$C$2:$C$31,MATCH(C1250,Companies!$A$2:$A$31,0))</f>
        <v>Fintech</v>
      </c>
      <c r="M1250" s="21" t="str">
        <f aca="false">INDEX(Companies!$D$2:$D$31,MATCH(C1250,Companies!$A$2:$A$31,0))</f>
        <v>Tier 2</v>
      </c>
      <c r="N1250" s="34" t="n">
        <f aca="false">MATCH(F1250,Assumptions!$K$4:$K$8,0)</f>
        <v>1</v>
      </c>
      <c r="O1250" s="21" t="str">
        <f aca="false">IF(H1250="Yes",MONTH(I1250),"")</f>
        <v/>
      </c>
      <c r="P1250" s="21" t="str">
        <f aca="false">IF(H1250="Yes",B1250,"")</f>
        <v/>
      </c>
    </row>
    <row r="1251" customFormat="false" ht="15" hidden="false" customHeight="false" outlineLevel="0" collapsed="false">
      <c r="A1251" s="21" t="s">
        <v>2466</v>
      </c>
      <c r="B1251" s="21" t="s">
        <v>522</v>
      </c>
      <c r="C1251" s="21" t="s">
        <v>1211</v>
      </c>
      <c r="D1251" s="21" t="s">
        <v>1191</v>
      </c>
      <c r="E1251" s="33" t="n">
        <v>45562</v>
      </c>
      <c r="F1251" s="21" t="s">
        <v>1197</v>
      </c>
      <c r="G1251" s="32"/>
      <c r="H1251" s="21"/>
      <c r="I1251" s="33"/>
      <c r="J1251" s="21" t="str">
        <f aca="false">INDEX(Students!$C$2:$C$601,MATCH(B1251,Students!$A$2:$A$601,0))</f>
        <v>Batch 2025</v>
      </c>
      <c r="K1251" s="21" t="str">
        <f aca="false">INDEX(Students!$D$2:$D$601,MATCH(B1251,Students!$A$2:$A$601,0))</f>
        <v>DSA with Java</v>
      </c>
      <c r="L1251" s="21" t="str">
        <f aca="false">INDEX(Companies!$C$2:$C$31,MATCH(C1251,Companies!$A$2:$A$31,0))</f>
        <v>Analytics &amp; Consulting</v>
      </c>
      <c r="M1251" s="21" t="str">
        <f aca="false">INDEX(Companies!$D$2:$D$31,MATCH(C1251,Companies!$A$2:$A$31,0))</f>
        <v>Tier 3</v>
      </c>
      <c r="N1251" s="34" t="n">
        <f aca="false">MATCH(F1251,Assumptions!$K$4:$K$8,0)</f>
        <v>3</v>
      </c>
      <c r="O1251" s="21" t="str">
        <f aca="false">IF(H1251="Yes",MONTH(I1251),"")</f>
        <v/>
      </c>
      <c r="P1251" s="21" t="str">
        <f aca="false">IF(H1251="Yes",B1251,"")</f>
        <v/>
      </c>
    </row>
    <row r="1252" customFormat="false" ht="15" hidden="false" customHeight="false" outlineLevel="0" collapsed="false">
      <c r="A1252" s="21" t="s">
        <v>2467</v>
      </c>
      <c r="B1252" s="21" t="s">
        <v>591</v>
      </c>
      <c r="C1252" s="21" t="s">
        <v>1225</v>
      </c>
      <c r="D1252" s="21" t="s">
        <v>1209</v>
      </c>
      <c r="E1252" s="33" t="n">
        <v>45562</v>
      </c>
      <c r="F1252" s="21" t="s">
        <v>1175</v>
      </c>
      <c r="G1252" s="32"/>
      <c r="H1252" s="21"/>
      <c r="I1252" s="33"/>
      <c r="J1252" s="21" t="str">
        <f aca="false">INDEX(Students!$C$2:$C$601,MATCH(B1252,Students!$A$2:$A$601,0))</f>
        <v>Batch 2025</v>
      </c>
      <c r="K1252" s="21" t="str">
        <f aca="false">INDEX(Students!$D$2:$D$601,MATCH(B1252,Students!$A$2:$A$601,0))</f>
        <v>Data Analytics</v>
      </c>
      <c r="L1252" s="21" t="str">
        <f aca="false">INDEX(Companies!$C$2:$C$31,MATCH(C1252,Companies!$A$2:$A$31,0))</f>
        <v>EdTech</v>
      </c>
      <c r="M1252" s="21" t="str">
        <f aca="false">INDEX(Companies!$D$2:$D$31,MATCH(C1252,Companies!$A$2:$A$31,0))</f>
        <v>Tier 2</v>
      </c>
      <c r="N1252" s="34" t="n">
        <f aca="false">MATCH(F1252,Assumptions!$K$4:$K$8,0)</f>
        <v>1</v>
      </c>
      <c r="O1252" s="21" t="str">
        <f aca="false">IF(H1252="Yes",MONTH(I1252),"")</f>
        <v/>
      </c>
      <c r="P1252" s="21" t="str">
        <f aca="false">IF(H1252="Yes",B1252,"")</f>
        <v/>
      </c>
    </row>
    <row r="1253" customFormat="false" ht="15" hidden="false" customHeight="false" outlineLevel="0" collapsed="false">
      <c r="A1253" s="21" t="s">
        <v>2468</v>
      </c>
      <c r="B1253" s="21" t="s">
        <v>743</v>
      </c>
      <c r="C1253" s="21" t="s">
        <v>1298</v>
      </c>
      <c r="D1253" s="21" t="s">
        <v>1226</v>
      </c>
      <c r="E1253" s="33" t="n">
        <v>45562</v>
      </c>
      <c r="F1253" s="21" t="s">
        <v>1178</v>
      </c>
      <c r="G1253" s="32"/>
      <c r="H1253" s="21"/>
      <c r="I1253" s="33"/>
      <c r="J1253" s="21" t="str">
        <f aca="false">INDEX(Students!$C$2:$C$601,MATCH(B1253,Students!$A$2:$A$601,0))</f>
        <v>Batch 2025</v>
      </c>
      <c r="K1253" s="21" t="str">
        <f aca="false">INDEX(Students!$D$2:$D$601,MATCH(B1253,Students!$A$2:$A$601,0))</f>
        <v>Cybersecurity</v>
      </c>
      <c r="L1253" s="21" t="str">
        <f aca="false">INDEX(Companies!$C$2:$C$31,MATCH(C1253,Companies!$A$2:$A$31,0))</f>
        <v>Fintech</v>
      </c>
      <c r="M1253" s="21" t="str">
        <f aca="false">INDEX(Companies!$D$2:$D$31,MATCH(C1253,Companies!$A$2:$A$31,0))</f>
        <v>Tier 2</v>
      </c>
      <c r="N1253" s="34" t="n">
        <f aca="false">MATCH(F1253,Assumptions!$K$4:$K$8,0)</f>
        <v>2</v>
      </c>
      <c r="O1253" s="21" t="str">
        <f aca="false">IF(H1253="Yes",MONTH(I1253),"")</f>
        <v/>
      </c>
      <c r="P1253" s="21" t="str">
        <f aca="false">IF(H1253="Yes",B1253,"")</f>
        <v/>
      </c>
    </row>
    <row r="1254" customFormat="false" ht="15" hidden="false" customHeight="false" outlineLevel="0" collapsed="false">
      <c r="A1254" s="21" t="s">
        <v>2469</v>
      </c>
      <c r="B1254" s="21" t="s">
        <v>538</v>
      </c>
      <c r="C1254" s="21" t="s">
        <v>1208</v>
      </c>
      <c r="D1254" s="21" t="s">
        <v>1191</v>
      </c>
      <c r="E1254" s="33" t="n">
        <v>45562</v>
      </c>
      <c r="F1254" s="21" t="s">
        <v>1175</v>
      </c>
      <c r="G1254" s="32"/>
      <c r="H1254" s="21"/>
      <c r="I1254" s="33"/>
      <c r="J1254" s="21" t="str">
        <f aca="false">INDEX(Students!$C$2:$C$601,MATCH(B1254,Students!$A$2:$A$601,0))</f>
        <v>Batch 2025</v>
      </c>
      <c r="K1254" s="21" t="str">
        <f aca="false">INDEX(Students!$D$2:$D$601,MATCH(B1254,Students!$A$2:$A$601,0))</f>
        <v>DSA with Java</v>
      </c>
      <c r="L1254" s="21" t="str">
        <f aca="false">INDEX(Companies!$C$2:$C$31,MATCH(C1254,Companies!$A$2:$A$31,0))</f>
        <v>E-commerce</v>
      </c>
      <c r="M1254" s="21" t="str">
        <f aca="false">INDEX(Companies!$D$2:$D$31,MATCH(C1254,Companies!$A$2:$A$31,0))</f>
        <v>Tier 1</v>
      </c>
      <c r="N1254" s="34" t="n">
        <f aca="false">MATCH(F1254,Assumptions!$K$4:$K$8,0)</f>
        <v>1</v>
      </c>
      <c r="O1254" s="21" t="str">
        <f aca="false">IF(H1254="Yes",MONTH(I1254),"")</f>
        <v/>
      </c>
      <c r="P1254" s="21" t="str">
        <f aca="false">IF(H1254="Yes",B1254,"")</f>
        <v/>
      </c>
    </row>
    <row r="1255" customFormat="false" ht="15" hidden="false" customHeight="false" outlineLevel="0" collapsed="false">
      <c r="A1255" s="21" t="s">
        <v>2470</v>
      </c>
      <c r="B1255" s="21" t="s">
        <v>501</v>
      </c>
      <c r="C1255" s="21" t="s">
        <v>1322</v>
      </c>
      <c r="D1255" s="21" t="s">
        <v>1191</v>
      </c>
      <c r="E1255" s="33" t="n">
        <v>45562</v>
      </c>
      <c r="F1255" s="21" t="s">
        <v>1185</v>
      </c>
      <c r="G1255" s="32" t="n">
        <v>8.8</v>
      </c>
      <c r="H1255" s="21" t="s">
        <v>120</v>
      </c>
      <c r="I1255" s="33" t="n">
        <v>45610</v>
      </c>
      <c r="J1255" s="21" t="str">
        <f aca="false">INDEX(Students!$C$2:$C$601,MATCH(B1255,Students!$A$2:$A$601,0))</f>
        <v>Batch 2025</v>
      </c>
      <c r="K1255" s="21" t="str">
        <f aca="false">INDEX(Students!$D$2:$D$601,MATCH(B1255,Students!$A$2:$A$601,0))</f>
        <v>DSA with Java</v>
      </c>
      <c r="L1255" s="21" t="str">
        <f aca="false">INDEX(Companies!$C$2:$C$31,MATCH(C1255,Companies!$A$2:$A$31,0))</f>
        <v>Healthtech</v>
      </c>
      <c r="M1255" s="21" t="str">
        <f aca="false">INDEX(Companies!$D$2:$D$31,MATCH(C1255,Companies!$A$2:$A$31,0))</f>
        <v>Tier 2</v>
      </c>
      <c r="N1255" s="34" t="n">
        <f aca="false">MATCH(F1255,Assumptions!$K$4:$K$8,0)</f>
        <v>5</v>
      </c>
      <c r="O1255" s="21" t="n">
        <f aca="false">IF(H1255="Yes",MONTH(I1255),"")</f>
        <v>11</v>
      </c>
      <c r="P1255" s="21" t="str">
        <f aca="false">IF(H1255="Yes",B1255,"")</f>
        <v>S0206</v>
      </c>
    </row>
    <row r="1256" customFormat="false" ht="15" hidden="false" customHeight="false" outlineLevel="0" collapsed="false">
      <c r="A1256" s="21" t="s">
        <v>2471</v>
      </c>
      <c r="B1256" s="21" t="s">
        <v>699</v>
      </c>
      <c r="C1256" s="21" t="s">
        <v>1187</v>
      </c>
      <c r="D1256" s="21" t="s">
        <v>1181</v>
      </c>
      <c r="E1256" s="33" t="n">
        <v>45563</v>
      </c>
      <c r="F1256" s="21" t="s">
        <v>1175</v>
      </c>
      <c r="G1256" s="32"/>
      <c r="H1256" s="21"/>
      <c r="I1256" s="33"/>
      <c r="J1256" s="21" t="str">
        <f aca="false">INDEX(Students!$C$2:$C$601,MATCH(B1256,Students!$A$2:$A$601,0))</f>
        <v>Batch 2025</v>
      </c>
      <c r="K1256" s="21" t="str">
        <f aca="false">INDEX(Students!$D$2:$D$601,MATCH(B1256,Students!$A$2:$A$601,0))</f>
        <v>Full Stack Development</v>
      </c>
      <c r="L1256" s="21" t="str">
        <f aca="false">INDEX(Companies!$C$2:$C$31,MATCH(C1256,Companies!$A$2:$A$31,0))</f>
        <v>Product</v>
      </c>
      <c r="M1256" s="21" t="str">
        <f aca="false">INDEX(Companies!$D$2:$D$31,MATCH(C1256,Companies!$A$2:$A$31,0))</f>
        <v>Tier 1</v>
      </c>
      <c r="N1256" s="34" t="n">
        <f aca="false">MATCH(F1256,Assumptions!$K$4:$K$8,0)</f>
        <v>1</v>
      </c>
      <c r="O1256" s="21" t="str">
        <f aca="false">IF(H1256="Yes",MONTH(I1256),"")</f>
        <v/>
      </c>
      <c r="P1256" s="21" t="str">
        <f aca="false">IF(H1256="Yes",B1256,"")</f>
        <v/>
      </c>
    </row>
    <row r="1257" customFormat="false" ht="15" hidden="false" customHeight="false" outlineLevel="0" collapsed="false">
      <c r="A1257" s="21" t="s">
        <v>2472</v>
      </c>
      <c r="B1257" s="21" t="s">
        <v>575</v>
      </c>
      <c r="C1257" s="21" t="s">
        <v>1201</v>
      </c>
      <c r="D1257" s="21" t="s">
        <v>1191</v>
      </c>
      <c r="E1257" s="33" t="n">
        <v>45563</v>
      </c>
      <c r="F1257" s="21" t="s">
        <v>1175</v>
      </c>
      <c r="G1257" s="32"/>
      <c r="H1257" s="21"/>
      <c r="I1257" s="33"/>
      <c r="J1257" s="21" t="str">
        <f aca="false">INDEX(Students!$C$2:$C$601,MATCH(B1257,Students!$A$2:$A$601,0))</f>
        <v>Batch 2025</v>
      </c>
      <c r="K1257" s="21" t="str">
        <f aca="false">INDEX(Students!$D$2:$D$601,MATCH(B1257,Students!$A$2:$A$601,0))</f>
        <v>DSA with Java</v>
      </c>
      <c r="L1257" s="21" t="str">
        <f aca="false">INDEX(Companies!$C$2:$C$31,MATCH(C1257,Companies!$A$2:$A$31,0))</f>
        <v>IT Services</v>
      </c>
      <c r="M1257" s="21" t="str">
        <f aca="false">INDEX(Companies!$D$2:$D$31,MATCH(C1257,Companies!$A$2:$A$31,0))</f>
        <v>Tier 3</v>
      </c>
      <c r="N1257" s="34" t="n">
        <f aca="false">MATCH(F1257,Assumptions!$K$4:$K$8,0)</f>
        <v>1</v>
      </c>
      <c r="O1257" s="21" t="str">
        <f aca="false">IF(H1257="Yes",MONTH(I1257),"")</f>
        <v/>
      </c>
      <c r="P1257" s="21" t="str">
        <f aca="false">IF(H1257="Yes",B1257,"")</f>
        <v/>
      </c>
    </row>
    <row r="1258" customFormat="false" ht="15" hidden="false" customHeight="false" outlineLevel="0" collapsed="false">
      <c r="A1258" s="21" t="s">
        <v>2473</v>
      </c>
      <c r="B1258" s="21" t="s">
        <v>798</v>
      </c>
      <c r="C1258" s="21" t="s">
        <v>1230</v>
      </c>
      <c r="D1258" s="21" t="s">
        <v>1181</v>
      </c>
      <c r="E1258" s="33" t="n">
        <v>45563</v>
      </c>
      <c r="F1258" s="21" t="s">
        <v>1178</v>
      </c>
      <c r="G1258" s="32"/>
      <c r="H1258" s="21"/>
      <c r="I1258" s="33"/>
      <c r="J1258" s="21" t="str">
        <f aca="false">INDEX(Students!$C$2:$C$601,MATCH(B1258,Students!$A$2:$A$601,0))</f>
        <v>Batch 2025</v>
      </c>
      <c r="K1258" s="21" t="str">
        <f aca="false">INDEX(Students!$D$2:$D$601,MATCH(B1258,Students!$A$2:$A$601,0))</f>
        <v>Full Stack Development</v>
      </c>
      <c r="L1258" s="21" t="str">
        <f aca="false">INDEX(Companies!$C$2:$C$31,MATCH(C1258,Companies!$A$2:$A$31,0))</f>
        <v>IT Services</v>
      </c>
      <c r="M1258" s="21" t="str">
        <f aca="false">INDEX(Companies!$D$2:$D$31,MATCH(C1258,Companies!$A$2:$A$31,0))</f>
        <v>Tier 3</v>
      </c>
      <c r="N1258" s="34" t="n">
        <f aca="false">MATCH(F1258,Assumptions!$K$4:$K$8,0)</f>
        <v>2</v>
      </c>
      <c r="O1258" s="21" t="str">
        <f aca="false">IF(H1258="Yes",MONTH(I1258),"")</f>
        <v/>
      </c>
      <c r="P1258" s="21" t="str">
        <f aca="false">IF(H1258="Yes",B1258,"")</f>
        <v/>
      </c>
    </row>
    <row r="1259" customFormat="false" ht="15" hidden="false" customHeight="false" outlineLevel="0" collapsed="false">
      <c r="A1259" s="21" t="s">
        <v>2474</v>
      </c>
      <c r="B1259" s="21" t="s">
        <v>735</v>
      </c>
      <c r="C1259" s="21" t="s">
        <v>1266</v>
      </c>
      <c r="D1259" s="21" t="s">
        <v>1184</v>
      </c>
      <c r="E1259" s="33" t="n">
        <v>45563</v>
      </c>
      <c r="F1259" s="21" t="s">
        <v>1185</v>
      </c>
      <c r="G1259" s="32" t="n">
        <v>7.4</v>
      </c>
      <c r="H1259" s="21" t="s">
        <v>113</v>
      </c>
      <c r="I1259" s="33" t="n">
        <v>45605</v>
      </c>
      <c r="J1259" s="21" t="str">
        <f aca="false">INDEX(Students!$C$2:$C$601,MATCH(B1259,Students!$A$2:$A$601,0))</f>
        <v>Batch 2025</v>
      </c>
      <c r="K1259" s="21" t="str">
        <f aca="false">INDEX(Students!$D$2:$D$601,MATCH(B1259,Students!$A$2:$A$601,0))</f>
        <v>DSA with Java</v>
      </c>
      <c r="L1259" s="21" t="str">
        <f aca="false">INDEX(Companies!$C$2:$C$31,MATCH(C1259,Companies!$A$2:$A$31,0))</f>
        <v>IT Services</v>
      </c>
      <c r="M1259" s="21" t="str">
        <f aca="false">INDEX(Companies!$D$2:$D$31,MATCH(C1259,Companies!$A$2:$A$31,0))</f>
        <v>Tier 3</v>
      </c>
      <c r="N1259" s="34" t="n">
        <f aca="false">MATCH(F1259,Assumptions!$K$4:$K$8,0)</f>
        <v>5</v>
      </c>
      <c r="O1259" s="21" t="str">
        <f aca="false">IF(H1259="Yes",MONTH(I1259),"")</f>
        <v/>
      </c>
      <c r="P1259" s="21" t="str">
        <f aca="false">IF(H1259="Yes",B1259,"")</f>
        <v/>
      </c>
    </row>
    <row r="1260" customFormat="false" ht="15" hidden="false" customHeight="false" outlineLevel="0" collapsed="false">
      <c r="A1260" s="21" t="s">
        <v>2475</v>
      </c>
      <c r="B1260" s="21" t="s">
        <v>556</v>
      </c>
      <c r="C1260" s="21" t="s">
        <v>1239</v>
      </c>
      <c r="D1260" s="21" t="s">
        <v>1194</v>
      </c>
      <c r="E1260" s="33" t="n">
        <v>45563</v>
      </c>
      <c r="F1260" s="21" t="s">
        <v>1197</v>
      </c>
      <c r="G1260" s="32"/>
      <c r="H1260" s="21"/>
      <c r="I1260" s="33"/>
      <c r="J1260" s="21" t="str">
        <f aca="false">INDEX(Students!$C$2:$C$601,MATCH(B1260,Students!$A$2:$A$601,0))</f>
        <v>Batch 2025</v>
      </c>
      <c r="K1260" s="21" t="str">
        <f aca="false">INDEX(Students!$D$2:$D$601,MATCH(B1260,Students!$A$2:$A$601,0))</f>
        <v>Data Science &amp; ML</v>
      </c>
      <c r="L1260" s="21" t="str">
        <f aca="false">INDEX(Companies!$C$2:$C$31,MATCH(C1260,Companies!$A$2:$A$31,0))</f>
        <v>E-commerce</v>
      </c>
      <c r="M1260" s="21" t="str">
        <f aca="false">INDEX(Companies!$D$2:$D$31,MATCH(C1260,Companies!$A$2:$A$31,0))</f>
        <v>Tier 3</v>
      </c>
      <c r="N1260" s="34" t="n">
        <f aca="false">MATCH(F1260,Assumptions!$K$4:$K$8,0)</f>
        <v>3</v>
      </c>
      <c r="O1260" s="21" t="str">
        <f aca="false">IF(H1260="Yes",MONTH(I1260),"")</f>
        <v/>
      </c>
      <c r="P1260" s="21" t="str">
        <f aca="false">IF(H1260="Yes",B1260,"")</f>
        <v/>
      </c>
    </row>
    <row r="1261" customFormat="false" ht="15" hidden="false" customHeight="false" outlineLevel="0" collapsed="false">
      <c r="A1261" s="21" t="s">
        <v>2476</v>
      </c>
      <c r="B1261" s="21" t="s">
        <v>771</v>
      </c>
      <c r="C1261" s="21" t="s">
        <v>1266</v>
      </c>
      <c r="D1261" s="21" t="s">
        <v>1209</v>
      </c>
      <c r="E1261" s="33" t="n">
        <v>45564</v>
      </c>
      <c r="F1261" s="21" t="s">
        <v>1197</v>
      </c>
      <c r="G1261" s="32"/>
      <c r="H1261" s="21"/>
      <c r="I1261" s="33"/>
      <c r="J1261" s="21" t="str">
        <f aca="false">INDEX(Students!$C$2:$C$601,MATCH(B1261,Students!$A$2:$A$601,0))</f>
        <v>Batch 2025</v>
      </c>
      <c r="K1261" s="21" t="str">
        <f aca="false">INDEX(Students!$D$2:$D$601,MATCH(B1261,Students!$A$2:$A$601,0))</f>
        <v>Data Analytics</v>
      </c>
      <c r="L1261" s="21" t="str">
        <f aca="false">INDEX(Companies!$C$2:$C$31,MATCH(C1261,Companies!$A$2:$A$31,0))</f>
        <v>IT Services</v>
      </c>
      <c r="M1261" s="21" t="str">
        <f aca="false">INDEX(Companies!$D$2:$D$31,MATCH(C1261,Companies!$A$2:$A$31,0))</f>
        <v>Tier 3</v>
      </c>
      <c r="N1261" s="34" t="n">
        <f aca="false">MATCH(F1261,Assumptions!$K$4:$K$8,0)</f>
        <v>3</v>
      </c>
      <c r="O1261" s="21" t="str">
        <f aca="false">IF(H1261="Yes",MONTH(I1261),"")</f>
        <v/>
      </c>
      <c r="P1261" s="21" t="str">
        <f aca="false">IF(H1261="Yes",B1261,"")</f>
        <v/>
      </c>
    </row>
    <row r="1262" customFormat="false" ht="15" hidden="false" customHeight="false" outlineLevel="0" collapsed="false">
      <c r="A1262" s="21" t="s">
        <v>2477</v>
      </c>
      <c r="B1262" s="21" t="s">
        <v>544</v>
      </c>
      <c r="C1262" s="21" t="s">
        <v>1211</v>
      </c>
      <c r="D1262" s="21" t="s">
        <v>1243</v>
      </c>
      <c r="E1262" s="33" t="n">
        <v>45564</v>
      </c>
      <c r="F1262" s="21" t="s">
        <v>1185</v>
      </c>
      <c r="G1262" s="32" t="n">
        <v>5.3</v>
      </c>
      <c r="H1262" s="21" t="s">
        <v>113</v>
      </c>
      <c r="I1262" s="33" t="n">
        <v>45619</v>
      </c>
      <c r="J1262" s="21" t="str">
        <f aca="false">INDEX(Students!$C$2:$C$601,MATCH(B1262,Students!$A$2:$A$601,0))</f>
        <v>Batch 2025</v>
      </c>
      <c r="K1262" s="21" t="str">
        <f aca="false">INDEX(Students!$D$2:$D$601,MATCH(B1262,Students!$A$2:$A$601,0))</f>
        <v>Data Science &amp; ML</v>
      </c>
      <c r="L1262" s="21" t="str">
        <f aca="false">INDEX(Companies!$C$2:$C$31,MATCH(C1262,Companies!$A$2:$A$31,0))</f>
        <v>Analytics &amp; Consulting</v>
      </c>
      <c r="M1262" s="21" t="str">
        <f aca="false">INDEX(Companies!$D$2:$D$31,MATCH(C1262,Companies!$A$2:$A$31,0))</f>
        <v>Tier 3</v>
      </c>
      <c r="N1262" s="34" t="n">
        <f aca="false">MATCH(F1262,Assumptions!$K$4:$K$8,0)</f>
        <v>5</v>
      </c>
      <c r="O1262" s="21" t="str">
        <f aca="false">IF(H1262="Yes",MONTH(I1262),"")</f>
        <v/>
      </c>
      <c r="P1262" s="21" t="str">
        <f aca="false">IF(H1262="Yes",B1262,"")</f>
        <v/>
      </c>
    </row>
    <row r="1263" customFormat="false" ht="15" hidden="false" customHeight="false" outlineLevel="0" collapsed="false">
      <c r="A1263" s="21" t="s">
        <v>2478</v>
      </c>
      <c r="B1263" s="21" t="s">
        <v>758</v>
      </c>
      <c r="C1263" s="21" t="s">
        <v>1225</v>
      </c>
      <c r="D1263" s="21" t="s">
        <v>1209</v>
      </c>
      <c r="E1263" s="33" t="n">
        <v>45565</v>
      </c>
      <c r="F1263" s="21" t="s">
        <v>1175</v>
      </c>
      <c r="G1263" s="32"/>
      <c r="H1263" s="21"/>
      <c r="I1263" s="33"/>
      <c r="J1263" s="21" t="str">
        <f aca="false">INDEX(Students!$C$2:$C$601,MATCH(B1263,Students!$A$2:$A$601,0))</f>
        <v>Batch 2025</v>
      </c>
      <c r="K1263" s="21" t="str">
        <f aca="false">INDEX(Students!$D$2:$D$601,MATCH(B1263,Students!$A$2:$A$601,0))</f>
        <v>Data Analytics</v>
      </c>
      <c r="L1263" s="21" t="str">
        <f aca="false">INDEX(Companies!$C$2:$C$31,MATCH(C1263,Companies!$A$2:$A$31,0))</f>
        <v>EdTech</v>
      </c>
      <c r="M1263" s="21" t="str">
        <f aca="false">INDEX(Companies!$D$2:$D$31,MATCH(C1263,Companies!$A$2:$A$31,0))</f>
        <v>Tier 2</v>
      </c>
      <c r="N1263" s="34" t="n">
        <f aca="false">MATCH(F1263,Assumptions!$K$4:$K$8,0)</f>
        <v>1</v>
      </c>
      <c r="O1263" s="21" t="str">
        <f aca="false">IF(H1263="Yes",MONTH(I1263),"")</f>
        <v/>
      </c>
      <c r="P1263" s="21" t="str">
        <f aca="false">IF(H1263="Yes",B1263,"")</f>
        <v/>
      </c>
    </row>
    <row r="1264" customFormat="false" ht="15" hidden="false" customHeight="false" outlineLevel="0" collapsed="false">
      <c r="A1264" s="21" t="s">
        <v>2479</v>
      </c>
      <c r="B1264" s="21" t="s">
        <v>797</v>
      </c>
      <c r="C1264" s="21" t="s">
        <v>1183</v>
      </c>
      <c r="D1264" s="21" t="s">
        <v>1184</v>
      </c>
      <c r="E1264" s="33" t="n">
        <v>45565</v>
      </c>
      <c r="F1264" s="21" t="s">
        <v>1218</v>
      </c>
      <c r="G1264" s="32"/>
      <c r="H1264" s="21"/>
      <c r="I1264" s="33"/>
      <c r="J1264" s="21" t="str">
        <f aca="false">INDEX(Students!$C$2:$C$601,MATCH(B1264,Students!$A$2:$A$601,0))</f>
        <v>Batch 2025</v>
      </c>
      <c r="K1264" s="21" t="str">
        <f aca="false">INDEX(Students!$D$2:$D$601,MATCH(B1264,Students!$A$2:$A$601,0))</f>
        <v>DSA with Java</v>
      </c>
      <c r="L1264" s="21" t="str">
        <f aca="false">INDEX(Companies!$C$2:$C$31,MATCH(C1264,Companies!$A$2:$A$31,0))</f>
        <v>E-commerce</v>
      </c>
      <c r="M1264" s="21" t="str">
        <f aca="false">INDEX(Companies!$D$2:$D$31,MATCH(C1264,Companies!$A$2:$A$31,0))</f>
        <v>Tier 2</v>
      </c>
      <c r="N1264" s="34" t="n">
        <f aca="false">MATCH(F1264,Assumptions!$K$4:$K$8,0)</f>
        <v>4</v>
      </c>
      <c r="O1264" s="21" t="str">
        <f aca="false">IF(H1264="Yes",MONTH(I1264),"")</f>
        <v/>
      </c>
      <c r="P1264" s="21" t="str">
        <f aca="false">IF(H1264="Yes",B1264,"")</f>
        <v/>
      </c>
    </row>
    <row r="1265" customFormat="false" ht="15" hidden="false" customHeight="false" outlineLevel="0" collapsed="false">
      <c r="A1265" s="21" t="s">
        <v>2480</v>
      </c>
      <c r="B1265" s="21" t="s">
        <v>663</v>
      </c>
      <c r="C1265" s="21" t="s">
        <v>1205</v>
      </c>
      <c r="D1265" s="21" t="s">
        <v>1191</v>
      </c>
      <c r="E1265" s="33" t="n">
        <v>45565</v>
      </c>
      <c r="F1265" s="21" t="s">
        <v>1185</v>
      </c>
      <c r="G1265" s="32" t="n">
        <v>5.7</v>
      </c>
      <c r="H1265" s="21" t="s">
        <v>113</v>
      </c>
      <c r="I1265" s="33" t="n">
        <v>45605</v>
      </c>
      <c r="J1265" s="21" t="str">
        <f aca="false">INDEX(Students!$C$2:$C$601,MATCH(B1265,Students!$A$2:$A$601,0))</f>
        <v>Batch 2025</v>
      </c>
      <c r="K1265" s="21" t="str">
        <f aca="false">INDEX(Students!$D$2:$D$601,MATCH(B1265,Students!$A$2:$A$601,0))</f>
        <v>DSA with Java</v>
      </c>
      <c r="L1265" s="21" t="str">
        <f aca="false">INDEX(Companies!$C$2:$C$31,MATCH(C1265,Companies!$A$2:$A$31,0))</f>
        <v>Healthtech</v>
      </c>
      <c r="M1265" s="21" t="str">
        <f aca="false">INDEX(Companies!$D$2:$D$31,MATCH(C1265,Companies!$A$2:$A$31,0))</f>
        <v>Tier 3</v>
      </c>
      <c r="N1265" s="34" t="n">
        <f aca="false">MATCH(F1265,Assumptions!$K$4:$K$8,0)</f>
        <v>5</v>
      </c>
      <c r="O1265" s="21" t="str">
        <f aca="false">IF(H1265="Yes",MONTH(I1265),"")</f>
        <v/>
      </c>
      <c r="P1265" s="21" t="str">
        <f aca="false">IF(H1265="Yes",B1265,"")</f>
        <v/>
      </c>
    </row>
    <row r="1266" customFormat="false" ht="15" hidden="false" customHeight="false" outlineLevel="0" collapsed="false">
      <c r="A1266" s="21" t="s">
        <v>2481</v>
      </c>
      <c r="B1266" s="21" t="s">
        <v>684</v>
      </c>
      <c r="C1266" s="21" t="s">
        <v>1225</v>
      </c>
      <c r="D1266" s="21" t="s">
        <v>1194</v>
      </c>
      <c r="E1266" s="33" t="n">
        <v>45565</v>
      </c>
      <c r="F1266" s="21" t="s">
        <v>1175</v>
      </c>
      <c r="G1266" s="32"/>
      <c r="H1266" s="21"/>
      <c r="I1266" s="33"/>
      <c r="J1266" s="21" t="str">
        <f aca="false">INDEX(Students!$C$2:$C$601,MATCH(B1266,Students!$A$2:$A$601,0))</f>
        <v>Batch 2025</v>
      </c>
      <c r="K1266" s="21" t="str">
        <f aca="false">INDEX(Students!$D$2:$D$601,MATCH(B1266,Students!$A$2:$A$601,0))</f>
        <v>Data Science &amp; ML</v>
      </c>
      <c r="L1266" s="21" t="str">
        <f aca="false">INDEX(Companies!$C$2:$C$31,MATCH(C1266,Companies!$A$2:$A$31,0))</f>
        <v>EdTech</v>
      </c>
      <c r="M1266" s="21" t="str">
        <f aca="false">INDEX(Companies!$D$2:$D$31,MATCH(C1266,Companies!$A$2:$A$31,0))</f>
        <v>Tier 2</v>
      </c>
      <c r="N1266" s="34" t="n">
        <f aca="false">MATCH(F1266,Assumptions!$K$4:$K$8,0)</f>
        <v>1</v>
      </c>
      <c r="O1266" s="21" t="str">
        <f aca="false">IF(H1266="Yes",MONTH(I1266),"")</f>
        <v/>
      </c>
      <c r="P1266" s="21" t="str">
        <f aca="false">IF(H1266="Yes",B1266,"")</f>
        <v/>
      </c>
    </row>
    <row r="1267" customFormat="false" ht="15" hidden="false" customHeight="false" outlineLevel="0" collapsed="false">
      <c r="A1267" s="21" t="s">
        <v>2482</v>
      </c>
      <c r="B1267" s="21" t="s">
        <v>780</v>
      </c>
      <c r="C1267" s="21" t="s">
        <v>1263</v>
      </c>
      <c r="D1267" s="21" t="s">
        <v>1174</v>
      </c>
      <c r="E1267" s="33" t="n">
        <v>45565</v>
      </c>
      <c r="F1267" s="21" t="s">
        <v>1185</v>
      </c>
      <c r="G1267" s="32" t="n">
        <v>9.4</v>
      </c>
      <c r="H1267" s="21" t="s">
        <v>120</v>
      </c>
      <c r="I1267" s="33" t="n">
        <v>45591</v>
      </c>
      <c r="J1267" s="21" t="str">
        <f aca="false">INDEX(Students!$C$2:$C$601,MATCH(B1267,Students!$A$2:$A$601,0))</f>
        <v>Batch 2025</v>
      </c>
      <c r="K1267" s="21" t="str">
        <f aca="false">INDEX(Students!$D$2:$D$601,MATCH(B1267,Students!$A$2:$A$601,0))</f>
        <v>Full Stack Development</v>
      </c>
      <c r="L1267" s="21" t="str">
        <f aca="false">INDEX(Companies!$C$2:$C$31,MATCH(C1267,Companies!$A$2:$A$31,0))</f>
        <v>Analytics &amp; Consulting</v>
      </c>
      <c r="M1267" s="21" t="str">
        <f aca="false">INDEX(Companies!$D$2:$D$31,MATCH(C1267,Companies!$A$2:$A$31,0))</f>
        <v>Tier 2</v>
      </c>
      <c r="N1267" s="34" t="n">
        <f aca="false">MATCH(F1267,Assumptions!$K$4:$K$8,0)</f>
        <v>5</v>
      </c>
      <c r="O1267" s="21" t="n">
        <f aca="false">IF(H1267="Yes",MONTH(I1267),"")</f>
        <v>10</v>
      </c>
      <c r="P1267" s="21" t="str">
        <f aca="false">IF(H1267="Yes",B1267,"")</f>
        <v>S0365</v>
      </c>
    </row>
    <row r="1268" customFormat="false" ht="15" hidden="false" customHeight="false" outlineLevel="0" collapsed="false">
      <c r="A1268" s="21" t="s">
        <v>2483</v>
      </c>
      <c r="B1268" s="21" t="s">
        <v>590</v>
      </c>
      <c r="C1268" s="21" t="s">
        <v>1255</v>
      </c>
      <c r="D1268" s="21" t="s">
        <v>1188</v>
      </c>
      <c r="E1268" s="33" t="n">
        <v>45565</v>
      </c>
      <c r="F1268" s="21" t="s">
        <v>1175</v>
      </c>
      <c r="G1268" s="32"/>
      <c r="H1268" s="21"/>
      <c r="I1268" s="33"/>
      <c r="J1268" s="21" t="str">
        <f aca="false">INDEX(Students!$C$2:$C$601,MATCH(B1268,Students!$A$2:$A$601,0))</f>
        <v>Batch 2025</v>
      </c>
      <c r="K1268" s="21" t="str">
        <f aca="false">INDEX(Students!$D$2:$D$601,MATCH(B1268,Students!$A$2:$A$601,0))</f>
        <v>Data Analytics</v>
      </c>
      <c r="L1268" s="21" t="str">
        <f aca="false">INDEX(Companies!$C$2:$C$31,MATCH(C1268,Companies!$A$2:$A$31,0))</f>
        <v>IT Services</v>
      </c>
      <c r="M1268" s="21" t="str">
        <f aca="false">INDEX(Companies!$D$2:$D$31,MATCH(C1268,Companies!$A$2:$A$31,0))</f>
        <v>Tier 3</v>
      </c>
      <c r="N1268" s="34" t="n">
        <f aca="false">MATCH(F1268,Assumptions!$K$4:$K$8,0)</f>
        <v>1</v>
      </c>
      <c r="O1268" s="21" t="str">
        <f aca="false">IF(H1268="Yes",MONTH(I1268),"")</f>
        <v/>
      </c>
      <c r="P1268" s="21" t="str">
        <f aca="false">IF(H1268="Yes",B1268,"")</f>
        <v/>
      </c>
    </row>
    <row r="1269" customFormat="false" ht="15" hidden="false" customHeight="false" outlineLevel="0" collapsed="false">
      <c r="A1269" s="21" t="s">
        <v>2484</v>
      </c>
      <c r="B1269" s="21" t="s">
        <v>586</v>
      </c>
      <c r="C1269" s="21" t="s">
        <v>1266</v>
      </c>
      <c r="D1269" s="21" t="s">
        <v>1191</v>
      </c>
      <c r="E1269" s="33" t="n">
        <v>45566</v>
      </c>
      <c r="F1269" s="21" t="s">
        <v>1185</v>
      </c>
      <c r="G1269" s="32" t="n">
        <v>5.4</v>
      </c>
      <c r="H1269" s="21" t="s">
        <v>113</v>
      </c>
      <c r="I1269" s="33" t="n">
        <v>45598</v>
      </c>
      <c r="J1269" s="21" t="str">
        <f aca="false">INDEX(Students!$C$2:$C$601,MATCH(B1269,Students!$A$2:$A$601,0))</f>
        <v>Batch 2025</v>
      </c>
      <c r="K1269" s="21" t="str">
        <f aca="false">INDEX(Students!$D$2:$D$601,MATCH(B1269,Students!$A$2:$A$601,0))</f>
        <v>DSA with Java</v>
      </c>
      <c r="L1269" s="21" t="str">
        <f aca="false">INDEX(Companies!$C$2:$C$31,MATCH(C1269,Companies!$A$2:$A$31,0))</f>
        <v>IT Services</v>
      </c>
      <c r="M1269" s="21" t="str">
        <f aca="false">INDEX(Companies!$D$2:$D$31,MATCH(C1269,Companies!$A$2:$A$31,0))</f>
        <v>Tier 3</v>
      </c>
      <c r="N1269" s="34" t="n">
        <f aca="false">MATCH(F1269,Assumptions!$K$4:$K$8,0)</f>
        <v>5</v>
      </c>
      <c r="O1269" s="21" t="str">
        <f aca="false">IF(H1269="Yes",MONTH(I1269),"")</f>
        <v/>
      </c>
      <c r="P1269" s="21" t="str">
        <f aca="false">IF(H1269="Yes",B1269,"")</f>
        <v/>
      </c>
    </row>
    <row r="1270" customFormat="false" ht="15" hidden="false" customHeight="false" outlineLevel="0" collapsed="false">
      <c r="A1270" s="21" t="s">
        <v>2485</v>
      </c>
      <c r="B1270" s="21" t="s">
        <v>716</v>
      </c>
      <c r="C1270" s="21" t="s">
        <v>1187</v>
      </c>
      <c r="D1270" s="21" t="s">
        <v>1191</v>
      </c>
      <c r="E1270" s="33" t="n">
        <v>45566</v>
      </c>
      <c r="F1270" s="21" t="s">
        <v>1185</v>
      </c>
      <c r="G1270" s="32" t="n">
        <v>25</v>
      </c>
      <c r="H1270" s="21" t="s">
        <v>113</v>
      </c>
      <c r="I1270" s="33" t="n">
        <v>45596</v>
      </c>
      <c r="J1270" s="21" t="str">
        <f aca="false">INDEX(Students!$C$2:$C$601,MATCH(B1270,Students!$A$2:$A$601,0))</f>
        <v>Batch 2025</v>
      </c>
      <c r="K1270" s="21" t="str">
        <f aca="false">INDEX(Students!$D$2:$D$601,MATCH(B1270,Students!$A$2:$A$601,0))</f>
        <v>DSA with Java</v>
      </c>
      <c r="L1270" s="21" t="str">
        <f aca="false">INDEX(Companies!$C$2:$C$31,MATCH(C1270,Companies!$A$2:$A$31,0))</f>
        <v>Product</v>
      </c>
      <c r="M1270" s="21" t="str">
        <f aca="false">INDEX(Companies!$D$2:$D$31,MATCH(C1270,Companies!$A$2:$A$31,0))</f>
        <v>Tier 1</v>
      </c>
      <c r="N1270" s="34" t="n">
        <f aca="false">MATCH(F1270,Assumptions!$K$4:$K$8,0)</f>
        <v>5</v>
      </c>
      <c r="O1270" s="21" t="str">
        <f aca="false">IF(H1270="Yes",MONTH(I1270),"")</f>
        <v/>
      </c>
      <c r="P1270" s="21" t="str">
        <f aca="false">IF(H1270="Yes",B1270,"")</f>
        <v/>
      </c>
    </row>
    <row r="1271" customFormat="false" ht="15" hidden="false" customHeight="false" outlineLevel="0" collapsed="false">
      <c r="A1271" s="21" t="s">
        <v>2486</v>
      </c>
      <c r="B1271" s="21" t="s">
        <v>712</v>
      </c>
      <c r="C1271" s="21" t="s">
        <v>1234</v>
      </c>
      <c r="D1271" s="21" t="s">
        <v>1184</v>
      </c>
      <c r="E1271" s="33" t="n">
        <v>45566</v>
      </c>
      <c r="F1271" s="21" t="s">
        <v>1185</v>
      </c>
      <c r="G1271" s="32" t="n">
        <v>5</v>
      </c>
      <c r="H1271" s="21" t="s">
        <v>120</v>
      </c>
      <c r="I1271" s="33" t="n">
        <v>45617</v>
      </c>
      <c r="J1271" s="21" t="str">
        <f aca="false">INDEX(Students!$C$2:$C$601,MATCH(B1271,Students!$A$2:$A$601,0))</f>
        <v>Batch 2025</v>
      </c>
      <c r="K1271" s="21" t="str">
        <f aca="false">INDEX(Students!$D$2:$D$601,MATCH(B1271,Students!$A$2:$A$601,0))</f>
        <v>DSA with Java</v>
      </c>
      <c r="L1271" s="21" t="str">
        <f aca="false">INDEX(Companies!$C$2:$C$31,MATCH(C1271,Companies!$A$2:$A$31,0))</f>
        <v>EdTech</v>
      </c>
      <c r="M1271" s="21" t="str">
        <f aca="false">INDEX(Companies!$D$2:$D$31,MATCH(C1271,Companies!$A$2:$A$31,0))</f>
        <v>Tier 3</v>
      </c>
      <c r="N1271" s="34" t="n">
        <f aca="false">MATCH(F1271,Assumptions!$K$4:$K$8,0)</f>
        <v>5</v>
      </c>
      <c r="O1271" s="21" t="n">
        <f aca="false">IF(H1271="Yes",MONTH(I1271),"")</f>
        <v>11</v>
      </c>
      <c r="P1271" s="21" t="str">
        <f aca="false">IF(H1271="Yes",B1271,"")</f>
        <v>S0326</v>
      </c>
    </row>
    <row r="1272" customFormat="false" ht="15" hidden="false" customHeight="false" outlineLevel="0" collapsed="false">
      <c r="A1272" s="21" t="s">
        <v>2487</v>
      </c>
      <c r="B1272" s="21" t="s">
        <v>699</v>
      </c>
      <c r="C1272" s="21" t="s">
        <v>1275</v>
      </c>
      <c r="D1272" s="21" t="s">
        <v>1181</v>
      </c>
      <c r="E1272" s="33" t="n">
        <v>45567</v>
      </c>
      <c r="F1272" s="21" t="s">
        <v>1175</v>
      </c>
      <c r="G1272" s="32"/>
      <c r="H1272" s="21"/>
      <c r="I1272" s="33"/>
      <c r="J1272" s="21" t="str">
        <f aca="false">INDEX(Students!$C$2:$C$601,MATCH(B1272,Students!$A$2:$A$601,0))</f>
        <v>Batch 2025</v>
      </c>
      <c r="K1272" s="21" t="str">
        <f aca="false">INDEX(Students!$D$2:$D$601,MATCH(B1272,Students!$A$2:$A$601,0))</f>
        <v>Full Stack Development</v>
      </c>
      <c r="L1272" s="21" t="str">
        <f aca="false">INDEX(Companies!$C$2:$C$31,MATCH(C1272,Companies!$A$2:$A$31,0))</f>
        <v>Cybersecurity</v>
      </c>
      <c r="M1272" s="21" t="str">
        <f aca="false">INDEX(Companies!$D$2:$D$31,MATCH(C1272,Companies!$A$2:$A$31,0))</f>
        <v>Tier 2</v>
      </c>
      <c r="N1272" s="34" t="n">
        <f aca="false">MATCH(F1272,Assumptions!$K$4:$K$8,0)</f>
        <v>1</v>
      </c>
      <c r="O1272" s="21" t="str">
        <f aca="false">IF(H1272="Yes",MONTH(I1272),"")</f>
        <v/>
      </c>
      <c r="P1272" s="21" t="str">
        <f aca="false">IF(H1272="Yes",B1272,"")</f>
        <v/>
      </c>
    </row>
    <row r="1273" customFormat="false" ht="15" hidden="false" customHeight="false" outlineLevel="0" collapsed="false">
      <c r="A1273" s="21" t="s">
        <v>2488</v>
      </c>
      <c r="B1273" s="21" t="s">
        <v>699</v>
      </c>
      <c r="C1273" s="21" t="s">
        <v>1234</v>
      </c>
      <c r="D1273" s="21" t="s">
        <v>1181</v>
      </c>
      <c r="E1273" s="33" t="n">
        <v>45567</v>
      </c>
      <c r="F1273" s="21" t="s">
        <v>1218</v>
      </c>
      <c r="G1273" s="32"/>
      <c r="H1273" s="21"/>
      <c r="I1273" s="33"/>
      <c r="J1273" s="21" t="str">
        <f aca="false">INDEX(Students!$C$2:$C$601,MATCH(B1273,Students!$A$2:$A$601,0))</f>
        <v>Batch 2025</v>
      </c>
      <c r="K1273" s="21" t="str">
        <f aca="false">INDEX(Students!$D$2:$D$601,MATCH(B1273,Students!$A$2:$A$601,0))</f>
        <v>Full Stack Development</v>
      </c>
      <c r="L1273" s="21" t="str">
        <f aca="false">INDEX(Companies!$C$2:$C$31,MATCH(C1273,Companies!$A$2:$A$31,0))</f>
        <v>EdTech</v>
      </c>
      <c r="M1273" s="21" t="str">
        <f aca="false">INDEX(Companies!$D$2:$D$31,MATCH(C1273,Companies!$A$2:$A$31,0))</f>
        <v>Tier 3</v>
      </c>
      <c r="N1273" s="34" t="n">
        <f aca="false">MATCH(F1273,Assumptions!$K$4:$K$8,0)</f>
        <v>4</v>
      </c>
      <c r="O1273" s="21" t="str">
        <f aca="false">IF(H1273="Yes",MONTH(I1273),"")</f>
        <v/>
      </c>
      <c r="P1273" s="21" t="str">
        <f aca="false">IF(H1273="Yes",B1273,"")</f>
        <v/>
      </c>
    </row>
    <row r="1274" customFormat="false" ht="15" hidden="false" customHeight="false" outlineLevel="0" collapsed="false">
      <c r="A1274" s="21" t="s">
        <v>2489</v>
      </c>
      <c r="B1274" s="21" t="s">
        <v>722</v>
      </c>
      <c r="C1274" s="21" t="s">
        <v>1205</v>
      </c>
      <c r="D1274" s="21" t="s">
        <v>1188</v>
      </c>
      <c r="E1274" s="33" t="n">
        <v>45567</v>
      </c>
      <c r="F1274" s="21" t="s">
        <v>1175</v>
      </c>
      <c r="G1274" s="32"/>
      <c r="H1274" s="21"/>
      <c r="I1274" s="33"/>
      <c r="J1274" s="21" t="str">
        <f aca="false">INDEX(Students!$C$2:$C$601,MATCH(B1274,Students!$A$2:$A$601,0))</f>
        <v>Batch 2025</v>
      </c>
      <c r="K1274" s="21" t="str">
        <f aca="false">INDEX(Students!$D$2:$D$601,MATCH(B1274,Students!$A$2:$A$601,0))</f>
        <v>Data Analytics</v>
      </c>
      <c r="L1274" s="21" t="str">
        <f aca="false">INDEX(Companies!$C$2:$C$31,MATCH(C1274,Companies!$A$2:$A$31,0))</f>
        <v>Healthtech</v>
      </c>
      <c r="M1274" s="21" t="str">
        <f aca="false">INDEX(Companies!$D$2:$D$31,MATCH(C1274,Companies!$A$2:$A$31,0))</f>
        <v>Tier 3</v>
      </c>
      <c r="N1274" s="34" t="n">
        <f aca="false">MATCH(F1274,Assumptions!$K$4:$K$8,0)</f>
        <v>1</v>
      </c>
      <c r="O1274" s="21" t="str">
        <f aca="false">IF(H1274="Yes",MONTH(I1274),"")</f>
        <v/>
      </c>
      <c r="P1274" s="21" t="str">
        <f aca="false">IF(H1274="Yes",B1274,"")</f>
        <v/>
      </c>
    </row>
    <row r="1275" customFormat="false" ht="15" hidden="false" customHeight="false" outlineLevel="0" collapsed="false">
      <c r="A1275" s="21" t="s">
        <v>2490</v>
      </c>
      <c r="B1275" s="21" t="s">
        <v>756</v>
      </c>
      <c r="C1275" s="21" t="s">
        <v>1211</v>
      </c>
      <c r="D1275" s="21" t="s">
        <v>1194</v>
      </c>
      <c r="E1275" s="33" t="n">
        <v>45567</v>
      </c>
      <c r="F1275" s="21" t="s">
        <v>1178</v>
      </c>
      <c r="G1275" s="32"/>
      <c r="H1275" s="21"/>
      <c r="I1275" s="33"/>
      <c r="J1275" s="21" t="str">
        <f aca="false">INDEX(Students!$C$2:$C$601,MATCH(B1275,Students!$A$2:$A$601,0))</f>
        <v>Batch 2025</v>
      </c>
      <c r="K1275" s="21" t="str">
        <f aca="false">INDEX(Students!$D$2:$D$601,MATCH(B1275,Students!$A$2:$A$601,0))</f>
        <v>Data Science &amp; ML</v>
      </c>
      <c r="L1275" s="21" t="str">
        <f aca="false">INDEX(Companies!$C$2:$C$31,MATCH(C1275,Companies!$A$2:$A$31,0))</f>
        <v>Analytics &amp; Consulting</v>
      </c>
      <c r="M1275" s="21" t="str">
        <f aca="false">INDEX(Companies!$D$2:$D$31,MATCH(C1275,Companies!$A$2:$A$31,0))</f>
        <v>Tier 3</v>
      </c>
      <c r="N1275" s="34" t="n">
        <f aca="false">MATCH(F1275,Assumptions!$K$4:$K$8,0)</f>
        <v>2</v>
      </c>
      <c r="O1275" s="21" t="str">
        <f aca="false">IF(H1275="Yes",MONTH(I1275),"")</f>
        <v/>
      </c>
      <c r="P1275" s="21" t="str">
        <f aca="false">IF(H1275="Yes",B1275,"")</f>
        <v/>
      </c>
    </row>
    <row r="1276" customFormat="false" ht="15" hidden="false" customHeight="false" outlineLevel="0" collapsed="false">
      <c r="A1276" s="21" t="s">
        <v>2491</v>
      </c>
      <c r="B1276" s="21" t="s">
        <v>582</v>
      </c>
      <c r="C1276" s="21" t="s">
        <v>1193</v>
      </c>
      <c r="D1276" s="21" t="s">
        <v>1243</v>
      </c>
      <c r="E1276" s="33" t="n">
        <v>45567</v>
      </c>
      <c r="F1276" s="21" t="s">
        <v>1178</v>
      </c>
      <c r="G1276" s="32"/>
      <c r="H1276" s="21"/>
      <c r="I1276" s="33"/>
      <c r="J1276" s="21" t="str">
        <f aca="false">INDEX(Students!$C$2:$C$601,MATCH(B1276,Students!$A$2:$A$601,0))</f>
        <v>Batch 2025</v>
      </c>
      <c r="K1276" s="21" t="str">
        <f aca="false">INDEX(Students!$D$2:$D$601,MATCH(B1276,Students!$A$2:$A$601,0))</f>
        <v>Data Science &amp; ML</v>
      </c>
      <c r="L1276" s="21" t="str">
        <f aca="false">INDEX(Companies!$C$2:$C$31,MATCH(C1276,Companies!$A$2:$A$31,0))</f>
        <v>Analytics &amp; Consulting</v>
      </c>
      <c r="M1276" s="21" t="str">
        <f aca="false">INDEX(Companies!$D$2:$D$31,MATCH(C1276,Companies!$A$2:$A$31,0))</f>
        <v>Tier 2</v>
      </c>
      <c r="N1276" s="34" t="n">
        <f aca="false">MATCH(F1276,Assumptions!$K$4:$K$8,0)</f>
        <v>2</v>
      </c>
      <c r="O1276" s="21" t="str">
        <f aca="false">IF(H1276="Yes",MONTH(I1276),"")</f>
        <v/>
      </c>
      <c r="P1276" s="21" t="str">
        <f aca="false">IF(H1276="Yes",B1276,"")</f>
        <v/>
      </c>
    </row>
    <row r="1277" customFormat="false" ht="15" hidden="false" customHeight="false" outlineLevel="0" collapsed="false">
      <c r="A1277" s="21" t="s">
        <v>2492</v>
      </c>
      <c r="B1277" s="21" t="s">
        <v>546</v>
      </c>
      <c r="C1277" s="21" t="s">
        <v>1322</v>
      </c>
      <c r="D1277" s="21" t="s">
        <v>1174</v>
      </c>
      <c r="E1277" s="33" t="n">
        <v>45567</v>
      </c>
      <c r="F1277" s="21" t="s">
        <v>1197</v>
      </c>
      <c r="G1277" s="32"/>
      <c r="H1277" s="21"/>
      <c r="I1277" s="33"/>
      <c r="J1277" s="21" t="str">
        <f aca="false">INDEX(Students!$C$2:$C$601,MATCH(B1277,Students!$A$2:$A$601,0))</f>
        <v>Batch 2025</v>
      </c>
      <c r="K1277" s="21" t="str">
        <f aca="false">INDEX(Students!$D$2:$D$601,MATCH(B1277,Students!$A$2:$A$601,0))</f>
        <v>Full Stack Development</v>
      </c>
      <c r="L1277" s="21" t="str">
        <f aca="false">INDEX(Companies!$C$2:$C$31,MATCH(C1277,Companies!$A$2:$A$31,0))</f>
        <v>Healthtech</v>
      </c>
      <c r="M1277" s="21" t="str">
        <f aca="false">INDEX(Companies!$D$2:$D$31,MATCH(C1277,Companies!$A$2:$A$31,0))</f>
        <v>Tier 2</v>
      </c>
      <c r="N1277" s="34" t="n">
        <f aca="false">MATCH(F1277,Assumptions!$K$4:$K$8,0)</f>
        <v>3</v>
      </c>
      <c r="O1277" s="21" t="str">
        <f aca="false">IF(H1277="Yes",MONTH(I1277),"")</f>
        <v/>
      </c>
      <c r="P1277" s="21" t="str">
        <f aca="false">IF(H1277="Yes",B1277,"")</f>
        <v/>
      </c>
    </row>
    <row r="1278" customFormat="false" ht="15" hidden="false" customHeight="false" outlineLevel="0" collapsed="false">
      <c r="A1278" s="21" t="s">
        <v>2493</v>
      </c>
      <c r="B1278" s="21" t="s">
        <v>622</v>
      </c>
      <c r="C1278" s="21" t="s">
        <v>1216</v>
      </c>
      <c r="D1278" s="21" t="s">
        <v>1181</v>
      </c>
      <c r="E1278" s="33" t="n">
        <v>45567</v>
      </c>
      <c r="F1278" s="21" t="s">
        <v>1175</v>
      </c>
      <c r="G1278" s="32"/>
      <c r="H1278" s="21"/>
      <c r="I1278" s="33"/>
      <c r="J1278" s="21" t="str">
        <f aca="false">INDEX(Students!$C$2:$C$601,MATCH(B1278,Students!$A$2:$A$601,0))</f>
        <v>Batch 2025</v>
      </c>
      <c r="K1278" s="21" t="str">
        <f aca="false">INDEX(Students!$D$2:$D$601,MATCH(B1278,Students!$A$2:$A$601,0))</f>
        <v>Full Stack Development</v>
      </c>
      <c r="L1278" s="21" t="str">
        <f aca="false">INDEX(Companies!$C$2:$C$31,MATCH(C1278,Companies!$A$2:$A$31,0))</f>
        <v>IT Services</v>
      </c>
      <c r="M1278" s="21" t="str">
        <f aca="false">INDEX(Companies!$D$2:$D$31,MATCH(C1278,Companies!$A$2:$A$31,0))</f>
        <v>Tier 3</v>
      </c>
      <c r="N1278" s="34" t="n">
        <f aca="false">MATCH(F1278,Assumptions!$K$4:$K$8,0)</f>
        <v>1</v>
      </c>
      <c r="O1278" s="21" t="str">
        <f aca="false">IF(H1278="Yes",MONTH(I1278),"")</f>
        <v/>
      </c>
      <c r="P1278" s="21" t="str">
        <f aca="false">IF(H1278="Yes",B1278,"")</f>
        <v/>
      </c>
    </row>
    <row r="1279" customFormat="false" ht="15" hidden="false" customHeight="false" outlineLevel="0" collapsed="false">
      <c r="A1279" s="21" t="s">
        <v>2494</v>
      </c>
      <c r="B1279" s="21" t="s">
        <v>802</v>
      </c>
      <c r="C1279" s="21" t="s">
        <v>1203</v>
      </c>
      <c r="D1279" s="21" t="s">
        <v>1181</v>
      </c>
      <c r="E1279" s="33" t="n">
        <v>45567</v>
      </c>
      <c r="F1279" s="21" t="s">
        <v>1175</v>
      </c>
      <c r="G1279" s="32"/>
      <c r="H1279" s="21"/>
      <c r="I1279" s="33"/>
      <c r="J1279" s="21" t="str">
        <f aca="false">INDEX(Students!$C$2:$C$601,MATCH(B1279,Students!$A$2:$A$601,0))</f>
        <v>Batch 2025</v>
      </c>
      <c r="K1279" s="21" t="str">
        <f aca="false">INDEX(Students!$D$2:$D$601,MATCH(B1279,Students!$A$2:$A$601,0))</f>
        <v>Full Stack Development</v>
      </c>
      <c r="L1279" s="21" t="str">
        <f aca="false">INDEX(Companies!$C$2:$C$31,MATCH(C1279,Companies!$A$2:$A$31,0))</f>
        <v>Healthtech</v>
      </c>
      <c r="M1279" s="21" t="str">
        <f aca="false">INDEX(Companies!$D$2:$D$31,MATCH(C1279,Companies!$A$2:$A$31,0))</f>
        <v>Tier 2</v>
      </c>
      <c r="N1279" s="34" t="n">
        <f aca="false">MATCH(F1279,Assumptions!$K$4:$K$8,0)</f>
        <v>1</v>
      </c>
      <c r="O1279" s="21" t="str">
        <f aca="false">IF(H1279="Yes",MONTH(I1279),"")</f>
        <v/>
      </c>
      <c r="P1279" s="21" t="str">
        <f aca="false">IF(H1279="Yes",B1279,"")</f>
        <v/>
      </c>
    </row>
    <row r="1280" customFormat="false" ht="15" hidden="false" customHeight="false" outlineLevel="0" collapsed="false">
      <c r="A1280" s="21" t="s">
        <v>2495</v>
      </c>
      <c r="B1280" s="21" t="s">
        <v>679</v>
      </c>
      <c r="C1280" s="21" t="s">
        <v>1201</v>
      </c>
      <c r="D1280" s="21" t="s">
        <v>1194</v>
      </c>
      <c r="E1280" s="33" t="n">
        <v>45567</v>
      </c>
      <c r="F1280" s="21" t="s">
        <v>1185</v>
      </c>
      <c r="G1280" s="32" t="n">
        <v>7.3</v>
      </c>
      <c r="H1280" s="21" t="s">
        <v>113</v>
      </c>
      <c r="I1280" s="33" t="n">
        <v>45610</v>
      </c>
      <c r="J1280" s="21" t="str">
        <f aca="false">INDEX(Students!$C$2:$C$601,MATCH(B1280,Students!$A$2:$A$601,0))</f>
        <v>Batch 2025</v>
      </c>
      <c r="K1280" s="21" t="str">
        <f aca="false">INDEX(Students!$D$2:$D$601,MATCH(B1280,Students!$A$2:$A$601,0))</f>
        <v>Data Science &amp; ML</v>
      </c>
      <c r="L1280" s="21" t="str">
        <f aca="false">INDEX(Companies!$C$2:$C$31,MATCH(C1280,Companies!$A$2:$A$31,0))</f>
        <v>IT Services</v>
      </c>
      <c r="M1280" s="21" t="str">
        <f aca="false">INDEX(Companies!$D$2:$D$31,MATCH(C1280,Companies!$A$2:$A$31,0))</f>
        <v>Tier 3</v>
      </c>
      <c r="N1280" s="34" t="n">
        <f aca="false">MATCH(F1280,Assumptions!$K$4:$K$8,0)</f>
        <v>5</v>
      </c>
      <c r="O1280" s="21" t="str">
        <f aca="false">IF(H1280="Yes",MONTH(I1280),"")</f>
        <v/>
      </c>
      <c r="P1280" s="21" t="str">
        <f aca="false">IF(H1280="Yes",B1280,"")</f>
        <v/>
      </c>
    </row>
    <row r="1281" customFormat="false" ht="15" hidden="false" customHeight="false" outlineLevel="0" collapsed="false">
      <c r="A1281" s="21" t="s">
        <v>2496</v>
      </c>
      <c r="B1281" s="21" t="s">
        <v>526</v>
      </c>
      <c r="C1281" s="21" t="s">
        <v>1225</v>
      </c>
      <c r="D1281" s="21" t="s">
        <v>1191</v>
      </c>
      <c r="E1281" s="33" t="n">
        <v>45568</v>
      </c>
      <c r="F1281" s="21" t="s">
        <v>1175</v>
      </c>
      <c r="G1281" s="32"/>
      <c r="H1281" s="21"/>
      <c r="I1281" s="33"/>
      <c r="J1281" s="21" t="str">
        <f aca="false">INDEX(Students!$C$2:$C$601,MATCH(B1281,Students!$A$2:$A$601,0))</f>
        <v>Batch 2025</v>
      </c>
      <c r="K1281" s="21" t="str">
        <f aca="false">INDEX(Students!$D$2:$D$601,MATCH(B1281,Students!$A$2:$A$601,0))</f>
        <v>DSA with Java</v>
      </c>
      <c r="L1281" s="21" t="str">
        <f aca="false">INDEX(Companies!$C$2:$C$31,MATCH(C1281,Companies!$A$2:$A$31,0))</f>
        <v>EdTech</v>
      </c>
      <c r="M1281" s="21" t="str">
        <f aca="false">INDEX(Companies!$D$2:$D$31,MATCH(C1281,Companies!$A$2:$A$31,0))</f>
        <v>Tier 2</v>
      </c>
      <c r="N1281" s="34" t="n">
        <f aca="false">MATCH(F1281,Assumptions!$K$4:$K$8,0)</f>
        <v>1</v>
      </c>
      <c r="O1281" s="21" t="str">
        <f aca="false">IF(H1281="Yes",MONTH(I1281),"")</f>
        <v/>
      </c>
      <c r="P1281" s="21" t="str">
        <f aca="false">IF(H1281="Yes",B1281,"")</f>
        <v/>
      </c>
    </row>
    <row r="1282" customFormat="false" ht="15" hidden="false" customHeight="false" outlineLevel="0" collapsed="false">
      <c r="A1282" s="21" t="s">
        <v>2497</v>
      </c>
      <c r="B1282" s="21" t="s">
        <v>732</v>
      </c>
      <c r="C1282" s="21" t="s">
        <v>1275</v>
      </c>
      <c r="D1282" s="21" t="s">
        <v>1243</v>
      </c>
      <c r="E1282" s="33" t="n">
        <v>45568</v>
      </c>
      <c r="F1282" s="21" t="s">
        <v>1218</v>
      </c>
      <c r="G1282" s="32"/>
      <c r="H1282" s="21"/>
      <c r="I1282" s="33"/>
      <c r="J1282" s="21" t="str">
        <f aca="false">INDEX(Students!$C$2:$C$601,MATCH(B1282,Students!$A$2:$A$601,0))</f>
        <v>Batch 2025</v>
      </c>
      <c r="K1282" s="21" t="str">
        <f aca="false">INDEX(Students!$D$2:$D$601,MATCH(B1282,Students!$A$2:$A$601,0))</f>
        <v>Data Science &amp; ML</v>
      </c>
      <c r="L1282" s="21" t="str">
        <f aca="false">INDEX(Companies!$C$2:$C$31,MATCH(C1282,Companies!$A$2:$A$31,0))</f>
        <v>Cybersecurity</v>
      </c>
      <c r="M1282" s="21" t="str">
        <f aca="false">INDEX(Companies!$D$2:$D$31,MATCH(C1282,Companies!$A$2:$A$31,0))</f>
        <v>Tier 2</v>
      </c>
      <c r="N1282" s="34" t="n">
        <f aca="false">MATCH(F1282,Assumptions!$K$4:$K$8,0)</f>
        <v>4</v>
      </c>
      <c r="O1282" s="21" t="str">
        <f aca="false">IF(H1282="Yes",MONTH(I1282),"")</f>
        <v/>
      </c>
      <c r="P1282" s="21" t="str">
        <f aca="false">IF(H1282="Yes",B1282,"")</f>
        <v/>
      </c>
    </row>
    <row r="1283" customFormat="false" ht="15" hidden="false" customHeight="false" outlineLevel="0" collapsed="false">
      <c r="A1283" s="21" t="s">
        <v>2498</v>
      </c>
      <c r="B1283" s="21" t="s">
        <v>761</v>
      </c>
      <c r="C1283" s="21" t="s">
        <v>1214</v>
      </c>
      <c r="D1283" s="21" t="s">
        <v>1174</v>
      </c>
      <c r="E1283" s="33" t="n">
        <v>45568</v>
      </c>
      <c r="F1283" s="21" t="s">
        <v>1178</v>
      </c>
      <c r="G1283" s="32"/>
      <c r="H1283" s="21"/>
      <c r="I1283" s="33"/>
      <c r="J1283" s="21" t="str">
        <f aca="false">INDEX(Students!$C$2:$C$601,MATCH(B1283,Students!$A$2:$A$601,0))</f>
        <v>Batch 2025</v>
      </c>
      <c r="K1283" s="21" t="str">
        <f aca="false">INDEX(Students!$D$2:$D$601,MATCH(B1283,Students!$A$2:$A$601,0))</f>
        <v>Full Stack Development</v>
      </c>
      <c r="L1283" s="21" t="str">
        <f aca="false">INDEX(Companies!$C$2:$C$31,MATCH(C1283,Companies!$A$2:$A$31,0))</f>
        <v>Product</v>
      </c>
      <c r="M1283" s="21" t="str">
        <f aca="false">INDEX(Companies!$D$2:$D$31,MATCH(C1283,Companies!$A$2:$A$31,0))</f>
        <v>Tier 1</v>
      </c>
      <c r="N1283" s="34" t="n">
        <f aca="false">MATCH(F1283,Assumptions!$K$4:$K$8,0)</f>
        <v>2</v>
      </c>
      <c r="O1283" s="21" t="str">
        <f aca="false">IF(H1283="Yes",MONTH(I1283),"")</f>
        <v/>
      </c>
      <c r="P1283" s="21" t="str">
        <f aca="false">IF(H1283="Yes",B1283,"")</f>
        <v/>
      </c>
    </row>
    <row r="1284" customFormat="false" ht="15" hidden="false" customHeight="false" outlineLevel="0" collapsed="false">
      <c r="A1284" s="21" t="s">
        <v>2499</v>
      </c>
      <c r="B1284" s="21" t="s">
        <v>691</v>
      </c>
      <c r="C1284" s="21" t="s">
        <v>1228</v>
      </c>
      <c r="D1284" s="21" t="s">
        <v>1209</v>
      </c>
      <c r="E1284" s="33" t="n">
        <v>45569</v>
      </c>
      <c r="F1284" s="21" t="s">
        <v>1175</v>
      </c>
      <c r="G1284" s="32"/>
      <c r="H1284" s="21"/>
      <c r="I1284" s="33"/>
      <c r="J1284" s="21" t="str">
        <f aca="false">INDEX(Students!$C$2:$C$601,MATCH(B1284,Students!$A$2:$A$601,0))</f>
        <v>Batch 2025</v>
      </c>
      <c r="K1284" s="21" t="str">
        <f aca="false">INDEX(Students!$D$2:$D$601,MATCH(B1284,Students!$A$2:$A$601,0))</f>
        <v>Data Analytics</v>
      </c>
      <c r="L1284" s="21" t="str">
        <f aca="false">INDEX(Companies!$C$2:$C$31,MATCH(C1284,Companies!$A$2:$A$31,0))</f>
        <v>Fintech</v>
      </c>
      <c r="M1284" s="21" t="str">
        <f aca="false">INDEX(Companies!$D$2:$D$31,MATCH(C1284,Companies!$A$2:$A$31,0))</f>
        <v>Tier 1</v>
      </c>
      <c r="N1284" s="34" t="n">
        <f aca="false">MATCH(F1284,Assumptions!$K$4:$K$8,0)</f>
        <v>1</v>
      </c>
      <c r="O1284" s="21" t="str">
        <f aca="false">IF(H1284="Yes",MONTH(I1284),"")</f>
        <v/>
      </c>
      <c r="P1284" s="21" t="str">
        <f aca="false">IF(H1284="Yes",B1284,"")</f>
        <v/>
      </c>
    </row>
    <row r="1285" customFormat="false" ht="15" hidden="false" customHeight="false" outlineLevel="0" collapsed="false">
      <c r="A1285" s="21" t="s">
        <v>2500</v>
      </c>
      <c r="B1285" s="21" t="s">
        <v>584</v>
      </c>
      <c r="C1285" s="21" t="s">
        <v>1187</v>
      </c>
      <c r="D1285" s="21" t="s">
        <v>1184</v>
      </c>
      <c r="E1285" s="33" t="n">
        <v>45569</v>
      </c>
      <c r="F1285" s="21" t="s">
        <v>1178</v>
      </c>
      <c r="G1285" s="32"/>
      <c r="H1285" s="21"/>
      <c r="I1285" s="33"/>
      <c r="J1285" s="21" t="str">
        <f aca="false">INDEX(Students!$C$2:$C$601,MATCH(B1285,Students!$A$2:$A$601,0))</f>
        <v>Batch 2025</v>
      </c>
      <c r="K1285" s="21" t="str">
        <f aca="false">INDEX(Students!$D$2:$D$601,MATCH(B1285,Students!$A$2:$A$601,0))</f>
        <v>DSA with Java</v>
      </c>
      <c r="L1285" s="21" t="str">
        <f aca="false">INDEX(Companies!$C$2:$C$31,MATCH(C1285,Companies!$A$2:$A$31,0))</f>
        <v>Product</v>
      </c>
      <c r="M1285" s="21" t="str">
        <f aca="false">INDEX(Companies!$D$2:$D$31,MATCH(C1285,Companies!$A$2:$A$31,0))</f>
        <v>Tier 1</v>
      </c>
      <c r="N1285" s="34" t="n">
        <f aca="false">MATCH(F1285,Assumptions!$K$4:$K$8,0)</f>
        <v>2</v>
      </c>
      <c r="O1285" s="21" t="str">
        <f aca="false">IF(H1285="Yes",MONTH(I1285),"")</f>
        <v/>
      </c>
      <c r="P1285" s="21" t="str">
        <f aca="false">IF(H1285="Yes",B1285,"")</f>
        <v/>
      </c>
    </row>
    <row r="1286" customFormat="false" ht="15" hidden="false" customHeight="false" outlineLevel="0" collapsed="false">
      <c r="A1286" s="21" t="s">
        <v>2501</v>
      </c>
      <c r="B1286" s="21" t="s">
        <v>544</v>
      </c>
      <c r="C1286" s="21" t="s">
        <v>1322</v>
      </c>
      <c r="D1286" s="21" t="s">
        <v>1194</v>
      </c>
      <c r="E1286" s="33" t="n">
        <v>45569</v>
      </c>
      <c r="F1286" s="21" t="s">
        <v>1197</v>
      </c>
      <c r="G1286" s="32"/>
      <c r="H1286" s="21"/>
      <c r="I1286" s="33"/>
      <c r="J1286" s="21" t="str">
        <f aca="false">INDEX(Students!$C$2:$C$601,MATCH(B1286,Students!$A$2:$A$601,0))</f>
        <v>Batch 2025</v>
      </c>
      <c r="K1286" s="21" t="str">
        <f aca="false">INDEX(Students!$D$2:$D$601,MATCH(B1286,Students!$A$2:$A$601,0))</f>
        <v>Data Science &amp; ML</v>
      </c>
      <c r="L1286" s="21" t="str">
        <f aca="false">INDEX(Companies!$C$2:$C$31,MATCH(C1286,Companies!$A$2:$A$31,0))</f>
        <v>Healthtech</v>
      </c>
      <c r="M1286" s="21" t="str">
        <f aca="false">INDEX(Companies!$D$2:$D$31,MATCH(C1286,Companies!$A$2:$A$31,0))</f>
        <v>Tier 2</v>
      </c>
      <c r="N1286" s="34" t="n">
        <f aca="false">MATCH(F1286,Assumptions!$K$4:$K$8,0)</f>
        <v>3</v>
      </c>
      <c r="O1286" s="21" t="str">
        <f aca="false">IF(H1286="Yes",MONTH(I1286),"")</f>
        <v/>
      </c>
      <c r="P1286" s="21" t="str">
        <f aca="false">IF(H1286="Yes",B1286,"")</f>
        <v/>
      </c>
    </row>
    <row r="1287" customFormat="false" ht="15" hidden="false" customHeight="false" outlineLevel="0" collapsed="false">
      <c r="A1287" s="21" t="s">
        <v>2502</v>
      </c>
      <c r="B1287" s="21" t="s">
        <v>745</v>
      </c>
      <c r="C1287" s="21" t="s">
        <v>1190</v>
      </c>
      <c r="D1287" s="21" t="s">
        <v>1240</v>
      </c>
      <c r="E1287" s="33" t="n">
        <v>45570</v>
      </c>
      <c r="F1287" s="21" t="s">
        <v>1185</v>
      </c>
      <c r="G1287" s="32" t="n">
        <v>20.1</v>
      </c>
      <c r="H1287" s="21" t="s">
        <v>120</v>
      </c>
      <c r="I1287" s="33" t="n">
        <v>45604</v>
      </c>
      <c r="J1287" s="21" t="str">
        <f aca="false">INDEX(Students!$C$2:$C$601,MATCH(B1287,Students!$A$2:$A$601,0))</f>
        <v>Batch 2025</v>
      </c>
      <c r="K1287" s="21" t="str">
        <f aca="false">INDEX(Students!$D$2:$D$601,MATCH(B1287,Students!$A$2:$A$601,0))</f>
        <v>Cybersecurity</v>
      </c>
      <c r="L1287" s="21" t="str">
        <f aca="false">INDEX(Companies!$C$2:$C$31,MATCH(C1287,Companies!$A$2:$A$31,0))</f>
        <v>Analytics &amp; Consulting</v>
      </c>
      <c r="M1287" s="21" t="str">
        <f aca="false">INDEX(Companies!$D$2:$D$31,MATCH(C1287,Companies!$A$2:$A$31,0))</f>
        <v>Tier 1</v>
      </c>
      <c r="N1287" s="34" t="n">
        <f aca="false">MATCH(F1287,Assumptions!$K$4:$K$8,0)</f>
        <v>5</v>
      </c>
      <c r="O1287" s="21" t="n">
        <f aca="false">IF(H1287="Yes",MONTH(I1287),"")</f>
        <v>11</v>
      </c>
      <c r="P1287" s="21" t="str">
        <f aca="false">IF(H1287="Yes",B1287,"")</f>
        <v>S0344</v>
      </c>
    </row>
    <row r="1288" customFormat="false" ht="15" hidden="false" customHeight="false" outlineLevel="0" collapsed="false">
      <c r="A1288" s="21" t="s">
        <v>2503</v>
      </c>
      <c r="B1288" s="21" t="s">
        <v>631</v>
      </c>
      <c r="C1288" s="21" t="s">
        <v>1183</v>
      </c>
      <c r="D1288" s="21" t="s">
        <v>1191</v>
      </c>
      <c r="E1288" s="33" t="n">
        <v>45570</v>
      </c>
      <c r="F1288" s="21" t="s">
        <v>1175</v>
      </c>
      <c r="G1288" s="32"/>
      <c r="H1288" s="21"/>
      <c r="I1288" s="33"/>
      <c r="J1288" s="21" t="str">
        <f aca="false">INDEX(Students!$C$2:$C$601,MATCH(B1288,Students!$A$2:$A$601,0))</f>
        <v>Batch 2025</v>
      </c>
      <c r="K1288" s="21" t="str">
        <f aca="false">INDEX(Students!$D$2:$D$601,MATCH(B1288,Students!$A$2:$A$601,0))</f>
        <v>DSA with Java</v>
      </c>
      <c r="L1288" s="21" t="str">
        <f aca="false">INDEX(Companies!$C$2:$C$31,MATCH(C1288,Companies!$A$2:$A$31,0))</f>
        <v>E-commerce</v>
      </c>
      <c r="M1288" s="21" t="str">
        <f aca="false">INDEX(Companies!$D$2:$D$31,MATCH(C1288,Companies!$A$2:$A$31,0))</f>
        <v>Tier 2</v>
      </c>
      <c r="N1288" s="34" t="n">
        <f aca="false">MATCH(F1288,Assumptions!$K$4:$K$8,0)</f>
        <v>1</v>
      </c>
      <c r="O1288" s="21" t="str">
        <f aca="false">IF(H1288="Yes",MONTH(I1288),"")</f>
        <v/>
      </c>
      <c r="P1288" s="21" t="str">
        <f aca="false">IF(H1288="Yes",B1288,"")</f>
        <v/>
      </c>
    </row>
    <row r="1289" customFormat="false" ht="15" hidden="false" customHeight="false" outlineLevel="0" collapsed="false">
      <c r="A1289" s="21" t="s">
        <v>2504</v>
      </c>
      <c r="B1289" s="21" t="s">
        <v>470</v>
      </c>
      <c r="C1289" s="21" t="s">
        <v>1266</v>
      </c>
      <c r="D1289" s="21" t="s">
        <v>1188</v>
      </c>
      <c r="E1289" s="33" t="n">
        <v>45570</v>
      </c>
      <c r="F1289" s="21" t="s">
        <v>1175</v>
      </c>
      <c r="G1289" s="32"/>
      <c r="H1289" s="21"/>
      <c r="I1289" s="33"/>
      <c r="J1289" s="21" t="str">
        <f aca="false">INDEX(Students!$C$2:$C$601,MATCH(B1289,Students!$A$2:$A$601,0))</f>
        <v>Batch 2025</v>
      </c>
      <c r="K1289" s="21" t="str">
        <f aca="false">INDEX(Students!$D$2:$D$601,MATCH(B1289,Students!$A$2:$A$601,0))</f>
        <v>Data Analytics</v>
      </c>
      <c r="L1289" s="21" t="str">
        <f aca="false">INDEX(Companies!$C$2:$C$31,MATCH(C1289,Companies!$A$2:$A$31,0))</f>
        <v>IT Services</v>
      </c>
      <c r="M1289" s="21" t="str">
        <f aca="false">INDEX(Companies!$D$2:$D$31,MATCH(C1289,Companies!$A$2:$A$31,0))</f>
        <v>Tier 3</v>
      </c>
      <c r="N1289" s="34" t="n">
        <f aca="false">MATCH(F1289,Assumptions!$K$4:$K$8,0)</f>
        <v>1</v>
      </c>
      <c r="O1289" s="21" t="str">
        <f aca="false">IF(H1289="Yes",MONTH(I1289),"")</f>
        <v/>
      </c>
      <c r="P1289" s="21" t="str">
        <f aca="false">IF(H1289="Yes",B1289,"")</f>
        <v/>
      </c>
    </row>
    <row r="1290" customFormat="false" ht="15" hidden="false" customHeight="false" outlineLevel="0" collapsed="false">
      <c r="A1290" s="21" t="s">
        <v>2505</v>
      </c>
      <c r="B1290" s="21" t="s">
        <v>504</v>
      </c>
      <c r="C1290" s="21" t="s">
        <v>1183</v>
      </c>
      <c r="D1290" s="21" t="s">
        <v>1181</v>
      </c>
      <c r="E1290" s="33" t="n">
        <v>45570</v>
      </c>
      <c r="F1290" s="21" t="s">
        <v>1185</v>
      </c>
      <c r="G1290" s="32" t="n">
        <v>12</v>
      </c>
      <c r="H1290" s="21" t="s">
        <v>120</v>
      </c>
      <c r="I1290" s="33" t="n">
        <v>45605</v>
      </c>
      <c r="J1290" s="21" t="str">
        <f aca="false">INDEX(Students!$C$2:$C$601,MATCH(B1290,Students!$A$2:$A$601,0))</f>
        <v>Batch 2025</v>
      </c>
      <c r="K1290" s="21" t="str">
        <f aca="false">INDEX(Students!$D$2:$D$601,MATCH(B1290,Students!$A$2:$A$601,0))</f>
        <v>Full Stack Development</v>
      </c>
      <c r="L1290" s="21" t="str">
        <f aca="false">INDEX(Companies!$C$2:$C$31,MATCH(C1290,Companies!$A$2:$A$31,0))</f>
        <v>E-commerce</v>
      </c>
      <c r="M1290" s="21" t="str">
        <f aca="false">INDEX(Companies!$D$2:$D$31,MATCH(C1290,Companies!$A$2:$A$31,0))</f>
        <v>Tier 2</v>
      </c>
      <c r="N1290" s="34" t="n">
        <f aca="false">MATCH(F1290,Assumptions!$K$4:$K$8,0)</f>
        <v>5</v>
      </c>
      <c r="O1290" s="21" t="n">
        <f aca="false">IF(H1290="Yes",MONTH(I1290),"")</f>
        <v>11</v>
      </c>
      <c r="P1290" s="21" t="str">
        <f aca="false">IF(H1290="Yes",B1290,"")</f>
        <v>S0208</v>
      </c>
    </row>
    <row r="1291" customFormat="false" ht="15" hidden="false" customHeight="false" outlineLevel="0" collapsed="false">
      <c r="A1291" s="21" t="s">
        <v>2506</v>
      </c>
      <c r="B1291" s="21" t="s">
        <v>680</v>
      </c>
      <c r="C1291" s="21" t="s">
        <v>1177</v>
      </c>
      <c r="D1291" s="21" t="s">
        <v>1243</v>
      </c>
      <c r="E1291" s="33" t="n">
        <v>45570</v>
      </c>
      <c r="F1291" s="21" t="s">
        <v>1185</v>
      </c>
      <c r="G1291" s="32" t="n">
        <v>4.4</v>
      </c>
      <c r="H1291" s="21" t="s">
        <v>120</v>
      </c>
      <c r="I1291" s="33" t="n">
        <v>45596</v>
      </c>
      <c r="J1291" s="21" t="str">
        <f aca="false">INDEX(Students!$C$2:$C$601,MATCH(B1291,Students!$A$2:$A$601,0))</f>
        <v>Batch 2025</v>
      </c>
      <c r="K1291" s="21" t="str">
        <f aca="false">INDEX(Students!$D$2:$D$601,MATCH(B1291,Students!$A$2:$A$601,0))</f>
        <v>Data Science &amp; ML</v>
      </c>
      <c r="L1291" s="21" t="str">
        <f aca="false">INDEX(Companies!$C$2:$C$31,MATCH(C1291,Companies!$A$2:$A$31,0))</f>
        <v>IT Services</v>
      </c>
      <c r="M1291" s="21" t="str">
        <f aca="false">INDEX(Companies!$D$2:$D$31,MATCH(C1291,Companies!$A$2:$A$31,0))</f>
        <v>Tier 3</v>
      </c>
      <c r="N1291" s="34" t="n">
        <f aca="false">MATCH(F1291,Assumptions!$K$4:$K$8,0)</f>
        <v>5</v>
      </c>
      <c r="O1291" s="21" t="n">
        <f aca="false">IF(H1291="Yes",MONTH(I1291),"")</f>
        <v>10</v>
      </c>
      <c r="P1291" s="21" t="str">
        <f aca="false">IF(H1291="Yes",B1291,"")</f>
        <v>S0307</v>
      </c>
    </row>
    <row r="1292" customFormat="false" ht="15" hidden="false" customHeight="false" outlineLevel="0" collapsed="false">
      <c r="A1292" s="21" t="s">
        <v>2507</v>
      </c>
      <c r="B1292" s="21" t="s">
        <v>544</v>
      </c>
      <c r="C1292" s="21" t="s">
        <v>1234</v>
      </c>
      <c r="D1292" s="21" t="s">
        <v>1194</v>
      </c>
      <c r="E1292" s="33" t="n">
        <v>45570</v>
      </c>
      <c r="F1292" s="21" t="s">
        <v>1178</v>
      </c>
      <c r="G1292" s="32"/>
      <c r="H1292" s="21"/>
      <c r="I1292" s="33"/>
      <c r="J1292" s="21" t="str">
        <f aca="false">INDEX(Students!$C$2:$C$601,MATCH(B1292,Students!$A$2:$A$601,0))</f>
        <v>Batch 2025</v>
      </c>
      <c r="K1292" s="21" t="str">
        <f aca="false">INDEX(Students!$D$2:$D$601,MATCH(B1292,Students!$A$2:$A$601,0))</f>
        <v>Data Science &amp; ML</v>
      </c>
      <c r="L1292" s="21" t="str">
        <f aca="false">INDEX(Companies!$C$2:$C$31,MATCH(C1292,Companies!$A$2:$A$31,0))</f>
        <v>EdTech</v>
      </c>
      <c r="M1292" s="21" t="str">
        <f aca="false">INDEX(Companies!$D$2:$D$31,MATCH(C1292,Companies!$A$2:$A$31,0))</f>
        <v>Tier 3</v>
      </c>
      <c r="N1292" s="34" t="n">
        <f aca="false">MATCH(F1292,Assumptions!$K$4:$K$8,0)</f>
        <v>2</v>
      </c>
      <c r="O1292" s="21" t="str">
        <f aca="false">IF(H1292="Yes",MONTH(I1292),"")</f>
        <v/>
      </c>
      <c r="P1292" s="21" t="str">
        <f aca="false">IF(H1292="Yes",B1292,"")</f>
        <v/>
      </c>
    </row>
    <row r="1293" customFormat="false" ht="15" hidden="false" customHeight="false" outlineLevel="0" collapsed="false">
      <c r="A1293" s="21" t="s">
        <v>2508</v>
      </c>
      <c r="B1293" s="21" t="s">
        <v>781</v>
      </c>
      <c r="C1293" s="21" t="s">
        <v>1290</v>
      </c>
      <c r="D1293" s="21" t="s">
        <v>1191</v>
      </c>
      <c r="E1293" s="33" t="n">
        <v>45571</v>
      </c>
      <c r="F1293" s="21" t="s">
        <v>1185</v>
      </c>
      <c r="G1293" s="32" t="n">
        <v>13.7</v>
      </c>
      <c r="H1293" s="21" t="s">
        <v>120</v>
      </c>
      <c r="I1293" s="33" t="n">
        <v>45610</v>
      </c>
      <c r="J1293" s="21" t="str">
        <f aca="false">INDEX(Students!$C$2:$C$601,MATCH(B1293,Students!$A$2:$A$601,0))</f>
        <v>Batch 2025</v>
      </c>
      <c r="K1293" s="21" t="str">
        <f aca="false">INDEX(Students!$D$2:$D$601,MATCH(B1293,Students!$A$2:$A$601,0))</f>
        <v>DSA with Java</v>
      </c>
      <c r="L1293" s="21" t="str">
        <f aca="false">INDEX(Companies!$C$2:$C$31,MATCH(C1293,Companies!$A$2:$A$31,0))</f>
        <v>Fintech</v>
      </c>
      <c r="M1293" s="21" t="str">
        <f aca="false">INDEX(Companies!$D$2:$D$31,MATCH(C1293,Companies!$A$2:$A$31,0))</f>
        <v>Tier 2</v>
      </c>
      <c r="N1293" s="34" t="n">
        <f aca="false">MATCH(F1293,Assumptions!$K$4:$K$8,0)</f>
        <v>5</v>
      </c>
      <c r="O1293" s="21" t="n">
        <f aca="false">IF(H1293="Yes",MONTH(I1293),"")</f>
        <v>11</v>
      </c>
      <c r="P1293" s="21" t="str">
        <f aca="false">IF(H1293="Yes",B1293,"")</f>
        <v>S0366</v>
      </c>
    </row>
    <row r="1294" customFormat="false" ht="15" hidden="false" customHeight="false" outlineLevel="0" collapsed="false">
      <c r="A1294" s="21" t="s">
        <v>2509</v>
      </c>
      <c r="B1294" s="21" t="s">
        <v>538</v>
      </c>
      <c r="C1294" s="21" t="s">
        <v>1255</v>
      </c>
      <c r="D1294" s="21" t="s">
        <v>1191</v>
      </c>
      <c r="E1294" s="33" t="n">
        <v>45571</v>
      </c>
      <c r="F1294" s="21" t="s">
        <v>1175</v>
      </c>
      <c r="G1294" s="32"/>
      <c r="H1294" s="21"/>
      <c r="I1294" s="33"/>
      <c r="J1294" s="21" t="str">
        <f aca="false">INDEX(Students!$C$2:$C$601,MATCH(B1294,Students!$A$2:$A$601,0))</f>
        <v>Batch 2025</v>
      </c>
      <c r="K1294" s="21" t="str">
        <f aca="false">INDEX(Students!$D$2:$D$601,MATCH(B1294,Students!$A$2:$A$601,0))</f>
        <v>DSA with Java</v>
      </c>
      <c r="L1294" s="21" t="str">
        <f aca="false">INDEX(Companies!$C$2:$C$31,MATCH(C1294,Companies!$A$2:$A$31,0))</f>
        <v>IT Services</v>
      </c>
      <c r="M1294" s="21" t="str">
        <f aca="false">INDEX(Companies!$D$2:$D$31,MATCH(C1294,Companies!$A$2:$A$31,0))</f>
        <v>Tier 3</v>
      </c>
      <c r="N1294" s="34" t="n">
        <f aca="false">MATCH(F1294,Assumptions!$K$4:$K$8,0)</f>
        <v>1</v>
      </c>
      <c r="O1294" s="21" t="str">
        <f aca="false">IF(H1294="Yes",MONTH(I1294),"")</f>
        <v/>
      </c>
      <c r="P1294" s="21" t="str">
        <f aca="false">IF(H1294="Yes",B1294,"")</f>
        <v/>
      </c>
    </row>
    <row r="1295" customFormat="false" ht="15" hidden="false" customHeight="false" outlineLevel="0" collapsed="false">
      <c r="A1295" s="21" t="s">
        <v>2510</v>
      </c>
      <c r="B1295" s="21" t="s">
        <v>771</v>
      </c>
      <c r="C1295" s="21" t="s">
        <v>1211</v>
      </c>
      <c r="D1295" s="21" t="s">
        <v>1209</v>
      </c>
      <c r="E1295" s="33" t="n">
        <v>45571</v>
      </c>
      <c r="F1295" s="21" t="s">
        <v>1178</v>
      </c>
      <c r="G1295" s="32"/>
      <c r="H1295" s="21"/>
      <c r="I1295" s="33"/>
      <c r="J1295" s="21" t="str">
        <f aca="false">INDEX(Students!$C$2:$C$601,MATCH(B1295,Students!$A$2:$A$601,0))</f>
        <v>Batch 2025</v>
      </c>
      <c r="K1295" s="21" t="str">
        <f aca="false">INDEX(Students!$D$2:$D$601,MATCH(B1295,Students!$A$2:$A$601,0))</f>
        <v>Data Analytics</v>
      </c>
      <c r="L1295" s="21" t="str">
        <f aca="false">INDEX(Companies!$C$2:$C$31,MATCH(C1295,Companies!$A$2:$A$31,0))</f>
        <v>Analytics &amp; Consulting</v>
      </c>
      <c r="M1295" s="21" t="str">
        <f aca="false">INDEX(Companies!$D$2:$D$31,MATCH(C1295,Companies!$A$2:$A$31,0))</f>
        <v>Tier 3</v>
      </c>
      <c r="N1295" s="34" t="n">
        <f aca="false">MATCH(F1295,Assumptions!$K$4:$K$8,0)</f>
        <v>2</v>
      </c>
      <c r="O1295" s="21" t="str">
        <f aca="false">IF(H1295="Yes",MONTH(I1295),"")</f>
        <v/>
      </c>
      <c r="P1295" s="21" t="str">
        <f aca="false">IF(H1295="Yes",B1295,"")</f>
        <v/>
      </c>
    </row>
    <row r="1296" customFormat="false" ht="15" hidden="false" customHeight="false" outlineLevel="0" collapsed="false">
      <c r="A1296" s="21" t="s">
        <v>2511</v>
      </c>
      <c r="B1296" s="21" t="s">
        <v>612</v>
      </c>
      <c r="C1296" s="21" t="s">
        <v>1263</v>
      </c>
      <c r="D1296" s="21" t="s">
        <v>1174</v>
      </c>
      <c r="E1296" s="33" t="n">
        <v>45571</v>
      </c>
      <c r="F1296" s="21" t="s">
        <v>1197</v>
      </c>
      <c r="G1296" s="32"/>
      <c r="H1296" s="21"/>
      <c r="I1296" s="33"/>
      <c r="J1296" s="21" t="str">
        <f aca="false">INDEX(Students!$C$2:$C$601,MATCH(B1296,Students!$A$2:$A$601,0))</f>
        <v>Batch 2025</v>
      </c>
      <c r="K1296" s="21" t="str">
        <f aca="false">INDEX(Students!$D$2:$D$601,MATCH(B1296,Students!$A$2:$A$601,0))</f>
        <v>Full Stack Development</v>
      </c>
      <c r="L1296" s="21" t="str">
        <f aca="false">INDEX(Companies!$C$2:$C$31,MATCH(C1296,Companies!$A$2:$A$31,0))</f>
        <v>Analytics &amp; Consulting</v>
      </c>
      <c r="M1296" s="21" t="str">
        <f aca="false">INDEX(Companies!$D$2:$D$31,MATCH(C1296,Companies!$A$2:$A$31,0))</f>
        <v>Tier 2</v>
      </c>
      <c r="N1296" s="34" t="n">
        <f aca="false">MATCH(F1296,Assumptions!$K$4:$K$8,0)</f>
        <v>3</v>
      </c>
      <c r="O1296" s="21" t="str">
        <f aca="false">IF(H1296="Yes",MONTH(I1296),"")</f>
        <v/>
      </c>
      <c r="P1296" s="21" t="str">
        <f aca="false">IF(H1296="Yes",B1296,"")</f>
        <v/>
      </c>
    </row>
    <row r="1297" customFormat="false" ht="15" hidden="false" customHeight="false" outlineLevel="0" collapsed="false">
      <c r="A1297" s="21" t="s">
        <v>2512</v>
      </c>
      <c r="B1297" s="21" t="s">
        <v>524</v>
      </c>
      <c r="C1297" s="21" t="s">
        <v>1309</v>
      </c>
      <c r="D1297" s="21" t="s">
        <v>1194</v>
      </c>
      <c r="E1297" s="33" t="n">
        <v>45571</v>
      </c>
      <c r="F1297" s="21" t="s">
        <v>1197</v>
      </c>
      <c r="G1297" s="32"/>
      <c r="H1297" s="21"/>
      <c r="I1297" s="33"/>
      <c r="J1297" s="21" t="str">
        <f aca="false">INDEX(Students!$C$2:$C$601,MATCH(B1297,Students!$A$2:$A$601,0))</f>
        <v>Batch 2025</v>
      </c>
      <c r="K1297" s="21" t="str">
        <f aca="false">INDEX(Students!$D$2:$D$601,MATCH(B1297,Students!$A$2:$A$601,0))</f>
        <v>Data Science &amp; ML</v>
      </c>
      <c r="L1297" s="21" t="str">
        <f aca="false">INDEX(Companies!$C$2:$C$31,MATCH(C1297,Companies!$A$2:$A$31,0))</f>
        <v>EdTech</v>
      </c>
      <c r="M1297" s="21" t="str">
        <f aca="false">INDEX(Companies!$D$2:$D$31,MATCH(C1297,Companies!$A$2:$A$31,0))</f>
        <v>Tier 2</v>
      </c>
      <c r="N1297" s="34" t="n">
        <f aca="false">MATCH(F1297,Assumptions!$K$4:$K$8,0)</f>
        <v>3</v>
      </c>
      <c r="O1297" s="21" t="str">
        <f aca="false">IF(H1297="Yes",MONTH(I1297),"")</f>
        <v/>
      </c>
      <c r="P1297" s="21" t="str">
        <f aca="false">IF(H1297="Yes",B1297,"")</f>
        <v/>
      </c>
    </row>
    <row r="1298" customFormat="false" ht="15" hidden="false" customHeight="false" outlineLevel="0" collapsed="false">
      <c r="A1298" s="21" t="s">
        <v>2513</v>
      </c>
      <c r="B1298" s="21" t="s">
        <v>533</v>
      </c>
      <c r="C1298" s="21" t="s">
        <v>1193</v>
      </c>
      <c r="D1298" s="21" t="s">
        <v>1191</v>
      </c>
      <c r="E1298" s="33" t="n">
        <v>45571</v>
      </c>
      <c r="F1298" s="21" t="s">
        <v>1175</v>
      </c>
      <c r="G1298" s="32"/>
      <c r="H1298" s="21"/>
      <c r="I1298" s="33"/>
      <c r="J1298" s="21" t="str">
        <f aca="false">INDEX(Students!$C$2:$C$601,MATCH(B1298,Students!$A$2:$A$601,0))</f>
        <v>Batch 2025</v>
      </c>
      <c r="K1298" s="21" t="str">
        <f aca="false">INDEX(Students!$D$2:$D$601,MATCH(B1298,Students!$A$2:$A$601,0))</f>
        <v>DSA with Java</v>
      </c>
      <c r="L1298" s="21" t="str">
        <f aca="false">INDEX(Companies!$C$2:$C$31,MATCH(C1298,Companies!$A$2:$A$31,0))</f>
        <v>Analytics &amp; Consulting</v>
      </c>
      <c r="M1298" s="21" t="str">
        <f aca="false">INDEX(Companies!$D$2:$D$31,MATCH(C1298,Companies!$A$2:$A$31,0))</f>
        <v>Tier 2</v>
      </c>
      <c r="N1298" s="34" t="n">
        <f aca="false">MATCH(F1298,Assumptions!$K$4:$K$8,0)</f>
        <v>1</v>
      </c>
      <c r="O1298" s="21" t="str">
        <f aca="false">IF(H1298="Yes",MONTH(I1298),"")</f>
        <v/>
      </c>
      <c r="P1298" s="21" t="str">
        <f aca="false">IF(H1298="Yes",B1298,"")</f>
        <v/>
      </c>
    </row>
    <row r="1299" customFormat="false" ht="15" hidden="false" customHeight="false" outlineLevel="0" collapsed="false">
      <c r="A1299" s="21" t="s">
        <v>2514</v>
      </c>
      <c r="B1299" s="21" t="s">
        <v>703</v>
      </c>
      <c r="C1299" s="21" t="s">
        <v>1211</v>
      </c>
      <c r="D1299" s="21" t="s">
        <v>1194</v>
      </c>
      <c r="E1299" s="33" t="n">
        <v>45572</v>
      </c>
      <c r="F1299" s="21" t="s">
        <v>1185</v>
      </c>
      <c r="G1299" s="32" t="n">
        <v>6.5</v>
      </c>
      <c r="H1299" s="21" t="s">
        <v>120</v>
      </c>
      <c r="I1299" s="33" t="n">
        <v>45621</v>
      </c>
      <c r="J1299" s="21" t="str">
        <f aca="false">INDEX(Students!$C$2:$C$601,MATCH(B1299,Students!$A$2:$A$601,0))</f>
        <v>Batch 2025</v>
      </c>
      <c r="K1299" s="21" t="str">
        <f aca="false">INDEX(Students!$D$2:$D$601,MATCH(B1299,Students!$A$2:$A$601,0))</f>
        <v>Data Science &amp; ML</v>
      </c>
      <c r="L1299" s="21" t="str">
        <f aca="false">INDEX(Companies!$C$2:$C$31,MATCH(C1299,Companies!$A$2:$A$31,0))</f>
        <v>Analytics &amp; Consulting</v>
      </c>
      <c r="M1299" s="21" t="str">
        <f aca="false">INDEX(Companies!$D$2:$D$31,MATCH(C1299,Companies!$A$2:$A$31,0))</f>
        <v>Tier 3</v>
      </c>
      <c r="N1299" s="34" t="n">
        <f aca="false">MATCH(F1299,Assumptions!$K$4:$K$8,0)</f>
        <v>5</v>
      </c>
      <c r="O1299" s="21" t="n">
        <f aca="false">IF(H1299="Yes",MONTH(I1299),"")</f>
        <v>11</v>
      </c>
      <c r="P1299" s="21" t="str">
        <f aca="false">IF(H1299="Yes",B1299,"")</f>
        <v>S0321</v>
      </c>
    </row>
    <row r="1300" customFormat="false" ht="15" hidden="false" customHeight="false" outlineLevel="0" collapsed="false">
      <c r="A1300" s="21" t="s">
        <v>2515</v>
      </c>
      <c r="B1300" s="21" t="s">
        <v>781</v>
      </c>
      <c r="C1300" s="21" t="s">
        <v>1201</v>
      </c>
      <c r="D1300" s="21" t="s">
        <v>1191</v>
      </c>
      <c r="E1300" s="33" t="n">
        <v>45572</v>
      </c>
      <c r="F1300" s="21" t="s">
        <v>1185</v>
      </c>
      <c r="G1300" s="32" t="n">
        <v>7.2</v>
      </c>
      <c r="H1300" s="21" t="s">
        <v>113</v>
      </c>
      <c r="I1300" s="33" t="n">
        <v>45593</v>
      </c>
      <c r="J1300" s="21" t="str">
        <f aca="false">INDEX(Students!$C$2:$C$601,MATCH(B1300,Students!$A$2:$A$601,0))</f>
        <v>Batch 2025</v>
      </c>
      <c r="K1300" s="21" t="str">
        <f aca="false">INDEX(Students!$D$2:$D$601,MATCH(B1300,Students!$A$2:$A$601,0))</f>
        <v>DSA with Java</v>
      </c>
      <c r="L1300" s="21" t="str">
        <f aca="false">INDEX(Companies!$C$2:$C$31,MATCH(C1300,Companies!$A$2:$A$31,0))</f>
        <v>IT Services</v>
      </c>
      <c r="M1300" s="21" t="str">
        <f aca="false">INDEX(Companies!$D$2:$D$31,MATCH(C1300,Companies!$A$2:$A$31,0))</f>
        <v>Tier 3</v>
      </c>
      <c r="N1300" s="34" t="n">
        <f aca="false">MATCH(F1300,Assumptions!$K$4:$K$8,0)</f>
        <v>5</v>
      </c>
      <c r="O1300" s="21" t="str">
        <f aca="false">IF(H1300="Yes",MONTH(I1300),"")</f>
        <v/>
      </c>
      <c r="P1300" s="21" t="str">
        <f aca="false">IF(H1300="Yes",B1300,"")</f>
        <v/>
      </c>
    </row>
    <row r="1301" customFormat="false" ht="15" hidden="false" customHeight="false" outlineLevel="0" collapsed="false">
      <c r="A1301" s="21" t="s">
        <v>2516</v>
      </c>
      <c r="B1301" s="21" t="s">
        <v>582</v>
      </c>
      <c r="C1301" s="21" t="s">
        <v>1239</v>
      </c>
      <c r="D1301" s="21" t="s">
        <v>1194</v>
      </c>
      <c r="E1301" s="33" t="n">
        <v>45572</v>
      </c>
      <c r="F1301" s="21" t="s">
        <v>1175</v>
      </c>
      <c r="G1301" s="32"/>
      <c r="H1301" s="21"/>
      <c r="I1301" s="33"/>
      <c r="J1301" s="21" t="str">
        <f aca="false">INDEX(Students!$C$2:$C$601,MATCH(B1301,Students!$A$2:$A$601,0))</f>
        <v>Batch 2025</v>
      </c>
      <c r="K1301" s="21" t="str">
        <f aca="false">INDEX(Students!$D$2:$D$601,MATCH(B1301,Students!$A$2:$A$601,0))</f>
        <v>Data Science &amp; ML</v>
      </c>
      <c r="L1301" s="21" t="str">
        <f aca="false">INDEX(Companies!$C$2:$C$31,MATCH(C1301,Companies!$A$2:$A$31,0))</f>
        <v>E-commerce</v>
      </c>
      <c r="M1301" s="21" t="str">
        <f aca="false">INDEX(Companies!$D$2:$D$31,MATCH(C1301,Companies!$A$2:$A$31,0))</f>
        <v>Tier 3</v>
      </c>
      <c r="N1301" s="34" t="n">
        <f aca="false">MATCH(F1301,Assumptions!$K$4:$K$8,0)</f>
        <v>1</v>
      </c>
      <c r="O1301" s="21" t="str">
        <f aca="false">IF(H1301="Yes",MONTH(I1301),"")</f>
        <v/>
      </c>
      <c r="P1301" s="21" t="str">
        <f aca="false">IF(H1301="Yes",B1301,"")</f>
        <v/>
      </c>
    </row>
    <row r="1302" customFormat="false" ht="15" hidden="false" customHeight="false" outlineLevel="0" collapsed="false">
      <c r="A1302" s="21" t="s">
        <v>2517</v>
      </c>
      <c r="B1302" s="21" t="s">
        <v>526</v>
      </c>
      <c r="C1302" s="21" t="s">
        <v>1255</v>
      </c>
      <c r="D1302" s="21" t="s">
        <v>1191</v>
      </c>
      <c r="E1302" s="33" t="n">
        <v>45572</v>
      </c>
      <c r="F1302" s="21" t="s">
        <v>1175</v>
      </c>
      <c r="G1302" s="32"/>
      <c r="H1302" s="21"/>
      <c r="I1302" s="33"/>
      <c r="J1302" s="21" t="str">
        <f aca="false">INDEX(Students!$C$2:$C$601,MATCH(B1302,Students!$A$2:$A$601,0))</f>
        <v>Batch 2025</v>
      </c>
      <c r="K1302" s="21" t="str">
        <f aca="false">INDEX(Students!$D$2:$D$601,MATCH(B1302,Students!$A$2:$A$601,0))</f>
        <v>DSA with Java</v>
      </c>
      <c r="L1302" s="21" t="str">
        <f aca="false">INDEX(Companies!$C$2:$C$31,MATCH(C1302,Companies!$A$2:$A$31,0))</f>
        <v>IT Services</v>
      </c>
      <c r="M1302" s="21" t="str">
        <f aca="false">INDEX(Companies!$D$2:$D$31,MATCH(C1302,Companies!$A$2:$A$31,0))</f>
        <v>Tier 3</v>
      </c>
      <c r="N1302" s="34" t="n">
        <f aca="false">MATCH(F1302,Assumptions!$K$4:$K$8,0)</f>
        <v>1</v>
      </c>
      <c r="O1302" s="21" t="str">
        <f aca="false">IF(H1302="Yes",MONTH(I1302),"")</f>
        <v/>
      </c>
      <c r="P1302" s="21" t="str">
        <f aca="false">IF(H1302="Yes",B1302,"")</f>
        <v/>
      </c>
    </row>
    <row r="1303" customFormat="false" ht="15" hidden="false" customHeight="false" outlineLevel="0" collapsed="false">
      <c r="A1303" s="21" t="s">
        <v>2518</v>
      </c>
      <c r="B1303" s="21" t="s">
        <v>554</v>
      </c>
      <c r="C1303" s="21" t="s">
        <v>1177</v>
      </c>
      <c r="D1303" s="21" t="s">
        <v>1191</v>
      </c>
      <c r="E1303" s="33" t="n">
        <v>45572</v>
      </c>
      <c r="F1303" s="21" t="s">
        <v>1178</v>
      </c>
      <c r="G1303" s="32"/>
      <c r="H1303" s="21"/>
      <c r="I1303" s="33"/>
      <c r="J1303" s="21" t="str">
        <f aca="false">INDEX(Students!$C$2:$C$601,MATCH(B1303,Students!$A$2:$A$601,0))</f>
        <v>Batch 2025</v>
      </c>
      <c r="K1303" s="21" t="str">
        <f aca="false">INDEX(Students!$D$2:$D$601,MATCH(B1303,Students!$A$2:$A$601,0))</f>
        <v>DSA with Java</v>
      </c>
      <c r="L1303" s="21" t="str">
        <f aca="false">INDEX(Companies!$C$2:$C$31,MATCH(C1303,Companies!$A$2:$A$31,0))</f>
        <v>IT Services</v>
      </c>
      <c r="M1303" s="21" t="str">
        <f aca="false">INDEX(Companies!$D$2:$D$31,MATCH(C1303,Companies!$A$2:$A$31,0))</f>
        <v>Tier 3</v>
      </c>
      <c r="N1303" s="34" t="n">
        <f aca="false">MATCH(F1303,Assumptions!$K$4:$K$8,0)</f>
        <v>2</v>
      </c>
      <c r="O1303" s="21" t="str">
        <f aca="false">IF(H1303="Yes",MONTH(I1303),"")</f>
        <v/>
      </c>
      <c r="P1303" s="21" t="str">
        <f aca="false">IF(H1303="Yes",B1303,"")</f>
        <v/>
      </c>
    </row>
    <row r="1304" customFormat="false" ht="15" hidden="false" customHeight="false" outlineLevel="0" collapsed="false">
      <c r="A1304" s="21" t="s">
        <v>2519</v>
      </c>
      <c r="B1304" s="21" t="s">
        <v>524</v>
      </c>
      <c r="C1304" s="21" t="s">
        <v>1255</v>
      </c>
      <c r="D1304" s="21" t="s">
        <v>1243</v>
      </c>
      <c r="E1304" s="33" t="n">
        <v>45573</v>
      </c>
      <c r="F1304" s="21" t="s">
        <v>1178</v>
      </c>
      <c r="G1304" s="32"/>
      <c r="H1304" s="21"/>
      <c r="I1304" s="33"/>
      <c r="J1304" s="21" t="str">
        <f aca="false">INDEX(Students!$C$2:$C$601,MATCH(B1304,Students!$A$2:$A$601,0))</f>
        <v>Batch 2025</v>
      </c>
      <c r="K1304" s="21" t="str">
        <f aca="false">INDEX(Students!$D$2:$D$601,MATCH(B1304,Students!$A$2:$A$601,0))</f>
        <v>Data Science &amp; ML</v>
      </c>
      <c r="L1304" s="21" t="str">
        <f aca="false">INDEX(Companies!$C$2:$C$31,MATCH(C1304,Companies!$A$2:$A$31,0))</f>
        <v>IT Services</v>
      </c>
      <c r="M1304" s="21" t="str">
        <f aca="false">INDEX(Companies!$D$2:$D$31,MATCH(C1304,Companies!$A$2:$A$31,0))</f>
        <v>Tier 3</v>
      </c>
      <c r="N1304" s="34" t="n">
        <f aca="false">MATCH(F1304,Assumptions!$K$4:$K$8,0)</f>
        <v>2</v>
      </c>
      <c r="O1304" s="21" t="str">
        <f aca="false">IF(H1304="Yes",MONTH(I1304),"")</f>
        <v/>
      </c>
      <c r="P1304" s="21" t="str">
        <f aca="false">IF(H1304="Yes",B1304,"")</f>
        <v/>
      </c>
    </row>
    <row r="1305" customFormat="false" ht="15" hidden="false" customHeight="false" outlineLevel="0" collapsed="false">
      <c r="A1305" s="21" t="s">
        <v>2520</v>
      </c>
      <c r="B1305" s="21" t="s">
        <v>463</v>
      </c>
      <c r="C1305" s="21" t="s">
        <v>1193</v>
      </c>
      <c r="D1305" s="21" t="s">
        <v>1240</v>
      </c>
      <c r="E1305" s="33" t="n">
        <v>45573</v>
      </c>
      <c r="F1305" s="21" t="s">
        <v>1185</v>
      </c>
      <c r="G1305" s="32" t="n">
        <v>14.2</v>
      </c>
      <c r="H1305" s="21" t="s">
        <v>120</v>
      </c>
      <c r="I1305" s="33" t="n">
        <v>45599</v>
      </c>
      <c r="J1305" s="21" t="str">
        <f aca="false">INDEX(Students!$C$2:$C$601,MATCH(B1305,Students!$A$2:$A$601,0))</f>
        <v>Batch 2025</v>
      </c>
      <c r="K1305" s="21" t="str">
        <f aca="false">INDEX(Students!$D$2:$D$601,MATCH(B1305,Students!$A$2:$A$601,0))</f>
        <v>Cybersecurity</v>
      </c>
      <c r="L1305" s="21" t="str">
        <f aca="false">INDEX(Companies!$C$2:$C$31,MATCH(C1305,Companies!$A$2:$A$31,0))</f>
        <v>Analytics &amp; Consulting</v>
      </c>
      <c r="M1305" s="21" t="str">
        <f aca="false">INDEX(Companies!$D$2:$D$31,MATCH(C1305,Companies!$A$2:$A$31,0))</f>
        <v>Tier 2</v>
      </c>
      <c r="N1305" s="34" t="n">
        <f aca="false">MATCH(F1305,Assumptions!$K$4:$K$8,0)</f>
        <v>5</v>
      </c>
      <c r="O1305" s="21" t="n">
        <f aca="false">IF(H1305="Yes",MONTH(I1305),"")</f>
        <v>11</v>
      </c>
      <c r="P1305" s="21" t="str">
        <f aca="false">IF(H1305="Yes",B1305,"")</f>
        <v>S0185</v>
      </c>
    </row>
    <row r="1306" customFormat="false" ht="15" hidden="false" customHeight="false" outlineLevel="0" collapsed="false">
      <c r="A1306" s="21" t="s">
        <v>2521</v>
      </c>
      <c r="B1306" s="21" t="s">
        <v>729</v>
      </c>
      <c r="C1306" s="21" t="s">
        <v>1266</v>
      </c>
      <c r="D1306" s="21" t="s">
        <v>1240</v>
      </c>
      <c r="E1306" s="33" t="n">
        <v>45573</v>
      </c>
      <c r="F1306" s="21" t="s">
        <v>1197</v>
      </c>
      <c r="G1306" s="32"/>
      <c r="H1306" s="21"/>
      <c r="I1306" s="33"/>
      <c r="J1306" s="21" t="str">
        <f aca="false">INDEX(Students!$C$2:$C$601,MATCH(B1306,Students!$A$2:$A$601,0))</f>
        <v>Batch 2025</v>
      </c>
      <c r="K1306" s="21" t="str">
        <f aca="false">INDEX(Students!$D$2:$D$601,MATCH(B1306,Students!$A$2:$A$601,0))</f>
        <v>Cybersecurity</v>
      </c>
      <c r="L1306" s="21" t="str">
        <f aca="false">INDEX(Companies!$C$2:$C$31,MATCH(C1306,Companies!$A$2:$A$31,0))</f>
        <v>IT Services</v>
      </c>
      <c r="M1306" s="21" t="str">
        <f aca="false">INDEX(Companies!$D$2:$D$31,MATCH(C1306,Companies!$A$2:$A$31,0))</f>
        <v>Tier 3</v>
      </c>
      <c r="N1306" s="34" t="n">
        <f aca="false">MATCH(F1306,Assumptions!$K$4:$K$8,0)</f>
        <v>3</v>
      </c>
      <c r="O1306" s="21" t="str">
        <f aca="false">IF(H1306="Yes",MONTH(I1306),"")</f>
        <v/>
      </c>
      <c r="P1306" s="21" t="str">
        <f aca="false">IF(H1306="Yes",B1306,"")</f>
        <v/>
      </c>
    </row>
    <row r="1307" customFormat="false" ht="15" hidden="false" customHeight="false" outlineLevel="0" collapsed="false">
      <c r="A1307" s="21" t="s">
        <v>2522</v>
      </c>
      <c r="B1307" s="21" t="s">
        <v>561</v>
      </c>
      <c r="C1307" s="21" t="s">
        <v>1266</v>
      </c>
      <c r="D1307" s="21" t="s">
        <v>1181</v>
      </c>
      <c r="E1307" s="33" t="n">
        <v>45574</v>
      </c>
      <c r="F1307" s="21" t="s">
        <v>1175</v>
      </c>
      <c r="G1307" s="32"/>
      <c r="H1307" s="21"/>
      <c r="I1307" s="33"/>
      <c r="J1307" s="21" t="str">
        <f aca="false">INDEX(Students!$C$2:$C$601,MATCH(B1307,Students!$A$2:$A$601,0))</f>
        <v>Batch 2025</v>
      </c>
      <c r="K1307" s="21" t="str">
        <f aca="false">INDEX(Students!$D$2:$D$601,MATCH(B1307,Students!$A$2:$A$601,0))</f>
        <v>Full Stack Development</v>
      </c>
      <c r="L1307" s="21" t="str">
        <f aca="false">INDEX(Companies!$C$2:$C$31,MATCH(C1307,Companies!$A$2:$A$31,0))</f>
        <v>IT Services</v>
      </c>
      <c r="M1307" s="21" t="str">
        <f aca="false">INDEX(Companies!$D$2:$D$31,MATCH(C1307,Companies!$A$2:$A$31,0))</f>
        <v>Tier 3</v>
      </c>
      <c r="N1307" s="34" t="n">
        <f aca="false">MATCH(F1307,Assumptions!$K$4:$K$8,0)</f>
        <v>1</v>
      </c>
      <c r="O1307" s="21" t="str">
        <f aca="false">IF(H1307="Yes",MONTH(I1307),"")</f>
        <v/>
      </c>
      <c r="P1307" s="21" t="str">
        <f aca="false">IF(H1307="Yes",B1307,"")</f>
        <v/>
      </c>
    </row>
    <row r="1308" customFormat="false" ht="15" hidden="false" customHeight="false" outlineLevel="0" collapsed="false">
      <c r="A1308" s="21" t="s">
        <v>2523</v>
      </c>
      <c r="B1308" s="21" t="s">
        <v>549</v>
      </c>
      <c r="C1308" s="21" t="s">
        <v>1173</v>
      </c>
      <c r="D1308" s="21" t="s">
        <v>1188</v>
      </c>
      <c r="E1308" s="33" t="n">
        <v>45574</v>
      </c>
      <c r="F1308" s="21" t="s">
        <v>1175</v>
      </c>
      <c r="G1308" s="32"/>
      <c r="H1308" s="21"/>
      <c r="I1308" s="33"/>
      <c r="J1308" s="21" t="str">
        <f aca="false">INDEX(Students!$C$2:$C$601,MATCH(B1308,Students!$A$2:$A$601,0))</f>
        <v>Batch 2025</v>
      </c>
      <c r="K1308" s="21" t="str">
        <f aca="false">INDEX(Students!$D$2:$D$601,MATCH(B1308,Students!$A$2:$A$601,0))</f>
        <v>Data Analytics</v>
      </c>
      <c r="L1308" s="21" t="str">
        <f aca="false">INDEX(Companies!$C$2:$C$31,MATCH(C1308,Companies!$A$2:$A$31,0))</f>
        <v>Cybersecurity</v>
      </c>
      <c r="M1308" s="21" t="str">
        <f aca="false">INDEX(Companies!$D$2:$D$31,MATCH(C1308,Companies!$A$2:$A$31,0))</f>
        <v>Tier 1</v>
      </c>
      <c r="N1308" s="34" t="n">
        <f aca="false">MATCH(F1308,Assumptions!$K$4:$K$8,0)</f>
        <v>1</v>
      </c>
      <c r="O1308" s="21" t="str">
        <f aca="false">IF(H1308="Yes",MONTH(I1308),"")</f>
        <v/>
      </c>
      <c r="P1308" s="21" t="str">
        <f aca="false">IF(H1308="Yes",B1308,"")</f>
        <v/>
      </c>
    </row>
    <row r="1309" customFormat="false" ht="15" hidden="false" customHeight="false" outlineLevel="0" collapsed="false">
      <c r="A1309" s="21" t="s">
        <v>2524</v>
      </c>
      <c r="B1309" s="21" t="s">
        <v>573</v>
      </c>
      <c r="C1309" s="21" t="s">
        <v>1211</v>
      </c>
      <c r="D1309" s="21" t="s">
        <v>1243</v>
      </c>
      <c r="E1309" s="33" t="n">
        <v>45574</v>
      </c>
      <c r="F1309" s="21" t="s">
        <v>1185</v>
      </c>
      <c r="G1309" s="32" t="n">
        <v>6.9</v>
      </c>
      <c r="H1309" s="21" t="s">
        <v>120</v>
      </c>
      <c r="I1309" s="33" t="n">
        <v>45622</v>
      </c>
      <c r="J1309" s="21" t="str">
        <f aca="false">INDEX(Students!$C$2:$C$601,MATCH(B1309,Students!$A$2:$A$601,0))</f>
        <v>Batch 2025</v>
      </c>
      <c r="K1309" s="21" t="str">
        <f aca="false">INDEX(Students!$D$2:$D$601,MATCH(B1309,Students!$A$2:$A$601,0))</f>
        <v>Data Science &amp; ML</v>
      </c>
      <c r="L1309" s="21" t="str">
        <f aca="false">INDEX(Companies!$C$2:$C$31,MATCH(C1309,Companies!$A$2:$A$31,0))</f>
        <v>Analytics &amp; Consulting</v>
      </c>
      <c r="M1309" s="21" t="str">
        <f aca="false">INDEX(Companies!$D$2:$D$31,MATCH(C1309,Companies!$A$2:$A$31,0))</f>
        <v>Tier 3</v>
      </c>
      <c r="N1309" s="34" t="n">
        <f aca="false">MATCH(F1309,Assumptions!$K$4:$K$8,0)</f>
        <v>5</v>
      </c>
      <c r="O1309" s="21" t="n">
        <f aca="false">IF(H1309="Yes",MONTH(I1309),"")</f>
        <v>11</v>
      </c>
      <c r="P1309" s="21" t="str">
        <f aca="false">IF(H1309="Yes",B1309,"")</f>
        <v>S0246</v>
      </c>
    </row>
    <row r="1310" customFormat="false" ht="15" hidden="false" customHeight="false" outlineLevel="0" collapsed="false">
      <c r="A1310" s="21" t="s">
        <v>2525</v>
      </c>
      <c r="B1310" s="21" t="s">
        <v>544</v>
      </c>
      <c r="C1310" s="21" t="s">
        <v>1208</v>
      </c>
      <c r="D1310" s="21" t="s">
        <v>1243</v>
      </c>
      <c r="E1310" s="33" t="n">
        <v>45574</v>
      </c>
      <c r="F1310" s="21" t="s">
        <v>1175</v>
      </c>
      <c r="G1310" s="32"/>
      <c r="H1310" s="21"/>
      <c r="I1310" s="33"/>
      <c r="J1310" s="21" t="str">
        <f aca="false">INDEX(Students!$C$2:$C$601,MATCH(B1310,Students!$A$2:$A$601,0))</f>
        <v>Batch 2025</v>
      </c>
      <c r="K1310" s="21" t="str">
        <f aca="false">INDEX(Students!$D$2:$D$601,MATCH(B1310,Students!$A$2:$A$601,0))</f>
        <v>Data Science &amp; ML</v>
      </c>
      <c r="L1310" s="21" t="str">
        <f aca="false">INDEX(Companies!$C$2:$C$31,MATCH(C1310,Companies!$A$2:$A$31,0))</f>
        <v>E-commerce</v>
      </c>
      <c r="M1310" s="21" t="str">
        <f aca="false">INDEX(Companies!$D$2:$D$31,MATCH(C1310,Companies!$A$2:$A$31,0))</f>
        <v>Tier 1</v>
      </c>
      <c r="N1310" s="34" t="n">
        <f aca="false">MATCH(F1310,Assumptions!$K$4:$K$8,0)</f>
        <v>1</v>
      </c>
      <c r="O1310" s="21" t="str">
        <f aca="false">IF(H1310="Yes",MONTH(I1310),"")</f>
        <v/>
      </c>
      <c r="P1310" s="21" t="str">
        <f aca="false">IF(H1310="Yes",B1310,"")</f>
        <v/>
      </c>
    </row>
    <row r="1311" customFormat="false" ht="15" hidden="false" customHeight="false" outlineLevel="0" collapsed="false">
      <c r="A1311" s="21" t="s">
        <v>2526</v>
      </c>
      <c r="B1311" s="21" t="s">
        <v>605</v>
      </c>
      <c r="C1311" s="21" t="s">
        <v>1177</v>
      </c>
      <c r="D1311" s="21" t="s">
        <v>1240</v>
      </c>
      <c r="E1311" s="33" t="n">
        <v>45574</v>
      </c>
      <c r="F1311" s="21" t="s">
        <v>1197</v>
      </c>
      <c r="G1311" s="32"/>
      <c r="H1311" s="21"/>
      <c r="I1311" s="33"/>
      <c r="J1311" s="21" t="str">
        <f aca="false">INDEX(Students!$C$2:$C$601,MATCH(B1311,Students!$A$2:$A$601,0))</f>
        <v>Batch 2025</v>
      </c>
      <c r="K1311" s="21" t="str">
        <f aca="false">INDEX(Students!$D$2:$D$601,MATCH(B1311,Students!$A$2:$A$601,0))</f>
        <v>Cybersecurity</v>
      </c>
      <c r="L1311" s="21" t="str">
        <f aca="false">INDEX(Companies!$C$2:$C$31,MATCH(C1311,Companies!$A$2:$A$31,0))</f>
        <v>IT Services</v>
      </c>
      <c r="M1311" s="21" t="str">
        <f aca="false">INDEX(Companies!$D$2:$D$31,MATCH(C1311,Companies!$A$2:$A$31,0))</f>
        <v>Tier 3</v>
      </c>
      <c r="N1311" s="34" t="n">
        <f aca="false">MATCH(F1311,Assumptions!$K$4:$K$8,0)</f>
        <v>3</v>
      </c>
      <c r="O1311" s="21" t="str">
        <f aca="false">IF(H1311="Yes",MONTH(I1311),"")</f>
        <v/>
      </c>
      <c r="P1311" s="21" t="str">
        <f aca="false">IF(H1311="Yes",B1311,"")</f>
        <v/>
      </c>
    </row>
    <row r="1312" customFormat="false" ht="15" hidden="false" customHeight="false" outlineLevel="0" collapsed="false">
      <c r="A1312" s="21" t="s">
        <v>2527</v>
      </c>
      <c r="B1312" s="21" t="s">
        <v>718</v>
      </c>
      <c r="C1312" s="21" t="s">
        <v>1298</v>
      </c>
      <c r="D1312" s="21" t="s">
        <v>1184</v>
      </c>
      <c r="E1312" s="33" t="n">
        <v>45575</v>
      </c>
      <c r="F1312" s="21" t="s">
        <v>1185</v>
      </c>
      <c r="G1312" s="32" t="n">
        <v>13.9</v>
      </c>
      <c r="H1312" s="21" t="s">
        <v>120</v>
      </c>
      <c r="I1312" s="33" t="n">
        <v>45600</v>
      </c>
      <c r="J1312" s="21" t="str">
        <f aca="false">INDEX(Students!$C$2:$C$601,MATCH(B1312,Students!$A$2:$A$601,0))</f>
        <v>Batch 2025</v>
      </c>
      <c r="K1312" s="21" t="str">
        <f aca="false">INDEX(Students!$D$2:$D$601,MATCH(B1312,Students!$A$2:$A$601,0))</f>
        <v>DSA with Java</v>
      </c>
      <c r="L1312" s="21" t="str">
        <f aca="false">INDEX(Companies!$C$2:$C$31,MATCH(C1312,Companies!$A$2:$A$31,0))</f>
        <v>Fintech</v>
      </c>
      <c r="M1312" s="21" t="str">
        <f aca="false">INDEX(Companies!$D$2:$D$31,MATCH(C1312,Companies!$A$2:$A$31,0))</f>
        <v>Tier 2</v>
      </c>
      <c r="N1312" s="34" t="n">
        <f aca="false">MATCH(F1312,Assumptions!$K$4:$K$8,0)</f>
        <v>5</v>
      </c>
      <c r="O1312" s="21" t="n">
        <f aca="false">IF(H1312="Yes",MONTH(I1312),"")</f>
        <v>11</v>
      </c>
      <c r="P1312" s="21" t="str">
        <f aca="false">IF(H1312="Yes",B1312,"")</f>
        <v>S0329</v>
      </c>
    </row>
    <row r="1313" customFormat="false" ht="15" hidden="false" customHeight="false" outlineLevel="0" collapsed="false">
      <c r="A1313" s="21" t="s">
        <v>2528</v>
      </c>
      <c r="B1313" s="21" t="s">
        <v>769</v>
      </c>
      <c r="C1313" s="21" t="s">
        <v>1193</v>
      </c>
      <c r="D1313" s="21" t="s">
        <v>1209</v>
      </c>
      <c r="E1313" s="33" t="n">
        <v>45575</v>
      </c>
      <c r="F1313" s="21" t="s">
        <v>1178</v>
      </c>
      <c r="G1313" s="32"/>
      <c r="H1313" s="21"/>
      <c r="I1313" s="33"/>
      <c r="J1313" s="21" t="str">
        <f aca="false">INDEX(Students!$C$2:$C$601,MATCH(B1313,Students!$A$2:$A$601,0))</f>
        <v>Batch 2025</v>
      </c>
      <c r="K1313" s="21" t="str">
        <f aca="false">INDEX(Students!$D$2:$D$601,MATCH(B1313,Students!$A$2:$A$601,0))</f>
        <v>Data Analytics</v>
      </c>
      <c r="L1313" s="21" t="str">
        <f aca="false">INDEX(Companies!$C$2:$C$31,MATCH(C1313,Companies!$A$2:$A$31,0))</f>
        <v>Analytics &amp; Consulting</v>
      </c>
      <c r="M1313" s="21" t="str">
        <f aca="false">INDEX(Companies!$D$2:$D$31,MATCH(C1313,Companies!$A$2:$A$31,0))</f>
        <v>Tier 2</v>
      </c>
      <c r="N1313" s="34" t="n">
        <f aca="false">MATCH(F1313,Assumptions!$K$4:$K$8,0)</f>
        <v>2</v>
      </c>
      <c r="O1313" s="21" t="str">
        <f aca="false">IF(H1313="Yes",MONTH(I1313),"")</f>
        <v/>
      </c>
      <c r="P1313" s="21" t="str">
        <f aca="false">IF(H1313="Yes",B1313,"")</f>
        <v/>
      </c>
    </row>
    <row r="1314" customFormat="false" ht="15" hidden="false" customHeight="false" outlineLevel="0" collapsed="false">
      <c r="A1314" s="21" t="s">
        <v>2529</v>
      </c>
      <c r="B1314" s="21" t="s">
        <v>484</v>
      </c>
      <c r="C1314" s="21" t="s">
        <v>1266</v>
      </c>
      <c r="D1314" s="21" t="s">
        <v>1184</v>
      </c>
      <c r="E1314" s="33" t="n">
        <v>45575</v>
      </c>
      <c r="F1314" s="21" t="s">
        <v>1218</v>
      </c>
      <c r="G1314" s="32"/>
      <c r="H1314" s="21"/>
      <c r="I1314" s="33"/>
      <c r="J1314" s="21" t="str">
        <f aca="false">INDEX(Students!$C$2:$C$601,MATCH(B1314,Students!$A$2:$A$601,0))</f>
        <v>Batch 2025</v>
      </c>
      <c r="K1314" s="21" t="str">
        <f aca="false">INDEX(Students!$D$2:$D$601,MATCH(B1314,Students!$A$2:$A$601,0))</f>
        <v>DSA with Java</v>
      </c>
      <c r="L1314" s="21" t="str">
        <f aca="false">INDEX(Companies!$C$2:$C$31,MATCH(C1314,Companies!$A$2:$A$31,0))</f>
        <v>IT Services</v>
      </c>
      <c r="M1314" s="21" t="str">
        <f aca="false">INDEX(Companies!$D$2:$D$31,MATCH(C1314,Companies!$A$2:$A$31,0))</f>
        <v>Tier 3</v>
      </c>
      <c r="N1314" s="34" t="n">
        <f aca="false">MATCH(F1314,Assumptions!$K$4:$K$8,0)</f>
        <v>4</v>
      </c>
      <c r="O1314" s="21" t="str">
        <f aca="false">IF(H1314="Yes",MONTH(I1314),"")</f>
        <v/>
      </c>
      <c r="P1314" s="21" t="str">
        <f aca="false">IF(H1314="Yes",B1314,"")</f>
        <v/>
      </c>
    </row>
    <row r="1315" customFormat="false" ht="15" hidden="false" customHeight="false" outlineLevel="0" collapsed="false">
      <c r="A1315" s="21" t="s">
        <v>2530</v>
      </c>
      <c r="B1315" s="21" t="s">
        <v>729</v>
      </c>
      <c r="C1315" s="21" t="s">
        <v>1222</v>
      </c>
      <c r="D1315" s="21" t="s">
        <v>1240</v>
      </c>
      <c r="E1315" s="33" t="n">
        <v>45575</v>
      </c>
      <c r="F1315" s="21" t="s">
        <v>1178</v>
      </c>
      <c r="G1315" s="32"/>
      <c r="H1315" s="21"/>
      <c r="I1315" s="33"/>
      <c r="J1315" s="21" t="str">
        <f aca="false">INDEX(Students!$C$2:$C$601,MATCH(B1315,Students!$A$2:$A$601,0))</f>
        <v>Batch 2025</v>
      </c>
      <c r="K1315" s="21" t="str">
        <f aca="false">INDEX(Students!$D$2:$D$601,MATCH(B1315,Students!$A$2:$A$601,0))</f>
        <v>Cybersecurity</v>
      </c>
      <c r="L1315" s="21" t="str">
        <f aca="false">INDEX(Companies!$C$2:$C$31,MATCH(C1315,Companies!$A$2:$A$31,0))</f>
        <v>Product</v>
      </c>
      <c r="M1315" s="21" t="str">
        <f aca="false">INDEX(Companies!$D$2:$D$31,MATCH(C1315,Companies!$A$2:$A$31,0))</f>
        <v>Tier 2</v>
      </c>
      <c r="N1315" s="34" t="n">
        <f aca="false">MATCH(F1315,Assumptions!$K$4:$K$8,0)</f>
        <v>2</v>
      </c>
      <c r="O1315" s="21" t="str">
        <f aca="false">IF(H1315="Yes",MONTH(I1315),"")</f>
        <v/>
      </c>
      <c r="P1315" s="21" t="str">
        <f aca="false">IF(H1315="Yes",B1315,"")</f>
        <v/>
      </c>
    </row>
    <row r="1316" customFormat="false" ht="15" hidden="false" customHeight="false" outlineLevel="0" collapsed="false">
      <c r="A1316" s="21" t="s">
        <v>2531</v>
      </c>
      <c r="B1316" s="21" t="s">
        <v>567</v>
      </c>
      <c r="C1316" s="21" t="s">
        <v>1180</v>
      </c>
      <c r="D1316" s="21" t="s">
        <v>1184</v>
      </c>
      <c r="E1316" s="33" t="n">
        <v>45575</v>
      </c>
      <c r="F1316" s="21" t="s">
        <v>1185</v>
      </c>
      <c r="G1316" s="32" t="n">
        <v>6.5</v>
      </c>
      <c r="H1316" s="21" t="s">
        <v>113</v>
      </c>
      <c r="I1316" s="33" t="n">
        <v>45602</v>
      </c>
      <c r="J1316" s="21" t="str">
        <f aca="false">INDEX(Students!$C$2:$C$601,MATCH(B1316,Students!$A$2:$A$601,0))</f>
        <v>Batch 2025</v>
      </c>
      <c r="K1316" s="21" t="str">
        <f aca="false">INDEX(Students!$D$2:$D$601,MATCH(B1316,Students!$A$2:$A$601,0))</f>
        <v>DSA with Java</v>
      </c>
      <c r="L1316" s="21" t="str">
        <f aca="false">INDEX(Companies!$C$2:$C$31,MATCH(C1316,Companies!$A$2:$A$31,0))</f>
        <v>IT Services</v>
      </c>
      <c r="M1316" s="21" t="str">
        <f aca="false">INDEX(Companies!$D$2:$D$31,MATCH(C1316,Companies!$A$2:$A$31,0))</f>
        <v>Tier 3</v>
      </c>
      <c r="N1316" s="34" t="n">
        <f aca="false">MATCH(F1316,Assumptions!$K$4:$K$8,0)</f>
        <v>5</v>
      </c>
      <c r="O1316" s="21" t="str">
        <f aca="false">IF(H1316="Yes",MONTH(I1316),"")</f>
        <v/>
      </c>
      <c r="P1316" s="21" t="str">
        <f aca="false">IF(H1316="Yes",B1316,"")</f>
        <v/>
      </c>
    </row>
    <row r="1317" customFormat="false" ht="15" hidden="false" customHeight="false" outlineLevel="0" collapsed="false">
      <c r="A1317" s="21" t="s">
        <v>2532</v>
      </c>
      <c r="B1317" s="21" t="s">
        <v>534</v>
      </c>
      <c r="C1317" s="21" t="s">
        <v>1234</v>
      </c>
      <c r="D1317" s="21" t="s">
        <v>1181</v>
      </c>
      <c r="E1317" s="33" t="n">
        <v>45575</v>
      </c>
      <c r="F1317" s="21" t="s">
        <v>1185</v>
      </c>
      <c r="G1317" s="32" t="n">
        <v>4.5</v>
      </c>
      <c r="H1317" s="21" t="s">
        <v>120</v>
      </c>
      <c r="I1317" s="33" t="n">
        <v>45616</v>
      </c>
      <c r="J1317" s="21" t="str">
        <f aca="false">INDEX(Students!$C$2:$C$601,MATCH(B1317,Students!$A$2:$A$601,0))</f>
        <v>Batch 2025</v>
      </c>
      <c r="K1317" s="21" t="str">
        <f aca="false">INDEX(Students!$D$2:$D$601,MATCH(B1317,Students!$A$2:$A$601,0))</f>
        <v>Full Stack Development</v>
      </c>
      <c r="L1317" s="21" t="str">
        <f aca="false">INDEX(Companies!$C$2:$C$31,MATCH(C1317,Companies!$A$2:$A$31,0))</f>
        <v>EdTech</v>
      </c>
      <c r="M1317" s="21" t="str">
        <f aca="false">INDEX(Companies!$D$2:$D$31,MATCH(C1317,Companies!$A$2:$A$31,0))</f>
        <v>Tier 3</v>
      </c>
      <c r="N1317" s="34" t="n">
        <f aca="false">MATCH(F1317,Assumptions!$K$4:$K$8,0)</f>
        <v>5</v>
      </c>
      <c r="O1317" s="21" t="n">
        <f aca="false">IF(H1317="Yes",MONTH(I1317),"")</f>
        <v>11</v>
      </c>
      <c r="P1317" s="21" t="str">
        <f aca="false">IF(H1317="Yes",B1317,"")</f>
        <v>S0225</v>
      </c>
    </row>
    <row r="1318" customFormat="false" ht="15" hidden="false" customHeight="false" outlineLevel="0" collapsed="false">
      <c r="A1318" s="21" t="s">
        <v>2533</v>
      </c>
      <c r="B1318" s="21" t="s">
        <v>718</v>
      </c>
      <c r="C1318" s="21" t="s">
        <v>1322</v>
      </c>
      <c r="D1318" s="21" t="s">
        <v>1184</v>
      </c>
      <c r="E1318" s="33" t="n">
        <v>45576</v>
      </c>
      <c r="F1318" s="21" t="s">
        <v>1197</v>
      </c>
      <c r="G1318" s="32"/>
      <c r="H1318" s="21"/>
      <c r="I1318" s="33"/>
      <c r="J1318" s="21" t="str">
        <f aca="false">INDEX(Students!$C$2:$C$601,MATCH(B1318,Students!$A$2:$A$601,0))</f>
        <v>Batch 2025</v>
      </c>
      <c r="K1318" s="21" t="str">
        <f aca="false">INDEX(Students!$D$2:$D$601,MATCH(B1318,Students!$A$2:$A$601,0))</f>
        <v>DSA with Java</v>
      </c>
      <c r="L1318" s="21" t="str">
        <f aca="false">INDEX(Companies!$C$2:$C$31,MATCH(C1318,Companies!$A$2:$A$31,0))</f>
        <v>Healthtech</v>
      </c>
      <c r="M1318" s="21" t="str">
        <f aca="false">INDEX(Companies!$D$2:$D$31,MATCH(C1318,Companies!$A$2:$A$31,0))</f>
        <v>Tier 2</v>
      </c>
      <c r="N1318" s="34" t="n">
        <f aca="false">MATCH(F1318,Assumptions!$K$4:$K$8,0)</f>
        <v>3</v>
      </c>
      <c r="O1318" s="21" t="str">
        <f aca="false">IF(H1318="Yes",MONTH(I1318),"")</f>
        <v/>
      </c>
      <c r="P1318" s="21" t="str">
        <f aca="false">IF(H1318="Yes",B1318,"")</f>
        <v/>
      </c>
    </row>
    <row r="1319" customFormat="false" ht="15" hidden="false" customHeight="false" outlineLevel="0" collapsed="false">
      <c r="A1319" s="21" t="s">
        <v>2534</v>
      </c>
      <c r="B1319" s="21" t="s">
        <v>647</v>
      </c>
      <c r="C1319" s="21" t="s">
        <v>1211</v>
      </c>
      <c r="D1319" s="21" t="s">
        <v>1194</v>
      </c>
      <c r="E1319" s="33" t="n">
        <v>45576</v>
      </c>
      <c r="F1319" s="21" t="s">
        <v>1178</v>
      </c>
      <c r="G1319" s="32"/>
      <c r="H1319" s="21"/>
      <c r="I1319" s="33"/>
      <c r="J1319" s="21" t="str">
        <f aca="false">INDEX(Students!$C$2:$C$601,MATCH(B1319,Students!$A$2:$A$601,0))</f>
        <v>Batch 2025</v>
      </c>
      <c r="K1319" s="21" t="str">
        <f aca="false">INDEX(Students!$D$2:$D$601,MATCH(B1319,Students!$A$2:$A$601,0))</f>
        <v>Data Science &amp; ML</v>
      </c>
      <c r="L1319" s="21" t="str">
        <f aca="false">INDEX(Companies!$C$2:$C$31,MATCH(C1319,Companies!$A$2:$A$31,0))</f>
        <v>Analytics &amp; Consulting</v>
      </c>
      <c r="M1319" s="21" t="str">
        <f aca="false">INDEX(Companies!$D$2:$D$31,MATCH(C1319,Companies!$A$2:$A$31,0))</f>
        <v>Tier 3</v>
      </c>
      <c r="N1319" s="34" t="n">
        <f aca="false">MATCH(F1319,Assumptions!$K$4:$K$8,0)</f>
        <v>2</v>
      </c>
      <c r="O1319" s="21" t="str">
        <f aca="false">IF(H1319="Yes",MONTH(I1319),"")</f>
        <v/>
      </c>
      <c r="P1319" s="21" t="str">
        <f aca="false">IF(H1319="Yes",B1319,"")</f>
        <v/>
      </c>
    </row>
    <row r="1320" customFormat="false" ht="15" hidden="false" customHeight="false" outlineLevel="0" collapsed="false">
      <c r="A1320" s="21" t="s">
        <v>2535</v>
      </c>
      <c r="B1320" s="21" t="s">
        <v>624</v>
      </c>
      <c r="C1320" s="21" t="s">
        <v>1239</v>
      </c>
      <c r="D1320" s="21" t="s">
        <v>1191</v>
      </c>
      <c r="E1320" s="33" t="n">
        <v>45576</v>
      </c>
      <c r="F1320" s="21" t="s">
        <v>1197</v>
      </c>
      <c r="G1320" s="32"/>
      <c r="H1320" s="21"/>
      <c r="I1320" s="33"/>
      <c r="J1320" s="21" t="str">
        <f aca="false">INDEX(Students!$C$2:$C$601,MATCH(B1320,Students!$A$2:$A$601,0))</f>
        <v>Batch 2025</v>
      </c>
      <c r="K1320" s="21" t="str">
        <f aca="false">INDEX(Students!$D$2:$D$601,MATCH(B1320,Students!$A$2:$A$601,0))</f>
        <v>DSA with Java</v>
      </c>
      <c r="L1320" s="21" t="str">
        <f aca="false">INDEX(Companies!$C$2:$C$31,MATCH(C1320,Companies!$A$2:$A$31,0))</f>
        <v>E-commerce</v>
      </c>
      <c r="M1320" s="21" t="str">
        <f aca="false">INDEX(Companies!$D$2:$D$31,MATCH(C1320,Companies!$A$2:$A$31,0))</f>
        <v>Tier 3</v>
      </c>
      <c r="N1320" s="34" t="n">
        <f aca="false">MATCH(F1320,Assumptions!$K$4:$K$8,0)</f>
        <v>3</v>
      </c>
      <c r="O1320" s="21" t="str">
        <f aca="false">IF(H1320="Yes",MONTH(I1320),"")</f>
        <v/>
      </c>
      <c r="P1320" s="21" t="str">
        <f aca="false">IF(H1320="Yes",B1320,"")</f>
        <v/>
      </c>
    </row>
    <row r="1321" customFormat="false" ht="15" hidden="false" customHeight="false" outlineLevel="0" collapsed="false">
      <c r="A1321" s="21" t="s">
        <v>2536</v>
      </c>
      <c r="B1321" s="21" t="s">
        <v>464</v>
      </c>
      <c r="C1321" s="21" t="s">
        <v>1205</v>
      </c>
      <c r="D1321" s="21" t="s">
        <v>1174</v>
      </c>
      <c r="E1321" s="33" t="n">
        <v>45576</v>
      </c>
      <c r="F1321" s="21" t="s">
        <v>1197</v>
      </c>
      <c r="G1321" s="32"/>
      <c r="H1321" s="21"/>
      <c r="I1321" s="33"/>
      <c r="J1321" s="21" t="str">
        <f aca="false">INDEX(Students!$C$2:$C$601,MATCH(B1321,Students!$A$2:$A$601,0))</f>
        <v>Batch 2025</v>
      </c>
      <c r="K1321" s="21" t="str">
        <f aca="false">INDEX(Students!$D$2:$D$601,MATCH(B1321,Students!$A$2:$A$601,0))</f>
        <v>Full Stack Development</v>
      </c>
      <c r="L1321" s="21" t="str">
        <f aca="false">INDEX(Companies!$C$2:$C$31,MATCH(C1321,Companies!$A$2:$A$31,0))</f>
        <v>Healthtech</v>
      </c>
      <c r="M1321" s="21" t="str">
        <f aca="false">INDEX(Companies!$D$2:$D$31,MATCH(C1321,Companies!$A$2:$A$31,0))</f>
        <v>Tier 3</v>
      </c>
      <c r="N1321" s="34" t="n">
        <f aca="false">MATCH(F1321,Assumptions!$K$4:$K$8,0)</f>
        <v>3</v>
      </c>
      <c r="O1321" s="21" t="str">
        <f aca="false">IF(H1321="Yes",MONTH(I1321),"")</f>
        <v/>
      </c>
      <c r="P1321" s="21" t="str">
        <f aca="false">IF(H1321="Yes",B1321,"")</f>
        <v/>
      </c>
    </row>
    <row r="1322" customFormat="false" ht="15" hidden="false" customHeight="false" outlineLevel="0" collapsed="false">
      <c r="A1322" s="21" t="s">
        <v>2537</v>
      </c>
      <c r="B1322" s="21" t="s">
        <v>703</v>
      </c>
      <c r="C1322" s="21" t="s">
        <v>1180</v>
      </c>
      <c r="D1322" s="21" t="s">
        <v>1243</v>
      </c>
      <c r="E1322" s="33" t="n">
        <v>45576</v>
      </c>
      <c r="F1322" s="21" t="s">
        <v>1197</v>
      </c>
      <c r="G1322" s="32"/>
      <c r="H1322" s="21"/>
      <c r="I1322" s="33"/>
      <c r="J1322" s="21" t="str">
        <f aca="false">INDEX(Students!$C$2:$C$601,MATCH(B1322,Students!$A$2:$A$601,0))</f>
        <v>Batch 2025</v>
      </c>
      <c r="K1322" s="21" t="str">
        <f aca="false">INDEX(Students!$D$2:$D$601,MATCH(B1322,Students!$A$2:$A$601,0))</f>
        <v>Data Science &amp; ML</v>
      </c>
      <c r="L1322" s="21" t="str">
        <f aca="false">INDEX(Companies!$C$2:$C$31,MATCH(C1322,Companies!$A$2:$A$31,0))</f>
        <v>IT Services</v>
      </c>
      <c r="M1322" s="21" t="str">
        <f aca="false">INDEX(Companies!$D$2:$D$31,MATCH(C1322,Companies!$A$2:$A$31,0))</f>
        <v>Tier 3</v>
      </c>
      <c r="N1322" s="34" t="n">
        <f aca="false">MATCH(F1322,Assumptions!$K$4:$K$8,0)</f>
        <v>3</v>
      </c>
      <c r="O1322" s="21" t="str">
        <f aca="false">IF(H1322="Yes",MONTH(I1322),"")</f>
        <v/>
      </c>
      <c r="P1322" s="21" t="str">
        <f aca="false">IF(H1322="Yes",B1322,"")</f>
        <v/>
      </c>
    </row>
    <row r="1323" customFormat="false" ht="15" hidden="false" customHeight="false" outlineLevel="0" collapsed="false">
      <c r="A1323" s="21" t="s">
        <v>2538</v>
      </c>
      <c r="B1323" s="21" t="s">
        <v>694</v>
      </c>
      <c r="C1323" s="21" t="s">
        <v>1266</v>
      </c>
      <c r="D1323" s="21" t="s">
        <v>1181</v>
      </c>
      <c r="E1323" s="33" t="n">
        <v>45577</v>
      </c>
      <c r="F1323" s="21" t="s">
        <v>1175</v>
      </c>
      <c r="G1323" s="32"/>
      <c r="H1323" s="21"/>
      <c r="I1323" s="33"/>
      <c r="J1323" s="21" t="str">
        <f aca="false">INDEX(Students!$C$2:$C$601,MATCH(B1323,Students!$A$2:$A$601,0))</f>
        <v>Batch 2025</v>
      </c>
      <c r="K1323" s="21" t="str">
        <f aca="false">INDEX(Students!$D$2:$D$601,MATCH(B1323,Students!$A$2:$A$601,0))</f>
        <v>Full Stack Development</v>
      </c>
      <c r="L1323" s="21" t="str">
        <f aca="false">INDEX(Companies!$C$2:$C$31,MATCH(C1323,Companies!$A$2:$A$31,0))</f>
        <v>IT Services</v>
      </c>
      <c r="M1323" s="21" t="str">
        <f aca="false">INDEX(Companies!$D$2:$D$31,MATCH(C1323,Companies!$A$2:$A$31,0))</f>
        <v>Tier 3</v>
      </c>
      <c r="N1323" s="34" t="n">
        <f aca="false">MATCH(F1323,Assumptions!$K$4:$K$8,0)</f>
        <v>1</v>
      </c>
      <c r="O1323" s="21" t="str">
        <f aca="false">IF(H1323="Yes",MONTH(I1323),"")</f>
        <v/>
      </c>
      <c r="P1323" s="21" t="str">
        <f aca="false">IF(H1323="Yes",B1323,"")</f>
        <v/>
      </c>
    </row>
    <row r="1324" customFormat="false" ht="15" hidden="false" customHeight="false" outlineLevel="0" collapsed="false">
      <c r="A1324" s="21" t="s">
        <v>2539</v>
      </c>
      <c r="B1324" s="21" t="s">
        <v>780</v>
      </c>
      <c r="C1324" s="21" t="s">
        <v>1290</v>
      </c>
      <c r="D1324" s="21" t="s">
        <v>1181</v>
      </c>
      <c r="E1324" s="33" t="n">
        <v>45578</v>
      </c>
      <c r="F1324" s="21" t="s">
        <v>1197</v>
      </c>
      <c r="G1324" s="32"/>
      <c r="H1324" s="21"/>
      <c r="I1324" s="33"/>
      <c r="J1324" s="21" t="str">
        <f aca="false">INDEX(Students!$C$2:$C$601,MATCH(B1324,Students!$A$2:$A$601,0))</f>
        <v>Batch 2025</v>
      </c>
      <c r="K1324" s="21" t="str">
        <f aca="false">INDEX(Students!$D$2:$D$601,MATCH(B1324,Students!$A$2:$A$601,0))</f>
        <v>Full Stack Development</v>
      </c>
      <c r="L1324" s="21" t="str">
        <f aca="false">INDEX(Companies!$C$2:$C$31,MATCH(C1324,Companies!$A$2:$A$31,0))</f>
        <v>Fintech</v>
      </c>
      <c r="M1324" s="21" t="str">
        <f aca="false">INDEX(Companies!$D$2:$D$31,MATCH(C1324,Companies!$A$2:$A$31,0))</f>
        <v>Tier 2</v>
      </c>
      <c r="N1324" s="34" t="n">
        <f aca="false">MATCH(F1324,Assumptions!$K$4:$K$8,0)</f>
        <v>3</v>
      </c>
      <c r="O1324" s="21" t="str">
        <f aca="false">IF(H1324="Yes",MONTH(I1324),"")</f>
        <v/>
      </c>
      <c r="P1324" s="21" t="str">
        <f aca="false">IF(H1324="Yes",B1324,"")</f>
        <v/>
      </c>
    </row>
    <row r="1325" customFormat="false" ht="15" hidden="false" customHeight="false" outlineLevel="0" collapsed="false">
      <c r="A1325" s="21" t="s">
        <v>2540</v>
      </c>
      <c r="B1325" s="21" t="s">
        <v>507</v>
      </c>
      <c r="C1325" s="21" t="s">
        <v>1201</v>
      </c>
      <c r="D1325" s="21" t="s">
        <v>1240</v>
      </c>
      <c r="E1325" s="33" t="n">
        <v>45578</v>
      </c>
      <c r="F1325" s="21" t="s">
        <v>1185</v>
      </c>
      <c r="G1325" s="32" t="n">
        <v>6.5</v>
      </c>
      <c r="H1325" s="21" t="s">
        <v>113</v>
      </c>
      <c r="I1325" s="33" t="n">
        <v>45601</v>
      </c>
      <c r="J1325" s="21" t="str">
        <f aca="false">INDEX(Students!$C$2:$C$601,MATCH(B1325,Students!$A$2:$A$601,0))</f>
        <v>Batch 2025</v>
      </c>
      <c r="K1325" s="21" t="str">
        <f aca="false">INDEX(Students!$D$2:$D$601,MATCH(B1325,Students!$A$2:$A$601,0))</f>
        <v>Cybersecurity</v>
      </c>
      <c r="L1325" s="21" t="str">
        <f aca="false">INDEX(Companies!$C$2:$C$31,MATCH(C1325,Companies!$A$2:$A$31,0))</f>
        <v>IT Services</v>
      </c>
      <c r="M1325" s="21" t="str">
        <f aca="false">INDEX(Companies!$D$2:$D$31,MATCH(C1325,Companies!$A$2:$A$31,0))</f>
        <v>Tier 3</v>
      </c>
      <c r="N1325" s="34" t="n">
        <f aca="false">MATCH(F1325,Assumptions!$K$4:$K$8,0)</f>
        <v>5</v>
      </c>
      <c r="O1325" s="21" t="str">
        <f aca="false">IF(H1325="Yes",MONTH(I1325),"")</f>
        <v/>
      </c>
      <c r="P1325" s="21" t="str">
        <f aca="false">IF(H1325="Yes",B1325,"")</f>
        <v/>
      </c>
    </row>
    <row r="1326" customFormat="false" ht="15" hidden="false" customHeight="false" outlineLevel="0" collapsed="false">
      <c r="A1326" s="21" t="s">
        <v>2541</v>
      </c>
      <c r="B1326" s="21" t="s">
        <v>667</v>
      </c>
      <c r="C1326" s="21" t="s">
        <v>1290</v>
      </c>
      <c r="D1326" s="21" t="s">
        <v>1240</v>
      </c>
      <c r="E1326" s="33" t="n">
        <v>45578</v>
      </c>
      <c r="F1326" s="21" t="s">
        <v>1175</v>
      </c>
      <c r="G1326" s="32"/>
      <c r="H1326" s="21"/>
      <c r="I1326" s="33"/>
      <c r="J1326" s="21" t="str">
        <f aca="false">INDEX(Students!$C$2:$C$601,MATCH(B1326,Students!$A$2:$A$601,0))</f>
        <v>Batch 2025</v>
      </c>
      <c r="K1326" s="21" t="str">
        <f aca="false">INDEX(Students!$D$2:$D$601,MATCH(B1326,Students!$A$2:$A$601,0))</f>
        <v>Cybersecurity</v>
      </c>
      <c r="L1326" s="21" t="str">
        <f aca="false">INDEX(Companies!$C$2:$C$31,MATCH(C1326,Companies!$A$2:$A$31,0))</f>
        <v>Fintech</v>
      </c>
      <c r="M1326" s="21" t="str">
        <f aca="false">INDEX(Companies!$D$2:$D$31,MATCH(C1326,Companies!$A$2:$A$31,0))</f>
        <v>Tier 2</v>
      </c>
      <c r="N1326" s="34" t="n">
        <f aca="false">MATCH(F1326,Assumptions!$K$4:$K$8,0)</f>
        <v>1</v>
      </c>
      <c r="O1326" s="21" t="str">
        <f aca="false">IF(H1326="Yes",MONTH(I1326),"")</f>
        <v/>
      </c>
      <c r="P1326" s="21" t="str">
        <f aca="false">IF(H1326="Yes",B1326,"")</f>
        <v/>
      </c>
    </row>
    <row r="1327" customFormat="false" ht="15" hidden="false" customHeight="false" outlineLevel="0" collapsed="false">
      <c r="A1327" s="21" t="s">
        <v>2542</v>
      </c>
      <c r="B1327" s="21" t="s">
        <v>690</v>
      </c>
      <c r="C1327" s="21" t="s">
        <v>1309</v>
      </c>
      <c r="D1327" s="21" t="s">
        <v>1191</v>
      </c>
      <c r="E1327" s="33" t="n">
        <v>45578</v>
      </c>
      <c r="F1327" s="21" t="s">
        <v>1218</v>
      </c>
      <c r="G1327" s="32"/>
      <c r="H1327" s="21"/>
      <c r="I1327" s="33"/>
      <c r="J1327" s="21" t="str">
        <f aca="false">INDEX(Students!$C$2:$C$601,MATCH(B1327,Students!$A$2:$A$601,0))</f>
        <v>Batch 2025</v>
      </c>
      <c r="K1327" s="21" t="str">
        <f aca="false">INDEX(Students!$D$2:$D$601,MATCH(B1327,Students!$A$2:$A$601,0))</f>
        <v>DSA with Java</v>
      </c>
      <c r="L1327" s="21" t="str">
        <f aca="false">INDEX(Companies!$C$2:$C$31,MATCH(C1327,Companies!$A$2:$A$31,0))</f>
        <v>EdTech</v>
      </c>
      <c r="M1327" s="21" t="str">
        <f aca="false">INDEX(Companies!$D$2:$D$31,MATCH(C1327,Companies!$A$2:$A$31,0))</f>
        <v>Tier 2</v>
      </c>
      <c r="N1327" s="34" t="n">
        <f aca="false">MATCH(F1327,Assumptions!$K$4:$K$8,0)</f>
        <v>4</v>
      </c>
      <c r="O1327" s="21" t="str">
        <f aca="false">IF(H1327="Yes",MONTH(I1327),"")</f>
        <v/>
      </c>
      <c r="P1327" s="21" t="str">
        <f aca="false">IF(H1327="Yes",B1327,"")</f>
        <v/>
      </c>
    </row>
    <row r="1328" customFormat="false" ht="15" hidden="false" customHeight="false" outlineLevel="0" collapsed="false">
      <c r="A1328" s="21" t="s">
        <v>2543</v>
      </c>
      <c r="B1328" s="21" t="s">
        <v>699</v>
      </c>
      <c r="C1328" s="21" t="s">
        <v>1298</v>
      </c>
      <c r="D1328" s="21" t="s">
        <v>1181</v>
      </c>
      <c r="E1328" s="33" t="n">
        <v>45578</v>
      </c>
      <c r="F1328" s="21" t="s">
        <v>1178</v>
      </c>
      <c r="G1328" s="32"/>
      <c r="H1328" s="21"/>
      <c r="I1328" s="33"/>
      <c r="J1328" s="21" t="str">
        <f aca="false">INDEX(Students!$C$2:$C$601,MATCH(B1328,Students!$A$2:$A$601,0))</f>
        <v>Batch 2025</v>
      </c>
      <c r="K1328" s="21" t="str">
        <f aca="false">INDEX(Students!$D$2:$D$601,MATCH(B1328,Students!$A$2:$A$601,0))</f>
        <v>Full Stack Development</v>
      </c>
      <c r="L1328" s="21" t="str">
        <f aca="false">INDEX(Companies!$C$2:$C$31,MATCH(C1328,Companies!$A$2:$A$31,0))</f>
        <v>Fintech</v>
      </c>
      <c r="M1328" s="21" t="str">
        <f aca="false">INDEX(Companies!$D$2:$D$31,MATCH(C1328,Companies!$A$2:$A$31,0))</f>
        <v>Tier 2</v>
      </c>
      <c r="N1328" s="34" t="n">
        <f aca="false">MATCH(F1328,Assumptions!$K$4:$K$8,0)</f>
        <v>2</v>
      </c>
      <c r="O1328" s="21" t="str">
        <f aca="false">IF(H1328="Yes",MONTH(I1328),"")</f>
        <v/>
      </c>
      <c r="P1328" s="21" t="str">
        <f aca="false">IF(H1328="Yes",B1328,"")</f>
        <v/>
      </c>
    </row>
    <row r="1329" customFormat="false" ht="15" hidden="false" customHeight="false" outlineLevel="0" collapsed="false">
      <c r="A1329" s="21" t="s">
        <v>2544</v>
      </c>
      <c r="B1329" s="21" t="s">
        <v>540</v>
      </c>
      <c r="C1329" s="21" t="s">
        <v>1177</v>
      </c>
      <c r="D1329" s="21" t="s">
        <v>1194</v>
      </c>
      <c r="E1329" s="33" t="n">
        <v>45578</v>
      </c>
      <c r="F1329" s="21" t="s">
        <v>1185</v>
      </c>
      <c r="G1329" s="32" t="n">
        <v>5.8</v>
      </c>
      <c r="H1329" s="21" t="s">
        <v>113</v>
      </c>
      <c r="I1329" s="33" t="n">
        <v>45605</v>
      </c>
      <c r="J1329" s="21" t="str">
        <f aca="false">INDEX(Students!$C$2:$C$601,MATCH(B1329,Students!$A$2:$A$601,0))</f>
        <v>Batch 2025</v>
      </c>
      <c r="K1329" s="21" t="str">
        <f aca="false">INDEX(Students!$D$2:$D$601,MATCH(B1329,Students!$A$2:$A$601,0))</f>
        <v>Data Science &amp; ML</v>
      </c>
      <c r="L1329" s="21" t="str">
        <f aca="false">INDEX(Companies!$C$2:$C$31,MATCH(C1329,Companies!$A$2:$A$31,0))</f>
        <v>IT Services</v>
      </c>
      <c r="M1329" s="21" t="str">
        <f aca="false">INDEX(Companies!$D$2:$D$31,MATCH(C1329,Companies!$A$2:$A$31,0))</f>
        <v>Tier 3</v>
      </c>
      <c r="N1329" s="34" t="n">
        <f aca="false">MATCH(F1329,Assumptions!$K$4:$K$8,0)</f>
        <v>5</v>
      </c>
      <c r="O1329" s="21" t="str">
        <f aca="false">IF(H1329="Yes",MONTH(I1329),"")</f>
        <v/>
      </c>
      <c r="P1329" s="21" t="str">
        <f aca="false">IF(H1329="Yes",B1329,"")</f>
        <v/>
      </c>
    </row>
    <row r="1330" customFormat="false" ht="15" hidden="false" customHeight="false" outlineLevel="0" collapsed="false">
      <c r="A1330" s="21" t="s">
        <v>2545</v>
      </c>
      <c r="B1330" s="21" t="s">
        <v>633</v>
      </c>
      <c r="C1330" s="21" t="s">
        <v>1322</v>
      </c>
      <c r="D1330" s="21" t="s">
        <v>1240</v>
      </c>
      <c r="E1330" s="33" t="n">
        <v>45578</v>
      </c>
      <c r="F1330" s="21" t="s">
        <v>1175</v>
      </c>
      <c r="G1330" s="32"/>
      <c r="H1330" s="21"/>
      <c r="I1330" s="33"/>
      <c r="J1330" s="21" t="str">
        <f aca="false">INDEX(Students!$C$2:$C$601,MATCH(B1330,Students!$A$2:$A$601,0))</f>
        <v>Batch 2025</v>
      </c>
      <c r="K1330" s="21" t="str">
        <f aca="false">INDEX(Students!$D$2:$D$601,MATCH(B1330,Students!$A$2:$A$601,0))</f>
        <v>Cybersecurity</v>
      </c>
      <c r="L1330" s="21" t="str">
        <f aca="false">INDEX(Companies!$C$2:$C$31,MATCH(C1330,Companies!$A$2:$A$31,0))</f>
        <v>Healthtech</v>
      </c>
      <c r="M1330" s="21" t="str">
        <f aca="false">INDEX(Companies!$D$2:$D$31,MATCH(C1330,Companies!$A$2:$A$31,0))</f>
        <v>Tier 2</v>
      </c>
      <c r="N1330" s="34" t="n">
        <f aca="false">MATCH(F1330,Assumptions!$K$4:$K$8,0)</f>
        <v>1</v>
      </c>
      <c r="O1330" s="21" t="str">
        <f aca="false">IF(H1330="Yes",MONTH(I1330),"")</f>
        <v/>
      </c>
      <c r="P1330" s="21" t="str">
        <f aca="false">IF(H1330="Yes",B1330,"")</f>
        <v/>
      </c>
    </row>
    <row r="1331" customFormat="false" ht="15" hidden="false" customHeight="false" outlineLevel="0" collapsed="false">
      <c r="A1331" s="21" t="s">
        <v>2546</v>
      </c>
      <c r="B1331" s="21" t="s">
        <v>519</v>
      </c>
      <c r="C1331" s="21" t="s">
        <v>1255</v>
      </c>
      <c r="D1331" s="21" t="s">
        <v>1191</v>
      </c>
      <c r="E1331" s="33" t="n">
        <v>45578</v>
      </c>
      <c r="F1331" s="21" t="s">
        <v>1178</v>
      </c>
      <c r="G1331" s="32"/>
      <c r="H1331" s="21"/>
      <c r="I1331" s="33"/>
      <c r="J1331" s="21" t="str">
        <f aca="false">INDEX(Students!$C$2:$C$601,MATCH(B1331,Students!$A$2:$A$601,0))</f>
        <v>Batch 2025</v>
      </c>
      <c r="K1331" s="21" t="str">
        <f aca="false">INDEX(Students!$D$2:$D$601,MATCH(B1331,Students!$A$2:$A$601,0))</f>
        <v>DSA with Java</v>
      </c>
      <c r="L1331" s="21" t="str">
        <f aca="false">INDEX(Companies!$C$2:$C$31,MATCH(C1331,Companies!$A$2:$A$31,0))</f>
        <v>IT Services</v>
      </c>
      <c r="M1331" s="21" t="str">
        <f aca="false">INDEX(Companies!$D$2:$D$31,MATCH(C1331,Companies!$A$2:$A$31,0))</f>
        <v>Tier 3</v>
      </c>
      <c r="N1331" s="34" t="n">
        <f aca="false">MATCH(F1331,Assumptions!$K$4:$K$8,0)</f>
        <v>2</v>
      </c>
      <c r="O1331" s="21" t="str">
        <f aca="false">IF(H1331="Yes",MONTH(I1331),"")</f>
        <v/>
      </c>
      <c r="P1331" s="21" t="str">
        <f aca="false">IF(H1331="Yes",B1331,"")</f>
        <v/>
      </c>
    </row>
    <row r="1332" customFormat="false" ht="15" hidden="false" customHeight="false" outlineLevel="0" collapsed="false">
      <c r="A1332" s="21" t="s">
        <v>2547</v>
      </c>
      <c r="B1332" s="21" t="s">
        <v>737</v>
      </c>
      <c r="C1332" s="21" t="s">
        <v>1183</v>
      </c>
      <c r="D1332" s="21" t="s">
        <v>1174</v>
      </c>
      <c r="E1332" s="33" t="n">
        <v>45578</v>
      </c>
      <c r="F1332" s="21" t="s">
        <v>1178</v>
      </c>
      <c r="G1332" s="32"/>
      <c r="H1332" s="21"/>
      <c r="I1332" s="33"/>
      <c r="J1332" s="21" t="str">
        <f aca="false">INDEX(Students!$C$2:$C$601,MATCH(B1332,Students!$A$2:$A$601,0))</f>
        <v>Batch 2025</v>
      </c>
      <c r="K1332" s="21" t="str">
        <f aca="false">INDEX(Students!$D$2:$D$601,MATCH(B1332,Students!$A$2:$A$601,0))</f>
        <v>Full Stack Development</v>
      </c>
      <c r="L1332" s="21" t="str">
        <f aca="false">INDEX(Companies!$C$2:$C$31,MATCH(C1332,Companies!$A$2:$A$31,0))</f>
        <v>E-commerce</v>
      </c>
      <c r="M1332" s="21" t="str">
        <f aca="false">INDEX(Companies!$D$2:$D$31,MATCH(C1332,Companies!$A$2:$A$31,0))</f>
        <v>Tier 2</v>
      </c>
      <c r="N1332" s="34" t="n">
        <f aca="false">MATCH(F1332,Assumptions!$K$4:$K$8,0)</f>
        <v>2</v>
      </c>
      <c r="O1332" s="21" t="str">
        <f aca="false">IF(H1332="Yes",MONTH(I1332),"")</f>
        <v/>
      </c>
      <c r="P1332" s="21" t="str">
        <f aca="false">IF(H1332="Yes",B1332,"")</f>
        <v/>
      </c>
    </row>
    <row r="1333" customFormat="false" ht="15" hidden="false" customHeight="false" outlineLevel="0" collapsed="false">
      <c r="A1333" s="21" t="s">
        <v>2548</v>
      </c>
      <c r="B1333" s="21" t="s">
        <v>507</v>
      </c>
      <c r="C1333" s="21" t="s">
        <v>1263</v>
      </c>
      <c r="D1333" s="21" t="s">
        <v>1226</v>
      </c>
      <c r="E1333" s="33" t="n">
        <v>45579</v>
      </c>
      <c r="F1333" s="21" t="s">
        <v>1185</v>
      </c>
      <c r="G1333" s="32" t="n">
        <v>12.9</v>
      </c>
      <c r="H1333" s="21" t="s">
        <v>120</v>
      </c>
      <c r="I1333" s="33" t="n">
        <v>45633</v>
      </c>
      <c r="J1333" s="21" t="str">
        <f aca="false">INDEX(Students!$C$2:$C$601,MATCH(B1333,Students!$A$2:$A$601,0))</f>
        <v>Batch 2025</v>
      </c>
      <c r="K1333" s="21" t="str">
        <f aca="false">INDEX(Students!$D$2:$D$601,MATCH(B1333,Students!$A$2:$A$601,0))</f>
        <v>Cybersecurity</v>
      </c>
      <c r="L1333" s="21" t="str">
        <f aca="false">INDEX(Companies!$C$2:$C$31,MATCH(C1333,Companies!$A$2:$A$31,0))</f>
        <v>Analytics &amp; Consulting</v>
      </c>
      <c r="M1333" s="21" t="str">
        <f aca="false">INDEX(Companies!$D$2:$D$31,MATCH(C1333,Companies!$A$2:$A$31,0))</f>
        <v>Tier 2</v>
      </c>
      <c r="N1333" s="34" t="n">
        <f aca="false">MATCH(F1333,Assumptions!$K$4:$K$8,0)</f>
        <v>5</v>
      </c>
      <c r="O1333" s="21" t="n">
        <f aca="false">IF(H1333="Yes",MONTH(I1333),"")</f>
        <v>12</v>
      </c>
      <c r="P1333" s="21" t="str">
        <f aca="false">IF(H1333="Yes",B1333,"")</f>
        <v>S0210</v>
      </c>
    </row>
    <row r="1334" customFormat="false" ht="15" hidden="false" customHeight="false" outlineLevel="0" collapsed="false">
      <c r="A1334" s="21" t="s">
        <v>2549</v>
      </c>
      <c r="B1334" s="21" t="s">
        <v>724</v>
      </c>
      <c r="C1334" s="21" t="s">
        <v>1199</v>
      </c>
      <c r="D1334" s="21" t="s">
        <v>1181</v>
      </c>
      <c r="E1334" s="33" t="n">
        <v>45579</v>
      </c>
      <c r="F1334" s="21" t="s">
        <v>1175</v>
      </c>
      <c r="G1334" s="32"/>
      <c r="H1334" s="21"/>
      <c r="I1334" s="33"/>
      <c r="J1334" s="21" t="str">
        <f aca="false">INDEX(Students!$C$2:$C$601,MATCH(B1334,Students!$A$2:$A$601,0))</f>
        <v>Batch 2025</v>
      </c>
      <c r="K1334" s="21" t="str">
        <f aca="false">INDEX(Students!$D$2:$D$601,MATCH(B1334,Students!$A$2:$A$601,0))</f>
        <v>Full Stack Development</v>
      </c>
      <c r="L1334" s="21" t="str">
        <f aca="false">INDEX(Companies!$C$2:$C$31,MATCH(C1334,Companies!$A$2:$A$31,0))</f>
        <v>E-commerce</v>
      </c>
      <c r="M1334" s="21" t="str">
        <f aca="false">INDEX(Companies!$D$2:$D$31,MATCH(C1334,Companies!$A$2:$A$31,0))</f>
        <v>Tier 2</v>
      </c>
      <c r="N1334" s="34" t="n">
        <f aca="false">MATCH(F1334,Assumptions!$K$4:$K$8,0)</f>
        <v>1</v>
      </c>
      <c r="O1334" s="21" t="str">
        <f aca="false">IF(H1334="Yes",MONTH(I1334),"")</f>
        <v/>
      </c>
      <c r="P1334" s="21" t="str">
        <f aca="false">IF(H1334="Yes",B1334,"")</f>
        <v/>
      </c>
    </row>
    <row r="1335" customFormat="false" ht="15" hidden="false" customHeight="false" outlineLevel="0" collapsed="false">
      <c r="A1335" s="21" t="s">
        <v>2550</v>
      </c>
      <c r="B1335" s="21" t="s">
        <v>743</v>
      </c>
      <c r="C1335" s="21" t="s">
        <v>1239</v>
      </c>
      <c r="D1335" s="21" t="s">
        <v>1226</v>
      </c>
      <c r="E1335" s="33" t="n">
        <v>45579</v>
      </c>
      <c r="F1335" s="21" t="s">
        <v>1185</v>
      </c>
      <c r="G1335" s="32" t="n">
        <v>7.3</v>
      </c>
      <c r="H1335" s="21" t="s">
        <v>120</v>
      </c>
      <c r="I1335" s="33" t="n">
        <v>45605</v>
      </c>
      <c r="J1335" s="21" t="str">
        <f aca="false">INDEX(Students!$C$2:$C$601,MATCH(B1335,Students!$A$2:$A$601,0))</f>
        <v>Batch 2025</v>
      </c>
      <c r="K1335" s="21" t="str">
        <f aca="false">INDEX(Students!$D$2:$D$601,MATCH(B1335,Students!$A$2:$A$601,0))</f>
        <v>Cybersecurity</v>
      </c>
      <c r="L1335" s="21" t="str">
        <f aca="false">INDEX(Companies!$C$2:$C$31,MATCH(C1335,Companies!$A$2:$A$31,0))</f>
        <v>E-commerce</v>
      </c>
      <c r="M1335" s="21" t="str">
        <f aca="false">INDEX(Companies!$D$2:$D$31,MATCH(C1335,Companies!$A$2:$A$31,0))</f>
        <v>Tier 3</v>
      </c>
      <c r="N1335" s="34" t="n">
        <f aca="false">MATCH(F1335,Assumptions!$K$4:$K$8,0)</f>
        <v>5</v>
      </c>
      <c r="O1335" s="21" t="n">
        <f aca="false">IF(H1335="Yes",MONTH(I1335),"")</f>
        <v>11</v>
      </c>
      <c r="P1335" s="21" t="str">
        <f aca="false">IF(H1335="Yes",B1335,"")</f>
        <v>S0343</v>
      </c>
    </row>
    <row r="1336" customFormat="false" ht="15" hidden="false" customHeight="false" outlineLevel="0" collapsed="false">
      <c r="A1336" s="21" t="s">
        <v>2551</v>
      </c>
      <c r="B1336" s="21" t="s">
        <v>745</v>
      </c>
      <c r="C1336" s="21" t="s">
        <v>1193</v>
      </c>
      <c r="D1336" s="21" t="s">
        <v>1226</v>
      </c>
      <c r="E1336" s="33" t="n">
        <v>45579</v>
      </c>
      <c r="F1336" s="21" t="s">
        <v>1218</v>
      </c>
      <c r="G1336" s="32"/>
      <c r="H1336" s="21"/>
      <c r="I1336" s="33"/>
      <c r="J1336" s="21" t="str">
        <f aca="false">INDEX(Students!$C$2:$C$601,MATCH(B1336,Students!$A$2:$A$601,0))</f>
        <v>Batch 2025</v>
      </c>
      <c r="K1336" s="21" t="str">
        <f aca="false">INDEX(Students!$D$2:$D$601,MATCH(B1336,Students!$A$2:$A$601,0))</f>
        <v>Cybersecurity</v>
      </c>
      <c r="L1336" s="21" t="str">
        <f aca="false">INDEX(Companies!$C$2:$C$31,MATCH(C1336,Companies!$A$2:$A$31,0))</f>
        <v>Analytics &amp; Consulting</v>
      </c>
      <c r="M1336" s="21" t="str">
        <f aca="false">INDEX(Companies!$D$2:$D$31,MATCH(C1336,Companies!$A$2:$A$31,0))</f>
        <v>Tier 2</v>
      </c>
      <c r="N1336" s="34" t="n">
        <f aca="false">MATCH(F1336,Assumptions!$K$4:$K$8,0)</f>
        <v>4</v>
      </c>
      <c r="O1336" s="21" t="str">
        <f aca="false">IF(H1336="Yes",MONTH(I1336),"")</f>
        <v/>
      </c>
      <c r="P1336" s="21" t="str">
        <f aca="false">IF(H1336="Yes",B1336,"")</f>
        <v/>
      </c>
    </row>
    <row r="1337" customFormat="false" ht="15" hidden="false" customHeight="false" outlineLevel="0" collapsed="false">
      <c r="A1337" s="21" t="s">
        <v>2552</v>
      </c>
      <c r="B1337" s="21" t="s">
        <v>489</v>
      </c>
      <c r="C1337" s="21" t="s">
        <v>1208</v>
      </c>
      <c r="D1337" s="21" t="s">
        <v>1240</v>
      </c>
      <c r="E1337" s="33" t="n">
        <v>45580</v>
      </c>
      <c r="F1337" s="21" t="s">
        <v>1175</v>
      </c>
      <c r="G1337" s="32"/>
      <c r="H1337" s="21"/>
      <c r="I1337" s="33"/>
      <c r="J1337" s="21" t="str">
        <f aca="false">INDEX(Students!$C$2:$C$601,MATCH(B1337,Students!$A$2:$A$601,0))</f>
        <v>Batch 2025</v>
      </c>
      <c r="K1337" s="21" t="str">
        <f aca="false">INDEX(Students!$D$2:$D$601,MATCH(B1337,Students!$A$2:$A$601,0))</f>
        <v>Cybersecurity</v>
      </c>
      <c r="L1337" s="21" t="str">
        <f aca="false">INDEX(Companies!$C$2:$C$31,MATCH(C1337,Companies!$A$2:$A$31,0))</f>
        <v>E-commerce</v>
      </c>
      <c r="M1337" s="21" t="str">
        <f aca="false">INDEX(Companies!$D$2:$D$31,MATCH(C1337,Companies!$A$2:$A$31,0))</f>
        <v>Tier 1</v>
      </c>
      <c r="N1337" s="34" t="n">
        <f aca="false">MATCH(F1337,Assumptions!$K$4:$K$8,0)</f>
        <v>1</v>
      </c>
      <c r="O1337" s="21" t="str">
        <f aca="false">IF(H1337="Yes",MONTH(I1337),"")</f>
        <v/>
      </c>
      <c r="P1337" s="21" t="str">
        <f aca="false">IF(H1337="Yes",B1337,"")</f>
        <v/>
      </c>
    </row>
    <row r="1338" customFormat="false" ht="15" hidden="false" customHeight="false" outlineLevel="0" collapsed="false">
      <c r="A1338" s="21" t="s">
        <v>2553</v>
      </c>
      <c r="B1338" s="21" t="s">
        <v>765</v>
      </c>
      <c r="C1338" s="21" t="s">
        <v>1205</v>
      </c>
      <c r="D1338" s="21" t="s">
        <v>1191</v>
      </c>
      <c r="E1338" s="33" t="n">
        <v>45580</v>
      </c>
      <c r="F1338" s="21" t="s">
        <v>1185</v>
      </c>
      <c r="G1338" s="32" t="n">
        <v>6.7</v>
      </c>
      <c r="H1338" s="21" t="s">
        <v>120</v>
      </c>
      <c r="I1338" s="33" t="n">
        <v>45635</v>
      </c>
      <c r="J1338" s="21" t="str">
        <f aca="false">INDEX(Students!$C$2:$C$601,MATCH(B1338,Students!$A$2:$A$601,0))</f>
        <v>Batch 2025</v>
      </c>
      <c r="K1338" s="21" t="str">
        <f aca="false">INDEX(Students!$D$2:$D$601,MATCH(B1338,Students!$A$2:$A$601,0))</f>
        <v>DSA with Java</v>
      </c>
      <c r="L1338" s="21" t="str">
        <f aca="false">INDEX(Companies!$C$2:$C$31,MATCH(C1338,Companies!$A$2:$A$31,0))</f>
        <v>Healthtech</v>
      </c>
      <c r="M1338" s="21" t="str">
        <f aca="false">INDEX(Companies!$D$2:$D$31,MATCH(C1338,Companies!$A$2:$A$31,0))</f>
        <v>Tier 3</v>
      </c>
      <c r="N1338" s="34" t="n">
        <f aca="false">MATCH(F1338,Assumptions!$K$4:$K$8,0)</f>
        <v>5</v>
      </c>
      <c r="O1338" s="21" t="n">
        <f aca="false">IF(H1338="Yes",MONTH(I1338),"")</f>
        <v>12</v>
      </c>
      <c r="P1338" s="21" t="str">
        <f aca="false">IF(H1338="Yes",B1338,"")</f>
        <v>S0356</v>
      </c>
    </row>
    <row r="1339" customFormat="false" ht="15" hidden="false" customHeight="false" outlineLevel="0" collapsed="false">
      <c r="A1339" s="21" t="s">
        <v>2554</v>
      </c>
      <c r="B1339" s="21" t="s">
        <v>478</v>
      </c>
      <c r="C1339" s="21" t="s">
        <v>1199</v>
      </c>
      <c r="D1339" s="21" t="s">
        <v>1184</v>
      </c>
      <c r="E1339" s="33" t="n">
        <v>45580</v>
      </c>
      <c r="F1339" s="21" t="s">
        <v>1175</v>
      </c>
      <c r="G1339" s="32"/>
      <c r="H1339" s="21"/>
      <c r="I1339" s="33"/>
      <c r="J1339" s="21" t="str">
        <f aca="false">INDEX(Students!$C$2:$C$601,MATCH(B1339,Students!$A$2:$A$601,0))</f>
        <v>Batch 2025</v>
      </c>
      <c r="K1339" s="21" t="str">
        <f aca="false">INDEX(Students!$D$2:$D$601,MATCH(B1339,Students!$A$2:$A$601,0))</f>
        <v>DSA with Java</v>
      </c>
      <c r="L1339" s="21" t="str">
        <f aca="false">INDEX(Companies!$C$2:$C$31,MATCH(C1339,Companies!$A$2:$A$31,0))</f>
        <v>E-commerce</v>
      </c>
      <c r="M1339" s="21" t="str">
        <f aca="false">INDEX(Companies!$D$2:$D$31,MATCH(C1339,Companies!$A$2:$A$31,0))</f>
        <v>Tier 2</v>
      </c>
      <c r="N1339" s="34" t="n">
        <f aca="false">MATCH(F1339,Assumptions!$K$4:$K$8,0)</f>
        <v>1</v>
      </c>
      <c r="O1339" s="21" t="str">
        <f aca="false">IF(H1339="Yes",MONTH(I1339),"")</f>
        <v/>
      </c>
      <c r="P1339" s="21" t="str">
        <f aca="false">IF(H1339="Yes",B1339,"")</f>
        <v/>
      </c>
    </row>
    <row r="1340" customFormat="false" ht="15" hidden="false" customHeight="false" outlineLevel="0" collapsed="false">
      <c r="A1340" s="21" t="s">
        <v>2555</v>
      </c>
      <c r="B1340" s="21" t="s">
        <v>536</v>
      </c>
      <c r="C1340" s="21" t="s">
        <v>1211</v>
      </c>
      <c r="D1340" s="21" t="s">
        <v>1194</v>
      </c>
      <c r="E1340" s="33" t="n">
        <v>45580</v>
      </c>
      <c r="F1340" s="21" t="s">
        <v>1185</v>
      </c>
      <c r="G1340" s="32" t="n">
        <v>6.9</v>
      </c>
      <c r="H1340" s="21" t="s">
        <v>113</v>
      </c>
      <c r="I1340" s="33" t="n">
        <v>45629</v>
      </c>
      <c r="J1340" s="21" t="str">
        <f aca="false">INDEX(Students!$C$2:$C$601,MATCH(B1340,Students!$A$2:$A$601,0))</f>
        <v>Batch 2025</v>
      </c>
      <c r="K1340" s="21" t="str">
        <f aca="false">INDEX(Students!$D$2:$D$601,MATCH(B1340,Students!$A$2:$A$601,0))</f>
        <v>Data Science &amp; ML</v>
      </c>
      <c r="L1340" s="21" t="str">
        <f aca="false">INDEX(Companies!$C$2:$C$31,MATCH(C1340,Companies!$A$2:$A$31,0))</f>
        <v>Analytics &amp; Consulting</v>
      </c>
      <c r="M1340" s="21" t="str">
        <f aca="false">INDEX(Companies!$D$2:$D$31,MATCH(C1340,Companies!$A$2:$A$31,0))</f>
        <v>Tier 3</v>
      </c>
      <c r="N1340" s="34" t="n">
        <f aca="false">MATCH(F1340,Assumptions!$K$4:$K$8,0)</f>
        <v>5</v>
      </c>
      <c r="O1340" s="21" t="str">
        <f aca="false">IF(H1340="Yes",MONTH(I1340),"")</f>
        <v/>
      </c>
      <c r="P1340" s="21" t="str">
        <f aca="false">IF(H1340="Yes",B1340,"")</f>
        <v/>
      </c>
    </row>
    <row r="1341" customFormat="false" ht="15" hidden="false" customHeight="false" outlineLevel="0" collapsed="false">
      <c r="A1341" s="21" t="s">
        <v>2556</v>
      </c>
      <c r="B1341" s="21" t="s">
        <v>672</v>
      </c>
      <c r="C1341" s="21" t="s">
        <v>1228</v>
      </c>
      <c r="D1341" s="21" t="s">
        <v>1184</v>
      </c>
      <c r="E1341" s="33" t="n">
        <v>45580</v>
      </c>
      <c r="F1341" s="21" t="s">
        <v>1178</v>
      </c>
      <c r="G1341" s="32"/>
      <c r="H1341" s="21"/>
      <c r="I1341" s="33"/>
      <c r="J1341" s="21" t="str">
        <f aca="false">INDEX(Students!$C$2:$C$601,MATCH(B1341,Students!$A$2:$A$601,0))</f>
        <v>Batch 2025</v>
      </c>
      <c r="K1341" s="21" t="str">
        <f aca="false">INDEX(Students!$D$2:$D$601,MATCH(B1341,Students!$A$2:$A$601,0))</f>
        <v>DSA with Java</v>
      </c>
      <c r="L1341" s="21" t="str">
        <f aca="false">INDEX(Companies!$C$2:$C$31,MATCH(C1341,Companies!$A$2:$A$31,0))</f>
        <v>Fintech</v>
      </c>
      <c r="M1341" s="21" t="str">
        <f aca="false">INDEX(Companies!$D$2:$D$31,MATCH(C1341,Companies!$A$2:$A$31,0))</f>
        <v>Tier 1</v>
      </c>
      <c r="N1341" s="34" t="n">
        <f aca="false">MATCH(F1341,Assumptions!$K$4:$K$8,0)</f>
        <v>2</v>
      </c>
      <c r="O1341" s="21" t="str">
        <f aca="false">IF(H1341="Yes",MONTH(I1341),"")</f>
        <v/>
      </c>
      <c r="P1341" s="21" t="str">
        <f aca="false">IF(H1341="Yes",B1341,"")</f>
        <v/>
      </c>
    </row>
    <row r="1342" customFormat="false" ht="15" hidden="false" customHeight="false" outlineLevel="0" collapsed="false">
      <c r="A1342" s="21" t="s">
        <v>2557</v>
      </c>
      <c r="B1342" s="21" t="s">
        <v>778</v>
      </c>
      <c r="C1342" s="21" t="s">
        <v>1211</v>
      </c>
      <c r="D1342" s="21" t="s">
        <v>1191</v>
      </c>
      <c r="E1342" s="33" t="n">
        <v>45580</v>
      </c>
      <c r="F1342" s="21" t="s">
        <v>1185</v>
      </c>
      <c r="G1342" s="32" t="n">
        <v>5.7</v>
      </c>
      <c r="H1342" s="21" t="s">
        <v>120</v>
      </c>
      <c r="I1342" s="33" t="n">
        <v>45625</v>
      </c>
      <c r="J1342" s="21" t="str">
        <f aca="false">INDEX(Students!$C$2:$C$601,MATCH(B1342,Students!$A$2:$A$601,0))</f>
        <v>Batch 2025</v>
      </c>
      <c r="K1342" s="21" t="str">
        <f aca="false">INDEX(Students!$D$2:$D$601,MATCH(B1342,Students!$A$2:$A$601,0))</f>
        <v>DSA with Java</v>
      </c>
      <c r="L1342" s="21" t="str">
        <f aca="false">INDEX(Companies!$C$2:$C$31,MATCH(C1342,Companies!$A$2:$A$31,0))</f>
        <v>Analytics &amp; Consulting</v>
      </c>
      <c r="M1342" s="21" t="str">
        <f aca="false">INDEX(Companies!$D$2:$D$31,MATCH(C1342,Companies!$A$2:$A$31,0))</f>
        <v>Tier 3</v>
      </c>
      <c r="N1342" s="34" t="n">
        <f aca="false">MATCH(F1342,Assumptions!$K$4:$K$8,0)</f>
        <v>5</v>
      </c>
      <c r="O1342" s="21" t="n">
        <f aca="false">IF(H1342="Yes",MONTH(I1342),"")</f>
        <v>11</v>
      </c>
      <c r="P1342" s="21" t="str">
        <f aca="false">IF(H1342="Yes",B1342,"")</f>
        <v>S0364</v>
      </c>
    </row>
    <row r="1343" customFormat="false" ht="15" hidden="false" customHeight="false" outlineLevel="0" collapsed="false">
      <c r="A1343" s="21" t="s">
        <v>2558</v>
      </c>
      <c r="B1343" s="21" t="s">
        <v>576</v>
      </c>
      <c r="C1343" s="21" t="s">
        <v>1201</v>
      </c>
      <c r="D1343" s="21" t="s">
        <v>1191</v>
      </c>
      <c r="E1343" s="33" t="n">
        <v>45580</v>
      </c>
      <c r="F1343" s="21" t="s">
        <v>1185</v>
      </c>
      <c r="G1343" s="32" t="n">
        <v>7.4</v>
      </c>
      <c r="H1343" s="21" t="s">
        <v>113</v>
      </c>
      <c r="I1343" s="33" t="n">
        <v>45621</v>
      </c>
      <c r="J1343" s="21" t="str">
        <f aca="false">INDEX(Students!$C$2:$C$601,MATCH(B1343,Students!$A$2:$A$601,0))</f>
        <v>Batch 2025</v>
      </c>
      <c r="K1343" s="21" t="str">
        <f aca="false">INDEX(Students!$D$2:$D$601,MATCH(B1343,Students!$A$2:$A$601,0))</f>
        <v>DSA with Java</v>
      </c>
      <c r="L1343" s="21" t="str">
        <f aca="false">INDEX(Companies!$C$2:$C$31,MATCH(C1343,Companies!$A$2:$A$31,0))</f>
        <v>IT Services</v>
      </c>
      <c r="M1343" s="21" t="str">
        <f aca="false">INDEX(Companies!$D$2:$D$31,MATCH(C1343,Companies!$A$2:$A$31,0))</f>
        <v>Tier 3</v>
      </c>
      <c r="N1343" s="34" t="n">
        <f aca="false">MATCH(F1343,Assumptions!$K$4:$K$8,0)</f>
        <v>5</v>
      </c>
      <c r="O1343" s="21" t="str">
        <f aca="false">IF(H1343="Yes",MONTH(I1343),"")</f>
        <v/>
      </c>
      <c r="P1343" s="21" t="str">
        <f aca="false">IF(H1343="Yes",B1343,"")</f>
        <v/>
      </c>
    </row>
    <row r="1344" customFormat="false" ht="15" hidden="false" customHeight="false" outlineLevel="0" collapsed="false">
      <c r="A1344" s="21" t="s">
        <v>2559</v>
      </c>
      <c r="B1344" s="21" t="s">
        <v>573</v>
      </c>
      <c r="C1344" s="21" t="s">
        <v>1290</v>
      </c>
      <c r="D1344" s="21" t="s">
        <v>1194</v>
      </c>
      <c r="E1344" s="33" t="n">
        <v>45580</v>
      </c>
      <c r="F1344" s="21" t="s">
        <v>1178</v>
      </c>
      <c r="G1344" s="32"/>
      <c r="H1344" s="21"/>
      <c r="I1344" s="33"/>
      <c r="J1344" s="21" t="str">
        <f aca="false">INDEX(Students!$C$2:$C$601,MATCH(B1344,Students!$A$2:$A$601,0))</f>
        <v>Batch 2025</v>
      </c>
      <c r="K1344" s="21" t="str">
        <f aca="false">INDEX(Students!$D$2:$D$601,MATCH(B1344,Students!$A$2:$A$601,0))</f>
        <v>Data Science &amp; ML</v>
      </c>
      <c r="L1344" s="21" t="str">
        <f aca="false">INDEX(Companies!$C$2:$C$31,MATCH(C1344,Companies!$A$2:$A$31,0))</f>
        <v>Fintech</v>
      </c>
      <c r="M1344" s="21" t="str">
        <f aca="false">INDEX(Companies!$D$2:$D$31,MATCH(C1344,Companies!$A$2:$A$31,0))</f>
        <v>Tier 2</v>
      </c>
      <c r="N1344" s="34" t="n">
        <f aca="false">MATCH(F1344,Assumptions!$K$4:$K$8,0)</f>
        <v>2</v>
      </c>
      <c r="O1344" s="21" t="str">
        <f aca="false">IF(H1344="Yes",MONTH(I1344),"")</f>
        <v/>
      </c>
      <c r="P1344" s="21" t="str">
        <f aca="false">IF(H1344="Yes",B1344,"")</f>
        <v/>
      </c>
    </row>
    <row r="1345" customFormat="false" ht="15" hidden="false" customHeight="false" outlineLevel="0" collapsed="false">
      <c r="A1345" s="21" t="s">
        <v>2560</v>
      </c>
      <c r="B1345" s="21" t="s">
        <v>591</v>
      </c>
      <c r="C1345" s="21" t="s">
        <v>1196</v>
      </c>
      <c r="D1345" s="21" t="s">
        <v>1209</v>
      </c>
      <c r="E1345" s="33" t="n">
        <v>45581</v>
      </c>
      <c r="F1345" s="21" t="s">
        <v>1175</v>
      </c>
      <c r="G1345" s="32"/>
      <c r="H1345" s="21"/>
      <c r="I1345" s="33"/>
      <c r="J1345" s="21" t="str">
        <f aca="false">INDEX(Students!$C$2:$C$601,MATCH(B1345,Students!$A$2:$A$601,0))</f>
        <v>Batch 2025</v>
      </c>
      <c r="K1345" s="21" t="str">
        <f aca="false">INDEX(Students!$D$2:$D$601,MATCH(B1345,Students!$A$2:$A$601,0))</f>
        <v>Data Analytics</v>
      </c>
      <c r="L1345" s="21" t="str">
        <f aca="false">INDEX(Companies!$C$2:$C$31,MATCH(C1345,Companies!$A$2:$A$31,0))</f>
        <v>IT Services</v>
      </c>
      <c r="M1345" s="21" t="str">
        <f aca="false">INDEX(Companies!$D$2:$D$31,MATCH(C1345,Companies!$A$2:$A$31,0))</f>
        <v>Tier 3</v>
      </c>
      <c r="N1345" s="34" t="n">
        <f aca="false">MATCH(F1345,Assumptions!$K$4:$K$8,0)</f>
        <v>1</v>
      </c>
      <c r="O1345" s="21" t="str">
        <f aca="false">IF(H1345="Yes",MONTH(I1345),"")</f>
        <v/>
      </c>
      <c r="P1345" s="21" t="str">
        <f aca="false">IF(H1345="Yes",B1345,"")</f>
        <v/>
      </c>
    </row>
    <row r="1346" customFormat="false" ht="15" hidden="false" customHeight="false" outlineLevel="0" collapsed="false">
      <c r="A1346" s="21" t="s">
        <v>2561</v>
      </c>
      <c r="B1346" s="21" t="s">
        <v>484</v>
      </c>
      <c r="C1346" s="21" t="s">
        <v>1216</v>
      </c>
      <c r="D1346" s="21" t="s">
        <v>1184</v>
      </c>
      <c r="E1346" s="33" t="n">
        <v>45581</v>
      </c>
      <c r="F1346" s="21" t="s">
        <v>1185</v>
      </c>
      <c r="G1346" s="32" t="n">
        <v>6.9</v>
      </c>
      <c r="H1346" s="21" t="s">
        <v>120</v>
      </c>
      <c r="I1346" s="33" t="n">
        <v>45609</v>
      </c>
      <c r="J1346" s="21" t="str">
        <f aca="false">INDEX(Students!$C$2:$C$601,MATCH(B1346,Students!$A$2:$A$601,0))</f>
        <v>Batch 2025</v>
      </c>
      <c r="K1346" s="21" t="str">
        <f aca="false">INDEX(Students!$D$2:$D$601,MATCH(B1346,Students!$A$2:$A$601,0))</f>
        <v>DSA with Java</v>
      </c>
      <c r="L1346" s="21" t="str">
        <f aca="false">INDEX(Companies!$C$2:$C$31,MATCH(C1346,Companies!$A$2:$A$31,0))</f>
        <v>IT Services</v>
      </c>
      <c r="M1346" s="21" t="str">
        <f aca="false">INDEX(Companies!$D$2:$D$31,MATCH(C1346,Companies!$A$2:$A$31,0))</f>
        <v>Tier 3</v>
      </c>
      <c r="N1346" s="34" t="n">
        <f aca="false">MATCH(F1346,Assumptions!$K$4:$K$8,0)</f>
        <v>5</v>
      </c>
      <c r="O1346" s="21" t="n">
        <f aca="false">IF(H1346="Yes",MONTH(I1346),"")</f>
        <v>11</v>
      </c>
      <c r="P1346" s="21" t="str">
        <f aca="false">IF(H1346="Yes",B1346,"")</f>
        <v>S0197</v>
      </c>
    </row>
    <row r="1347" customFormat="false" ht="15" hidden="false" customHeight="false" outlineLevel="0" collapsed="false">
      <c r="A1347" s="21" t="s">
        <v>2562</v>
      </c>
      <c r="B1347" s="21" t="s">
        <v>691</v>
      </c>
      <c r="C1347" s="21" t="s">
        <v>1298</v>
      </c>
      <c r="D1347" s="21" t="s">
        <v>1209</v>
      </c>
      <c r="E1347" s="33" t="n">
        <v>45581</v>
      </c>
      <c r="F1347" s="21" t="s">
        <v>1175</v>
      </c>
      <c r="G1347" s="32"/>
      <c r="H1347" s="21"/>
      <c r="I1347" s="33"/>
      <c r="J1347" s="21" t="str">
        <f aca="false">INDEX(Students!$C$2:$C$601,MATCH(B1347,Students!$A$2:$A$601,0))</f>
        <v>Batch 2025</v>
      </c>
      <c r="K1347" s="21" t="str">
        <f aca="false">INDEX(Students!$D$2:$D$601,MATCH(B1347,Students!$A$2:$A$601,0))</f>
        <v>Data Analytics</v>
      </c>
      <c r="L1347" s="21" t="str">
        <f aca="false">INDEX(Companies!$C$2:$C$31,MATCH(C1347,Companies!$A$2:$A$31,0))</f>
        <v>Fintech</v>
      </c>
      <c r="M1347" s="21" t="str">
        <f aca="false">INDEX(Companies!$D$2:$D$31,MATCH(C1347,Companies!$A$2:$A$31,0))</f>
        <v>Tier 2</v>
      </c>
      <c r="N1347" s="34" t="n">
        <f aca="false">MATCH(F1347,Assumptions!$K$4:$K$8,0)</f>
        <v>1</v>
      </c>
      <c r="O1347" s="21" t="str">
        <f aca="false">IF(H1347="Yes",MONTH(I1347),"")</f>
        <v/>
      </c>
      <c r="P1347" s="21" t="str">
        <f aca="false">IF(H1347="Yes",B1347,"")</f>
        <v/>
      </c>
    </row>
    <row r="1348" customFormat="false" ht="15" hidden="false" customHeight="false" outlineLevel="0" collapsed="false">
      <c r="A1348" s="21" t="s">
        <v>2563</v>
      </c>
      <c r="B1348" s="21" t="s">
        <v>489</v>
      </c>
      <c r="C1348" s="21" t="s">
        <v>1230</v>
      </c>
      <c r="D1348" s="21" t="s">
        <v>1240</v>
      </c>
      <c r="E1348" s="33" t="n">
        <v>45581</v>
      </c>
      <c r="F1348" s="21" t="s">
        <v>1185</v>
      </c>
      <c r="G1348" s="32" t="n">
        <v>5.5</v>
      </c>
      <c r="H1348" s="21" t="s">
        <v>113</v>
      </c>
      <c r="I1348" s="33" t="n">
        <v>45615</v>
      </c>
      <c r="J1348" s="21" t="str">
        <f aca="false">INDEX(Students!$C$2:$C$601,MATCH(B1348,Students!$A$2:$A$601,0))</f>
        <v>Batch 2025</v>
      </c>
      <c r="K1348" s="21" t="str">
        <f aca="false">INDEX(Students!$D$2:$D$601,MATCH(B1348,Students!$A$2:$A$601,0))</f>
        <v>Cybersecurity</v>
      </c>
      <c r="L1348" s="21" t="str">
        <f aca="false">INDEX(Companies!$C$2:$C$31,MATCH(C1348,Companies!$A$2:$A$31,0))</f>
        <v>IT Services</v>
      </c>
      <c r="M1348" s="21" t="str">
        <f aca="false">INDEX(Companies!$D$2:$D$31,MATCH(C1348,Companies!$A$2:$A$31,0))</f>
        <v>Tier 3</v>
      </c>
      <c r="N1348" s="34" t="n">
        <f aca="false">MATCH(F1348,Assumptions!$K$4:$K$8,0)</f>
        <v>5</v>
      </c>
      <c r="O1348" s="21" t="str">
        <f aca="false">IF(H1348="Yes",MONTH(I1348),"")</f>
        <v/>
      </c>
      <c r="P1348" s="21" t="str">
        <f aca="false">IF(H1348="Yes",B1348,"")</f>
        <v/>
      </c>
    </row>
    <row r="1349" customFormat="false" ht="15" hidden="false" customHeight="false" outlineLevel="0" collapsed="false">
      <c r="A1349" s="21" t="s">
        <v>2564</v>
      </c>
      <c r="B1349" s="21" t="s">
        <v>752</v>
      </c>
      <c r="C1349" s="21" t="s">
        <v>1180</v>
      </c>
      <c r="D1349" s="21" t="s">
        <v>1184</v>
      </c>
      <c r="E1349" s="33" t="n">
        <v>45581</v>
      </c>
      <c r="F1349" s="21" t="s">
        <v>1185</v>
      </c>
      <c r="G1349" s="32" t="n">
        <v>6.7</v>
      </c>
      <c r="H1349" s="21" t="s">
        <v>113</v>
      </c>
      <c r="I1349" s="33" t="n">
        <v>45601</v>
      </c>
      <c r="J1349" s="21" t="str">
        <f aca="false">INDEX(Students!$C$2:$C$601,MATCH(B1349,Students!$A$2:$A$601,0))</f>
        <v>Batch 2025</v>
      </c>
      <c r="K1349" s="21" t="str">
        <f aca="false">INDEX(Students!$D$2:$D$601,MATCH(B1349,Students!$A$2:$A$601,0))</f>
        <v>DSA with Java</v>
      </c>
      <c r="L1349" s="21" t="str">
        <f aca="false">INDEX(Companies!$C$2:$C$31,MATCH(C1349,Companies!$A$2:$A$31,0))</f>
        <v>IT Services</v>
      </c>
      <c r="M1349" s="21" t="str">
        <f aca="false">INDEX(Companies!$D$2:$D$31,MATCH(C1349,Companies!$A$2:$A$31,0))</f>
        <v>Tier 3</v>
      </c>
      <c r="N1349" s="34" t="n">
        <f aca="false">MATCH(F1349,Assumptions!$K$4:$K$8,0)</f>
        <v>5</v>
      </c>
      <c r="O1349" s="21" t="str">
        <f aca="false">IF(H1349="Yes",MONTH(I1349),"")</f>
        <v/>
      </c>
      <c r="P1349" s="21" t="str">
        <f aca="false">IF(H1349="Yes",B1349,"")</f>
        <v/>
      </c>
    </row>
    <row r="1350" customFormat="false" ht="15" hidden="false" customHeight="false" outlineLevel="0" collapsed="false">
      <c r="A1350" s="21" t="s">
        <v>2565</v>
      </c>
      <c r="B1350" s="21" t="s">
        <v>515</v>
      </c>
      <c r="C1350" s="21" t="s">
        <v>1225</v>
      </c>
      <c r="D1350" s="21" t="s">
        <v>1243</v>
      </c>
      <c r="E1350" s="33" t="n">
        <v>45581</v>
      </c>
      <c r="F1350" s="21" t="s">
        <v>1175</v>
      </c>
      <c r="G1350" s="32"/>
      <c r="H1350" s="21"/>
      <c r="I1350" s="33"/>
      <c r="J1350" s="21" t="str">
        <f aca="false">INDEX(Students!$C$2:$C$601,MATCH(B1350,Students!$A$2:$A$601,0))</f>
        <v>Batch 2025</v>
      </c>
      <c r="K1350" s="21" t="str">
        <f aca="false">INDEX(Students!$D$2:$D$601,MATCH(B1350,Students!$A$2:$A$601,0))</f>
        <v>Data Science &amp; ML</v>
      </c>
      <c r="L1350" s="21" t="str">
        <f aca="false">INDEX(Companies!$C$2:$C$31,MATCH(C1350,Companies!$A$2:$A$31,0))</f>
        <v>EdTech</v>
      </c>
      <c r="M1350" s="21" t="str">
        <f aca="false">INDEX(Companies!$D$2:$D$31,MATCH(C1350,Companies!$A$2:$A$31,0))</f>
        <v>Tier 2</v>
      </c>
      <c r="N1350" s="34" t="n">
        <f aca="false">MATCH(F1350,Assumptions!$K$4:$K$8,0)</f>
        <v>1</v>
      </c>
      <c r="O1350" s="21" t="str">
        <f aca="false">IF(H1350="Yes",MONTH(I1350),"")</f>
        <v/>
      </c>
      <c r="P1350" s="21" t="str">
        <f aca="false">IF(H1350="Yes",B1350,"")</f>
        <v/>
      </c>
    </row>
    <row r="1351" customFormat="false" ht="15" hidden="false" customHeight="false" outlineLevel="0" collapsed="false">
      <c r="A1351" s="21" t="s">
        <v>2566</v>
      </c>
      <c r="B1351" s="21" t="s">
        <v>680</v>
      </c>
      <c r="C1351" s="21" t="s">
        <v>1266</v>
      </c>
      <c r="D1351" s="21" t="s">
        <v>1194</v>
      </c>
      <c r="E1351" s="33" t="n">
        <v>45581</v>
      </c>
      <c r="F1351" s="21" t="s">
        <v>1185</v>
      </c>
      <c r="G1351" s="32" t="n">
        <v>4.3</v>
      </c>
      <c r="H1351" s="21" t="s">
        <v>113</v>
      </c>
      <c r="I1351" s="33" t="n">
        <v>45615</v>
      </c>
      <c r="J1351" s="21" t="str">
        <f aca="false">INDEX(Students!$C$2:$C$601,MATCH(B1351,Students!$A$2:$A$601,0))</f>
        <v>Batch 2025</v>
      </c>
      <c r="K1351" s="21" t="str">
        <f aca="false">INDEX(Students!$D$2:$D$601,MATCH(B1351,Students!$A$2:$A$601,0))</f>
        <v>Data Science &amp; ML</v>
      </c>
      <c r="L1351" s="21" t="str">
        <f aca="false">INDEX(Companies!$C$2:$C$31,MATCH(C1351,Companies!$A$2:$A$31,0))</f>
        <v>IT Services</v>
      </c>
      <c r="M1351" s="21" t="str">
        <f aca="false">INDEX(Companies!$D$2:$D$31,MATCH(C1351,Companies!$A$2:$A$31,0))</f>
        <v>Tier 3</v>
      </c>
      <c r="N1351" s="34" t="n">
        <f aca="false">MATCH(F1351,Assumptions!$K$4:$K$8,0)</f>
        <v>5</v>
      </c>
      <c r="O1351" s="21" t="str">
        <f aca="false">IF(H1351="Yes",MONTH(I1351),"")</f>
        <v/>
      </c>
      <c r="P1351" s="21" t="str">
        <f aca="false">IF(H1351="Yes",B1351,"")</f>
        <v/>
      </c>
    </row>
    <row r="1352" customFormat="false" ht="15" hidden="false" customHeight="false" outlineLevel="0" collapsed="false">
      <c r="A1352" s="21" t="s">
        <v>2567</v>
      </c>
      <c r="B1352" s="21" t="s">
        <v>690</v>
      </c>
      <c r="C1352" s="21" t="s">
        <v>1187</v>
      </c>
      <c r="D1352" s="21" t="s">
        <v>1191</v>
      </c>
      <c r="E1352" s="33" t="n">
        <v>45581</v>
      </c>
      <c r="F1352" s="21" t="s">
        <v>1175</v>
      </c>
      <c r="G1352" s="32"/>
      <c r="H1352" s="21"/>
      <c r="I1352" s="33"/>
      <c r="J1352" s="21" t="str">
        <f aca="false">INDEX(Students!$C$2:$C$601,MATCH(B1352,Students!$A$2:$A$601,0))</f>
        <v>Batch 2025</v>
      </c>
      <c r="K1352" s="21" t="str">
        <f aca="false">INDEX(Students!$D$2:$D$601,MATCH(B1352,Students!$A$2:$A$601,0))</f>
        <v>DSA with Java</v>
      </c>
      <c r="L1352" s="21" t="str">
        <f aca="false">INDEX(Companies!$C$2:$C$31,MATCH(C1352,Companies!$A$2:$A$31,0))</f>
        <v>Product</v>
      </c>
      <c r="M1352" s="21" t="str">
        <f aca="false">INDEX(Companies!$D$2:$D$31,MATCH(C1352,Companies!$A$2:$A$31,0))</f>
        <v>Tier 1</v>
      </c>
      <c r="N1352" s="34" t="n">
        <f aca="false">MATCH(F1352,Assumptions!$K$4:$K$8,0)</f>
        <v>1</v>
      </c>
      <c r="O1352" s="21" t="str">
        <f aca="false">IF(H1352="Yes",MONTH(I1352),"")</f>
        <v/>
      </c>
      <c r="P1352" s="21" t="str">
        <f aca="false">IF(H1352="Yes",B1352,"")</f>
        <v/>
      </c>
    </row>
    <row r="1353" customFormat="false" ht="15" hidden="false" customHeight="false" outlineLevel="0" collapsed="false">
      <c r="A1353" s="21" t="s">
        <v>2568</v>
      </c>
      <c r="B1353" s="21" t="s">
        <v>668</v>
      </c>
      <c r="C1353" s="21" t="s">
        <v>1263</v>
      </c>
      <c r="D1353" s="21" t="s">
        <v>1243</v>
      </c>
      <c r="E1353" s="33" t="n">
        <v>45582</v>
      </c>
      <c r="F1353" s="21" t="s">
        <v>1185</v>
      </c>
      <c r="G1353" s="32" t="n">
        <v>9.4</v>
      </c>
      <c r="H1353" s="21" t="s">
        <v>120</v>
      </c>
      <c r="I1353" s="33" t="n">
        <v>45623</v>
      </c>
      <c r="J1353" s="21" t="str">
        <f aca="false">INDEX(Students!$C$2:$C$601,MATCH(B1353,Students!$A$2:$A$601,0))</f>
        <v>Batch 2025</v>
      </c>
      <c r="K1353" s="21" t="str">
        <f aca="false">INDEX(Students!$D$2:$D$601,MATCH(B1353,Students!$A$2:$A$601,0))</f>
        <v>Data Science &amp; ML</v>
      </c>
      <c r="L1353" s="21" t="str">
        <f aca="false">INDEX(Companies!$C$2:$C$31,MATCH(C1353,Companies!$A$2:$A$31,0))</f>
        <v>Analytics &amp; Consulting</v>
      </c>
      <c r="M1353" s="21" t="str">
        <f aca="false">INDEX(Companies!$D$2:$D$31,MATCH(C1353,Companies!$A$2:$A$31,0))</f>
        <v>Tier 2</v>
      </c>
      <c r="N1353" s="34" t="n">
        <f aca="false">MATCH(F1353,Assumptions!$K$4:$K$8,0)</f>
        <v>5</v>
      </c>
      <c r="O1353" s="21" t="n">
        <f aca="false">IF(H1353="Yes",MONTH(I1353),"")</f>
        <v>11</v>
      </c>
      <c r="P1353" s="21" t="str">
        <f aca="false">IF(H1353="Yes",B1353,"")</f>
        <v>S0300</v>
      </c>
    </row>
    <row r="1354" customFormat="false" ht="15" hidden="false" customHeight="false" outlineLevel="0" collapsed="false">
      <c r="A1354" s="21" t="s">
        <v>2569</v>
      </c>
      <c r="B1354" s="21" t="s">
        <v>668</v>
      </c>
      <c r="C1354" s="21" t="s">
        <v>1322</v>
      </c>
      <c r="D1354" s="21" t="s">
        <v>1243</v>
      </c>
      <c r="E1354" s="33" t="n">
        <v>45582</v>
      </c>
      <c r="F1354" s="21" t="s">
        <v>1218</v>
      </c>
      <c r="G1354" s="32"/>
      <c r="H1354" s="21"/>
      <c r="I1354" s="33"/>
      <c r="J1354" s="21" t="str">
        <f aca="false">INDEX(Students!$C$2:$C$601,MATCH(B1354,Students!$A$2:$A$601,0))</f>
        <v>Batch 2025</v>
      </c>
      <c r="K1354" s="21" t="str">
        <f aca="false">INDEX(Students!$D$2:$D$601,MATCH(B1354,Students!$A$2:$A$601,0))</f>
        <v>Data Science &amp; ML</v>
      </c>
      <c r="L1354" s="21" t="str">
        <f aca="false">INDEX(Companies!$C$2:$C$31,MATCH(C1354,Companies!$A$2:$A$31,0))</f>
        <v>Healthtech</v>
      </c>
      <c r="M1354" s="21" t="str">
        <f aca="false">INDEX(Companies!$D$2:$D$31,MATCH(C1354,Companies!$A$2:$A$31,0))</f>
        <v>Tier 2</v>
      </c>
      <c r="N1354" s="34" t="n">
        <f aca="false">MATCH(F1354,Assumptions!$K$4:$K$8,0)</f>
        <v>4</v>
      </c>
      <c r="O1354" s="21" t="str">
        <f aca="false">IF(H1354="Yes",MONTH(I1354),"")</f>
        <v/>
      </c>
      <c r="P1354" s="21" t="str">
        <f aca="false">IF(H1354="Yes",B1354,"")</f>
        <v/>
      </c>
    </row>
    <row r="1355" customFormat="false" ht="15" hidden="false" customHeight="false" outlineLevel="0" collapsed="false">
      <c r="A1355" s="21" t="s">
        <v>2570</v>
      </c>
      <c r="B1355" s="21" t="s">
        <v>647</v>
      </c>
      <c r="C1355" s="21" t="s">
        <v>1205</v>
      </c>
      <c r="D1355" s="21" t="s">
        <v>1194</v>
      </c>
      <c r="E1355" s="33" t="n">
        <v>45582</v>
      </c>
      <c r="F1355" s="21" t="s">
        <v>1197</v>
      </c>
      <c r="G1355" s="32"/>
      <c r="H1355" s="21"/>
      <c r="I1355" s="33"/>
      <c r="J1355" s="21" t="str">
        <f aca="false">INDEX(Students!$C$2:$C$601,MATCH(B1355,Students!$A$2:$A$601,0))</f>
        <v>Batch 2025</v>
      </c>
      <c r="K1355" s="21" t="str">
        <f aca="false">INDEX(Students!$D$2:$D$601,MATCH(B1355,Students!$A$2:$A$601,0))</f>
        <v>Data Science &amp; ML</v>
      </c>
      <c r="L1355" s="21" t="str">
        <f aca="false">INDEX(Companies!$C$2:$C$31,MATCH(C1355,Companies!$A$2:$A$31,0))</f>
        <v>Healthtech</v>
      </c>
      <c r="M1355" s="21" t="str">
        <f aca="false">INDEX(Companies!$D$2:$D$31,MATCH(C1355,Companies!$A$2:$A$31,0))</f>
        <v>Tier 3</v>
      </c>
      <c r="N1355" s="34" t="n">
        <f aca="false">MATCH(F1355,Assumptions!$K$4:$K$8,0)</f>
        <v>3</v>
      </c>
      <c r="O1355" s="21" t="str">
        <f aca="false">IF(H1355="Yes",MONTH(I1355),"")</f>
        <v/>
      </c>
      <c r="P1355" s="21" t="str">
        <f aca="false">IF(H1355="Yes",B1355,"")</f>
        <v/>
      </c>
    </row>
    <row r="1356" customFormat="false" ht="15" hidden="false" customHeight="false" outlineLevel="0" collapsed="false">
      <c r="A1356" s="21" t="s">
        <v>2571</v>
      </c>
      <c r="B1356" s="21" t="s">
        <v>476</v>
      </c>
      <c r="C1356" s="21" t="s">
        <v>1263</v>
      </c>
      <c r="D1356" s="21" t="s">
        <v>1174</v>
      </c>
      <c r="E1356" s="33" t="n">
        <v>45582</v>
      </c>
      <c r="F1356" s="21" t="s">
        <v>1185</v>
      </c>
      <c r="G1356" s="32" t="n">
        <v>10.7</v>
      </c>
      <c r="H1356" s="21" t="s">
        <v>113</v>
      </c>
      <c r="I1356" s="33" t="n">
        <v>45603</v>
      </c>
      <c r="J1356" s="21" t="str">
        <f aca="false">INDEX(Students!$C$2:$C$601,MATCH(B1356,Students!$A$2:$A$601,0))</f>
        <v>Batch 2025</v>
      </c>
      <c r="K1356" s="21" t="str">
        <f aca="false">INDEX(Students!$D$2:$D$601,MATCH(B1356,Students!$A$2:$A$601,0))</f>
        <v>Full Stack Development</v>
      </c>
      <c r="L1356" s="21" t="str">
        <f aca="false">INDEX(Companies!$C$2:$C$31,MATCH(C1356,Companies!$A$2:$A$31,0))</f>
        <v>Analytics &amp; Consulting</v>
      </c>
      <c r="M1356" s="21" t="str">
        <f aca="false">INDEX(Companies!$D$2:$D$31,MATCH(C1356,Companies!$A$2:$A$31,0))</f>
        <v>Tier 2</v>
      </c>
      <c r="N1356" s="34" t="n">
        <f aca="false">MATCH(F1356,Assumptions!$K$4:$K$8,0)</f>
        <v>5</v>
      </c>
      <c r="O1356" s="21" t="str">
        <f aca="false">IF(H1356="Yes",MONTH(I1356),"")</f>
        <v/>
      </c>
      <c r="P1356" s="21" t="str">
        <f aca="false">IF(H1356="Yes",B1356,"")</f>
        <v/>
      </c>
    </row>
    <row r="1357" customFormat="false" ht="15" hidden="false" customHeight="false" outlineLevel="0" collapsed="false">
      <c r="A1357" s="21" t="s">
        <v>2572</v>
      </c>
      <c r="B1357" s="21" t="s">
        <v>758</v>
      </c>
      <c r="C1357" s="21" t="s">
        <v>1222</v>
      </c>
      <c r="D1357" s="21" t="s">
        <v>1209</v>
      </c>
      <c r="E1357" s="33" t="n">
        <v>45582</v>
      </c>
      <c r="F1357" s="21" t="s">
        <v>1178</v>
      </c>
      <c r="G1357" s="32"/>
      <c r="H1357" s="21"/>
      <c r="I1357" s="33"/>
      <c r="J1357" s="21" t="str">
        <f aca="false">INDEX(Students!$C$2:$C$601,MATCH(B1357,Students!$A$2:$A$601,0))</f>
        <v>Batch 2025</v>
      </c>
      <c r="K1357" s="21" t="str">
        <f aca="false">INDEX(Students!$D$2:$D$601,MATCH(B1357,Students!$A$2:$A$601,0))</f>
        <v>Data Analytics</v>
      </c>
      <c r="L1357" s="21" t="str">
        <f aca="false">INDEX(Companies!$C$2:$C$31,MATCH(C1357,Companies!$A$2:$A$31,0))</f>
        <v>Product</v>
      </c>
      <c r="M1357" s="21" t="str">
        <f aca="false">INDEX(Companies!$D$2:$D$31,MATCH(C1357,Companies!$A$2:$A$31,0))</f>
        <v>Tier 2</v>
      </c>
      <c r="N1357" s="34" t="n">
        <f aca="false">MATCH(F1357,Assumptions!$K$4:$K$8,0)</f>
        <v>2</v>
      </c>
      <c r="O1357" s="21" t="str">
        <f aca="false">IF(H1357="Yes",MONTH(I1357),"")</f>
        <v/>
      </c>
      <c r="P1357" s="21" t="str">
        <f aca="false">IF(H1357="Yes",B1357,"")</f>
        <v/>
      </c>
    </row>
    <row r="1358" customFormat="false" ht="15" hidden="false" customHeight="false" outlineLevel="0" collapsed="false">
      <c r="A1358" s="21" t="s">
        <v>2573</v>
      </c>
      <c r="B1358" s="21" t="s">
        <v>563</v>
      </c>
      <c r="C1358" s="21" t="s">
        <v>1239</v>
      </c>
      <c r="D1358" s="21" t="s">
        <v>1174</v>
      </c>
      <c r="E1358" s="33" t="n">
        <v>45582</v>
      </c>
      <c r="F1358" s="21" t="s">
        <v>1185</v>
      </c>
      <c r="G1358" s="32" t="n">
        <v>5.9</v>
      </c>
      <c r="H1358" s="21" t="s">
        <v>120</v>
      </c>
      <c r="I1358" s="33" t="n">
        <v>45611</v>
      </c>
      <c r="J1358" s="21" t="str">
        <f aca="false">INDEX(Students!$C$2:$C$601,MATCH(B1358,Students!$A$2:$A$601,0))</f>
        <v>Batch 2025</v>
      </c>
      <c r="K1358" s="21" t="str">
        <f aca="false">INDEX(Students!$D$2:$D$601,MATCH(B1358,Students!$A$2:$A$601,0))</f>
        <v>Full Stack Development</v>
      </c>
      <c r="L1358" s="21" t="str">
        <f aca="false">INDEX(Companies!$C$2:$C$31,MATCH(C1358,Companies!$A$2:$A$31,0))</f>
        <v>E-commerce</v>
      </c>
      <c r="M1358" s="21" t="str">
        <f aca="false">INDEX(Companies!$D$2:$D$31,MATCH(C1358,Companies!$A$2:$A$31,0))</f>
        <v>Tier 3</v>
      </c>
      <c r="N1358" s="34" t="n">
        <f aca="false">MATCH(F1358,Assumptions!$K$4:$K$8,0)</f>
        <v>5</v>
      </c>
      <c r="O1358" s="21" t="n">
        <f aca="false">IF(H1358="Yes",MONTH(I1358),"")</f>
        <v>11</v>
      </c>
      <c r="P1358" s="21" t="str">
        <f aca="false">IF(H1358="Yes",B1358,"")</f>
        <v>S0241</v>
      </c>
    </row>
    <row r="1359" customFormat="false" ht="15" hidden="false" customHeight="false" outlineLevel="0" collapsed="false">
      <c r="A1359" s="21" t="s">
        <v>2574</v>
      </c>
      <c r="B1359" s="21" t="s">
        <v>614</v>
      </c>
      <c r="C1359" s="21" t="s">
        <v>1255</v>
      </c>
      <c r="D1359" s="21" t="s">
        <v>1194</v>
      </c>
      <c r="E1359" s="33" t="n">
        <v>45583</v>
      </c>
      <c r="F1359" s="21" t="s">
        <v>1197</v>
      </c>
      <c r="G1359" s="32"/>
      <c r="H1359" s="21"/>
      <c r="I1359" s="33"/>
      <c r="J1359" s="21" t="str">
        <f aca="false">INDEX(Students!$C$2:$C$601,MATCH(B1359,Students!$A$2:$A$601,0))</f>
        <v>Batch 2025</v>
      </c>
      <c r="K1359" s="21" t="str">
        <f aca="false">INDEX(Students!$D$2:$D$601,MATCH(B1359,Students!$A$2:$A$601,0))</f>
        <v>Data Science &amp; ML</v>
      </c>
      <c r="L1359" s="21" t="str">
        <f aca="false">INDEX(Companies!$C$2:$C$31,MATCH(C1359,Companies!$A$2:$A$31,0))</f>
        <v>IT Services</v>
      </c>
      <c r="M1359" s="21" t="str">
        <f aca="false">INDEX(Companies!$D$2:$D$31,MATCH(C1359,Companies!$A$2:$A$31,0))</f>
        <v>Tier 3</v>
      </c>
      <c r="N1359" s="34" t="n">
        <f aca="false">MATCH(F1359,Assumptions!$K$4:$K$8,0)</f>
        <v>3</v>
      </c>
      <c r="O1359" s="21" t="str">
        <f aca="false">IF(H1359="Yes",MONTH(I1359),"")</f>
        <v/>
      </c>
      <c r="P1359" s="21" t="str">
        <f aca="false">IF(H1359="Yes",B1359,"")</f>
        <v/>
      </c>
    </row>
    <row r="1360" customFormat="false" ht="15" hidden="false" customHeight="false" outlineLevel="0" collapsed="false">
      <c r="A1360" s="21" t="s">
        <v>2575</v>
      </c>
      <c r="B1360" s="21" t="s">
        <v>468</v>
      </c>
      <c r="C1360" s="21" t="s">
        <v>1203</v>
      </c>
      <c r="D1360" s="21" t="s">
        <v>1181</v>
      </c>
      <c r="E1360" s="33" t="n">
        <v>45583</v>
      </c>
      <c r="F1360" s="21" t="s">
        <v>1178</v>
      </c>
      <c r="G1360" s="32"/>
      <c r="H1360" s="21"/>
      <c r="I1360" s="33"/>
      <c r="J1360" s="21" t="str">
        <f aca="false">INDEX(Students!$C$2:$C$601,MATCH(B1360,Students!$A$2:$A$601,0))</f>
        <v>Batch 2025</v>
      </c>
      <c r="K1360" s="21" t="str">
        <f aca="false">INDEX(Students!$D$2:$D$601,MATCH(B1360,Students!$A$2:$A$601,0))</f>
        <v>Full Stack Development</v>
      </c>
      <c r="L1360" s="21" t="str">
        <f aca="false">INDEX(Companies!$C$2:$C$31,MATCH(C1360,Companies!$A$2:$A$31,0))</f>
        <v>Healthtech</v>
      </c>
      <c r="M1360" s="21" t="str">
        <f aca="false">INDEX(Companies!$D$2:$D$31,MATCH(C1360,Companies!$A$2:$A$31,0))</f>
        <v>Tier 2</v>
      </c>
      <c r="N1360" s="34" t="n">
        <f aca="false">MATCH(F1360,Assumptions!$K$4:$K$8,0)</f>
        <v>2</v>
      </c>
      <c r="O1360" s="21" t="str">
        <f aca="false">IF(H1360="Yes",MONTH(I1360),"")</f>
        <v/>
      </c>
      <c r="P1360" s="21" t="str">
        <f aca="false">IF(H1360="Yes",B1360,"")</f>
        <v/>
      </c>
    </row>
    <row r="1361" customFormat="false" ht="15" hidden="false" customHeight="false" outlineLevel="0" collapsed="false">
      <c r="A1361" s="21" t="s">
        <v>2576</v>
      </c>
      <c r="B1361" s="21" t="s">
        <v>584</v>
      </c>
      <c r="C1361" s="21" t="s">
        <v>1180</v>
      </c>
      <c r="D1361" s="21" t="s">
        <v>1191</v>
      </c>
      <c r="E1361" s="33" t="n">
        <v>45584</v>
      </c>
      <c r="F1361" s="21" t="s">
        <v>1185</v>
      </c>
      <c r="G1361" s="32" t="n">
        <v>6.3</v>
      </c>
      <c r="H1361" s="21" t="s">
        <v>113</v>
      </c>
      <c r="I1361" s="33" t="n">
        <v>45618</v>
      </c>
      <c r="J1361" s="21" t="str">
        <f aca="false">INDEX(Students!$C$2:$C$601,MATCH(B1361,Students!$A$2:$A$601,0))</f>
        <v>Batch 2025</v>
      </c>
      <c r="K1361" s="21" t="str">
        <f aca="false">INDEX(Students!$D$2:$D$601,MATCH(B1361,Students!$A$2:$A$601,0))</f>
        <v>DSA with Java</v>
      </c>
      <c r="L1361" s="21" t="str">
        <f aca="false">INDEX(Companies!$C$2:$C$31,MATCH(C1361,Companies!$A$2:$A$31,0))</f>
        <v>IT Services</v>
      </c>
      <c r="M1361" s="21" t="str">
        <f aca="false">INDEX(Companies!$D$2:$D$31,MATCH(C1361,Companies!$A$2:$A$31,0))</f>
        <v>Tier 3</v>
      </c>
      <c r="N1361" s="34" t="n">
        <f aca="false">MATCH(F1361,Assumptions!$K$4:$K$8,0)</f>
        <v>5</v>
      </c>
      <c r="O1361" s="21" t="str">
        <f aca="false">IF(H1361="Yes",MONTH(I1361),"")</f>
        <v/>
      </c>
      <c r="P1361" s="21" t="str">
        <f aca="false">IF(H1361="Yes",B1361,"")</f>
        <v/>
      </c>
    </row>
    <row r="1362" customFormat="false" ht="15" hidden="false" customHeight="false" outlineLevel="0" collapsed="false">
      <c r="A1362" s="21" t="s">
        <v>2577</v>
      </c>
      <c r="B1362" s="21" t="s">
        <v>718</v>
      </c>
      <c r="C1362" s="21" t="s">
        <v>1230</v>
      </c>
      <c r="D1362" s="21" t="s">
        <v>1191</v>
      </c>
      <c r="E1362" s="33" t="n">
        <v>45584</v>
      </c>
      <c r="F1362" s="21" t="s">
        <v>1185</v>
      </c>
      <c r="G1362" s="32" t="n">
        <v>5</v>
      </c>
      <c r="H1362" s="21" t="s">
        <v>113</v>
      </c>
      <c r="I1362" s="33" t="n">
        <v>45614</v>
      </c>
      <c r="J1362" s="21" t="str">
        <f aca="false">INDEX(Students!$C$2:$C$601,MATCH(B1362,Students!$A$2:$A$601,0))</f>
        <v>Batch 2025</v>
      </c>
      <c r="K1362" s="21" t="str">
        <f aca="false">INDEX(Students!$D$2:$D$601,MATCH(B1362,Students!$A$2:$A$601,0))</f>
        <v>DSA with Java</v>
      </c>
      <c r="L1362" s="21" t="str">
        <f aca="false">INDEX(Companies!$C$2:$C$31,MATCH(C1362,Companies!$A$2:$A$31,0))</f>
        <v>IT Services</v>
      </c>
      <c r="M1362" s="21" t="str">
        <f aca="false">INDEX(Companies!$D$2:$D$31,MATCH(C1362,Companies!$A$2:$A$31,0))</f>
        <v>Tier 3</v>
      </c>
      <c r="N1362" s="34" t="n">
        <f aca="false">MATCH(F1362,Assumptions!$K$4:$K$8,0)</f>
        <v>5</v>
      </c>
      <c r="O1362" s="21" t="str">
        <f aca="false">IF(H1362="Yes",MONTH(I1362),"")</f>
        <v/>
      </c>
      <c r="P1362" s="21" t="str">
        <f aca="false">IF(H1362="Yes",B1362,"")</f>
        <v/>
      </c>
    </row>
    <row r="1363" customFormat="false" ht="15" hidden="false" customHeight="false" outlineLevel="0" collapsed="false">
      <c r="A1363" s="21" t="s">
        <v>2578</v>
      </c>
      <c r="B1363" s="21" t="s">
        <v>554</v>
      </c>
      <c r="C1363" s="21" t="s">
        <v>1290</v>
      </c>
      <c r="D1363" s="21" t="s">
        <v>1184</v>
      </c>
      <c r="E1363" s="33" t="n">
        <v>45584</v>
      </c>
      <c r="F1363" s="21" t="s">
        <v>1197</v>
      </c>
      <c r="G1363" s="32"/>
      <c r="H1363" s="21"/>
      <c r="I1363" s="33"/>
      <c r="J1363" s="21" t="str">
        <f aca="false">INDEX(Students!$C$2:$C$601,MATCH(B1363,Students!$A$2:$A$601,0))</f>
        <v>Batch 2025</v>
      </c>
      <c r="K1363" s="21" t="str">
        <f aca="false">INDEX(Students!$D$2:$D$601,MATCH(B1363,Students!$A$2:$A$601,0))</f>
        <v>DSA with Java</v>
      </c>
      <c r="L1363" s="21" t="str">
        <f aca="false">INDEX(Companies!$C$2:$C$31,MATCH(C1363,Companies!$A$2:$A$31,0))</f>
        <v>Fintech</v>
      </c>
      <c r="M1363" s="21" t="str">
        <f aca="false">INDEX(Companies!$D$2:$D$31,MATCH(C1363,Companies!$A$2:$A$31,0))</f>
        <v>Tier 2</v>
      </c>
      <c r="N1363" s="34" t="n">
        <f aca="false">MATCH(F1363,Assumptions!$K$4:$K$8,0)</f>
        <v>3</v>
      </c>
      <c r="O1363" s="21" t="str">
        <f aca="false">IF(H1363="Yes",MONTH(I1363),"")</f>
        <v/>
      </c>
      <c r="P1363" s="21" t="str">
        <f aca="false">IF(H1363="Yes",B1363,"")</f>
        <v/>
      </c>
    </row>
    <row r="1364" customFormat="false" ht="15" hidden="false" customHeight="false" outlineLevel="0" collapsed="false">
      <c r="A1364" s="21" t="s">
        <v>2579</v>
      </c>
      <c r="B1364" s="21" t="s">
        <v>677</v>
      </c>
      <c r="C1364" s="21" t="s">
        <v>1173</v>
      </c>
      <c r="D1364" s="21" t="s">
        <v>1174</v>
      </c>
      <c r="E1364" s="33" t="n">
        <v>45585</v>
      </c>
      <c r="F1364" s="21" t="s">
        <v>1178</v>
      </c>
      <c r="G1364" s="32"/>
      <c r="H1364" s="21"/>
      <c r="I1364" s="33"/>
      <c r="J1364" s="21" t="str">
        <f aca="false">INDEX(Students!$C$2:$C$601,MATCH(B1364,Students!$A$2:$A$601,0))</f>
        <v>Batch 2025</v>
      </c>
      <c r="K1364" s="21" t="str">
        <f aca="false">INDEX(Students!$D$2:$D$601,MATCH(B1364,Students!$A$2:$A$601,0))</f>
        <v>Full Stack Development</v>
      </c>
      <c r="L1364" s="21" t="str">
        <f aca="false">INDEX(Companies!$C$2:$C$31,MATCH(C1364,Companies!$A$2:$A$31,0))</f>
        <v>Cybersecurity</v>
      </c>
      <c r="M1364" s="21" t="str">
        <f aca="false">INDEX(Companies!$D$2:$D$31,MATCH(C1364,Companies!$A$2:$A$31,0))</f>
        <v>Tier 1</v>
      </c>
      <c r="N1364" s="34" t="n">
        <f aca="false">MATCH(F1364,Assumptions!$K$4:$K$8,0)</f>
        <v>2</v>
      </c>
      <c r="O1364" s="21" t="str">
        <f aca="false">IF(H1364="Yes",MONTH(I1364),"")</f>
        <v/>
      </c>
      <c r="P1364" s="21" t="str">
        <f aca="false">IF(H1364="Yes",B1364,"")</f>
        <v/>
      </c>
    </row>
    <row r="1365" customFormat="false" ht="15" hidden="false" customHeight="false" outlineLevel="0" collapsed="false">
      <c r="A1365" s="21" t="s">
        <v>2580</v>
      </c>
      <c r="B1365" s="21" t="s">
        <v>591</v>
      </c>
      <c r="C1365" s="21" t="s">
        <v>1199</v>
      </c>
      <c r="D1365" s="21" t="s">
        <v>1188</v>
      </c>
      <c r="E1365" s="33" t="n">
        <v>45585</v>
      </c>
      <c r="F1365" s="21" t="s">
        <v>1178</v>
      </c>
      <c r="G1365" s="32"/>
      <c r="H1365" s="21"/>
      <c r="I1365" s="33"/>
      <c r="J1365" s="21" t="str">
        <f aca="false">INDEX(Students!$C$2:$C$601,MATCH(B1365,Students!$A$2:$A$601,0))</f>
        <v>Batch 2025</v>
      </c>
      <c r="K1365" s="21" t="str">
        <f aca="false">INDEX(Students!$D$2:$D$601,MATCH(B1365,Students!$A$2:$A$601,0))</f>
        <v>Data Analytics</v>
      </c>
      <c r="L1365" s="21" t="str">
        <f aca="false">INDEX(Companies!$C$2:$C$31,MATCH(C1365,Companies!$A$2:$A$31,0))</f>
        <v>E-commerce</v>
      </c>
      <c r="M1365" s="21" t="str">
        <f aca="false">INDEX(Companies!$D$2:$D$31,MATCH(C1365,Companies!$A$2:$A$31,0))</f>
        <v>Tier 2</v>
      </c>
      <c r="N1365" s="34" t="n">
        <f aca="false">MATCH(F1365,Assumptions!$K$4:$K$8,0)</f>
        <v>2</v>
      </c>
      <c r="O1365" s="21" t="str">
        <f aca="false">IF(H1365="Yes",MONTH(I1365),"")</f>
        <v/>
      </c>
      <c r="P1365" s="21" t="str">
        <f aca="false">IF(H1365="Yes",B1365,"")</f>
        <v/>
      </c>
    </row>
    <row r="1366" customFormat="false" ht="15" hidden="false" customHeight="false" outlineLevel="0" collapsed="false">
      <c r="A1366" s="21" t="s">
        <v>2581</v>
      </c>
      <c r="B1366" s="21" t="s">
        <v>530</v>
      </c>
      <c r="C1366" s="21" t="s">
        <v>1201</v>
      </c>
      <c r="D1366" s="21" t="s">
        <v>1226</v>
      </c>
      <c r="E1366" s="33" t="n">
        <v>45586</v>
      </c>
      <c r="F1366" s="21" t="s">
        <v>1185</v>
      </c>
      <c r="G1366" s="32" t="n">
        <v>7.1</v>
      </c>
      <c r="H1366" s="21" t="s">
        <v>113</v>
      </c>
      <c r="I1366" s="33" t="n">
        <v>45611</v>
      </c>
      <c r="J1366" s="21" t="str">
        <f aca="false">INDEX(Students!$C$2:$C$601,MATCH(B1366,Students!$A$2:$A$601,0))</f>
        <v>Batch 2025</v>
      </c>
      <c r="K1366" s="21" t="str">
        <f aca="false">INDEX(Students!$D$2:$D$601,MATCH(B1366,Students!$A$2:$A$601,0))</f>
        <v>Cybersecurity</v>
      </c>
      <c r="L1366" s="21" t="str">
        <f aca="false">INDEX(Companies!$C$2:$C$31,MATCH(C1366,Companies!$A$2:$A$31,0))</f>
        <v>IT Services</v>
      </c>
      <c r="M1366" s="21" t="str">
        <f aca="false">INDEX(Companies!$D$2:$D$31,MATCH(C1366,Companies!$A$2:$A$31,0))</f>
        <v>Tier 3</v>
      </c>
      <c r="N1366" s="34" t="n">
        <f aca="false">MATCH(F1366,Assumptions!$K$4:$K$8,0)</f>
        <v>5</v>
      </c>
      <c r="O1366" s="21" t="str">
        <f aca="false">IF(H1366="Yes",MONTH(I1366),"")</f>
        <v/>
      </c>
      <c r="P1366" s="21" t="str">
        <f aca="false">IF(H1366="Yes",B1366,"")</f>
        <v/>
      </c>
    </row>
    <row r="1367" customFormat="false" ht="15" hidden="false" customHeight="false" outlineLevel="0" collapsed="false">
      <c r="A1367" s="21" t="s">
        <v>2582</v>
      </c>
      <c r="B1367" s="21" t="s">
        <v>798</v>
      </c>
      <c r="C1367" s="21" t="s">
        <v>1180</v>
      </c>
      <c r="D1367" s="21" t="s">
        <v>1174</v>
      </c>
      <c r="E1367" s="33" t="n">
        <v>45586</v>
      </c>
      <c r="F1367" s="21" t="s">
        <v>1178</v>
      </c>
      <c r="G1367" s="32"/>
      <c r="H1367" s="21"/>
      <c r="I1367" s="33"/>
      <c r="J1367" s="21" t="str">
        <f aca="false">INDEX(Students!$C$2:$C$601,MATCH(B1367,Students!$A$2:$A$601,0))</f>
        <v>Batch 2025</v>
      </c>
      <c r="K1367" s="21" t="str">
        <f aca="false">INDEX(Students!$D$2:$D$601,MATCH(B1367,Students!$A$2:$A$601,0))</f>
        <v>Full Stack Development</v>
      </c>
      <c r="L1367" s="21" t="str">
        <f aca="false">INDEX(Companies!$C$2:$C$31,MATCH(C1367,Companies!$A$2:$A$31,0))</f>
        <v>IT Services</v>
      </c>
      <c r="M1367" s="21" t="str">
        <f aca="false">INDEX(Companies!$D$2:$D$31,MATCH(C1367,Companies!$A$2:$A$31,0))</f>
        <v>Tier 3</v>
      </c>
      <c r="N1367" s="34" t="n">
        <f aca="false">MATCH(F1367,Assumptions!$K$4:$K$8,0)</f>
        <v>2</v>
      </c>
      <c r="O1367" s="21" t="str">
        <f aca="false">IF(H1367="Yes",MONTH(I1367),"")</f>
        <v/>
      </c>
      <c r="P1367" s="21" t="str">
        <f aca="false">IF(H1367="Yes",B1367,"")</f>
        <v/>
      </c>
    </row>
    <row r="1368" customFormat="false" ht="15" hidden="false" customHeight="false" outlineLevel="0" collapsed="false">
      <c r="A1368" s="21" t="s">
        <v>2583</v>
      </c>
      <c r="B1368" s="21" t="s">
        <v>649</v>
      </c>
      <c r="C1368" s="21" t="s">
        <v>1177</v>
      </c>
      <c r="D1368" s="21" t="s">
        <v>1184</v>
      </c>
      <c r="E1368" s="33" t="n">
        <v>45586</v>
      </c>
      <c r="F1368" s="21" t="s">
        <v>1218</v>
      </c>
      <c r="G1368" s="32"/>
      <c r="H1368" s="21"/>
      <c r="I1368" s="33"/>
      <c r="J1368" s="21" t="str">
        <f aca="false">INDEX(Students!$C$2:$C$601,MATCH(B1368,Students!$A$2:$A$601,0))</f>
        <v>Batch 2025</v>
      </c>
      <c r="K1368" s="21" t="str">
        <f aca="false">INDEX(Students!$D$2:$D$601,MATCH(B1368,Students!$A$2:$A$601,0))</f>
        <v>DSA with Java</v>
      </c>
      <c r="L1368" s="21" t="str">
        <f aca="false">INDEX(Companies!$C$2:$C$31,MATCH(C1368,Companies!$A$2:$A$31,0))</f>
        <v>IT Services</v>
      </c>
      <c r="M1368" s="21" t="str">
        <f aca="false">INDEX(Companies!$D$2:$D$31,MATCH(C1368,Companies!$A$2:$A$31,0))</f>
        <v>Tier 3</v>
      </c>
      <c r="N1368" s="34" t="n">
        <f aca="false">MATCH(F1368,Assumptions!$K$4:$K$8,0)</f>
        <v>4</v>
      </c>
      <c r="O1368" s="21" t="str">
        <f aca="false">IF(H1368="Yes",MONTH(I1368),"")</f>
        <v/>
      </c>
      <c r="P1368" s="21" t="str">
        <f aca="false">IF(H1368="Yes",B1368,"")</f>
        <v/>
      </c>
    </row>
    <row r="1369" customFormat="false" ht="15" hidden="false" customHeight="false" outlineLevel="0" collapsed="false">
      <c r="A1369" s="21" t="s">
        <v>2584</v>
      </c>
      <c r="B1369" s="21" t="s">
        <v>783</v>
      </c>
      <c r="C1369" s="21" t="s">
        <v>1201</v>
      </c>
      <c r="D1369" s="21" t="s">
        <v>1181</v>
      </c>
      <c r="E1369" s="33" t="n">
        <v>45586</v>
      </c>
      <c r="F1369" s="21" t="s">
        <v>1197</v>
      </c>
      <c r="G1369" s="32"/>
      <c r="H1369" s="21"/>
      <c r="I1369" s="33"/>
      <c r="J1369" s="21" t="str">
        <f aca="false">INDEX(Students!$C$2:$C$601,MATCH(B1369,Students!$A$2:$A$601,0))</f>
        <v>Batch 2025</v>
      </c>
      <c r="K1369" s="21" t="str">
        <f aca="false">INDEX(Students!$D$2:$D$601,MATCH(B1369,Students!$A$2:$A$601,0))</f>
        <v>Full Stack Development</v>
      </c>
      <c r="L1369" s="21" t="str">
        <f aca="false">INDEX(Companies!$C$2:$C$31,MATCH(C1369,Companies!$A$2:$A$31,0))</f>
        <v>IT Services</v>
      </c>
      <c r="M1369" s="21" t="str">
        <f aca="false">INDEX(Companies!$D$2:$D$31,MATCH(C1369,Companies!$A$2:$A$31,0))</f>
        <v>Tier 3</v>
      </c>
      <c r="N1369" s="34" t="n">
        <f aca="false">MATCH(F1369,Assumptions!$K$4:$K$8,0)</f>
        <v>3</v>
      </c>
      <c r="O1369" s="21" t="str">
        <f aca="false">IF(H1369="Yes",MONTH(I1369),"")</f>
        <v/>
      </c>
      <c r="P1369" s="21" t="str">
        <f aca="false">IF(H1369="Yes",B1369,"")</f>
        <v/>
      </c>
    </row>
    <row r="1370" customFormat="false" ht="15" hidden="false" customHeight="false" outlineLevel="0" collapsed="false">
      <c r="A1370" s="21" t="s">
        <v>2585</v>
      </c>
      <c r="B1370" s="21" t="s">
        <v>743</v>
      </c>
      <c r="C1370" s="21" t="s">
        <v>1216</v>
      </c>
      <c r="D1370" s="21" t="s">
        <v>1240</v>
      </c>
      <c r="E1370" s="33" t="n">
        <v>45587</v>
      </c>
      <c r="F1370" s="21" t="s">
        <v>1197</v>
      </c>
      <c r="G1370" s="32"/>
      <c r="H1370" s="21"/>
      <c r="I1370" s="33"/>
      <c r="J1370" s="21" t="str">
        <f aca="false">INDEX(Students!$C$2:$C$601,MATCH(B1370,Students!$A$2:$A$601,0))</f>
        <v>Batch 2025</v>
      </c>
      <c r="K1370" s="21" t="str">
        <f aca="false">INDEX(Students!$D$2:$D$601,MATCH(B1370,Students!$A$2:$A$601,0))</f>
        <v>Cybersecurity</v>
      </c>
      <c r="L1370" s="21" t="str">
        <f aca="false">INDEX(Companies!$C$2:$C$31,MATCH(C1370,Companies!$A$2:$A$31,0))</f>
        <v>IT Services</v>
      </c>
      <c r="M1370" s="21" t="str">
        <f aca="false">INDEX(Companies!$D$2:$D$31,MATCH(C1370,Companies!$A$2:$A$31,0))</f>
        <v>Tier 3</v>
      </c>
      <c r="N1370" s="34" t="n">
        <f aca="false">MATCH(F1370,Assumptions!$K$4:$K$8,0)</f>
        <v>3</v>
      </c>
      <c r="O1370" s="21" t="str">
        <f aca="false">IF(H1370="Yes",MONTH(I1370),"")</f>
        <v/>
      </c>
      <c r="P1370" s="21" t="str">
        <f aca="false">IF(H1370="Yes",B1370,"")</f>
        <v/>
      </c>
    </row>
    <row r="1371" customFormat="false" ht="15" hidden="false" customHeight="false" outlineLevel="0" collapsed="false">
      <c r="A1371" s="21" t="s">
        <v>2586</v>
      </c>
      <c r="B1371" s="21" t="s">
        <v>647</v>
      </c>
      <c r="C1371" s="21" t="s">
        <v>1266</v>
      </c>
      <c r="D1371" s="21" t="s">
        <v>1243</v>
      </c>
      <c r="E1371" s="33" t="n">
        <v>45587</v>
      </c>
      <c r="F1371" s="21" t="s">
        <v>1197</v>
      </c>
      <c r="G1371" s="32"/>
      <c r="H1371" s="21"/>
      <c r="I1371" s="33"/>
      <c r="J1371" s="21" t="str">
        <f aca="false">INDEX(Students!$C$2:$C$601,MATCH(B1371,Students!$A$2:$A$601,0))</f>
        <v>Batch 2025</v>
      </c>
      <c r="K1371" s="21" t="str">
        <f aca="false">INDEX(Students!$D$2:$D$601,MATCH(B1371,Students!$A$2:$A$601,0))</f>
        <v>Data Science &amp; ML</v>
      </c>
      <c r="L1371" s="21" t="str">
        <f aca="false">INDEX(Companies!$C$2:$C$31,MATCH(C1371,Companies!$A$2:$A$31,0))</f>
        <v>IT Services</v>
      </c>
      <c r="M1371" s="21" t="str">
        <f aca="false">INDEX(Companies!$D$2:$D$31,MATCH(C1371,Companies!$A$2:$A$31,0))</f>
        <v>Tier 3</v>
      </c>
      <c r="N1371" s="34" t="n">
        <f aca="false">MATCH(F1371,Assumptions!$K$4:$K$8,0)</f>
        <v>3</v>
      </c>
      <c r="O1371" s="21" t="str">
        <f aca="false">IF(H1371="Yes",MONTH(I1371),"")</f>
        <v/>
      </c>
      <c r="P1371" s="21" t="str">
        <f aca="false">IF(H1371="Yes",B1371,"")</f>
        <v/>
      </c>
    </row>
    <row r="1372" customFormat="false" ht="15" hidden="false" customHeight="false" outlineLevel="0" collapsed="false">
      <c r="A1372" s="21" t="s">
        <v>2587</v>
      </c>
      <c r="B1372" s="21" t="s">
        <v>684</v>
      </c>
      <c r="C1372" s="21" t="s">
        <v>1230</v>
      </c>
      <c r="D1372" s="21" t="s">
        <v>1243</v>
      </c>
      <c r="E1372" s="33" t="n">
        <v>45587</v>
      </c>
      <c r="F1372" s="21" t="s">
        <v>1185</v>
      </c>
      <c r="G1372" s="32" t="n">
        <v>6.1</v>
      </c>
      <c r="H1372" s="21" t="s">
        <v>120</v>
      </c>
      <c r="I1372" s="33" t="n">
        <v>45609</v>
      </c>
      <c r="J1372" s="21" t="str">
        <f aca="false">INDEX(Students!$C$2:$C$601,MATCH(B1372,Students!$A$2:$A$601,0))</f>
        <v>Batch 2025</v>
      </c>
      <c r="K1372" s="21" t="str">
        <f aca="false">INDEX(Students!$D$2:$D$601,MATCH(B1372,Students!$A$2:$A$601,0))</f>
        <v>Data Science &amp; ML</v>
      </c>
      <c r="L1372" s="21" t="str">
        <f aca="false">INDEX(Companies!$C$2:$C$31,MATCH(C1372,Companies!$A$2:$A$31,0))</f>
        <v>IT Services</v>
      </c>
      <c r="M1372" s="21" t="str">
        <f aca="false">INDEX(Companies!$D$2:$D$31,MATCH(C1372,Companies!$A$2:$A$31,0))</f>
        <v>Tier 3</v>
      </c>
      <c r="N1372" s="34" t="n">
        <f aca="false">MATCH(F1372,Assumptions!$K$4:$K$8,0)</f>
        <v>5</v>
      </c>
      <c r="O1372" s="21" t="n">
        <f aca="false">IF(H1372="Yes",MONTH(I1372),"")</f>
        <v>11</v>
      </c>
      <c r="P1372" s="21" t="str">
        <f aca="false">IF(H1372="Yes",B1372,"")</f>
        <v>S0309</v>
      </c>
    </row>
    <row r="1373" customFormat="false" ht="15" hidden="false" customHeight="false" outlineLevel="0" collapsed="false">
      <c r="A1373" s="21" t="s">
        <v>2588</v>
      </c>
      <c r="B1373" s="21" t="s">
        <v>693</v>
      </c>
      <c r="C1373" s="21" t="s">
        <v>1201</v>
      </c>
      <c r="D1373" s="21" t="s">
        <v>1240</v>
      </c>
      <c r="E1373" s="33" t="n">
        <v>45587</v>
      </c>
      <c r="F1373" s="21" t="s">
        <v>1185</v>
      </c>
      <c r="G1373" s="32" t="n">
        <v>6</v>
      </c>
      <c r="H1373" s="21" t="s">
        <v>120</v>
      </c>
      <c r="I1373" s="33" t="n">
        <v>45627</v>
      </c>
      <c r="J1373" s="21" t="str">
        <f aca="false">INDEX(Students!$C$2:$C$601,MATCH(B1373,Students!$A$2:$A$601,0))</f>
        <v>Batch 2025</v>
      </c>
      <c r="K1373" s="21" t="str">
        <f aca="false">INDEX(Students!$D$2:$D$601,MATCH(B1373,Students!$A$2:$A$601,0))</f>
        <v>Cybersecurity</v>
      </c>
      <c r="L1373" s="21" t="str">
        <f aca="false">INDEX(Companies!$C$2:$C$31,MATCH(C1373,Companies!$A$2:$A$31,0))</f>
        <v>IT Services</v>
      </c>
      <c r="M1373" s="21" t="str">
        <f aca="false">INDEX(Companies!$D$2:$D$31,MATCH(C1373,Companies!$A$2:$A$31,0))</f>
        <v>Tier 3</v>
      </c>
      <c r="N1373" s="34" t="n">
        <f aca="false">MATCH(F1373,Assumptions!$K$4:$K$8,0)</f>
        <v>5</v>
      </c>
      <c r="O1373" s="21" t="n">
        <f aca="false">IF(H1373="Yes",MONTH(I1373),"")</f>
        <v>12</v>
      </c>
      <c r="P1373" s="21" t="str">
        <f aca="false">IF(H1373="Yes",B1373,"")</f>
        <v>S0315</v>
      </c>
    </row>
    <row r="1374" customFormat="false" ht="15" hidden="false" customHeight="false" outlineLevel="0" collapsed="false">
      <c r="A1374" s="21" t="s">
        <v>2589</v>
      </c>
      <c r="B1374" s="21" t="s">
        <v>743</v>
      </c>
      <c r="C1374" s="21" t="s">
        <v>1322</v>
      </c>
      <c r="D1374" s="21" t="s">
        <v>1226</v>
      </c>
      <c r="E1374" s="33" t="n">
        <v>45587</v>
      </c>
      <c r="F1374" s="21" t="s">
        <v>1197</v>
      </c>
      <c r="G1374" s="32"/>
      <c r="H1374" s="21"/>
      <c r="I1374" s="33"/>
      <c r="J1374" s="21" t="str">
        <f aca="false">INDEX(Students!$C$2:$C$601,MATCH(B1374,Students!$A$2:$A$601,0))</f>
        <v>Batch 2025</v>
      </c>
      <c r="K1374" s="21" t="str">
        <f aca="false">INDEX(Students!$D$2:$D$601,MATCH(B1374,Students!$A$2:$A$601,0))</f>
        <v>Cybersecurity</v>
      </c>
      <c r="L1374" s="21" t="str">
        <f aca="false">INDEX(Companies!$C$2:$C$31,MATCH(C1374,Companies!$A$2:$A$31,0))</f>
        <v>Healthtech</v>
      </c>
      <c r="M1374" s="21" t="str">
        <f aca="false">INDEX(Companies!$D$2:$D$31,MATCH(C1374,Companies!$A$2:$A$31,0))</f>
        <v>Tier 2</v>
      </c>
      <c r="N1374" s="34" t="n">
        <f aca="false">MATCH(F1374,Assumptions!$K$4:$K$8,0)</f>
        <v>3</v>
      </c>
      <c r="O1374" s="21" t="str">
        <f aca="false">IF(H1374="Yes",MONTH(I1374),"")</f>
        <v/>
      </c>
      <c r="P1374" s="21" t="str">
        <f aca="false">IF(H1374="Yes",B1374,"")</f>
        <v/>
      </c>
    </row>
    <row r="1375" customFormat="false" ht="15" hidden="false" customHeight="false" outlineLevel="0" collapsed="false">
      <c r="A1375" s="21" t="s">
        <v>2590</v>
      </c>
      <c r="B1375" s="21" t="s">
        <v>651</v>
      </c>
      <c r="C1375" s="21" t="s">
        <v>1196</v>
      </c>
      <c r="D1375" s="21" t="s">
        <v>1240</v>
      </c>
      <c r="E1375" s="33" t="n">
        <v>45588</v>
      </c>
      <c r="F1375" s="21" t="s">
        <v>1178</v>
      </c>
      <c r="G1375" s="32"/>
      <c r="H1375" s="21"/>
      <c r="I1375" s="33"/>
      <c r="J1375" s="21" t="str">
        <f aca="false">INDEX(Students!$C$2:$C$601,MATCH(B1375,Students!$A$2:$A$601,0))</f>
        <v>Batch 2025</v>
      </c>
      <c r="K1375" s="21" t="str">
        <f aca="false">INDEX(Students!$D$2:$D$601,MATCH(B1375,Students!$A$2:$A$601,0))</f>
        <v>Cybersecurity</v>
      </c>
      <c r="L1375" s="21" t="str">
        <f aca="false">INDEX(Companies!$C$2:$C$31,MATCH(C1375,Companies!$A$2:$A$31,0))</f>
        <v>IT Services</v>
      </c>
      <c r="M1375" s="21" t="str">
        <f aca="false">INDEX(Companies!$D$2:$D$31,MATCH(C1375,Companies!$A$2:$A$31,0))</f>
        <v>Tier 3</v>
      </c>
      <c r="N1375" s="34" t="n">
        <f aca="false">MATCH(F1375,Assumptions!$K$4:$K$8,0)</f>
        <v>2</v>
      </c>
      <c r="O1375" s="21" t="str">
        <f aca="false">IF(H1375="Yes",MONTH(I1375),"")</f>
        <v/>
      </c>
      <c r="P1375" s="21" t="str">
        <f aca="false">IF(H1375="Yes",B1375,"")</f>
        <v/>
      </c>
    </row>
    <row r="1376" customFormat="false" ht="15" hidden="false" customHeight="false" outlineLevel="0" collapsed="false">
      <c r="A1376" s="21" t="s">
        <v>2591</v>
      </c>
      <c r="B1376" s="21" t="s">
        <v>767</v>
      </c>
      <c r="C1376" s="21" t="s">
        <v>1203</v>
      </c>
      <c r="D1376" s="21" t="s">
        <v>1240</v>
      </c>
      <c r="E1376" s="33" t="n">
        <v>45588</v>
      </c>
      <c r="F1376" s="21" t="s">
        <v>1175</v>
      </c>
      <c r="G1376" s="32"/>
      <c r="H1376" s="21"/>
      <c r="I1376" s="33"/>
      <c r="J1376" s="21" t="str">
        <f aca="false">INDEX(Students!$C$2:$C$601,MATCH(B1376,Students!$A$2:$A$601,0))</f>
        <v>Batch 2025</v>
      </c>
      <c r="K1376" s="21" t="str">
        <f aca="false">INDEX(Students!$D$2:$D$601,MATCH(B1376,Students!$A$2:$A$601,0))</f>
        <v>Cybersecurity</v>
      </c>
      <c r="L1376" s="21" t="str">
        <f aca="false">INDEX(Companies!$C$2:$C$31,MATCH(C1376,Companies!$A$2:$A$31,0))</f>
        <v>Healthtech</v>
      </c>
      <c r="M1376" s="21" t="str">
        <f aca="false">INDEX(Companies!$D$2:$D$31,MATCH(C1376,Companies!$A$2:$A$31,0))</f>
        <v>Tier 2</v>
      </c>
      <c r="N1376" s="34" t="n">
        <f aca="false">MATCH(F1376,Assumptions!$K$4:$K$8,0)</f>
        <v>1</v>
      </c>
      <c r="O1376" s="21" t="str">
        <f aca="false">IF(H1376="Yes",MONTH(I1376),"")</f>
        <v/>
      </c>
      <c r="P1376" s="21" t="str">
        <f aca="false">IF(H1376="Yes",B1376,"")</f>
        <v/>
      </c>
    </row>
    <row r="1377" customFormat="false" ht="15" hidden="false" customHeight="false" outlineLevel="0" collapsed="false">
      <c r="A1377" s="21" t="s">
        <v>2592</v>
      </c>
      <c r="B1377" s="21" t="s">
        <v>732</v>
      </c>
      <c r="C1377" s="21" t="s">
        <v>1298</v>
      </c>
      <c r="D1377" s="21" t="s">
        <v>1194</v>
      </c>
      <c r="E1377" s="33" t="n">
        <v>45588</v>
      </c>
      <c r="F1377" s="21" t="s">
        <v>1178</v>
      </c>
      <c r="G1377" s="32"/>
      <c r="H1377" s="21"/>
      <c r="I1377" s="33"/>
      <c r="J1377" s="21" t="str">
        <f aca="false">INDEX(Students!$C$2:$C$601,MATCH(B1377,Students!$A$2:$A$601,0))</f>
        <v>Batch 2025</v>
      </c>
      <c r="K1377" s="21" t="str">
        <f aca="false">INDEX(Students!$D$2:$D$601,MATCH(B1377,Students!$A$2:$A$601,0))</f>
        <v>Data Science &amp; ML</v>
      </c>
      <c r="L1377" s="21" t="str">
        <f aca="false">INDEX(Companies!$C$2:$C$31,MATCH(C1377,Companies!$A$2:$A$31,0))</f>
        <v>Fintech</v>
      </c>
      <c r="M1377" s="21" t="str">
        <f aca="false">INDEX(Companies!$D$2:$D$31,MATCH(C1377,Companies!$A$2:$A$31,0))</f>
        <v>Tier 2</v>
      </c>
      <c r="N1377" s="34" t="n">
        <f aca="false">MATCH(F1377,Assumptions!$K$4:$K$8,0)</f>
        <v>2</v>
      </c>
      <c r="O1377" s="21" t="str">
        <f aca="false">IF(H1377="Yes",MONTH(I1377),"")</f>
        <v/>
      </c>
      <c r="P1377" s="21" t="str">
        <f aca="false">IF(H1377="Yes",B1377,"")</f>
        <v/>
      </c>
    </row>
    <row r="1378" customFormat="false" ht="15" hidden="false" customHeight="false" outlineLevel="0" collapsed="false">
      <c r="A1378" s="21" t="s">
        <v>2593</v>
      </c>
      <c r="B1378" s="21" t="s">
        <v>546</v>
      </c>
      <c r="C1378" s="21" t="s">
        <v>1201</v>
      </c>
      <c r="D1378" s="21" t="s">
        <v>1181</v>
      </c>
      <c r="E1378" s="33" t="n">
        <v>45589</v>
      </c>
      <c r="F1378" s="21" t="s">
        <v>1175</v>
      </c>
      <c r="G1378" s="32"/>
      <c r="H1378" s="21"/>
      <c r="I1378" s="33"/>
      <c r="J1378" s="21" t="str">
        <f aca="false">INDEX(Students!$C$2:$C$601,MATCH(B1378,Students!$A$2:$A$601,0))</f>
        <v>Batch 2025</v>
      </c>
      <c r="K1378" s="21" t="str">
        <f aca="false">INDEX(Students!$D$2:$D$601,MATCH(B1378,Students!$A$2:$A$601,0))</f>
        <v>Full Stack Development</v>
      </c>
      <c r="L1378" s="21" t="str">
        <f aca="false">INDEX(Companies!$C$2:$C$31,MATCH(C1378,Companies!$A$2:$A$31,0))</f>
        <v>IT Services</v>
      </c>
      <c r="M1378" s="21" t="str">
        <f aca="false">INDEX(Companies!$D$2:$D$31,MATCH(C1378,Companies!$A$2:$A$31,0))</f>
        <v>Tier 3</v>
      </c>
      <c r="N1378" s="34" t="n">
        <f aca="false">MATCH(F1378,Assumptions!$K$4:$K$8,0)</f>
        <v>1</v>
      </c>
      <c r="O1378" s="21" t="str">
        <f aca="false">IF(H1378="Yes",MONTH(I1378),"")</f>
        <v/>
      </c>
      <c r="P1378" s="21" t="str">
        <f aca="false">IF(H1378="Yes",B1378,"")</f>
        <v/>
      </c>
    </row>
    <row r="1379" customFormat="false" ht="15" hidden="false" customHeight="false" outlineLevel="0" collapsed="false">
      <c r="A1379" s="21" t="s">
        <v>2594</v>
      </c>
      <c r="B1379" s="21" t="s">
        <v>626</v>
      </c>
      <c r="C1379" s="21" t="s">
        <v>1225</v>
      </c>
      <c r="D1379" s="21" t="s">
        <v>1188</v>
      </c>
      <c r="E1379" s="33" t="n">
        <v>45589</v>
      </c>
      <c r="F1379" s="21" t="s">
        <v>1178</v>
      </c>
      <c r="G1379" s="32"/>
      <c r="H1379" s="21"/>
      <c r="I1379" s="33"/>
      <c r="J1379" s="21" t="str">
        <f aca="false">INDEX(Students!$C$2:$C$601,MATCH(B1379,Students!$A$2:$A$601,0))</f>
        <v>Batch 2025</v>
      </c>
      <c r="K1379" s="21" t="str">
        <f aca="false">INDEX(Students!$D$2:$D$601,MATCH(B1379,Students!$A$2:$A$601,0))</f>
        <v>Data Analytics</v>
      </c>
      <c r="L1379" s="21" t="str">
        <f aca="false">INDEX(Companies!$C$2:$C$31,MATCH(C1379,Companies!$A$2:$A$31,0))</f>
        <v>EdTech</v>
      </c>
      <c r="M1379" s="21" t="str">
        <f aca="false">INDEX(Companies!$D$2:$D$31,MATCH(C1379,Companies!$A$2:$A$31,0))</f>
        <v>Tier 2</v>
      </c>
      <c r="N1379" s="34" t="n">
        <f aca="false">MATCH(F1379,Assumptions!$K$4:$K$8,0)</f>
        <v>2</v>
      </c>
      <c r="O1379" s="21" t="str">
        <f aca="false">IF(H1379="Yes",MONTH(I1379),"")</f>
        <v/>
      </c>
      <c r="P1379" s="21" t="str">
        <f aca="false">IF(H1379="Yes",B1379,"")</f>
        <v/>
      </c>
    </row>
    <row r="1380" customFormat="false" ht="15" hidden="false" customHeight="false" outlineLevel="0" collapsed="false">
      <c r="A1380" s="21" t="s">
        <v>2595</v>
      </c>
      <c r="B1380" s="21" t="s">
        <v>785</v>
      </c>
      <c r="C1380" s="21" t="s">
        <v>1239</v>
      </c>
      <c r="D1380" s="21" t="s">
        <v>1191</v>
      </c>
      <c r="E1380" s="33" t="n">
        <v>45589</v>
      </c>
      <c r="F1380" s="21" t="s">
        <v>1175</v>
      </c>
      <c r="G1380" s="32"/>
      <c r="H1380" s="21"/>
      <c r="I1380" s="33"/>
      <c r="J1380" s="21" t="str">
        <f aca="false">INDEX(Students!$C$2:$C$601,MATCH(B1380,Students!$A$2:$A$601,0))</f>
        <v>Batch 2025</v>
      </c>
      <c r="K1380" s="21" t="str">
        <f aca="false">INDEX(Students!$D$2:$D$601,MATCH(B1380,Students!$A$2:$A$601,0))</f>
        <v>DSA with Java</v>
      </c>
      <c r="L1380" s="21" t="str">
        <f aca="false">INDEX(Companies!$C$2:$C$31,MATCH(C1380,Companies!$A$2:$A$31,0))</f>
        <v>E-commerce</v>
      </c>
      <c r="M1380" s="21" t="str">
        <f aca="false">INDEX(Companies!$D$2:$D$31,MATCH(C1380,Companies!$A$2:$A$31,0))</f>
        <v>Tier 3</v>
      </c>
      <c r="N1380" s="34" t="n">
        <f aca="false">MATCH(F1380,Assumptions!$K$4:$K$8,0)</f>
        <v>1</v>
      </c>
      <c r="O1380" s="21" t="str">
        <f aca="false">IF(H1380="Yes",MONTH(I1380),"")</f>
        <v/>
      </c>
      <c r="P1380" s="21" t="str">
        <f aca="false">IF(H1380="Yes",B1380,"")</f>
        <v/>
      </c>
    </row>
    <row r="1381" customFormat="false" ht="15" hidden="false" customHeight="false" outlineLevel="0" collapsed="false">
      <c r="A1381" s="21" t="s">
        <v>2596</v>
      </c>
      <c r="B1381" s="21" t="s">
        <v>573</v>
      </c>
      <c r="C1381" s="21" t="s">
        <v>1234</v>
      </c>
      <c r="D1381" s="21" t="s">
        <v>1243</v>
      </c>
      <c r="E1381" s="33" t="n">
        <v>45590</v>
      </c>
      <c r="F1381" s="21" t="s">
        <v>1175</v>
      </c>
      <c r="G1381" s="32"/>
      <c r="H1381" s="21"/>
      <c r="I1381" s="33"/>
      <c r="J1381" s="21" t="str">
        <f aca="false">INDEX(Students!$C$2:$C$601,MATCH(B1381,Students!$A$2:$A$601,0))</f>
        <v>Batch 2025</v>
      </c>
      <c r="K1381" s="21" t="str">
        <f aca="false">INDEX(Students!$D$2:$D$601,MATCH(B1381,Students!$A$2:$A$601,0))</f>
        <v>Data Science &amp; ML</v>
      </c>
      <c r="L1381" s="21" t="str">
        <f aca="false">INDEX(Companies!$C$2:$C$31,MATCH(C1381,Companies!$A$2:$A$31,0))</f>
        <v>EdTech</v>
      </c>
      <c r="M1381" s="21" t="str">
        <f aca="false">INDEX(Companies!$D$2:$D$31,MATCH(C1381,Companies!$A$2:$A$31,0))</f>
        <v>Tier 3</v>
      </c>
      <c r="N1381" s="34" t="n">
        <f aca="false">MATCH(F1381,Assumptions!$K$4:$K$8,0)</f>
        <v>1</v>
      </c>
      <c r="O1381" s="21" t="str">
        <f aca="false">IF(H1381="Yes",MONTH(I1381),"")</f>
        <v/>
      </c>
      <c r="P1381" s="21" t="str">
        <f aca="false">IF(H1381="Yes",B1381,"")</f>
        <v/>
      </c>
    </row>
    <row r="1382" customFormat="false" ht="15" hidden="false" customHeight="false" outlineLevel="0" collapsed="false">
      <c r="A1382" s="21" t="s">
        <v>2597</v>
      </c>
      <c r="B1382" s="21" t="s">
        <v>696</v>
      </c>
      <c r="C1382" s="21" t="s">
        <v>1266</v>
      </c>
      <c r="D1382" s="21" t="s">
        <v>1240</v>
      </c>
      <c r="E1382" s="33" t="n">
        <v>45590</v>
      </c>
      <c r="F1382" s="21" t="s">
        <v>1197</v>
      </c>
      <c r="G1382" s="32"/>
      <c r="H1382" s="21"/>
      <c r="I1382" s="33"/>
      <c r="J1382" s="21" t="str">
        <f aca="false">INDEX(Students!$C$2:$C$601,MATCH(B1382,Students!$A$2:$A$601,0))</f>
        <v>Batch 2025</v>
      </c>
      <c r="K1382" s="21" t="str">
        <f aca="false">INDEX(Students!$D$2:$D$601,MATCH(B1382,Students!$A$2:$A$601,0))</f>
        <v>Cybersecurity</v>
      </c>
      <c r="L1382" s="21" t="str">
        <f aca="false">INDEX(Companies!$C$2:$C$31,MATCH(C1382,Companies!$A$2:$A$31,0))</f>
        <v>IT Services</v>
      </c>
      <c r="M1382" s="21" t="str">
        <f aca="false">INDEX(Companies!$D$2:$D$31,MATCH(C1382,Companies!$A$2:$A$31,0))</f>
        <v>Tier 3</v>
      </c>
      <c r="N1382" s="34" t="n">
        <f aca="false">MATCH(F1382,Assumptions!$K$4:$K$8,0)</f>
        <v>3</v>
      </c>
      <c r="O1382" s="21" t="str">
        <f aca="false">IF(H1382="Yes",MONTH(I1382),"")</f>
        <v/>
      </c>
      <c r="P1382" s="21" t="str">
        <f aca="false">IF(H1382="Yes",B1382,"")</f>
        <v/>
      </c>
    </row>
    <row r="1383" customFormat="false" ht="15" hidden="false" customHeight="false" outlineLevel="0" collapsed="false">
      <c r="A1383" s="21" t="s">
        <v>2598</v>
      </c>
      <c r="B1383" s="21" t="s">
        <v>682</v>
      </c>
      <c r="C1383" s="21" t="s">
        <v>1205</v>
      </c>
      <c r="D1383" s="21" t="s">
        <v>1191</v>
      </c>
      <c r="E1383" s="33" t="n">
        <v>45590</v>
      </c>
      <c r="F1383" s="21" t="s">
        <v>1185</v>
      </c>
      <c r="G1383" s="32" t="n">
        <v>5.9</v>
      </c>
      <c r="H1383" s="21" t="s">
        <v>113</v>
      </c>
      <c r="I1383" s="33" t="n">
        <v>45642</v>
      </c>
      <c r="J1383" s="21" t="str">
        <f aca="false">INDEX(Students!$C$2:$C$601,MATCH(B1383,Students!$A$2:$A$601,0))</f>
        <v>Batch 2025</v>
      </c>
      <c r="K1383" s="21" t="str">
        <f aca="false">INDEX(Students!$D$2:$D$601,MATCH(B1383,Students!$A$2:$A$601,0))</f>
        <v>DSA with Java</v>
      </c>
      <c r="L1383" s="21" t="str">
        <f aca="false">INDEX(Companies!$C$2:$C$31,MATCH(C1383,Companies!$A$2:$A$31,0))</f>
        <v>Healthtech</v>
      </c>
      <c r="M1383" s="21" t="str">
        <f aca="false">INDEX(Companies!$D$2:$D$31,MATCH(C1383,Companies!$A$2:$A$31,0))</f>
        <v>Tier 3</v>
      </c>
      <c r="N1383" s="34" t="n">
        <f aca="false">MATCH(F1383,Assumptions!$K$4:$K$8,0)</f>
        <v>5</v>
      </c>
      <c r="O1383" s="21" t="str">
        <f aca="false">IF(H1383="Yes",MONTH(I1383),"")</f>
        <v/>
      </c>
      <c r="P1383" s="21" t="str">
        <f aca="false">IF(H1383="Yes",B1383,"")</f>
        <v/>
      </c>
    </row>
    <row r="1384" customFormat="false" ht="15" hidden="false" customHeight="false" outlineLevel="0" collapsed="false">
      <c r="A1384" s="21" t="s">
        <v>2599</v>
      </c>
      <c r="B1384" s="21" t="s">
        <v>665</v>
      </c>
      <c r="C1384" s="21" t="s">
        <v>1183</v>
      </c>
      <c r="D1384" s="21" t="s">
        <v>1191</v>
      </c>
      <c r="E1384" s="33" t="n">
        <v>45590</v>
      </c>
      <c r="F1384" s="21" t="s">
        <v>1185</v>
      </c>
      <c r="G1384" s="32" t="n">
        <v>10.5</v>
      </c>
      <c r="H1384" s="21" t="s">
        <v>120</v>
      </c>
      <c r="I1384" s="33" t="n">
        <v>45621</v>
      </c>
      <c r="J1384" s="21" t="str">
        <f aca="false">INDEX(Students!$C$2:$C$601,MATCH(B1384,Students!$A$2:$A$601,0))</f>
        <v>Batch 2025</v>
      </c>
      <c r="K1384" s="21" t="str">
        <f aca="false">INDEX(Students!$D$2:$D$601,MATCH(B1384,Students!$A$2:$A$601,0))</f>
        <v>DSA with Java</v>
      </c>
      <c r="L1384" s="21" t="str">
        <f aca="false">INDEX(Companies!$C$2:$C$31,MATCH(C1384,Companies!$A$2:$A$31,0))</f>
        <v>E-commerce</v>
      </c>
      <c r="M1384" s="21" t="str">
        <f aca="false">INDEX(Companies!$D$2:$D$31,MATCH(C1384,Companies!$A$2:$A$31,0))</f>
        <v>Tier 2</v>
      </c>
      <c r="N1384" s="34" t="n">
        <f aca="false">MATCH(F1384,Assumptions!$K$4:$K$8,0)</f>
        <v>5</v>
      </c>
      <c r="O1384" s="21" t="n">
        <f aca="false">IF(H1384="Yes",MONTH(I1384),"")</f>
        <v>11</v>
      </c>
      <c r="P1384" s="21" t="str">
        <f aca="false">IF(H1384="Yes",B1384,"")</f>
        <v>S0298</v>
      </c>
    </row>
    <row r="1385" customFormat="false" ht="15" hidden="false" customHeight="false" outlineLevel="0" collapsed="false">
      <c r="A1385" s="21" t="s">
        <v>2600</v>
      </c>
      <c r="B1385" s="21" t="s">
        <v>653</v>
      </c>
      <c r="C1385" s="21" t="s">
        <v>1173</v>
      </c>
      <c r="D1385" s="21" t="s">
        <v>1240</v>
      </c>
      <c r="E1385" s="33" t="n">
        <v>45590</v>
      </c>
      <c r="F1385" s="21" t="s">
        <v>1175</v>
      </c>
      <c r="G1385" s="32"/>
      <c r="H1385" s="21"/>
      <c r="I1385" s="33"/>
      <c r="J1385" s="21" t="str">
        <f aca="false">INDEX(Students!$C$2:$C$601,MATCH(B1385,Students!$A$2:$A$601,0))</f>
        <v>Batch 2025</v>
      </c>
      <c r="K1385" s="21" t="str">
        <f aca="false">INDEX(Students!$D$2:$D$601,MATCH(B1385,Students!$A$2:$A$601,0))</f>
        <v>Cybersecurity</v>
      </c>
      <c r="L1385" s="21" t="str">
        <f aca="false">INDEX(Companies!$C$2:$C$31,MATCH(C1385,Companies!$A$2:$A$31,0))</f>
        <v>Cybersecurity</v>
      </c>
      <c r="M1385" s="21" t="str">
        <f aca="false">INDEX(Companies!$D$2:$D$31,MATCH(C1385,Companies!$A$2:$A$31,0))</f>
        <v>Tier 1</v>
      </c>
      <c r="N1385" s="34" t="n">
        <f aca="false">MATCH(F1385,Assumptions!$K$4:$K$8,0)</f>
        <v>1</v>
      </c>
      <c r="O1385" s="21" t="str">
        <f aca="false">IF(H1385="Yes",MONTH(I1385),"")</f>
        <v/>
      </c>
      <c r="P1385" s="21" t="str">
        <f aca="false">IF(H1385="Yes",B1385,"")</f>
        <v/>
      </c>
    </row>
    <row r="1386" customFormat="false" ht="15" hidden="false" customHeight="false" outlineLevel="0" collapsed="false">
      <c r="A1386" s="21" t="s">
        <v>2601</v>
      </c>
      <c r="B1386" s="21" t="s">
        <v>466</v>
      </c>
      <c r="C1386" s="21" t="s">
        <v>1193</v>
      </c>
      <c r="D1386" s="21" t="s">
        <v>1191</v>
      </c>
      <c r="E1386" s="33" t="n">
        <v>45590</v>
      </c>
      <c r="F1386" s="21" t="s">
        <v>1185</v>
      </c>
      <c r="G1386" s="32" t="n">
        <v>11.4</v>
      </c>
      <c r="H1386" s="21" t="s">
        <v>120</v>
      </c>
      <c r="I1386" s="33" t="n">
        <v>45635</v>
      </c>
      <c r="J1386" s="21" t="str">
        <f aca="false">INDEX(Students!$C$2:$C$601,MATCH(B1386,Students!$A$2:$A$601,0))</f>
        <v>Batch 2025</v>
      </c>
      <c r="K1386" s="21" t="str">
        <f aca="false">INDEX(Students!$D$2:$D$601,MATCH(B1386,Students!$A$2:$A$601,0))</f>
        <v>DSA with Java</v>
      </c>
      <c r="L1386" s="21" t="str">
        <f aca="false">INDEX(Companies!$C$2:$C$31,MATCH(C1386,Companies!$A$2:$A$31,0))</f>
        <v>Analytics &amp; Consulting</v>
      </c>
      <c r="M1386" s="21" t="str">
        <f aca="false">INDEX(Companies!$D$2:$D$31,MATCH(C1386,Companies!$A$2:$A$31,0))</f>
        <v>Tier 2</v>
      </c>
      <c r="N1386" s="34" t="n">
        <f aca="false">MATCH(F1386,Assumptions!$K$4:$K$8,0)</f>
        <v>5</v>
      </c>
      <c r="O1386" s="21" t="n">
        <f aca="false">IF(H1386="Yes",MONTH(I1386),"")</f>
        <v>12</v>
      </c>
      <c r="P1386" s="21" t="str">
        <f aca="false">IF(H1386="Yes",B1386,"")</f>
        <v>S0187</v>
      </c>
    </row>
    <row r="1387" customFormat="false" ht="15" hidden="false" customHeight="false" outlineLevel="0" collapsed="false">
      <c r="A1387" s="21" t="s">
        <v>2602</v>
      </c>
      <c r="B1387" s="21" t="s">
        <v>677</v>
      </c>
      <c r="C1387" s="21" t="s">
        <v>1180</v>
      </c>
      <c r="D1387" s="21" t="s">
        <v>1181</v>
      </c>
      <c r="E1387" s="33" t="n">
        <v>45590</v>
      </c>
      <c r="F1387" s="21" t="s">
        <v>1178</v>
      </c>
      <c r="G1387" s="32"/>
      <c r="H1387" s="21"/>
      <c r="I1387" s="33"/>
      <c r="J1387" s="21" t="str">
        <f aca="false">INDEX(Students!$C$2:$C$601,MATCH(B1387,Students!$A$2:$A$601,0))</f>
        <v>Batch 2025</v>
      </c>
      <c r="K1387" s="21" t="str">
        <f aca="false">INDEX(Students!$D$2:$D$601,MATCH(B1387,Students!$A$2:$A$601,0))</f>
        <v>Full Stack Development</v>
      </c>
      <c r="L1387" s="21" t="str">
        <f aca="false">INDEX(Companies!$C$2:$C$31,MATCH(C1387,Companies!$A$2:$A$31,0))</f>
        <v>IT Services</v>
      </c>
      <c r="M1387" s="21" t="str">
        <f aca="false">INDEX(Companies!$D$2:$D$31,MATCH(C1387,Companies!$A$2:$A$31,0))</f>
        <v>Tier 3</v>
      </c>
      <c r="N1387" s="34" t="n">
        <f aca="false">MATCH(F1387,Assumptions!$K$4:$K$8,0)</f>
        <v>2</v>
      </c>
      <c r="O1387" s="21" t="str">
        <f aca="false">IF(H1387="Yes",MONTH(I1387),"")</f>
        <v/>
      </c>
      <c r="P1387" s="21" t="str">
        <f aca="false">IF(H1387="Yes",B1387,"")</f>
        <v/>
      </c>
    </row>
    <row r="1388" customFormat="false" ht="15" hidden="false" customHeight="false" outlineLevel="0" collapsed="false">
      <c r="A1388" s="21" t="s">
        <v>2603</v>
      </c>
      <c r="B1388" s="21" t="s">
        <v>679</v>
      </c>
      <c r="C1388" s="21" t="s">
        <v>1230</v>
      </c>
      <c r="D1388" s="21" t="s">
        <v>1194</v>
      </c>
      <c r="E1388" s="33" t="n">
        <v>45591</v>
      </c>
      <c r="F1388" s="21" t="s">
        <v>1185</v>
      </c>
      <c r="G1388" s="32" t="n">
        <v>5.9</v>
      </c>
      <c r="H1388" s="21" t="s">
        <v>113</v>
      </c>
      <c r="I1388" s="33" t="n">
        <v>45642</v>
      </c>
      <c r="J1388" s="21" t="str">
        <f aca="false">INDEX(Students!$C$2:$C$601,MATCH(B1388,Students!$A$2:$A$601,0))</f>
        <v>Batch 2025</v>
      </c>
      <c r="K1388" s="21" t="str">
        <f aca="false">INDEX(Students!$D$2:$D$601,MATCH(B1388,Students!$A$2:$A$601,0))</f>
        <v>Data Science &amp; ML</v>
      </c>
      <c r="L1388" s="21" t="str">
        <f aca="false">INDEX(Companies!$C$2:$C$31,MATCH(C1388,Companies!$A$2:$A$31,0))</f>
        <v>IT Services</v>
      </c>
      <c r="M1388" s="21" t="str">
        <f aca="false">INDEX(Companies!$D$2:$D$31,MATCH(C1388,Companies!$A$2:$A$31,0))</f>
        <v>Tier 3</v>
      </c>
      <c r="N1388" s="34" t="n">
        <f aca="false">MATCH(F1388,Assumptions!$K$4:$K$8,0)</f>
        <v>5</v>
      </c>
      <c r="O1388" s="21" t="str">
        <f aca="false">IF(H1388="Yes",MONTH(I1388),"")</f>
        <v/>
      </c>
      <c r="P1388" s="21" t="str">
        <f aca="false">IF(H1388="Yes",B1388,"")</f>
        <v/>
      </c>
    </row>
    <row r="1389" customFormat="false" ht="15" hidden="false" customHeight="false" outlineLevel="0" collapsed="false">
      <c r="A1389" s="21" t="s">
        <v>2604</v>
      </c>
      <c r="B1389" s="21" t="s">
        <v>729</v>
      </c>
      <c r="C1389" s="21" t="s">
        <v>1290</v>
      </c>
      <c r="D1389" s="21" t="s">
        <v>1226</v>
      </c>
      <c r="E1389" s="33" t="n">
        <v>45591</v>
      </c>
      <c r="F1389" s="21" t="s">
        <v>1175</v>
      </c>
      <c r="G1389" s="32"/>
      <c r="H1389" s="21"/>
      <c r="I1389" s="33"/>
      <c r="J1389" s="21" t="str">
        <f aca="false">INDEX(Students!$C$2:$C$601,MATCH(B1389,Students!$A$2:$A$601,0))</f>
        <v>Batch 2025</v>
      </c>
      <c r="K1389" s="21" t="str">
        <f aca="false">INDEX(Students!$D$2:$D$601,MATCH(B1389,Students!$A$2:$A$601,0))</f>
        <v>Cybersecurity</v>
      </c>
      <c r="L1389" s="21" t="str">
        <f aca="false">INDEX(Companies!$C$2:$C$31,MATCH(C1389,Companies!$A$2:$A$31,0))</f>
        <v>Fintech</v>
      </c>
      <c r="M1389" s="21" t="str">
        <f aca="false">INDEX(Companies!$D$2:$D$31,MATCH(C1389,Companies!$A$2:$A$31,0))</f>
        <v>Tier 2</v>
      </c>
      <c r="N1389" s="34" t="n">
        <f aca="false">MATCH(F1389,Assumptions!$K$4:$K$8,0)</f>
        <v>1</v>
      </c>
      <c r="O1389" s="21" t="str">
        <f aca="false">IF(H1389="Yes",MONTH(I1389),"")</f>
        <v/>
      </c>
      <c r="P1389" s="21" t="str">
        <f aca="false">IF(H1389="Yes",B1389,"")</f>
        <v/>
      </c>
    </row>
    <row r="1390" customFormat="false" ht="15" hidden="false" customHeight="false" outlineLevel="0" collapsed="false">
      <c r="A1390" s="21" t="s">
        <v>2605</v>
      </c>
      <c r="B1390" s="21" t="s">
        <v>694</v>
      </c>
      <c r="C1390" s="21" t="s">
        <v>1225</v>
      </c>
      <c r="D1390" s="21" t="s">
        <v>1181</v>
      </c>
      <c r="E1390" s="33" t="n">
        <v>45592</v>
      </c>
      <c r="F1390" s="21" t="s">
        <v>1197</v>
      </c>
      <c r="G1390" s="32"/>
      <c r="H1390" s="21"/>
      <c r="I1390" s="33"/>
      <c r="J1390" s="21" t="str">
        <f aca="false">INDEX(Students!$C$2:$C$601,MATCH(B1390,Students!$A$2:$A$601,0))</f>
        <v>Batch 2025</v>
      </c>
      <c r="K1390" s="21" t="str">
        <f aca="false">INDEX(Students!$D$2:$D$601,MATCH(B1390,Students!$A$2:$A$601,0))</f>
        <v>Full Stack Development</v>
      </c>
      <c r="L1390" s="21" t="str">
        <f aca="false">INDEX(Companies!$C$2:$C$31,MATCH(C1390,Companies!$A$2:$A$31,0))</f>
        <v>EdTech</v>
      </c>
      <c r="M1390" s="21" t="str">
        <f aca="false">INDEX(Companies!$D$2:$D$31,MATCH(C1390,Companies!$A$2:$A$31,0))</f>
        <v>Tier 2</v>
      </c>
      <c r="N1390" s="34" t="n">
        <f aca="false">MATCH(F1390,Assumptions!$K$4:$K$8,0)</f>
        <v>3</v>
      </c>
      <c r="O1390" s="21" t="str">
        <f aca="false">IF(H1390="Yes",MONTH(I1390),"")</f>
        <v/>
      </c>
      <c r="P1390" s="21" t="str">
        <f aca="false">IF(H1390="Yes",B1390,"")</f>
        <v/>
      </c>
    </row>
    <row r="1391" customFormat="false" ht="15" hidden="false" customHeight="false" outlineLevel="0" collapsed="false">
      <c r="A1391" s="21" t="s">
        <v>2606</v>
      </c>
      <c r="B1391" s="21" t="s">
        <v>461</v>
      </c>
      <c r="C1391" s="21" t="s">
        <v>1183</v>
      </c>
      <c r="D1391" s="21" t="s">
        <v>1174</v>
      </c>
      <c r="E1391" s="33" t="n">
        <v>45592</v>
      </c>
      <c r="F1391" s="21" t="s">
        <v>1178</v>
      </c>
      <c r="G1391" s="32"/>
      <c r="H1391" s="21"/>
      <c r="I1391" s="33"/>
      <c r="J1391" s="21" t="str">
        <f aca="false">INDEX(Students!$C$2:$C$601,MATCH(B1391,Students!$A$2:$A$601,0))</f>
        <v>Batch 2025</v>
      </c>
      <c r="K1391" s="21" t="str">
        <f aca="false">INDEX(Students!$D$2:$D$601,MATCH(B1391,Students!$A$2:$A$601,0))</f>
        <v>Full Stack Development</v>
      </c>
      <c r="L1391" s="21" t="str">
        <f aca="false">INDEX(Companies!$C$2:$C$31,MATCH(C1391,Companies!$A$2:$A$31,0))</f>
        <v>E-commerce</v>
      </c>
      <c r="M1391" s="21" t="str">
        <f aca="false">INDEX(Companies!$D$2:$D$31,MATCH(C1391,Companies!$A$2:$A$31,0))</f>
        <v>Tier 2</v>
      </c>
      <c r="N1391" s="34" t="n">
        <f aca="false">MATCH(F1391,Assumptions!$K$4:$K$8,0)</f>
        <v>2</v>
      </c>
      <c r="O1391" s="21" t="str">
        <f aca="false">IF(H1391="Yes",MONTH(I1391),"")</f>
        <v/>
      </c>
      <c r="P1391" s="21" t="str">
        <f aca="false">IF(H1391="Yes",B1391,"")</f>
        <v/>
      </c>
    </row>
    <row r="1392" customFormat="false" ht="15" hidden="false" customHeight="false" outlineLevel="0" collapsed="false">
      <c r="A1392" s="21" t="s">
        <v>2607</v>
      </c>
      <c r="B1392" s="21" t="s">
        <v>637</v>
      </c>
      <c r="C1392" s="21" t="s">
        <v>1239</v>
      </c>
      <c r="D1392" s="21" t="s">
        <v>1209</v>
      </c>
      <c r="E1392" s="33" t="n">
        <v>45593</v>
      </c>
      <c r="F1392" s="21" t="s">
        <v>1185</v>
      </c>
      <c r="G1392" s="32" t="n">
        <v>6.4</v>
      </c>
      <c r="H1392" s="21" t="s">
        <v>113</v>
      </c>
      <c r="I1392" s="33" t="n">
        <v>45644</v>
      </c>
      <c r="J1392" s="21" t="str">
        <f aca="false">INDEX(Students!$C$2:$C$601,MATCH(B1392,Students!$A$2:$A$601,0))</f>
        <v>Batch 2025</v>
      </c>
      <c r="K1392" s="21" t="str">
        <f aca="false">INDEX(Students!$D$2:$D$601,MATCH(B1392,Students!$A$2:$A$601,0))</f>
        <v>Data Analytics</v>
      </c>
      <c r="L1392" s="21" t="str">
        <f aca="false">INDEX(Companies!$C$2:$C$31,MATCH(C1392,Companies!$A$2:$A$31,0))</f>
        <v>E-commerce</v>
      </c>
      <c r="M1392" s="21" t="str">
        <f aca="false">INDEX(Companies!$D$2:$D$31,MATCH(C1392,Companies!$A$2:$A$31,0))</f>
        <v>Tier 3</v>
      </c>
      <c r="N1392" s="34" t="n">
        <f aca="false">MATCH(F1392,Assumptions!$K$4:$K$8,0)</f>
        <v>5</v>
      </c>
      <c r="O1392" s="21" t="str">
        <f aca="false">IF(H1392="Yes",MONTH(I1392),"")</f>
        <v/>
      </c>
      <c r="P1392" s="21" t="str">
        <f aca="false">IF(H1392="Yes",B1392,"")</f>
        <v/>
      </c>
    </row>
    <row r="1393" customFormat="false" ht="15" hidden="false" customHeight="false" outlineLevel="0" collapsed="false">
      <c r="A1393" s="21" t="s">
        <v>2608</v>
      </c>
      <c r="B1393" s="21" t="s">
        <v>649</v>
      </c>
      <c r="C1393" s="21" t="s">
        <v>1180</v>
      </c>
      <c r="D1393" s="21" t="s">
        <v>1191</v>
      </c>
      <c r="E1393" s="33" t="n">
        <v>45594</v>
      </c>
      <c r="F1393" s="21" t="s">
        <v>1197</v>
      </c>
      <c r="G1393" s="32"/>
      <c r="H1393" s="21"/>
      <c r="I1393" s="33"/>
      <c r="J1393" s="21" t="str">
        <f aca="false">INDEX(Students!$C$2:$C$601,MATCH(B1393,Students!$A$2:$A$601,0))</f>
        <v>Batch 2025</v>
      </c>
      <c r="K1393" s="21" t="str">
        <f aca="false">INDEX(Students!$D$2:$D$601,MATCH(B1393,Students!$A$2:$A$601,0))</f>
        <v>DSA with Java</v>
      </c>
      <c r="L1393" s="21" t="str">
        <f aca="false">INDEX(Companies!$C$2:$C$31,MATCH(C1393,Companies!$A$2:$A$31,0))</f>
        <v>IT Services</v>
      </c>
      <c r="M1393" s="21" t="str">
        <f aca="false">INDEX(Companies!$D$2:$D$31,MATCH(C1393,Companies!$A$2:$A$31,0))</f>
        <v>Tier 3</v>
      </c>
      <c r="N1393" s="34" t="n">
        <f aca="false">MATCH(F1393,Assumptions!$K$4:$K$8,0)</f>
        <v>3</v>
      </c>
      <c r="O1393" s="21" t="str">
        <f aca="false">IF(H1393="Yes",MONTH(I1393),"")</f>
        <v/>
      </c>
      <c r="P1393" s="21" t="str">
        <f aca="false">IF(H1393="Yes",B1393,"")</f>
        <v/>
      </c>
    </row>
    <row r="1394" customFormat="false" ht="15" hidden="false" customHeight="false" outlineLevel="0" collapsed="false">
      <c r="A1394" s="21" t="s">
        <v>2609</v>
      </c>
      <c r="B1394" s="21" t="s">
        <v>460</v>
      </c>
      <c r="C1394" s="21" t="s">
        <v>1322</v>
      </c>
      <c r="D1394" s="21" t="s">
        <v>1174</v>
      </c>
      <c r="E1394" s="33" t="n">
        <v>45594</v>
      </c>
      <c r="F1394" s="21" t="s">
        <v>1178</v>
      </c>
      <c r="G1394" s="32"/>
      <c r="H1394" s="21"/>
      <c r="I1394" s="33"/>
      <c r="J1394" s="21" t="str">
        <f aca="false">INDEX(Students!$C$2:$C$601,MATCH(B1394,Students!$A$2:$A$601,0))</f>
        <v>Batch 2025</v>
      </c>
      <c r="K1394" s="21" t="str">
        <f aca="false">INDEX(Students!$D$2:$D$601,MATCH(B1394,Students!$A$2:$A$601,0))</f>
        <v>Full Stack Development</v>
      </c>
      <c r="L1394" s="21" t="str">
        <f aca="false">INDEX(Companies!$C$2:$C$31,MATCH(C1394,Companies!$A$2:$A$31,0))</f>
        <v>Healthtech</v>
      </c>
      <c r="M1394" s="21" t="str">
        <f aca="false">INDEX(Companies!$D$2:$D$31,MATCH(C1394,Companies!$A$2:$A$31,0))</f>
        <v>Tier 2</v>
      </c>
      <c r="N1394" s="34" t="n">
        <f aca="false">MATCH(F1394,Assumptions!$K$4:$K$8,0)</f>
        <v>2</v>
      </c>
      <c r="O1394" s="21" t="str">
        <f aca="false">IF(H1394="Yes",MONTH(I1394),"")</f>
        <v/>
      </c>
      <c r="P1394" s="21" t="str">
        <f aca="false">IF(H1394="Yes",B1394,"")</f>
        <v/>
      </c>
    </row>
    <row r="1395" customFormat="false" ht="15" hidden="false" customHeight="false" outlineLevel="0" collapsed="false">
      <c r="A1395" s="21" t="s">
        <v>2610</v>
      </c>
      <c r="B1395" s="21" t="s">
        <v>511</v>
      </c>
      <c r="C1395" s="21" t="s">
        <v>1298</v>
      </c>
      <c r="D1395" s="21" t="s">
        <v>1209</v>
      </c>
      <c r="E1395" s="33" t="n">
        <v>45594</v>
      </c>
      <c r="F1395" s="21" t="s">
        <v>1185</v>
      </c>
      <c r="G1395" s="32" t="n">
        <v>12.4</v>
      </c>
      <c r="H1395" s="21" t="s">
        <v>120</v>
      </c>
      <c r="I1395" s="33" t="n">
        <v>45619</v>
      </c>
      <c r="J1395" s="21" t="str">
        <f aca="false">INDEX(Students!$C$2:$C$601,MATCH(B1395,Students!$A$2:$A$601,0))</f>
        <v>Batch 2025</v>
      </c>
      <c r="K1395" s="21" t="str">
        <f aca="false">INDEX(Students!$D$2:$D$601,MATCH(B1395,Students!$A$2:$A$601,0))</f>
        <v>Data Analytics</v>
      </c>
      <c r="L1395" s="21" t="str">
        <f aca="false">INDEX(Companies!$C$2:$C$31,MATCH(C1395,Companies!$A$2:$A$31,0))</f>
        <v>Fintech</v>
      </c>
      <c r="M1395" s="21" t="str">
        <f aca="false">INDEX(Companies!$D$2:$D$31,MATCH(C1395,Companies!$A$2:$A$31,0))</f>
        <v>Tier 2</v>
      </c>
      <c r="N1395" s="34" t="n">
        <f aca="false">MATCH(F1395,Assumptions!$K$4:$K$8,0)</f>
        <v>5</v>
      </c>
      <c r="O1395" s="21" t="n">
        <f aca="false">IF(H1395="Yes",MONTH(I1395),"")</f>
        <v>11</v>
      </c>
      <c r="P1395" s="21" t="str">
        <f aca="false">IF(H1395="Yes",B1395,"")</f>
        <v>S0212</v>
      </c>
    </row>
    <row r="1396" customFormat="false" ht="15" hidden="false" customHeight="false" outlineLevel="0" collapsed="false">
      <c r="A1396" s="21" t="s">
        <v>2611</v>
      </c>
      <c r="B1396" s="21" t="s">
        <v>461</v>
      </c>
      <c r="C1396" s="21" t="s">
        <v>1205</v>
      </c>
      <c r="D1396" s="21" t="s">
        <v>1174</v>
      </c>
      <c r="E1396" s="33" t="n">
        <v>45594</v>
      </c>
      <c r="F1396" s="21" t="s">
        <v>1185</v>
      </c>
      <c r="G1396" s="32" t="n">
        <v>5.3</v>
      </c>
      <c r="H1396" s="21" t="s">
        <v>120</v>
      </c>
      <c r="I1396" s="33" t="n">
        <v>45641</v>
      </c>
      <c r="J1396" s="21" t="str">
        <f aca="false">INDEX(Students!$C$2:$C$601,MATCH(B1396,Students!$A$2:$A$601,0))</f>
        <v>Batch 2025</v>
      </c>
      <c r="K1396" s="21" t="str">
        <f aca="false">INDEX(Students!$D$2:$D$601,MATCH(B1396,Students!$A$2:$A$601,0))</f>
        <v>Full Stack Development</v>
      </c>
      <c r="L1396" s="21" t="str">
        <f aca="false">INDEX(Companies!$C$2:$C$31,MATCH(C1396,Companies!$A$2:$A$31,0))</f>
        <v>Healthtech</v>
      </c>
      <c r="M1396" s="21" t="str">
        <f aca="false">INDEX(Companies!$D$2:$D$31,MATCH(C1396,Companies!$A$2:$A$31,0))</f>
        <v>Tier 3</v>
      </c>
      <c r="N1396" s="34" t="n">
        <f aca="false">MATCH(F1396,Assumptions!$K$4:$K$8,0)</f>
        <v>5</v>
      </c>
      <c r="O1396" s="21" t="n">
        <f aca="false">IF(H1396="Yes",MONTH(I1396),"")</f>
        <v>12</v>
      </c>
      <c r="P1396" s="21" t="str">
        <f aca="false">IF(H1396="Yes",B1396,"")</f>
        <v>S0184</v>
      </c>
    </row>
    <row r="1397" customFormat="false" ht="15" hidden="false" customHeight="false" outlineLevel="0" collapsed="false">
      <c r="A1397" s="21" t="s">
        <v>2612</v>
      </c>
      <c r="B1397" s="21" t="s">
        <v>776</v>
      </c>
      <c r="C1397" s="21" t="s">
        <v>1187</v>
      </c>
      <c r="D1397" s="21" t="s">
        <v>1209</v>
      </c>
      <c r="E1397" s="33" t="n">
        <v>45595</v>
      </c>
      <c r="F1397" s="21" t="s">
        <v>1178</v>
      </c>
      <c r="G1397" s="32"/>
      <c r="H1397" s="21"/>
      <c r="I1397" s="33"/>
      <c r="J1397" s="21" t="str">
        <f aca="false">INDEX(Students!$C$2:$C$601,MATCH(B1397,Students!$A$2:$A$601,0))</f>
        <v>Batch 2025</v>
      </c>
      <c r="K1397" s="21" t="str">
        <f aca="false">INDEX(Students!$D$2:$D$601,MATCH(B1397,Students!$A$2:$A$601,0))</f>
        <v>Data Analytics</v>
      </c>
      <c r="L1397" s="21" t="str">
        <f aca="false">INDEX(Companies!$C$2:$C$31,MATCH(C1397,Companies!$A$2:$A$31,0))</f>
        <v>Product</v>
      </c>
      <c r="M1397" s="21" t="str">
        <f aca="false">INDEX(Companies!$D$2:$D$31,MATCH(C1397,Companies!$A$2:$A$31,0))</f>
        <v>Tier 1</v>
      </c>
      <c r="N1397" s="34" t="n">
        <f aca="false">MATCH(F1397,Assumptions!$K$4:$K$8,0)</f>
        <v>2</v>
      </c>
      <c r="O1397" s="21" t="str">
        <f aca="false">IF(H1397="Yes",MONTH(I1397),"")</f>
        <v/>
      </c>
      <c r="P1397" s="21" t="str">
        <f aca="false">IF(H1397="Yes",B1397,"")</f>
        <v/>
      </c>
    </row>
    <row r="1398" customFormat="false" ht="15" hidden="false" customHeight="false" outlineLevel="0" collapsed="false">
      <c r="A1398" s="21" t="s">
        <v>2613</v>
      </c>
      <c r="B1398" s="21" t="s">
        <v>645</v>
      </c>
      <c r="C1398" s="21" t="s">
        <v>1193</v>
      </c>
      <c r="D1398" s="21" t="s">
        <v>1209</v>
      </c>
      <c r="E1398" s="33" t="n">
        <v>45595</v>
      </c>
      <c r="F1398" s="21" t="s">
        <v>1178</v>
      </c>
      <c r="G1398" s="32"/>
      <c r="H1398" s="21"/>
      <c r="I1398" s="33"/>
      <c r="J1398" s="21" t="str">
        <f aca="false">INDEX(Students!$C$2:$C$601,MATCH(B1398,Students!$A$2:$A$601,0))</f>
        <v>Batch 2025</v>
      </c>
      <c r="K1398" s="21" t="str">
        <f aca="false">INDEX(Students!$D$2:$D$601,MATCH(B1398,Students!$A$2:$A$601,0))</f>
        <v>Data Analytics</v>
      </c>
      <c r="L1398" s="21" t="str">
        <f aca="false">INDEX(Companies!$C$2:$C$31,MATCH(C1398,Companies!$A$2:$A$31,0))</f>
        <v>Analytics &amp; Consulting</v>
      </c>
      <c r="M1398" s="21" t="str">
        <f aca="false">INDEX(Companies!$D$2:$D$31,MATCH(C1398,Companies!$A$2:$A$31,0))</f>
        <v>Tier 2</v>
      </c>
      <c r="N1398" s="34" t="n">
        <f aca="false">MATCH(F1398,Assumptions!$K$4:$K$8,0)</f>
        <v>2</v>
      </c>
      <c r="O1398" s="21" t="str">
        <f aca="false">IF(H1398="Yes",MONTH(I1398),"")</f>
        <v/>
      </c>
      <c r="P1398" s="21" t="str">
        <f aca="false">IF(H1398="Yes",B1398,"")</f>
        <v/>
      </c>
    </row>
    <row r="1399" customFormat="false" ht="15" hidden="false" customHeight="false" outlineLevel="0" collapsed="false">
      <c r="A1399" s="21" t="s">
        <v>2614</v>
      </c>
      <c r="B1399" s="21" t="s">
        <v>802</v>
      </c>
      <c r="C1399" s="21" t="s">
        <v>1214</v>
      </c>
      <c r="D1399" s="21" t="s">
        <v>1174</v>
      </c>
      <c r="E1399" s="33" t="n">
        <v>45595</v>
      </c>
      <c r="F1399" s="21" t="s">
        <v>1178</v>
      </c>
      <c r="G1399" s="32"/>
      <c r="H1399" s="21"/>
      <c r="I1399" s="33"/>
      <c r="J1399" s="21" t="str">
        <f aca="false">INDEX(Students!$C$2:$C$601,MATCH(B1399,Students!$A$2:$A$601,0))</f>
        <v>Batch 2025</v>
      </c>
      <c r="K1399" s="21" t="str">
        <f aca="false">INDEX(Students!$D$2:$D$601,MATCH(B1399,Students!$A$2:$A$601,0))</f>
        <v>Full Stack Development</v>
      </c>
      <c r="L1399" s="21" t="str">
        <f aca="false">INDEX(Companies!$C$2:$C$31,MATCH(C1399,Companies!$A$2:$A$31,0))</f>
        <v>Product</v>
      </c>
      <c r="M1399" s="21" t="str">
        <f aca="false">INDEX(Companies!$D$2:$D$31,MATCH(C1399,Companies!$A$2:$A$31,0))</f>
        <v>Tier 1</v>
      </c>
      <c r="N1399" s="34" t="n">
        <f aca="false">MATCH(F1399,Assumptions!$K$4:$K$8,0)</f>
        <v>2</v>
      </c>
      <c r="O1399" s="21" t="str">
        <f aca="false">IF(H1399="Yes",MONTH(I1399),"")</f>
        <v/>
      </c>
      <c r="P1399" s="21" t="str">
        <f aca="false">IF(H1399="Yes",B1399,"")</f>
        <v/>
      </c>
    </row>
    <row r="1400" customFormat="false" ht="15" hidden="false" customHeight="false" outlineLevel="0" collapsed="false">
      <c r="A1400" s="21" t="s">
        <v>2615</v>
      </c>
      <c r="B1400" s="21" t="s">
        <v>756</v>
      </c>
      <c r="C1400" s="21" t="s">
        <v>1205</v>
      </c>
      <c r="D1400" s="21" t="s">
        <v>1243</v>
      </c>
      <c r="E1400" s="33" t="n">
        <v>45596</v>
      </c>
      <c r="F1400" s="21" t="s">
        <v>1185</v>
      </c>
      <c r="G1400" s="32" t="n">
        <v>7.4</v>
      </c>
      <c r="H1400" s="21" t="s">
        <v>120</v>
      </c>
      <c r="I1400" s="33" t="n">
        <v>45651</v>
      </c>
      <c r="J1400" s="21" t="str">
        <f aca="false">INDEX(Students!$C$2:$C$601,MATCH(B1400,Students!$A$2:$A$601,0))</f>
        <v>Batch 2025</v>
      </c>
      <c r="K1400" s="21" t="str">
        <f aca="false">INDEX(Students!$D$2:$D$601,MATCH(B1400,Students!$A$2:$A$601,0))</f>
        <v>Data Science &amp; ML</v>
      </c>
      <c r="L1400" s="21" t="str">
        <f aca="false">INDEX(Companies!$C$2:$C$31,MATCH(C1400,Companies!$A$2:$A$31,0))</f>
        <v>Healthtech</v>
      </c>
      <c r="M1400" s="21" t="str">
        <f aca="false">INDEX(Companies!$D$2:$D$31,MATCH(C1400,Companies!$A$2:$A$31,0))</f>
        <v>Tier 3</v>
      </c>
      <c r="N1400" s="34" t="n">
        <f aca="false">MATCH(F1400,Assumptions!$K$4:$K$8,0)</f>
        <v>5</v>
      </c>
      <c r="O1400" s="21" t="n">
        <f aca="false">IF(H1400="Yes",MONTH(I1400),"")</f>
        <v>12</v>
      </c>
      <c r="P1400" s="21" t="str">
        <f aca="false">IF(H1400="Yes",B1400,"")</f>
        <v>S0351</v>
      </c>
    </row>
    <row r="1401" customFormat="false" ht="15" hidden="false" customHeight="false" outlineLevel="0" collapsed="false">
      <c r="A1401" s="21" t="s">
        <v>2616</v>
      </c>
      <c r="B1401" s="21" t="s">
        <v>528</v>
      </c>
      <c r="C1401" s="21" t="s">
        <v>1309</v>
      </c>
      <c r="D1401" s="21" t="s">
        <v>1184</v>
      </c>
      <c r="E1401" s="33" t="n">
        <v>45596</v>
      </c>
      <c r="F1401" s="21" t="s">
        <v>1178</v>
      </c>
      <c r="G1401" s="32"/>
      <c r="H1401" s="21"/>
      <c r="I1401" s="33"/>
      <c r="J1401" s="21" t="str">
        <f aca="false">INDEX(Students!$C$2:$C$601,MATCH(B1401,Students!$A$2:$A$601,0))</f>
        <v>Batch 2025</v>
      </c>
      <c r="K1401" s="21" t="str">
        <f aca="false">INDEX(Students!$D$2:$D$601,MATCH(B1401,Students!$A$2:$A$601,0))</f>
        <v>DSA with Java</v>
      </c>
      <c r="L1401" s="21" t="str">
        <f aca="false">INDEX(Companies!$C$2:$C$31,MATCH(C1401,Companies!$A$2:$A$31,0))</f>
        <v>EdTech</v>
      </c>
      <c r="M1401" s="21" t="str">
        <f aca="false">INDEX(Companies!$D$2:$D$31,MATCH(C1401,Companies!$A$2:$A$31,0))</f>
        <v>Tier 2</v>
      </c>
      <c r="N1401" s="34" t="n">
        <f aca="false">MATCH(F1401,Assumptions!$K$4:$K$8,0)</f>
        <v>2</v>
      </c>
      <c r="O1401" s="21" t="str">
        <f aca="false">IF(H1401="Yes",MONTH(I1401),"")</f>
        <v/>
      </c>
      <c r="P1401" s="21" t="str">
        <f aca="false">IF(H1401="Yes",B1401,"")</f>
        <v/>
      </c>
    </row>
    <row r="1402" customFormat="false" ht="15" hidden="false" customHeight="false" outlineLevel="0" collapsed="false">
      <c r="A1402" s="21" t="s">
        <v>2617</v>
      </c>
      <c r="B1402" s="21" t="s">
        <v>800</v>
      </c>
      <c r="C1402" s="21" t="s">
        <v>1309</v>
      </c>
      <c r="D1402" s="21" t="s">
        <v>1243</v>
      </c>
      <c r="E1402" s="33" t="n">
        <v>45596</v>
      </c>
      <c r="F1402" s="21" t="s">
        <v>1175</v>
      </c>
      <c r="G1402" s="32"/>
      <c r="H1402" s="21"/>
      <c r="I1402" s="33"/>
      <c r="J1402" s="21" t="str">
        <f aca="false">INDEX(Students!$C$2:$C$601,MATCH(B1402,Students!$A$2:$A$601,0))</f>
        <v>Batch 2025</v>
      </c>
      <c r="K1402" s="21" t="str">
        <f aca="false">INDEX(Students!$D$2:$D$601,MATCH(B1402,Students!$A$2:$A$601,0))</f>
        <v>Data Science &amp; ML</v>
      </c>
      <c r="L1402" s="21" t="str">
        <f aca="false">INDEX(Companies!$C$2:$C$31,MATCH(C1402,Companies!$A$2:$A$31,0))</f>
        <v>EdTech</v>
      </c>
      <c r="M1402" s="21" t="str">
        <f aca="false">INDEX(Companies!$D$2:$D$31,MATCH(C1402,Companies!$A$2:$A$31,0))</f>
        <v>Tier 2</v>
      </c>
      <c r="N1402" s="34" t="n">
        <f aca="false">MATCH(F1402,Assumptions!$K$4:$K$8,0)</f>
        <v>1</v>
      </c>
      <c r="O1402" s="21" t="str">
        <f aca="false">IF(H1402="Yes",MONTH(I1402),"")</f>
        <v/>
      </c>
      <c r="P1402" s="21" t="str">
        <f aca="false">IF(H1402="Yes",B1402,"")</f>
        <v/>
      </c>
    </row>
    <row r="1403" customFormat="false" ht="15" hidden="false" customHeight="false" outlineLevel="0" collapsed="false">
      <c r="A1403" s="21" t="s">
        <v>2618</v>
      </c>
      <c r="B1403" s="21" t="s">
        <v>624</v>
      </c>
      <c r="C1403" s="21" t="s">
        <v>1180</v>
      </c>
      <c r="D1403" s="21" t="s">
        <v>1191</v>
      </c>
      <c r="E1403" s="33" t="n">
        <v>45596</v>
      </c>
      <c r="F1403" s="21" t="s">
        <v>1175</v>
      </c>
      <c r="G1403" s="32"/>
      <c r="H1403" s="21"/>
      <c r="I1403" s="33"/>
      <c r="J1403" s="21" t="str">
        <f aca="false">INDEX(Students!$C$2:$C$601,MATCH(B1403,Students!$A$2:$A$601,0))</f>
        <v>Batch 2025</v>
      </c>
      <c r="K1403" s="21" t="str">
        <f aca="false">INDEX(Students!$D$2:$D$601,MATCH(B1403,Students!$A$2:$A$601,0))</f>
        <v>DSA with Java</v>
      </c>
      <c r="L1403" s="21" t="str">
        <f aca="false">INDEX(Companies!$C$2:$C$31,MATCH(C1403,Companies!$A$2:$A$31,0))</f>
        <v>IT Services</v>
      </c>
      <c r="M1403" s="21" t="str">
        <f aca="false">INDEX(Companies!$D$2:$D$31,MATCH(C1403,Companies!$A$2:$A$31,0))</f>
        <v>Tier 3</v>
      </c>
      <c r="N1403" s="34" t="n">
        <f aca="false">MATCH(F1403,Assumptions!$K$4:$K$8,0)</f>
        <v>1</v>
      </c>
      <c r="O1403" s="21" t="str">
        <f aca="false">IF(H1403="Yes",MONTH(I1403),"")</f>
        <v/>
      </c>
      <c r="P1403" s="21" t="str">
        <f aca="false">IF(H1403="Yes",B1403,"")</f>
        <v/>
      </c>
    </row>
    <row r="1404" customFormat="false" ht="15" hidden="false" customHeight="false" outlineLevel="0" collapsed="false">
      <c r="A1404" s="21" t="s">
        <v>2619</v>
      </c>
      <c r="B1404" s="21" t="s">
        <v>533</v>
      </c>
      <c r="C1404" s="21" t="s">
        <v>1214</v>
      </c>
      <c r="D1404" s="21" t="s">
        <v>1191</v>
      </c>
      <c r="E1404" s="33" t="n">
        <v>45596</v>
      </c>
      <c r="F1404" s="21" t="s">
        <v>1175</v>
      </c>
      <c r="G1404" s="32"/>
      <c r="H1404" s="21"/>
      <c r="I1404" s="33"/>
      <c r="J1404" s="21" t="str">
        <f aca="false">INDEX(Students!$C$2:$C$601,MATCH(B1404,Students!$A$2:$A$601,0))</f>
        <v>Batch 2025</v>
      </c>
      <c r="K1404" s="21" t="str">
        <f aca="false">INDEX(Students!$D$2:$D$601,MATCH(B1404,Students!$A$2:$A$601,0))</f>
        <v>DSA with Java</v>
      </c>
      <c r="L1404" s="21" t="str">
        <f aca="false">INDEX(Companies!$C$2:$C$31,MATCH(C1404,Companies!$A$2:$A$31,0))</f>
        <v>Product</v>
      </c>
      <c r="M1404" s="21" t="str">
        <f aca="false">INDEX(Companies!$D$2:$D$31,MATCH(C1404,Companies!$A$2:$A$31,0))</f>
        <v>Tier 1</v>
      </c>
      <c r="N1404" s="34" t="n">
        <f aca="false">MATCH(F1404,Assumptions!$K$4:$K$8,0)</f>
        <v>1</v>
      </c>
      <c r="O1404" s="21" t="str">
        <f aca="false">IF(H1404="Yes",MONTH(I1404),"")</f>
        <v/>
      </c>
      <c r="P1404" s="21" t="str">
        <f aca="false">IF(H1404="Yes",B1404,"")</f>
        <v/>
      </c>
    </row>
    <row r="1405" customFormat="false" ht="15" hidden="false" customHeight="false" outlineLevel="0" collapsed="false">
      <c r="A1405" s="21" t="s">
        <v>2620</v>
      </c>
      <c r="B1405" s="21" t="s">
        <v>584</v>
      </c>
      <c r="C1405" s="21" t="s">
        <v>1201</v>
      </c>
      <c r="D1405" s="21" t="s">
        <v>1191</v>
      </c>
      <c r="E1405" s="33" t="n">
        <v>45596</v>
      </c>
      <c r="F1405" s="21" t="s">
        <v>1218</v>
      </c>
      <c r="G1405" s="32"/>
      <c r="H1405" s="21"/>
      <c r="I1405" s="33"/>
      <c r="J1405" s="21" t="str">
        <f aca="false">INDEX(Students!$C$2:$C$601,MATCH(B1405,Students!$A$2:$A$601,0))</f>
        <v>Batch 2025</v>
      </c>
      <c r="K1405" s="21" t="str">
        <f aca="false">INDEX(Students!$D$2:$D$601,MATCH(B1405,Students!$A$2:$A$601,0))</f>
        <v>DSA with Java</v>
      </c>
      <c r="L1405" s="21" t="str">
        <f aca="false">INDEX(Companies!$C$2:$C$31,MATCH(C1405,Companies!$A$2:$A$31,0))</f>
        <v>IT Services</v>
      </c>
      <c r="M1405" s="21" t="str">
        <f aca="false">INDEX(Companies!$D$2:$D$31,MATCH(C1405,Companies!$A$2:$A$31,0))</f>
        <v>Tier 3</v>
      </c>
      <c r="N1405" s="34" t="n">
        <f aca="false">MATCH(F1405,Assumptions!$K$4:$K$8,0)</f>
        <v>4</v>
      </c>
      <c r="O1405" s="21" t="str">
        <f aca="false">IF(H1405="Yes",MONTH(I1405),"")</f>
        <v/>
      </c>
      <c r="P1405" s="21" t="str">
        <f aca="false">IF(H1405="Yes",B1405,"")</f>
        <v/>
      </c>
    </row>
    <row r="1406" customFormat="false" ht="15" hidden="false" customHeight="false" outlineLevel="0" collapsed="false">
      <c r="A1406" s="21" t="s">
        <v>2621</v>
      </c>
      <c r="B1406" s="21" t="s">
        <v>631</v>
      </c>
      <c r="C1406" s="21" t="s">
        <v>1199</v>
      </c>
      <c r="D1406" s="21" t="s">
        <v>1191</v>
      </c>
      <c r="E1406" s="33" t="n">
        <v>45596</v>
      </c>
      <c r="F1406" s="21" t="s">
        <v>1175</v>
      </c>
      <c r="G1406" s="32"/>
      <c r="H1406" s="21"/>
      <c r="I1406" s="33"/>
      <c r="J1406" s="21" t="str">
        <f aca="false">INDEX(Students!$C$2:$C$601,MATCH(B1406,Students!$A$2:$A$601,0))</f>
        <v>Batch 2025</v>
      </c>
      <c r="K1406" s="21" t="str">
        <f aca="false">INDEX(Students!$D$2:$D$601,MATCH(B1406,Students!$A$2:$A$601,0))</f>
        <v>DSA with Java</v>
      </c>
      <c r="L1406" s="21" t="str">
        <f aca="false">INDEX(Companies!$C$2:$C$31,MATCH(C1406,Companies!$A$2:$A$31,0))</f>
        <v>E-commerce</v>
      </c>
      <c r="M1406" s="21" t="str">
        <f aca="false">INDEX(Companies!$D$2:$D$31,MATCH(C1406,Companies!$A$2:$A$31,0))</f>
        <v>Tier 2</v>
      </c>
      <c r="N1406" s="34" t="n">
        <f aca="false">MATCH(F1406,Assumptions!$K$4:$K$8,0)</f>
        <v>1</v>
      </c>
      <c r="O1406" s="21" t="str">
        <f aca="false">IF(H1406="Yes",MONTH(I1406),"")</f>
        <v/>
      </c>
      <c r="P1406" s="21" t="str">
        <f aca="false">IF(H1406="Yes",B1406,"")</f>
        <v/>
      </c>
    </row>
    <row r="1407" customFormat="false" ht="15" hidden="false" customHeight="false" outlineLevel="0" collapsed="false">
      <c r="A1407" s="21" t="s">
        <v>2622</v>
      </c>
      <c r="B1407" s="21" t="s">
        <v>476</v>
      </c>
      <c r="C1407" s="21" t="s">
        <v>1193</v>
      </c>
      <c r="D1407" s="21" t="s">
        <v>1174</v>
      </c>
      <c r="E1407" s="33" t="n">
        <v>45596</v>
      </c>
      <c r="F1407" s="21" t="s">
        <v>1197</v>
      </c>
      <c r="G1407" s="32"/>
      <c r="H1407" s="21"/>
      <c r="I1407" s="33"/>
      <c r="J1407" s="21" t="str">
        <f aca="false">INDEX(Students!$C$2:$C$601,MATCH(B1407,Students!$A$2:$A$601,0))</f>
        <v>Batch 2025</v>
      </c>
      <c r="K1407" s="21" t="str">
        <f aca="false">INDEX(Students!$D$2:$D$601,MATCH(B1407,Students!$A$2:$A$601,0))</f>
        <v>Full Stack Development</v>
      </c>
      <c r="L1407" s="21" t="str">
        <f aca="false">INDEX(Companies!$C$2:$C$31,MATCH(C1407,Companies!$A$2:$A$31,0))</f>
        <v>Analytics &amp; Consulting</v>
      </c>
      <c r="M1407" s="21" t="str">
        <f aca="false">INDEX(Companies!$D$2:$D$31,MATCH(C1407,Companies!$A$2:$A$31,0))</f>
        <v>Tier 2</v>
      </c>
      <c r="N1407" s="34" t="n">
        <f aca="false">MATCH(F1407,Assumptions!$K$4:$K$8,0)</f>
        <v>3</v>
      </c>
      <c r="O1407" s="21" t="str">
        <f aca="false">IF(H1407="Yes",MONTH(I1407),"")</f>
        <v/>
      </c>
      <c r="P1407" s="21" t="str">
        <f aca="false">IF(H1407="Yes",B1407,"")</f>
        <v/>
      </c>
    </row>
    <row r="1408" customFormat="false" ht="15" hidden="false" customHeight="false" outlineLevel="0" collapsed="false">
      <c r="A1408" s="21" t="s">
        <v>2623</v>
      </c>
      <c r="B1408" s="21" t="s">
        <v>806</v>
      </c>
      <c r="C1408" s="21" t="s">
        <v>1183</v>
      </c>
      <c r="D1408" s="21" t="s">
        <v>1243</v>
      </c>
      <c r="E1408" s="33" t="n">
        <v>45597</v>
      </c>
      <c r="F1408" s="21" t="s">
        <v>1185</v>
      </c>
      <c r="G1408" s="32" t="n">
        <v>7.9</v>
      </c>
      <c r="H1408" s="21" t="s">
        <v>120</v>
      </c>
      <c r="I1408" s="33" t="n">
        <v>45650</v>
      </c>
      <c r="J1408" s="21" t="str">
        <f aca="false">INDEX(Students!$C$2:$C$601,MATCH(B1408,Students!$A$2:$A$601,0))</f>
        <v>Batch 2025</v>
      </c>
      <c r="K1408" s="21" t="str">
        <f aca="false">INDEX(Students!$D$2:$D$601,MATCH(B1408,Students!$A$2:$A$601,0))</f>
        <v>Data Science &amp; ML</v>
      </c>
      <c r="L1408" s="21" t="str">
        <f aca="false">INDEX(Companies!$C$2:$C$31,MATCH(C1408,Companies!$A$2:$A$31,0))</f>
        <v>E-commerce</v>
      </c>
      <c r="M1408" s="21" t="str">
        <f aca="false">INDEX(Companies!$D$2:$D$31,MATCH(C1408,Companies!$A$2:$A$31,0))</f>
        <v>Tier 2</v>
      </c>
      <c r="N1408" s="34" t="n">
        <f aca="false">MATCH(F1408,Assumptions!$K$4:$K$8,0)</f>
        <v>5</v>
      </c>
      <c r="O1408" s="21" t="n">
        <f aca="false">IF(H1408="Yes",MONTH(I1408),"")</f>
        <v>12</v>
      </c>
      <c r="P1408" s="21" t="str">
        <f aca="false">IF(H1408="Yes",B1408,"")</f>
        <v>S0380</v>
      </c>
    </row>
    <row r="1409" customFormat="false" ht="15" hidden="false" customHeight="false" outlineLevel="0" collapsed="false">
      <c r="A1409" s="21" t="s">
        <v>2624</v>
      </c>
      <c r="B1409" s="21" t="s">
        <v>487</v>
      </c>
      <c r="C1409" s="21" t="s">
        <v>1216</v>
      </c>
      <c r="D1409" s="21" t="s">
        <v>1194</v>
      </c>
      <c r="E1409" s="33" t="n">
        <v>45597</v>
      </c>
      <c r="F1409" s="21" t="s">
        <v>1185</v>
      </c>
      <c r="G1409" s="32" t="n">
        <v>5.8</v>
      </c>
      <c r="H1409" s="21" t="s">
        <v>113</v>
      </c>
      <c r="I1409" s="33" t="n">
        <v>45632</v>
      </c>
      <c r="J1409" s="21" t="str">
        <f aca="false">INDEX(Students!$C$2:$C$601,MATCH(B1409,Students!$A$2:$A$601,0))</f>
        <v>Batch 2025</v>
      </c>
      <c r="K1409" s="21" t="str">
        <f aca="false">INDEX(Students!$D$2:$D$601,MATCH(B1409,Students!$A$2:$A$601,0))</f>
        <v>Data Science &amp; ML</v>
      </c>
      <c r="L1409" s="21" t="str">
        <f aca="false">INDEX(Companies!$C$2:$C$31,MATCH(C1409,Companies!$A$2:$A$31,0))</f>
        <v>IT Services</v>
      </c>
      <c r="M1409" s="21" t="str">
        <f aca="false">INDEX(Companies!$D$2:$D$31,MATCH(C1409,Companies!$A$2:$A$31,0))</f>
        <v>Tier 3</v>
      </c>
      <c r="N1409" s="34" t="n">
        <f aca="false">MATCH(F1409,Assumptions!$K$4:$K$8,0)</f>
        <v>5</v>
      </c>
      <c r="O1409" s="21" t="str">
        <f aca="false">IF(H1409="Yes",MONTH(I1409),"")</f>
        <v/>
      </c>
      <c r="P1409" s="21" t="str">
        <f aca="false">IF(H1409="Yes",B1409,"")</f>
        <v/>
      </c>
    </row>
    <row r="1410" customFormat="false" ht="15" hidden="false" customHeight="false" outlineLevel="0" collapsed="false">
      <c r="A1410" s="21" t="s">
        <v>2625</v>
      </c>
      <c r="B1410" s="21" t="s">
        <v>635</v>
      </c>
      <c r="C1410" s="21" t="s">
        <v>1222</v>
      </c>
      <c r="D1410" s="21" t="s">
        <v>1184</v>
      </c>
      <c r="E1410" s="33" t="n">
        <v>45597</v>
      </c>
      <c r="F1410" s="21" t="s">
        <v>1218</v>
      </c>
      <c r="G1410" s="32"/>
      <c r="H1410" s="21"/>
      <c r="I1410" s="33"/>
      <c r="J1410" s="21" t="str">
        <f aca="false">INDEX(Students!$C$2:$C$601,MATCH(B1410,Students!$A$2:$A$601,0))</f>
        <v>Batch 2025</v>
      </c>
      <c r="K1410" s="21" t="str">
        <f aca="false">INDEX(Students!$D$2:$D$601,MATCH(B1410,Students!$A$2:$A$601,0))</f>
        <v>DSA with Java</v>
      </c>
      <c r="L1410" s="21" t="str">
        <f aca="false">INDEX(Companies!$C$2:$C$31,MATCH(C1410,Companies!$A$2:$A$31,0))</f>
        <v>Product</v>
      </c>
      <c r="M1410" s="21" t="str">
        <f aca="false">INDEX(Companies!$D$2:$D$31,MATCH(C1410,Companies!$A$2:$A$31,0))</f>
        <v>Tier 2</v>
      </c>
      <c r="N1410" s="34" t="n">
        <f aca="false">MATCH(F1410,Assumptions!$K$4:$K$8,0)</f>
        <v>4</v>
      </c>
      <c r="O1410" s="21" t="str">
        <f aca="false">IF(H1410="Yes",MONTH(I1410),"")</f>
        <v/>
      </c>
      <c r="P1410" s="21" t="str">
        <f aca="false">IF(H1410="Yes",B1410,"")</f>
        <v/>
      </c>
    </row>
    <row r="1411" customFormat="false" ht="15" hidden="false" customHeight="false" outlineLevel="0" collapsed="false">
      <c r="A1411" s="21" t="s">
        <v>2626</v>
      </c>
      <c r="B1411" s="21" t="s">
        <v>633</v>
      </c>
      <c r="C1411" s="21" t="s">
        <v>1230</v>
      </c>
      <c r="D1411" s="21" t="s">
        <v>1226</v>
      </c>
      <c r="E1411" s="33" t="n">
        <v>45597</v>
      </c>
      <c r="F1411" s="21" t="s">
        <v>1197</v>
      </c>
      <c r="G1411" s="32"/>
      <c r="H1411" s="21"/>
      <c r="I1411" s="33"/>
      <c r="J1411" s="21" t="str">
        <f aca="false">INDEX(Students!$C$2:$C$601,MATCH(B1411,Students!$A$2:$A$601,0))</f>
        <v>Batch 2025</v>
      </c>
      <c r="K1411" s="21" t="str">
        <f aca="false">INDEX(Students!$D$2:$D$601,MATCH(B1411,Students!$A$2:$A$601,0))</f>
        <v>Cybersecurity</v>
      </c>
      <c r="L1411" s="21" t="str">
        <f aca="false">INDEX(Companies!$C$2:$C$31,MATCH(C1411,Companies!$A$2:$A$31,0))</f>
        <v>IT Services</v>
      </c>
      <c r="M1411" s="21" t="str">
        <f aca="false">INDEX(Companies!$D$2:$D$31,MATCH(C1411,Companies!$A$2:$A$31,0))</f>
        <v>Tier 3</v>
      </c>
      <c r="N1411" s="34" t="n">
        <f aca="false">MATCH(F1411,Assumptions!$K$4:$K$8,0)</f>
        <v>3</v>
      </c>
      <c r="O1411" s="21" t="str">
        <f aca="false">IF(H1411="Yes",MONTH(I1411),"")</f>
        <v/>
      </c>
      <c r="P1411" s="21" t="str">
        <f aca="false">IF(H1411="Yes",B1411,"")</f>
        <v/>
      </c>
    </row>
    <row r="1412" customFormat="false" ht="15" hidden="false" customHeight="false" outlineLevel="0" collapsed="false">
      <c r="A1412" s="21" t="s">
        <v>2627</v>
      </c>
      <c r="B1412" s="21" t="s">
        <v>491</v>
      </c>
      <c r="C1412" s="21" t="s">
        <v>1205</v>
      </c>
      <c r="D1412" s="21" t="s">
        <v>1191</v>
      </c>
      <c r="E1412" s="33" t="n">
        <v>45597</v>
      </c>
      <c r="F1412" s="21" t="s">
        <v>1178</v>
      </c>
      <c r="G1412" s="32"/>
      <c r="H1412" s="21"/>
      <c r="I1412" s="33"/>
      <c r="J1412" s="21" t="str">
        <f aca="false">INDEX(Students!$C$2:$C$601,MATCH(B1412,Students!$A$2:$A$601,0))</f>
        <v>Batch 2025</v>
      </c>
      <c r="K1412" s="21" t="str">
        <f aca="false">INDEX(Students!$D$2:$D$601,MATCH(B1412,Students!$A$2:$A$601,0))</f>
        <v>DSA with Java</v>
      </c>
      <c r="L1412" s="21" t="str">
        <f aca="false">INDEX(Companies!$C$2:$C$31,MATCH(C1412,Companies!$A$2:$A$31,0))</f>
        <v>Healthtech</v>
      </c>
      <c r="M1412" s="21" t="str">
        <f aca="false">INDEX(Companies!$D$2:$D$31,MATCH(C1412,Companies!$A$2:$A$31,0))</f>
        <v>Tier 3</v>
      </c>
      <c r="N1412" s="34" t="n">
        <f aca="false">MATCH(F1412,Assumptions!$K$4:$K$8,0)</f>
        <v>2</v>
      </c>
      <c r="O1412" s="21" t="str">
        <f aca="false">IF(H1412="Yes",MONTH(I1412),"")</f>
        <v/>
      </c>
      <c r="P1412" s="21" t="str">
        <f aca="false">IF(H1412="Yes",B1412,"")</f>
        <v/>
      </c>
    </row>
    <row r="1413" customFormat="false" ht="15" hidden="false" customHeight="false" outlineLevel="0" collapsed="false">
      <c r="A1413" s="21" t="s">
        <v>2628</v>
      </c>
      <c r="B1413" s="21" t="s">
        <v>495</v>
      </c>
      <c r="C1413" s="21" t="s">
        <v>1222</v>
      </c>
      <c r="D1413" s="21" t="s">
        <v>1243</v>
      </c>
      <c r="E1413" s="33" t="n">
        <v>45597</v>
      </c>
      <c r="F1413" s="21" t="s">
        <v>1175</v>
      </c>
      <c r="G1413" s="32"/>
      <c r="H1413" s="21"/>
      <c r="I1413" s="33"/>
      <c r="J1413" s="21" t="str">
        <f aca="false">INDEX(Students!$C$2:$C$601,MATCH(B1413,Students!$A$2:$A$601,0))</f>
        <v>Batch 2025</v>
      </c>
      <c r="K1413" s="21" t="str">
        <f aca="false">INDEX(Students!$D$2:$D$601,MATCH(B1413,Students!$A$2:$A$601,0))</f>
        <v>Data Science &amp; ML</v>
      </c>
      <c r="L1413" s="21" t="str">
        <f aca="false">INDEX(Companies!$C$2:$C$31,MATCH(C1413,Companies!$A$2:$A$31,0))</f>
        <v>Product</v>
      </c>
      <c r="M1413" s="21" t="str">
        <f aca="false">INDEX(Companies!$D$2:$D$31,MATCH(C1413,Companies!$A$2:$A$31,0))</f>
        <v>Tier 2</v>
      </c>
      <c r="N1413" s="34" t="n">
        <f aca="false">MATCH(F1413,Assumptions!$K$4:$K$8,0)</f>
        <v>1</v>
      </c>
      <c r="O1413" s="21" t="str">
        <f aca="false">IF(H1413="Yes",MONTH(I1413),"")</f>
        <v/>
      </c>
      <c r="P1413" s="21" t="str">
        <f aca="false">IF(H1413="Yes",B1413,"")</f>
        <v/>
      </c>
    </row>
    <row r="1414" customFormat="false" ht="15" hidden="false" customHeight="false" outlineLevel="0" collapsed="false">
      <c r="A1414" s="21" t="s">
        <v>2629</v>
      </c>
      <c r="B1414" s="21" t="s">
        <v>542</v>
      </c>
      <c r="C1414" s="21" t="s">
        <v>1263</v>
      </c>
      <c r="D1414" s="21" t="s">
        <v>1191</v>
      </c>
      <c r="E1414" s="33" t="n">
        <v>45598</v>
      </c>
      <c r="F1414" s="21" t="s">
        <v>1185</v>
      </c>
      <c r="G1414" s="32" t="n">
        <v>9.6</v>
      </c>
      <c r="H1414" s="21" t="s">
        <v>113</v>
      </c>
      <c r="I1414" s="33" t="n">
        <v>45647</v>
      </c>
      <c r="J1414" s="21" t="str">
        <f aca="false">INDEX(Students!$C$2:$C$601,MATCH(B1414,Students!$A$2:$A$601,0))</f>
        <v>Batch 2025</v>
      </c>
      <c r="K1414" s="21" t="str">
        <f aca="false">INDEX(Students!$D$2:$D$601,MATCH(B1414,Students!$A$2:$A$601,0))</f>
        <v>DSA with Java</v>
      </c>
      <c r="L1414" s="21" t="str">
        <f aca="false">INDEX(Companies!$C$2:$C$31,MATCH(C1414,Companies!$A$2:$A$31,0))</f>
        <v>Analytics &amp; Consulting</v>
      </c>
      <c r="M1414" s="21" t="str">
        <f aca="false">INDEX(Companies!$D$2:$D$31,MATCH(C1414,Companies!$A$2:$A$31,0))</f>
        <v>Tier 2</v>
      </c>
      <c r="N1414" s="34" t="n">
        <f aca="false">MATCH(F1414,Assumptions!$K$4:$K$8,0)</f>
        <v>5</v>
      </c>
      <c r="O1414" s="21" t="str">
        <f aca="false">IF(H1414="Yes",MONTH(I1414),"")</f>
        <v/>
      </c>
      <c r="P1414" s="21" t="str">
        <f aca="false">IF(H1414="Yes",B1414,"")</f>
        <v/>
      </c>
    </row>
    <row r="1415" customFormat="false" ht="15" hidden="false" customHeight="false" outlineLevel="0" collapsed="false">
      <c r="A1415" s="21" t="s">
        <v>2630</v>
      </c>
      <c r="B1415" s="21" t="s">
        <v>765</v>
      </c>
      <c r="C1415" s="21" t="s">
        <v>1190</v>
      </c>
      <c r="D1415" s="21" t="s">
        <v>1184</v>
      </c>
      <c r="E1415" s="33" t="n">
        <v>45598</v>
      </c>
      <c r="F1415" s="21" t="s">
        <v>1175</v>
      </c>
      <c r="G1415" s="32"/>
      <c r="H1415" s="21"/>
      <c r="I1415" s="33"/>
      <c r="J1415" s="21" t="str">
        <f aca="false">INDEX(Students!$C$2:$C$601,MATCH(B1415,Students!$A$2:$A$601,0))</f>
        <v>Batch 2025</v>
      </c>
      <c r="K1415" s="21" t="str">
        <f aca="false">INDEX(Students!$D$2:$D$601,MATCH(B1415,Students!$A$2:$A$601,0))</f>
        <v>DSA with Java</v>
      </c>
      <c r="L1415" s="21" t="str">
        <f aca="false">INDEX(Companies!$C$2:$C$31,MATCH(C1415,Companies!$A$2:$A$31,0))</f>
        <v>Analytics &amp; Consulting</v>
      </c>
      <c r="M1415" s="21" t="str">
        <f aca="false">INDEX(Companies!$D$2:$D$31,MATCH(C1415,Companies!$A$2:$A$31,0))</f>
        <v>Tier 1</v>
      </c>
      <c r="N1415" s="34" t="n">
        <f aca="false">MATCH(F1415,Assumptions!$K$4:$K$8,0)</f>
        <v>1</v>
      </c>
      <c r="O1415" s="21" t="str">
        <f aca="false">IF(H1415="Yes",MONTH(I1415),"")</f>
        <v/>
      </c>
      <c r="P1415" s="21" t="str">
        <f aca="false">IF(H1415="Yes",B1415,"")</f>
        <v/>
      </c>
    </row>
    <row r="1416" customFormat="false" ht="15" hidden="false" customHeight="false" outlineLevel="0" collapsed="false">
      <c r="A1416" s="21" t="s">
        <v>2631</v>
      </c>
      <c r="B1416" s="21" t="s">
        <v>732</v>
      </c>
      <c r="C1416" s="21" t="s">
        <v>1196</v>
      </c>
      <c r="D1416" s="21" t="s">
        <v>1194</v>
      </c>
      <c r="E1416" s="33" t="n">
        <v>45598</v>
      </c>
      <c r="F1416" s="21" t="s">
        <v>1175</v>
      </c>
      <c r="G1416" s="32"/>
      <c r="H1416" s="21"/>
      <c r="I1416" s="33"/>
      <c r="J1416" s="21" t="str">
        <f aca="false">INDEX(Students!$C$2:$C$601,MATCH(B1416,Students!$A$2:$A$601,0))</f>
        <v>Batch 2025</v>
      </c>
      <c r="K1416" s="21" t="str">
        <f aca="false">INDEX(Students!$D$2:$D$601,MATCH(B1416,Students!$A$2:$A$601,0))</f>
        <v>Data Science &amp; ML</v>
      </c>
      <c r="L1416" s="21" t="str">
        <f aca="false">INDEX(Companies!$C$2:$C$31,MATCH(C1416,Companies!$A$2:$A$31,0))</f>
        <v>IT Services</v>
      </c>
      <c r="M1416" s="21" t="str">
        <f aca="false">INDEX(Companies!$D$2:$D$31,MATCH(C1416,Companies!$A$2:$A$31,0))</f>
        <v>Tier 3</v>
      </c>
      <c r="N1416" s="34" t="n">
        <f aca="false">MATCH(F1416,Assumptions!$K$4:$K$8,0)</f>
        <v>1</v>
      </c>
      <c r="O1416" s="21" t="str">
        <f aca="false">IF(H1416="Yes",MONTH(I1416),"")</f>
        <v/>
      </c>
      <c r="P1416" s="21" t="str">
        <f aca="false">IF(H1416="Yes",B1416,"")</f>
        <v/>
      </c>
    </row>
    <row r="1417" customFormat="false" ht="15" hidden="false" customHeight="false" outlineLevel="0" collapsed="false">
      <c r="A1417" s="21" t="s">
        <v>2632</v>
      </c>
      <c r="B1417" s="21" t="s">
        <v>506</v>
      </c>
      <c r="C1417" s="21" t="s">
        <v>1193</v>
      </c>
      <c r="D1417" s="21" t="s">
        <v>1174</v>
      </c>
      <c r="E1417" s="33" t="n">
        <v>45599</v>
      </c>
      <c r="F1417" s="21" t="s">
        <v>1178</v>
      </c>
      <c r="G1417" s="32"/>
      <c r="H1417" s="21"/>
      <c r="I1417" s="33"/>
      <c r="J1417" s="21" t="str">
        <f aca="false">INDEX(Students!$C$2:$C$601,MATCH(B1417,Students!$A$2:$A$601,0))</f>
        <v>Batch 2025</v>
      </c>
      <c r="K1417" s="21" t="str">
        <f aca="false">INDEX(Students!$D$2:$D$601,MATCH(B1417,Students!$A$2:$A$601,0))</f>
        <v>Full Stack Development</v>
      </c>
      <c r="L1417" s="21" t="str">
        <f aca="false">INDEX(Companies!$C$2:$C$31,MATCH(C1417,Companies!$A$2:$A$31,0))</f>
        <v>Analytics &amp; Consulting</v>
      </c>
      <c r="M1417" s="21" t="str">
        <f aca="false">INDEX(Companies!$D$2:$D$31,MATCH(C1417,Companies!$A$2:$A$31,0))</f>
        <v>Tier 2</v>
      </c>
      <c r="N1417" s="34" t="n">
        <f aca="false">MATCH(F1417,Assumptions!$K$4:$K$8,0)</f>
        <v>2</v>
      </c>
      <c r="O1417" s="21" t="str">
        <f aca="false">IF(H1417="Yes",MONTH(I1417),"")</f>
        <v/>
      </c>
      <c r="P1417" s="21" t="str">
        <f aca="false">IF(H1417="Yes",B1417,"")</f>
        <v/>
      </c>
    </row>
    <row r="1418" customFormat="false" ht="15" hidden="false" customHeight="false" outlineLevel="0" collapsed="false">
      <c r="A1418" s="21" t="s">
        <v>2633</v>
      </c>
      <c r="B1418" s="21" t="s">
        <v>716</v>
      </c>
      <c r="C1418" s="21" t="s">
        <v>1201</v>
      </c>
      <c r="D1418" s="21" t="s">
        <v>1184</v>
      </c>
      <c r="E1418" s="33" t="n">
        <v>45599</v>
      </c>
      <c r="F1418" s="21" t="s">
        <v>1178</v>
      </c>
      <c r="G1418" s="32"/>
      <c r="H1418" s="21"/>
      <c r="I1418" s="33"/>
      <c r="J1418" s="21" t="str">
        <f aca="false">INDEX(Students!$C$2:$C$601,MATCH(B1418,Students!$A$2:$A$601,0))</f>
        <v>Batch 2025</v>
      </c>
      <c r="K1418" s="21" t="str">
        <f aca="false">INDEX(Students!$D$2:$D$601,MATCH(B1418,Students!$A$2:$A$601,0))</f>
        <v>DSA with Java</v>
      </c>
      <c r="L1418" s="21" t="str">
        <f aca="false">INDEX(Companies!$C$2:$C$31,MATCH(C1418,Companies!$A$2:$A$31,0))</f>
        <v>IT Services</v>
      </c>
      <c r="M1418" s="21" t="str">
        <f aca="false">INDEX(Companies!$D$2:$D$31,MATCH(C1418,Companies!$A$2:$A$31,0))</f>
        <v>Tier 3</v>
      </c>
      <c r="N1418" s="34" t="n">
        <f aca="false">MATCH(F1418,Assumptions!$K$4:$K$8,0)</f>
        <v>2</v>
      </c>
      <c r="O1418" s="21" t="str">
        <f aca="false">IF(H1418="Yes",MONTH(I1418),"")</f>
        <v/>
      </c>
      <c r="P1418" s="21" t="str">
        <f aca="false">IF(H1418="Yes",B1418,"")</f>
        <v/>
      </c>
    </row>
    <row r="1419" customFormat="false" ht="15" hidden="false" customHeight="false" outlineLevel="0" collapsed="false">
      <c r="A1419" s="21" t="s">
        <v>2634</v>
      </c>
      <c r="B1419" s="21" t="s">
        <v>515</v>
      </c>
      <c r="C1419" s="21" t="s">
        <v>1199</v>
      </c>
      <c r="D1419" s="21" t="s">
        <v>1243</v>
      </c>
      <c r="E1419" s="33" t="n">
        <v>45599</v>
      </c>
      <c r="F1419" s="21" t="s">
        <v>1178</v>
      </c>
      <c r="G1419" s="32"/>
      <c r="H1419" s="21"/>
      <c r="I1419" s="33"/>
      <c r="J1419" s="21" t="str">
        <f aca="false">INDEX(Students!$C$2:$C$601,MATCH(B1419,Students!$A$2:$A$601,0))</f>
        <v>Batch 2025</v>
      </c>
      <c r="K1419" s="21" t="str">
        <f aca="false">INDEX(Students!$D$2:$D$601,MATCH(B1419,Students!$A$2:$A$601,0))</f>
        <v>Data Science &amp; ML</v>
      </c>
      <c r="L1419" s="21" t="str">
        <f aca="false">INDEX(Companies!$C$2:$C$31,MATCH(C1419,Companies!$A$2:$A$31,0))</f>
        <v>E-commerce</v>
      </c>
      <c r="M1419" s="21" t="str">
        <f aca="false">INDEX(Companies!$D$2:$D$31,MATCH(C1419,Companies!$A$2:$A$31,0))</f>
        <v>Tier 2</v>
      </c>
      <c r="N1419" s="34" t="n">
        <f aca="false">MATCH(F1419,Assumptions!$K$4:$K$8,0)</f>
        <v>2</v>
      </c>
      <c r="O1419" s="21" t="str">
        <f aca="false">IF(H1419="Yes",MONTH(I1419),"")</f>
        <v/>
      </c>
      <c r="P1419" s="21" t="str">
        <f aca="false">IF(H1419="Yes",B1419,"")</f>
        <v/>
      </c>
    </row>
    <row r="1420" customFormat="false" ht="15" hidden="false" customHeight="false" outlineLevel="0" collapsed="false">
      <c r="A1420" s="21" t="s">
        <v>2635</v>
      </c>
      <c r="B1420" s="21" t="s">
        <v>726</v>
      </c>
      <c r="C1420" s="21" t="s">
        <v>1255</v>
      </c>
      <c r="D1420" s="21" t="s">
        <v>1243</v>
      </c>
      <c r="E1420" s="33" t="n">
        <v>45600</v>
      </c>
      <c r="F1420" s="21" t="s">
        <v>1178</v>
      </c>
      <c r="G1420" s="32"/>
      <c r="H1420" s="21"/>
      <c r="I1420" s="33"/>
      <c r="J1420" s="21" t="str">
        <f aca="false">INDEX(Students!$C$2:$C$601,MATCH(B1420,Students!$A$2:$A$601,0))</f>
        <v>Batch 2025</v>
      </c>
      <c r="K1420" s="21" t="str">
        <f aca="false">INDEX(Students!$D$2:$D$601,MATCH(B1420,Students!$A$2:$A$601,0))</f>
        <v>Data Science &amp; ML</v>
      </c>
      <c r="L1420" s="21" t="str">
        <f aca="false">INDEX(Companies!$C$2:$C$31,MATCH(C1420,Companies!$A$2:$A$31,0))</f>
        <v>IT Services</v>
      </c>
      <c r="M1420" s="21" t="str">
        <f aca="false">INDEX(Companies!$D$2:$D$31,MATCH(C1420,Companies!$A$2:$A$31,0))</f>
        <v>Tier 3</v>
      </c>
      <c r="N1420" s="34" t="n">
        <f aca="false">MATCH(F1420,Assumptions!$K$4:$K$8,0)</f>
        <v>2</v>
      </c>
      <c r="O1420" s="21" t="str">
        <f aca="false">IF(H1420="Yes",MONTH(I1420),"")</f>
        <v/>
      </c>
      <c r="P1420" s="21" t="str">
        <f aca="false">IF(H1420="Yes",B1420,"")</f>
        <v/>
      </c>
    </row>
    <row r="1421" customFormat="false" ht="15" hidden="false" customHeight="false" outlineLevel="0" collapsed="false">
      <c r="A1421" s="21" t="s">
        <v>2636</v>
      </c>
      <c r="B1421" s="21" t="s">
        <v>729</v>
      </c>
      <c r="C1421" s="21" t="s">
        <v>1228</v>
      </c>
      <c r="D1421" s="21" t="s">
        <v>1240</v>
      </c>
      <c r="E1421" s="33" t="n">
        <v>45600</v>
      </c>
      <c r="F1421" s="21" t="s">
        <v>1175</v>
      </c>
      <c r="G1421" s="32"/>
      <c r="H1421" s="21"/>
      <c r="I1421" s="33"/>
      <c r="J1421" s="21" t="str">
        <f aca="false">INDEX(Students!$C$2:$C$601,MATCH(B1421,Students!$A$2:$A$601,0))</f>
        <v>Batch 2025</v>
      </c>
      <c r="K1421" s="21" t="str">
        <f aca="false">INDEX(Students!$D$2:$D$601,MATCH(B1421,Students!$A$2:$A$601,0))</f>
        <v>Cybersecurity</v>
      </c>
      <c r="L1421" s="21" t="str">
        <f aca="false">INDEX(Companies!$C$2:$C$31,MATCH(C1421,Companies!$A$2:$A$31,0))</f>
        <v>Fintech</v>
      </c>
      <c r="M1421" s="21" t="str">
        <f aca="false">INDEX(Companies!$D$2:$D$31,MATCH(C1421,Companies!$A$2:$A$31,0))</f>
        <v>Tier 1</v>
      </c>
      <c r="N1421" s="34" t="n">
        <f aca="false">MATCH(F1421,Assumptions!$K$4:$K$8,0)</f>
        <v>1</v>
      </c>
      <c r="O1421" s="21" t="str">
        <f aca="false">IF(H1421="Yes",MONTH(I1421),"")</f>
        <v/>
      </c>
      <c r="P1421" s="21" t="str">
        <f aca="false">IF(H1421="Yes",B1421,"")</f>
        <v/>
      </c>
    </row>
    <row r="1422" customFormat="false" ht="15" hidden="false" customHeight="false" outlineLevel="0" collapsed="false">
      <c r="A1422" s="21" t="s">
        <v>2637</v>
      </c>
      <c r="B1422" s="21" t="s">
        <v>751</v>
      </c>
      <c r="C1422" s="21" t="s">
        <v>1196</v>
      </c>
      <c r="D1422" s="21" t="s">
        <v>1188</v>
      </c>
      <c r="E1422" s="33" t="n">
        <v>45600</v>
      </c>
      <c r="F1422" s="21" t="s">
        <v>1197</v>
      </c>
      <c r="G1422" s="32"/>
      <c r="H1422" s="21"/>
      <c r="I1422" s="33"/>
      <c r="J1422" s="21" t="str">
        <f aca="false">INDEX(Students!$C$2:$C$601,MATCH(B1422,Students!$A$2:$A$601,0))</f>
        <v>Batch 2025</v>
      </c>
      <c r="K1422" s="21" t="str">
        <f aca="false">INDEX(Students!$D$2:$D$601,MATCH(B1422,Students!$A$2:$A$601,0))</f>
        <v>Data Analytics</v>
      </c>
      <c r="L1422" s="21" t="str">
        <f aca="false">INDEX(Companies!$C$2:$C$31,MATCH(C1422,Companies!$A$2:$A$31,0))</f>
        <v>IT Services</v>
      </c>
      <c r="M1422" s="21" t="str">
        <f aca="false">INDEX(Companies!$D$2:$D$31,MATCH(C1422,Companies!$A$2:$A$31,0))</f>
        <v>Tier 3</v>
      </c>
      <c r="N1422" s="34" t="n">
        <f aca="false">MATCH(F1422,Assumptions!$K$4:$K$8,0)</f>
        <v>3</v>
      </c>
      <c r="O1422" s="21" t="str">
        <f aca="false">IF(H1422="Yes",MONTH(I1422),"")</f>
        <v/>
      </c>
      <c r="P1422" s="21" t="str">
        <f aca="false">IF(H1422="Yes",B1422,"")</f>
        <v/>
      </c>
    </row>
    <row r="1423" customFormat="false" ht="15" hidden="false" customHeight="false" outlineLevel="0" collapsed="false">
      <c r="A1423" s="21" t="s">
        <v>2638</v>
      </c>
      <c r="B1423" s="21" t="s">
        <v>522</v>
      </c>
      <c r="C1423" s="21" t="s">
        <v>1205</v>
      </c>
      <c r="D1423" s="21" t="s">
        <v>1184</v>
      </c>
      <c r="E1423" s="33" t="n">
        <v>45600</v>
      </c>
      <c r="F1423" s="21" t="s">
        <v>1185</v>
      </c>
      <c r="G1423" s="32" t="n">
        <v>5.4</v>
      </c>
      <c r="H1423" s="21" t="s">
        <v>113</v>
      </c>
      <c r="I1423" s="33" t="n">
        <v>45644</v>
      </c>
      <c r="J1423" s="21" t="str">
        <f aca="false">INDEX(Students!$C$2:$C$601,MATCH(B1423,Students!$A$2:$A$601,0))</f>
        <v>Batch 2025</v>
      </c>
      <c r="K1423" s="21" t="str">
        <f aca="false">INDEX(Students!$D$2:$D$601,MATCH(B1423,Students!$A$2:$A$601,0))</f>
        <v>DSA with Java</v>
      </c>
      <c r="L1423" s="21" t="str">
        <f aca="false">INDEX(Companies!$C$2:$C$31,MATCH(C1423,Companies!$A$2:$A$31,0))</f>
        <v>Healthtech</v>
      </c>
      <c r="M1423" s="21" t="str">
        <f aca="false">INDEX(Companies!$D$2:$D$31,MATCH(C1423,Companies!$A$2:$A$31,0))</f>
        <v>Tier 3</v>
      </c>
      <c r="N1423" s="34" t="n">
        <f aca="false">MATCH(F1423,Assumptions!$K$4:$K$8,0)</f>
        <v>5</v>
      </c>
      <c r="O1423" s="21" t="str">
        <f aca="false">IF(H1423="Yes",MONTH(I1423),"")</f>
        <v/>
      </c>
      <c r="P1423" s="21" t="str">
        <f aca="false">IF(H1423="Yes",B1423,"")</f>
        <v/>
      </c>
    </row>
    <row r="1424" customFormat="false" ht="15" hidden="false" customHeight="false" outlineLevel="0" collapsed="false">
      <c r="A1424" s="21" t="s">
        <v>2639</v>
      </c>
      <c r="B1424" s="21" t="s">
        <v>609</v>
      </c>
      <c r="C1424" s="21" t="s">
        <v>1199</v>
      </c>
      <c r="D1424" s="21" t="s">
        <v>1209</v>
      </c>
      <c r="E1424" s="33" t="n">
        <v>45600</v>
      </c>
      <c r="F1424" s="21" t="s">
        <v>1175</v>
      </c>
      <c r="G1424" s="32"/>
      <c r="H1424" s="21"/>
      <c r="I1424" s="33"/>
      <c r="J1424" s="21" t="str">
        <f aca="false">INDEX(Students!$C$2:$C$601,MATCH(B1424,Students!$A$2:$A$601,0))</f>
        <v>Batch 2025</v>
      </c>
      <c r="K1424" s="21" t="str">
        <f aca="false">INDEX(Students!$D$2:$D$601,MATCH(B1424,Students!$A$2:$A$601,0))</f>
        <v>Data Analytics</v>
      </c>
      <c r="L1424" s="21" t="str">
        <f aca="false">INDEX(Companies!$C$2:$C$31,MATCH(C1424,Companies!$A$2:$A$31,0))</f>
        <v>E-commerce</v>
      </c>
      <c r="M1424" s="21" t="str">
        <f aca="false">INDEX(Companies!$D$2:$D$31,MATCH(C1424,Companies!$A$2:$A$31,0))</f>
        <v>Tier 2</v>
      </c>
      <c r="N1424" s="34" t="n">
        <f aca="false">MATCH(F1424,Assumptions!$K$4:$K$8,0)</f>
        <v>1</v>
      </c>
      <c r="O1424" s="21" t="str">
        <f aca="false">IF(H1424="Yes",MONTH(I1424),"")</f>
        <v/>
      </c>
      <c r="P1424" s="21" t="str">
        <f aca="false">IF(H1424="Yes",B1424,"")</f>
        <v/>
      </c>
    </row>
    <row r="1425" customFormat="false" ht="15" hidden="false" customHeight="false" outlineLevel="0" collapsed="false">
      <c r="A1425" s="21" t="s">
        <v>2640</v>
      </c>
      <c r="B1425" s="21" t="s">
        <v>489</v>
      </c>
      <c r="C1425" s="21" t="s">
        <v>1180</v>
      </c>
      <c r="D1425" s="21" t="s">
        <v>1240</v>
      </c>
      <c r="E1425" s="33" t="n">
        <v>45600</v>
      </c>
      <c r="F1425" s="21" t="s">
        <v>1178</v>
      </c>
      <c r="G1425" s="32"/>
      <c r="H1425" s="21"/>
      <c r="I1425" s="33"/>
      <c r="J1425" s="21" t="str">
        <f aca="false">INDEX(Students!$C$2:$C$601,MATCH(B1425,Students!$A$2:$A$601,0))</f>
        <v>Batch 2025</v>
      </c>
      <c r="K1425" s="21" t="str">
        <f aca="false">INDEX(Students!$D$2:$D$601,MATCH(B1425,Students!$A$2:$A$601,0))</f>
        <v>Cybersecurity</v>
      </c>
      <c r="L1425" s="21" t="str">
        <f aca="false">INDEX(Companies!$C$2:$C$31,MATCH(C1425,Companies!$A$2:$A$31,0))</f>
        <v>IT Services</v>
      </c>
      <c r="M1425" s="21" t="str">
        <f aca="false">INDEX(Companies!$D$2:$D$31,MATCH(C1425,Companies!$A$2:$A$31,0))</f>
        <v>Tier 3</v>
      </c>
      <c r="N1425" s="34" t="n">
        <f aca="false">MATCH(F1425,Assumptions!$K$4:$K$8,0)</f>
        <v>2</v>
      </c>
      <c r="O1425" s="21" t="str">
        <f aca="false">IF(H1425="Yes",MONTH(I1425),"")</f>
        <v/>
      </c>
      <c r="P1425" s="21" t="str">
        <f aca="false">IF(H1425="Yes",B1425,"")</f>
        <v/>
      </c>
    </row>
    <row r="1426" customFormat="false" ht="15" hidden="false" customHeight="false" outlineLevel="0" collapsed="false">
      <c r="A1426" s="21" t="s">
        <v>2641</v>
      </c>
      <c r="B1426" s="21" t="s">
        <v>556</v>
      </c>
      <c r="C1426" s="21" t="s">
        <v>1234</v>
      </c>
      <c r="D1426" s="21" t="s">
        <v>1243</v>
      </c>
      <c r="E1426" s="33" t="n">
        <v>45601</v>
      </c>
      <c r="F1426" s="21" t="s">
        <v>1185</v>
      </c>
      <c r="G1426" s="32" t="n">
        <v>7</v>
      </c>
      <c r="H1426" s="21" t="s">
        <v>120</v>
      </c>
      <c r="I1426" s="33" t="n">
        <v>45635</v>
      </c>
      <c r="J1426" s="21" t="str">
        <f aca="false">INDEX(Students!$C$2:$C$601,MATCH(B1426,Students!$A$2:$A$601,0))</f>
        <v>Batch 2025</v>
      </c>
      <c r="K1426" s="21" t="str">
        <f aca="false">INDEX(Students!$D$2:$D$601,MATCH(B1426,Students!$A$2:$A$601,0))</f>
        <v>Data Science &amp; ML</v>
      </c>
      <c r="L1426" s="21" t="str">
        <f aca="false">INDEX(Companies!$C$2:$C$31,MATCH(C1426,Companies!$A$2:$A$31,0))</f>
        <v>EdTech</v>
      </c>
      <c r="M1426" s="21" t="str">
        <f aca="false">INDEX(Companies!$D$2:$D$31,MATCH(C1426,Companies!$A$2:$A$31,0))</f>
        <v>Tier 3</v>
      </c>
      <c r="N1426" s="34" t="n">
        <f aca="false">MATCH(F1426,Assumptions!$K$4:$K$8,0)</f>
        <v>5</v>
      </c>
      <c r="O1426" s="21" t="n">
        <f aca="false">IF(H1426="Yes",MONTH(I1426),"")</f>
        <v>12</v>
      </c>
      <c r="P1426" s="21" t="str">
        <f aca="false">IF(H1426="Yes",B1426,"")</f>
        <v>S0237</v>
      </c>
    </row>
    <row r="1427" customFormat="false" ht="15" hidden="false" customHeight="false" outlineLevel="0" collapsed="false">
      <c r="A1427" s="21" t="s">
        <v>2642</v>
      </c>
      <c r="B1427" s="21" t="s">
        <v>773</v>
      </c>
      <c r="C1427" s="21" t="s">
        <v>1266</v>
      </c>
      <c r="D1427" s="21" t="s">
        <v>1243</v>
      </c>
      <c r="E1427" s="33" t="n">
        <v>45601</v>
      </c>
      <c r="F1427" s="21" t="s">
        <v>1185</v>
      </c>
      <c r="G1427" s="32" t="n">
        <v>6.6</v>
      </c>
      <c r="H1427" s="21" t="s">
        <v>113</v>
      </c>
      <c r="I1427" s="33" t="n">
        <v>45626</v>
      </c>
      <c r="J1427" s="21" t="str">
        <f aca="false">INDEX(Students!$C$2:$C$601,MATCH(B1427,Students!$A$2:$A$601,0))</f>
        <v>Batch 2025</v>
      </c>
      <c r="K1427" s="21" t="str">
        <f aca="false">INDEX(Students!$D$2:$D$601,MATCH(B1427,Students!$A$2:$A$601,0))</f>
        <v>Data Science &amp; ML</v>
      </c>
      <c r="L1427" s="21" t="str">
        <f aca="false">INDEX(Companies!$C$2:$C$31,MATCH(C1427,Companies!$A$2:$A$31,0))</f>
        <v>IT Services</v>
      </c>
      <c r="M1427" s="21" t="str">
        <f aca="false">INDEX(Companies!$D$2:$D$31,MATCH(C1427,Companies!$A$2:$A$31,0))</f>
        <v>Tier 3</v>
      </c>
      <c r="N1427" s="34" t="n">
        <f aca="false">MATCH(F1427,Assumptions!$K$4:$K$8,0)</f>
        <v>5</v>
      </c>
      <c r="O1427" s="21" t="str">
        <f aca="false">IF(H1427="Yes",MONTH(I1427),"")</f>
        <v/>
      </c>
      <c r="P1427" s="21" t="str">
        <f aca="false">IF(H1427="Yes",B1427,"")</f>
        <v/>
      </c>
    </row>
    <row r="1428" customFormat="false" ht="15" hidden="false" customHeight="false" outlineLevel="0" collapsed="false">
      <c r="A1428" s="21" t="s">
        <v>2643</v>
      </c>
      <c r="B1428" s="21" t="s">
        <v>651</v>
      </c>
      <c r="C1428" s="21" t="s">
        <v>1216</v>
      </c>
      <c r="D1428" s="21" t="s">
        <v>1226</v>
      </c>
      <c r="E1428" s="33" t="n">
        <v>45601</v>
      </c>
      <c r="F1428" s="21" t="s">
        <v>1197</v>
      </c>
      <c r="G1428" s="32"/>
      <c r="H1428" s="21"/>
      <c r="I1428" s="33"/>
      <c r="J1428" s="21" t="str">
        <f aca="false">INDEX(Students!$C$2:$C$601,MATCH(B1428,Students!$A$2:$A$601,0))</f>
        <v>Batch 2025</v>
      </c>
      <c r="K1428" s="21" t="str">
        <f aca="false">INDEX(Students!$D$2:$D$601,MATCH(B1428,Students!$A$2:$A$601,0))</f>
        <v>Cybersecurity</v>
      </c>
      <c r="L1428" s="21" t="str">
        <f aca="false">INDEX(Companies!$C$2:$C$31,MATCH(C1428,Companies!$A$2:$A$31,0))</f>
        <v>IT Services</v>
      </c>
      <c r="M1428" s="21" t="str">
        <f aca="false">INDEX(Companies!$D$2:$D$31,MATCH(C1428,Companies!$A$2:$A$31,0))</f>
        <v>Tier 3</v>
      </c>
      <c r="N1428" s="34" t="n">
        <f aca="false">MATCH(F1428,Assumptions!$K$4:$K$8,0)</f>
        <v>3</v>
      </c>
      <c r="O1428" s="21" t="str">
        <f aca="false">IF(H1428="Yes",MONTH(I1428),"")</f>
        <v/>
      </c>
      <c r="P1428" s="21" t="str">
        <f aca="false">IF(H1428="Yes",B1428,"")</f>
        <v/>
      </c>
    </row>
    <row r="1429" customFormat="false" ht="15" hidden="false" customHeight="false" outlineLevel="0" collapsed="false">
      <c r="A1429" s="21" t="s">
        <v>2644</v>
      </c>
      <c r="B1429" s="21" t="s">
        <v>663</v>
      </c>
      <c r="C1429" s="21" t="s">
        <v>1214</v>
      </c>
      <c r="D1429" s="21" t="s">
        <v>1191</v>
      </c>
      <c r="E1429" s="33" t="n">
        <v>45601</v>
      </c>
      <c r="F1429" s="21" t="s">
        <v>1175</v>
      </c>
      <c r="G1429" s="32"/>
      <c r="H1429" s="21"/>
      <c r="I1429" s="33"/>
      <c r="J1429" s="21" t="str">
        <f aca="false">INDEX(Students!$C$2:$C$601,MATCH(B1429,Students!$A$2:$A$601,0))</f>
        <v>Batch 2025</v>
      </c>
      <c r="K1429" s="21" t="str">
        <f aca="false">INDEX(Students!$D$2:$D$601,MATCH(B1429,Students!$A$2:$A$601,0))</f>
        <v>DSA with Java</v>
      </c>
      <c r="L1429" s="21" t="str">
        <f aca="false">INDEX(Companies!$C$2:$C$31,MATCH(C1429,Companies!$A$2:$A$31,0))</f>
        <v>Product</v>
      </c>
      <c r="M1429" s="21" t="str">
        <f aca="false">INDEX(Companies!$D$2:$D$31,MATCH(C1429,Companies!$A$2:$A$31,0))</f>
        <v>Tier 1</v>
      </c>
      <c r="N1429" s="34" t="n">
        <f aca="false">MATCH(F1429,Assumptions!$K$4:$K$8,0)</f>
        <v>1</v>
      </c>
      <c r="O1429" s="21" t="str">
        <f aca="false">IF(H1429="Yes",MONTH(I1429),"")</f>
        <v/>
      </c>
      <c r="P1429" s="21" t="str">
        <f aca="false">IF(H1429="Yes",B1429,"")</f>
        <v/>
      </c>
    </row>
    <row r="1430" customFormat="false" ht="15" hidden="false" customHeight="false" outlineLevel="0" collapsed="false">
      <c r="A1430" s="21" t="s">
        <v>2645</v>
      </c>
      <c r="B1430" s="21" t="s">
        <v>476</v>
      </c>
      <c r="C1430" s="21" t="s">
        <v>1290</v>
      </c>
      <c r="D1430" s="21" t="s">
        <v>1181</v>
      </c>
      <c r="E1430" s="33" t="n">
        <v>45602</v>
      </c>
      <c r="F1430" s="21" t="s">
        <v>1185</v>
      </c>
      <c r="G1430" s="32" t="n">
        <v>11.3</v>
      </c>
      <c r="H1430" s="21" t="s">
        <v>120</v>
      </c>
      <c r="I1430" s="33" t="n">
        <v>45633</v>
      </c>
      <c r="J1430" s="21" t="str">
        <f aca="false">INDEX(Students!$C$2:$C$601,MATCH(B1430,Students!$A$2:$A$601,0))</f>
        <v>Batch 2025</v>
      </c>
      <c r="K1430" s="21" t="str">
        <f aca="false">INDEX(Students!$D$2:$D$601,MATCH(B1430,Students!$A$2:$A$601,0))</f>
        <v>Full Stack Development</v>
      </c>
      <c r="L1430" s="21" t="str">
        <f aca="false">INDEX(Companies!$C$2:$C$31,MATCH(C1430,Companies!$A$2:$A$31,0))</f>
        <v>Fintech</v>
      </c>
      <c r="M1430" s="21" t="str">
        <f aca="false">INDEX(Companies!$D$2:$D$31,MATCH(C1430,Companies!$A$2:$A$31,0))</f>
        <v>Tier 2</v>
      </c>
      <c r="N1430" s="34" t="n">
        <f aca="false">MATCH(F1430,Assumptions!$K$4:$K$8,0)</f>
        <v>5</v>
      </c>
      <c r="O1430" s="21" t="n">
        <f aca="false">IF(H1430="Yes",MONTH(I1430),"")</f>
        <v>12</v>
      </c>
      <c r="P1430" s="21" t="str">
        <f aca="false">IF(H1430="Yes",B1430,"")</f>
        <v>S0192</v>
      </c>
    </row>
    <row r="1431" customFormat="false" ht="15" hidden="false" customHeight="false" outlineLevel="0" collapsed="false">
      <c r="A1431" s="21" t="s">
        <v>2646</v>
      </c>
      <c r="B1431" s="21" t="s">
        <v>776</v>
      </c>
      <c r="C1431" s="21" t="s">
        <v>1234</v>
      </c>
      <c r="D1431" s="21" t="s">
        <v>1188</v>
      </c>
      <c r="E1431" s="33" t="n">
        <v>45602</v>
      </c>
      <c r="F1431" s="21" t="s">
        <v>1218</v>
      </c>
      <c r="G1431" s="32"/>
      <c r="H1431" s="21"/>
      <c r="I1431" s="33"/>
      <c r="J1431" s="21" t="str">
        <f aca="false">INDEX(Students!$C$2:$C$601,MATCH(B1431,Students!$A$2:$A$601,0))</f>
        <v>Batch 2025</v>
      </c>
      <c r="K1431" s="21" t="str">
        <f aca="false">INDEX(Students!$D$2:$D$601,MATCH(B1431,Students!$A$2:$A$601,0))</f>
        <v>Data Analytics</v>
      </c>
      <c r="L1431" s="21" t="str">
        <f aca="false">INDEX(Companies!$C$2:$C$31,MATCH(C1431,Companies!$A$2:$A$31,0))</f>
        <v>EdTech</v>
      </c>
      <c r="M1431" s="21" t="str">
        <f aca="false">INDEX(Companies!$D$2:$D$31,MATCH(C1431,Companies!$A$2:$A$31,0))</f>
        <v>Tier 3</v>
      </c>
      <c r="N1431" s="34" t="n">
        <f aca="false">MATCH(F1431,Assumptions!$K$4:$K$8,0)</f>
        <v>4</v>
      </c>
      <c r="O1431" s="21" t="str">
        <f aca="false">IF(H1431="Yes",MONTH(I1431),"")</f>
        <v/>
      </c>
      <c r="P1431" s="21" t="str">
        <f aca="false">IF(H1431="Yes",B1431,"")</f>
        <v/>
      </c>
    </row>
    <row r="1432" customFormat="false" ht="15" hidden="false" customHeight="false" outlineLevel="0" collapsed="false">
      <c r="A1432" s="21" t="s">
        <v>2647</v>
      </c>
      <c r="B1432" s="21" t="s">
        <v>755</v>
      </c>
      <c r="C1432" s="21" t="s">
        <v>1193</v>
      </c>
      <c r="D1432" s="21" t="s">
        <v>1209</v>
      </c>
      <c r="E1432" s="33" t="n">
        <v>45602</v>
      </c>
      <c r="F1432" s="21" t="s">
        <v>1218</v>
      </c>
      <c r="G1432" s="32"/>
      <c r="H1432" s="21"/>
      <c r="I1432" s="33"/>
      <c r="J1432" s="21" t="str">
        <f aca="false">INDEX(Students!$C$2:$C$601,MATCH(B1432,Students!$A$2:$A$601,0))</f>
        <v>Batch 2025</v>
      </c>
      <c r="K1432" s="21" t="str">
        <f aca="false">INDEX(Students!$D$2:$D$601,MATCH(B1432,Students!$A$2:$A$601,0))</f>
        <v>Data Analytics</v>
      </c>
      <c r="L1432" s="21" t="str">
        <f aca="false">INDEX(Companies!$C$2:$C$31,MATCH(C1432,Companies!$A$2:$A$31,0))</f>
        <v>Analytics &amp; Consulting</v>
      </c>
      <c r="M1432" s="21" t="str">
        <f aca="false">INDEX(Companies!$D$2:$D$31,MATCH(C1432,Companies!$A$2:$A$31,0))</f>
        <v>Tier 2</v>
      </c>
      <c r="N1432" s="34" t="n">
        <f aca="false">MATCH(F1432,Assumptions!$K$4:$K$8,0)</f>
        <v>4</v>
      </c>
      <c r="O1432" s="21" t="str">
        <f aca="false">IF(H1432="Yes",MONTH(I1432),"")</f>
        <v/>
      </c>
      <c r="P1432" s="21" t="str">
        <f aca="false">IF(H1432="Yes",B1432,"")</f>
        <v/>
      </c>
    </row>
    <row r="1433" customFormat="false" ht="15" hidden="false" customHeight="false" outlineLevel="0" collapsed="false">
      <c r="A1433" s="21" t="s">
        <v>2648</v>
      </c>
      <c r="B1433" s="21" t="s">
        <v>637</v>
      </c>
      <c r="C1433" s="21" t="s">
        <v>1322</v>
      </c>
      <c r="D1433" s="21" t="s">
        <v>1209</v>
      </c>
      <c r="E1433" s="33" t="n">
        <v>45602</v>
      </c>
      <c r="F1433" s="21" t="s">
        <v>1197</v>
      </c>
      <c r="G1433" s="32"/>
      <c r="H1433" s="21"/>
      <c r="I1433" s="33"/>
      <c r="J1433" s="21" t="str">
        <f aca="false">INDEX(Students!$C$2:$C$601,MATCH(B1433,Students!$A$2:$A$601,0))</f>
        <v>Batch 2025</v>
      </c>
      <c r="K1433" s="21" t="str">
        <f aca="false">INDEX(Students!$D$2:$D$601,MATCH(B1433,Students!$A$2:$A$601,0))</f>
        <v>Data Analytics</v>
      </c>
      <c r="L1433" s="21" t="str">
        <f aca="false">INDEX(Companies!$C$2:$C$31,MATCH(C1433,Companies!$A$2:$A$31,0))</f>
        <v>Healthtech</v>
      </c>
      <c r="M1433" s="21" t="str">
        <f aca="false">INDEX(Companies!$D$2:$D$31,MATCH(C1433,Companies!$A$2:$A$31,0))</f>
        <v>Tier 2</v>
      </c>
      <c r="N1433" s="34" t="n">
        <f aca="false">MATCH(F1433,Assumptions!$K$4:$K$8,0)</f>
        <v>3</v>
      </c>
      <c r="O1433" s="21" t="str">
        <f aca="false">IF(H1433="Yes",MONTH(I1433),"")</f>
        <v/>
      </c>
      <c r="P1433" s="21" t="str">
        <f aca="false">IF(H1433="Yes",B1433,"")</f>
        <v/>
      </c>
    </row>
    <row r="1434" customFormat="false" ht="15" hidden="false" customHeight="false" outlineLevel="0" collapsed="false">
      <c r="A1434" s="21" t="s">
        <v>2649</v>
      </c>
      <c r="B1434" s="21" t="s">
        <v>783</v>
      </c>
      <c r="C1434" s="21" t="s">
        <v>1214</v>
      </c>
      <c r="D1434" s="21" t="s">
        <v>1181</v>
      </c>
      <c r="E1434" s="33" t="n">
        <v>45603</v>
      </c>
      <c r="F1434" s="21" t="s">
        <v>1218</v>
      </c>
      <c r="G1434" s="32"/>
      <c r="H1434" s="21"/>
      <c r="I1434" s="33"/>
      <c r="J1434" s="21" t="str">
        <f aca="false">INDEX(Students!$C$2:$C$601,MATCH(B1434,Students!$A$2:$A$601,0))</f>
        <v>Batch 2025</v>
      </c>
      <c r="K1434" s="21" t="str">
        <f aca="false">INDEX(Students!$D$2:$D$601,MATCH(B1434,Students!$A$2:$A$601,0))</f>
        <v>Full Stack Development</v>
      </c>
      <c r="L1434" s="21" t="str">
        <f aca="false">INDEX(Companies!$C$2:$C$31,MATCH(C1434,Companies!$A$2:$A$31,0))</f>
        <v>Product</v>
      </c>
      <c r="M1434" s="21" t="str">
        <f aca="false">INDEX(Companies!$D$2:$D$31,MATCH(C1434,Companies!$A$2:$A$31,0))</f>
        <v>Tier 1</v>
      </c>
      <c r="N1434" s="34" t="n">
        <f aca="false">MATCH(F1434,Assumptions!$K$4:$K$8,0)</f>
        <v>4</v>
      </c>
      <c r="O1434" s="21" t="str">
        <f aca="false">IF(H1434="Yes",MONTH(I1434),"")</f>
        <v/>
      </c>
      <c r="P1434" s="21" t="str">
        <f aca="false">IF(H1434="Yes",B1434,"")</f>
        <v/>
      </c>
    </row>
    <row r="1435" customFormat="false" ht="15" hidden="false" customHeight="false" outlineLevel="0" collapsed="false">
      <c r="A1435" s="21" t="s">
        <v>2650</v>
      </c>
      <c r="B1435" s="21" t="s">
        <v>513</v>
      </c>
      <c r="C1435" s="21" t="s">
        <v>1214</v>
      </c>
      <c r="D1435" s="21" t="s">
        <v>1181</v>
      </c>
      <c r="E1435" s="33" t="n">
        <v>45603</v>
      </c>
      <c r="F1435" s="21" t="s">
        <v>1175</v>
      </c>
      <c r="G1435" s="32"/>
      <c r="H1435" s="21"/>
      <c r="I1435" s="33"/>
      <c r="J1435" s="21" t="str">
        <f aca="false">INDEX(Students!$C$2:$C$601,MATCH(B1435,Students!$A$2:$A$601,0))</f>
        <v>Batch 2025</v>
      </c>
      <c r="K1435" s="21" t="str">
        <f aca="false">INDEX(Students!$D$2:$D$601,MATCH(B1435,Students!$A$2:$A$601,0))</f>
        <v>Full Stack Development</v>
      </c>
      <c r="L1435" s="21" t="str">
        <f aca="false">INDEX(Companies!$C$2:$C$31,MATCH(C1435,Companies!$A$2:$A$31,0))</f>
        <v>Product</v>
      </c>
      <c r="M1435" s="21" t="str">
        <f aca="false">INDEX(Companies!$D$2:$D$31,MATCH(C1435,Companies!$A$2:$A$31,0))</f>
        <v>Tier 1</v>
      </c>
      <c r="N1435" s="34" t="n">
        <f aca="false">MATCH(F1435,Assumptions!$K$4:$K$8,0)</f>
        <v>1</v>
      </c>
      <c r="O1435" s="21" t="str">
        <f aca="false">IF(H1435="Yes",MONTH(I1435),"")</f>
        <v/>
      </c>
      <c r="P1435" s="21" t="str">
        <f aca="false">IF(H1435="Yes",B1435,"")</f>
        <v/>
      </c>
    </row>
    <row r="1436" customFormat="false" ht="15" hidden="false" customHeight="false" outlineLevel="0" collapsed="false">
      <c r="A1436" s="21" t="s">
        <v>2651</v>
      </c>
      <c r="B1436" s="21" t="s">
        <v>765</v>
      </c>
      <c r="C1436" s="21" t="s">
        <v>1309</v>
      </c>
      <c r="D1436" s="21" t="s">
        <v>1191</v>
      </c>
      <c r="E1436" s="33" t="n">
        <v>45603</v>
      </c>
      <c r="F1436" s="21" t="s">
        <v>1218</v>
      </c>
      <c r="G1436" s="32"/>
      <c r="H1436" s="21"/>
      <c r="I1436" s="33"/>
      <c r="J1436" s="21" t="str">
        <f aca="false">INDEX(Students!$C$2:$C$601,MATCH(B1436,Students!$A$2:$A$601,0))</f>
        <v>Batch 2025</v>
      </c>
      <c r="K1436" s="21" t="str">
        <f aca="false">INDEX(Students!$D$2:$D$601,MATCH(B1436,Students!$A$2:$A$601,0))</f>
        <v>DSA with Java</v>
      </c>
      <c r="L1436" s="21" t="str">
        <f aca="false">INDEX(Companies!$C$2:$C$31,MATCH(C1436,Companies!$A$2:$A$31,0))</f>
        <v>EdTech</v>
      </c>
      <c r="M1436" s="21" t="str">
        <f aca="false">INDEX(Companies!$D$2:$D$31,MATCH(C1436,Companies!$A$2:$A$31,0))</f>
        <v>Tier 2</v>
      </c>
      <c r="N1436" s="34" t="n">
        <f aca="false">MATCH(F1436,Assumptions!$K$4:$K$8,0)</f>
        <v>4</v>
      </c>
      <c r="O1436" s="21" t="str">
        <f aca="false">IF(H1436="Yes",MONTH(I1436),"")</f>
        <v/>
      </c>
      <c r="P1436" s="21" t="str">
        <f aca="false">IF(H1436="Yes",B1436,"")</f>
        <v/>
      </c>
    </row>
    <row r="1437" customFormat="false" ht="15" hidden="false" customHeight="false" outlineLevel="0" collapsed="false">
      <c r="A1437" s="21" t="s">
        <v>2652</v>
      </c>
      <c r="B1437" s="21" t="s">
        <v>745</v>
      </c>
      <c r="C1437" s="21" t="s">
        <v>1298</v>
      </c>
      <c r="D1437" s="21" t="s">
        <v>1226</v>
      </c>
      <c r="E1437" s="33" t="n">
        <v>45604</v>
      </c>
      <c r="F1437" s="21" t="s">
        <v>1175</v>
      </c>
      <c r="G1437" s="32"/>
      <c r="H1437" s="21"/>
      <c r="I1437" s="33"/>
      <c r="J1437" s="21" t="str">
        <f aca="false">INDEX(Students!$C$2:$C$601,MATCH(B1437,Students!$A$2:$A$601,0))</f>
        <v>Batch 2025</v>
      </c>
      <c r="K1437" s="21" t="str">
        <f aca="false">INDEX(Students!$D$2:$D$601,MATCH(B1437,Students!$A$2:$A$601,0))</f>
        <v>Cybersecurity</v>
      </c>
      <c r="L1437" s="21" t="str">
        <f aca="false">INDEX(Companies!$C$2:$C$31,MATCH(C1437,Companies!$A$2:$A$31,0))</f>
        <v>Fintech</v>
      </c>
      <c r="M1437" s="21" t="str">
        <f aca="false">INDEX(Companies!$D$2:$D$31,MATCH(C1437,Companies!$A$2:$A$31,0))</f>
        <v>Tier 2</v>
      </c>
      <c r="N1437" s="34" t="n">
        <f aca="false">MATCH(F1437,Assumptions!$K$4:$K$8,0)</f>
        <v>1</v>
      </c>
      <c r="O1437" s="21" t="str">
        <f aca="false">IF(H1437="Yes",MONTH(I1437),"")</f>
        <v/>
      </c>
      <c r="P1437" s="21" t="str">
        <f aca="false">IF(H1437="Yes",B1437,"")</f>
        <v/>
      </c>
    </row>
    <row r="1438" customFormat="false" ht="15" hidden="false" customHeight="false" outlineLevel="0" collapsed="false">
      <c r="A1438" s="21" t="s">
        <v>2653</v>
      </c>
      <c r="B1438" s="21" t="s">
        <v>778</v>
      </c>
      <c r="C1438" s="21" t="s">
        <v>1230</v>
      </c>
      <c r="D1438" s="21" t="s">
        <v>1191</v>
      </c>
      <c r="E1438" s="33" t="n">
        <v>45604</v>
      </c>
      <c r="F1438" s="21" t="s">
        <v>1185</v>
      </c>
      <c r="G1438" s="32" t="n">
        <v>4.9</v>
      </c>
      <c r="H1438" s="21" t="s">
        <v>113</v>
      </c>
      <c r="I1438" s="33" t="n">
        <v>45659</v>
      </c>
      <c r="J1438" s="21" t="str">
        <f aca="false">INDEX(Students!$C$2:$C$601,MATCH(B1438,Students!$A$2:$A$601,0))</f>
        <v>Batch 2025</v>
      </c>
      <c r="K1438" s="21" t="str">
        <f aca="false">INDEX(Students!$D$2:$D$601,MATCH(B1438,Students!$A$2:$A$601,0))</f>
        <v>DSA with Java</v>
      </c>
      <c r="L1438" s="21" t="str">
        <f aca="false">INDEX(Companies!$C$2:$C$31,MATCH(C1438,Companies!$A$2:$A$31,0))</f>
        <v>IT Services</v>
      </c>
      <c r="M1438" s="21" t="str">
        <f aca="false">INDEX(Companies!$D$2:$D$31,MATCH(C1438,Companies!$A$2:$A$31,0))</f>
        <v>Tier 3</v>
      </c>
      <c r="N1438" s="34" t="n">
        <f aca="false">MATCH(F1438,Assumptions!$K$4:$K$8,0)</f>
        <v>5</v>
      </c>
      <c r="O1438" s="21" t="str">
        <f aca="false">IF(H1438="Yes",MONTH(I1438),"")</f>
        <v/>
      </c>
      <c r="P1438" s="21" t="str">
        <f aca="false">IF(H1438="Yes",B1438,"")</f>
        <v/>
      </c>
    </row>
    <row r="1439" customFormat="false" ht="15" hidden="false" customHeight="false" outlineLevel="0" collapsed="false">
      <c r="A1439" s="21" t="s">
        <v>2654</v>
      </c>
      <c r="B1439" s="21" t="s">
        <v>802</v>
      </c>
      <c r="C1439" s="21" t="s">
        <v>1211</v>
      </c>
      <c r="D1439" s="21" t="s">
        <v>1174</v>
      </c>
      <c r="E1439" s="33" t="n">
        <v>45604</v>
      </c>
      <c r="F1439" s="21" t="s">
        <v>1175</v>
      </c>
      <c r="G1439" s="32"/>
      <c r="H1439" s="21"/>
      <c r="I1439" s="33"/>
      <c r="J1439" s="21" t="str">
        <f aca="false">INDEX(Students!$C$2:$C$601,MATCH(B1439,Students!$A$2:$A$601,0))</f>
        <v>Batch 2025</v>
      </c>
      <c r="K1439" s="21" t="str">
        <f aca="false">INDEX(Students!$D$2:$D$601,MATCH(B1439,Students!$A$2:$A$601,0))</f>
        <v>Full Stack Development</v>
      </c>
      <c r="L1439" s="21" t="str">
        <f aca="false">INDEX(Companies!$C$2:$C$31,MATCH(C1439,Companies!$A$2:$A$31,0))</f>
        <v>Analytics &amp; Consulting</v>
      </c>
      <c r="M1439" s="21" t="str">
        <f aca="false">INDEX(Companies!$D$2:$D$31,MATCH(C1439,Companies!$A$2:$A$31,0))</f>
        <v>Tier 3</v>
      </c>
      <c r="N1439" s="34" t="n">
        <f aca="false">MATCH(F1439,Assumptions!$K$4:$K$8,0)</f>
        <v>1</v>
      </c>
      <c r="O1439" s="21" t="str">
        <f aca="false">IF(H1439="Yes",MONTH(I1439),"")</f>
        <v/>
      </c>
      <c r="P1439" s="21" t="str">
        <f aca="false">IF(H1439="Yes",B1439,"")</f>
        <v/>
      </c>
    </row>
    <row r="1440" customFormat="false" ht="15" hidden="false" customHeight="false" outlineLevel="0" collapsed="false">
      <c r="A1440" s="21" t="s">
        <v>2655</v>
      </c>
      <c r="B1440" s="21" t="s">
        <v>569</v>
      </c>
      <c r="C1440" s="21" t="s">
        <v>1196</v>
      </c>
      <c r="D1440" s="21" t="s">
        <v>1226</v>
      </c>
      <c r="E1440" s="33" t="n">
        <v>45604</v>
      </c>
      <c r="F1440" s="21" t="s">
        <v>1175</v>
      </c>
      <c r="G1440" s="32"/>
      <c r="H1440" s="21"/>
      <c r="I1440" s="33"/>
      <c r="J1440" s="21" t="str">
        <f aca="false">INDEX(Students!$C$2:$C$601,MATCH(B1440,Students!$A$2:$A$601,0))</f>
        <v>Batch 2025</v>
      </c>
      <c r="K1440" s="21" t="str">
        <f aca="false">INDEX(Students!$D$2:$D$601,MATCH(B1440,Students!$A$2:$A$601,0))</f>
        <v>Cybersecurity</v>
      </c>
      <c r="L1440" s="21" t="str">
        <f aca="false">INDEX(Companies!$C$2:$C$31,MATCH(C1440,Companies!$A$2:$A$31,0))</f>
        <v>IT Services</v>
      </c>
      <c r="M1440" s="21" t="str">
        <f aca="false">INDEX(Companies!$D$2:$D$31,MATCH(C1440,Companies!$A$2:$A$31,0))</f>
        <v>Tier 3</v>
      </c>
      <c r="N1440" s="34" t="n">
        <f aca="false">MATCH(F1440,Assumptions!$K$4:$K$8,0)</f>
        <v>1</v>
      </c>
      <c r="O1440" s="21" t="str">
        <f aca="false">IF(H1440="Yes",MONTH(I1440),"")</f>
        <v/>
      </c>
      <c r="P1440" s="21" t="str">
        <f aca="false">IF(H1440="Yes",B1440,"")</f>
        <v/>
      </c>
    </row>
    <row r="1441" customFormat="false" ht="15" hidden="false" customHeight="false" outlineLevel="0" collapsed="false">
      <c r="A1441" s="21" t="s">
        <v>2656</v>
      </c>
      <c r="B1441" s="21" t="s">
        <v>558</v>
      </c>
      <c r="C1441" s="21" t="s">
        <v>1199</v>
      </c>
      <c r="D1441" s="21" t="s">
        <v>1181</v>
      </c>
      <c r="E1441" s="33" t="n">
        <v>45605</v>
      </c>
      <c r="F1441" s="21" t="s">
        <v>1178</v>
      </c>
      <c r="G1441" s="32"/>
      <c r="H1441" s="21"/>
      <c r="I1441" s="33"/>
      <c r="J1441" s="21" t="str">
        <f aca="false">INDEX(Students!$C$2:$C$601,MATCH(B1441,Students!$A$2:$A$601,0))</f>
        <v>Batch 2025</v>
      </c>
      <c r="K1441" s="21" t="str">
        <f aca="false">INDEX(Students!$D$2:$D$601,MATCH(B1441,Students!$A$2:$A$601,0))</f>
        <v>Full Stack Development</v>
      </c>
      <c r="L1441" s="21" t="str">
        <f aca="false">INDEX(Companies!$C$2:$C$31,MATCH(C1441,Companies!$A$2:$A$31,0))</f>
        <v>E-commerce</v>
      </c>
      <c r="M1441" s="21" t="str">
        <f aca="false">INDEX(Companies!$D$2:$D$31,MATCH(C1441,Companies!$A$2:$A$31,0))</f>
        <v>Tier 2</v>
      </c>
      <c r="N1441" s="34" t="n">
        <f aca="false">MATCH(F1441,Assumptions!$K$4:$K$8,0)</f>
        <v>2</v>
      </c>
      <c r="O1441" s="21" t="str">
        <f aca="false">IF(H1441="Yes",MONTH(I1441),"")</f>
        <v/>
      </c>
      <c r="P1441" s="21" t="str">
        <f aca="false">IF(H1441="Yes",B1441,"")</f>
        <v/>
      </c>
    </row>
    <row r="1442" customFormat="false" ht="15" hidden="false" customHeight="false" outlineLevel="0" collapsed="false">
      <c r="A1442" s="21" t="s">
        <v>2657</v>
      </c>
      <c r="B1442" s="21" t="s">
        <v>752</v>
      </c>
      <c r="C1442" s="21" t="s">
        <v>1196</v>
      </c>
      <c r="D1442" s="21" t="s">
        <v>1184</v>
      </c>
      <c r="E1442" s="33" t="n">
        <v>45605</v>
      </c>
      <c r="F1442" s="21" t="s">
        <v>1185</v>
      </c>
      <c r="G1442" s="32" t="n">
        <v>5.9</v>
      </c>
      <c r="H1442" s="21" t="s">
        <v>113</v>
      </c>
      <c r="I1442" s="33" t="n">
        <v>45647</v>
      </c>
      <c r="J1442" s="21" t="str">
        <f aca="false">INDEX(Students!$C$2:$C$601,MATCH(B1442,Students!$A$2:$A$601,0))</f>
        <v>Batch 2025</v>
      </c>
      <c r="K1442" s="21" t="str">
        <f aca="false">INDEX(Students!$D$2:$D$601,MATCH(B1442,Students!$A$2:$A$601,0))</f>
        <v>DSA with Java</v>
      </c>
      <c r="L1442" s="21" t="str">
        <f aca="false">INDEX(Companies!$C$2:$C$31,MATCH(C1442,Companies!$A$2:$A$31,0))</f>
        <v>IT Services</v>
      </c>
      <c r="M1442" s="21" t="str">
        <f aca="false">INDEX(Companies!$D$2:$D$31,MATCH(C1442,Companies!$A$2:$A$31,0))</f>
        <v>Tier 3</v>
      </c>
      <c r="N1442" s="34" t="n">
        <f aca="false">MATCH(F1442,Assumptions!$K$4:$K$8,0)</f>
        <v>5</v>
      </c>
      <c r="O1442" s="21" t="str">
        <f aca="false">IF(H1442="Yes",MONTH(I1442),"")</f>
        <v/>
      </c>
      <c r="P1442" s="21" t="str">
        <f aca="false">IF(H1442="Yes",B1442,"")</f>
        <v/>
      </c>
    </row>
    <row r="1443" customFormat="false" ht="15" hidden="false" customHeight="false" outlineLevel="0" collapsed="false">
      <c r="A1443" s="21" t="s">
        <v>2658</v>
      </c>
      <c r="B1443" s="21" t="s">
        <v>783</v>
      </c>
      <c r="C1443" s="21" t="s">
        <v>1211</v>
      </c>
      <c r="D1443" s="21" t="s">
        <v>1181</v>
      </c>
      <c r="E1443" s="33" t="n">
        <v>45605</v>
      </c>
      <c r="F1443" s="21" t="s">
        <v>1218</v>
      </c>
      <c r="G1443" s="32"/>
      <c r="H1443" s="21"/>
      <c r="I1443" s="33"/>
      <c r="J1443" s="21" t="str">
        <f aca="false">INDEX(Students!$C$2:$C$601,MATCH(B1443,Students!$A$2:$A$601,0))</f>
        <v>Batch 2025</v>
      </c>
      <c r="K1443" s="21" t="str">
        <f aca="false">INDEX(Students!$D$2:$D$601,MATCH(B1443,Students!$A$2:$A$601,0))</f>
        <v>Full Stack Development</v>
      </c>
      <c r="L1443" s="21" t="str">
        <f aca="false">INDEX(Companies!$C$2:$C$31,MATCH(C1443,Companies!$A$2:$A$31,0))</f>
        <v>Analytics &amp; Consulting</v>
      </c>
      <c r="M1443" s="21" t="str">
        <f aca="false">INDEX(Companies!$D$2:$D$31,MATCH(C1443,Companies!$A$2:$A$31,0))</f>
        <v>Tier 3</v>
      </c>
      <c r="N1443" s="34" t="n">
        <f aca="false">MATCH(F1443,Assumptions!$K$4:$K$8,0)</f>
        <v>4</v>
      </c>
      <c r="O1443" s="21" t="str">
        <f aca="false">IF(H1443="Yes",MONTH(I1443),"")</f>
        <v/>
      </c>
      <c r="P1443" s="21" t="str">
        <f aca="false">IF(H1443="Yes",B1443,"")</f>
        <v/>
      </c>
    </row>
    <row r="1444" customFormat="false" ht="15" hidden="false" customHeight="false" outlineLevel="0" collapsed="false">
      <c r="A1444" s="21" t="s">
        <v>2659</v>
      </c>
      <c r="B1444" s="21" t="s">
        <v>487</v>
      </c>
      <c r="C1444" s="21" t="s">
        <v>1230</v>
      </c>
      <c r="D1444" s="21" t="s">
        <v>1194</v>
      </c>
      <c r="E1444" s="33" t="n">
        <v>45606</v>
      </c>
      <c r="F1444" s="21" t="s">
        <v>1175</v>
      </c>
      <c r="G1444" s="32"/>
      <c r="H1444" s="21"/>
      <c r="I1444" s="33"/>
      <c r="J1444" s="21" t="str">
        <f aca="false">INDEX(Students!$C$2:$C$601,MATCH(B1444,Students!$A$2:$A$601,0))</f>
        <v>Batch 2025</v>
      </c>
      <c r="K1444" s="21" t="str">
        <f aca="false">INDEX(Students!$D$2:$D$601,MATCH(B1444,Students!$A$2:$A$601,0))</f>
        <v>Data Science &amp; ML</v>
      </c>
      <c r="L1444" s="21" t="str">
        <f aca="false">INDEX(Companies!$C$2:$C$31,MATCH(C1444,Companies!$A$2:$A$31,0))</f>
        <v>IT Services</v>
      </c>
      <c r="M1444" s="21" t="str">
        <f aca="false">INDEX(Companies!$D$2:$D$31,MATCH(C1444,Companies!$A$2:$A$31,0))</f>
        <v>Tier 3</v>
      </c>
      <c r="N1444" s="34" t="n">
        <f aca="false">MATCH(F1444,Assumptions!$K$4:$K$8,0)</f>
        <v>1</v>
      </c>
      <c r="O1444" s="21" t="str">
        <f aca="false">IF(H1444="Yes",MONTH(I1444),"")</f>
        <v/>
      </c>
      <c r="P1444" s="21" t="str">
        <f aca="false">IF(H1444="Yes",B1444,"")</f>
        <v/>
      </c>
    </row>
    <row r="1445" customFormat="false" ht="15" hidden="false" customHeight="false" outlineLevel="0" collapsed="false">
      <c r="A1445" s="21" t="s">
        <v>2660</v>
      </c>
      <c r="B1445" s="21" t="s">
        <v>798</v>
      </c>
      <c r="C1445" s="21" t="s">
        <v>1216</v>
      </c>
      <c r="D1445" s="21" t="s">
        <v>1174</v>
      </c>
      <c r="E1445" s="33" t="n">
        <v>45606</v>
      </c>
      <c r="F1445" s="21" t="s">
        <v>1218</v>
      </c>
      <c r="G1445" s="32"/>
      <c r="H1445" s="21"/>
      <c r="I1445" s="33"/>
      <c r="J1445" s="21" t="str">
        <f aca="false">INDEX(Students!$C$2:$C$601,MATCH(B1445,Students!$A$2:$A$601,0))</f>
        <v>Batch 2025</v>
      </c>
      <c r="K1445" s="21" t="str">
        <f aca="false">INDEX(Students!$D$2:$D$601,MATCH(B1445,Students!$A$2:$A$601,0))</f>
        <v>Full Stack Development</v>
      </c>
      <c r="L1445" s="21" t="str">
        <f aca="false">INDEX(Companies!$C$2:$C$31,MATCH(C1445,Companies!$A$2:$A$31,0))</f>
        <v>IT Services</v>
      </c>
      <c r="M1445" s="21" t="str">
        <f aca="false">INDEX(Companies!$D$2:$D$31,MATCH(C1445,Companies!$A$2:$A$31,0))</f>
        <v>Tier 3</v>
      </c>
      <c r="N1445" s="34" t="n">
        <f aca="false">MATCH(F1445,Assumptions!$K$4:$K$8,0)</f>
        <v>4</v>
      </c>
      <c r="O1445" s="21" t="str">
        <f aca="false">IF(H1445="Yes",MONTH(I1445),"")</f>
        <v/>
      </c>
      <c r="P1445" s="21" t="str">
        <f aca="false">IF(H1445="Yes",B1445,"")</f>
        <v/>
      </c>
    </row>
    <row r="1446" customFormat="false" ht="15" hidden="false" customHeight="false" outlineLevel="0" collapsed="false">
      <c r="A1446" s="21" t="s">
        <v>2661</v>
      </c>
      <c r="B1446" s="21" t="s">
        <v>633</v>
      </c>
      <c r="C1446" s="21" t="s">
        <v>1205</v>
      </c>
      <c r="D1446" s="21" t="s">
        <v>1240</v>
      </c>
      <c r="E1446" s="33" t="n">
        <v>45606</v>
      </c>
      <c r="F1446" s="21" t="s">
        <v>1175</v>
      </c>
      <c r="G1446" s="32"/>
      <c r="H1446" s="21"/>
      <c r="I1446" s="33"/>
      <c r="J1446" s="21" t="str">
        <f aca="false">INDEX(Students!$C$2:$C$601,MATCH(B1446,Students!$A$2:$A$601,0))</f>
        <v>Batch 2025</v>
      </c>
      <c r="K1446" s="21" t="str">
        <f aca="false">INDEX(Students!$D$2:$D$601,MATCH(B1446,Students!$A$2:$A$601,0))</f>
        <v>Cybersecurity</v>
      </c>
      <c r="L1446" s="21" t="str">
        <f aca="false">INDEX(Companies!$C$2:$C$31,MATCH(C1446,Companies!$A$2:$A$31,0))</f>
        <v>Healthtech</v>
      </c>
      <c r="M1446" s="21" t="str">
        <f aca="false">INDEX(Companies!$D$2:$D$31,MATCH(C1446,Companies!$A$2:$A$31,0))</f>
        <v>Tier 3</v>
      </c>
      <c r="N1446" s="34" t="n">
        <f aca="false">MATCH(F1446,Assumptions!$K$4:$K$8,0)</f>
        <v>1</v>
      </c>
      <c r="O1446" s="21" t="str">
        <f aca="false">IF(H1446="Yes",MONTH(I1446),"")</f>
        <v/>
      </c>
      <c r="P1446" s="21" t="str">
        <f aca="false">IF(H1446="Yes",B1446,"")</f>
        <v/>
      </c>
    </row>
    <row r="1447" customFormat="false" ht="15" hidden="false" customHeight="false" outlineLevel="0" collapsed="false">
      <c r="A1447" s="21" t="s">
        <v>2662</v>
      </c>
      <c r="B1447" s="21" t="s">
        <v>690</v>
      </c>
      <c r="C1447" s="21" t="s">
        <v>1190</v>
      </c>
      <c r="D1447" s="21" t="s">
        <v>1191</v>
      </c>
      <c r="E1447" s="33" t="n">
        <v>45606</v>
      </c>
      <c r="F1447" s="21" t="s">
        <v>1178</v>
      </c>
      <c r="G1447" s="32"/>
      <c r="H1447" s="21"/>
      <c r="I1447" s="33"/>
      <c r="J1447" s="21" t="str">
        <f aca="false">INDEX(Students!$C$2:$C$601,MATCH(B1447,Students!$A$2:$A$601,0))</f>
        <v>Batch 2025</v>
      </c>
      <c r="K1447" s="21" t="str">
        <f aca="false">INDEX(Students!$D$2:$D$601,MATCH(B1447,Students!$A$2:$A$601,0))</f>
        <v>DSA with Java</v>
      </c>
      <c r="L1447" s="21" t="str">
        <f aca="false">INDEX(Companies!$C$2:$C$31,MATCH(C1447,Companies!$A$2:$A$31,0))</f>
        <v>Analytics &amp; Consulting</v>
      </c>
      <c r="M1447" s="21" t="str">
        <f aca="false">INDEX(Companies!$D$2:$D$31,MATCH(C1447,Companies!$A$2:$A$31,0))</f>
        <v>Tier 1</v>
      </c>
      <c r="N1447" s="34" t="n">
        <f aca="false">MATCH(F1447,Assumptions!$K$4:$K$8,0)</f>
        <v>2</v>
      </c>
      <c r="O1447" s="21" t="str">
        <f aca="false">IF(H1447="Yes",MONTH(I1447),"")</f>
        <v/>
      </c>
      <c r="P1447" s="21" t="str">
        <f aca="false">IF(H1447="Yes",B1447,"")</f>
        <v/>
      </c>
    </row>
    <row r="1448" customFormat="false" ht="15" hidden="false" customHeight="false" outlineLevel="0" collapsed="false">
      <c r="A1448" s="21" t="s">
        <v>2663</v>
      </c>
      <c r="B1448" s="21" t="s">
        <v>786</v>
      </c>
      <c r="C1448" s="21" t="s">
        <v>1208</v>
      </c>
      <c r="D1448" s="21" t="s">
        <v>1226</v>
      </c>
      <c r="E1448" s="33" t="n">
        <v>45606</v>
      </c>
      <c r="F1448" s="21" t="s">
        <v>1175</v>
      </c>
      <c r="G1448" s="32"/>
      <c r="H1448" s="21"/>
      <c r="I1448" s="33"/>
      <c r="J1448" s="21" t="str">
        <f aca="false">INDEX(Students!$C$2:$C$601,MATCH(B1448,Students!$A$2:$A$601,0))</f>
        <v>Batch 2025</v>
      </c>
      <c r="K1448" s="21" t="str">
        <f aca="false">INDEX(Students!$D$2:$D$601,MATCH(B1448,Students!$A$2:$A$601,0))</f>
        <v>Cybersecurity</v>
      </c>
      <c r="L1448" s="21" t="str">
        <f aca="false">INDEX(Companies!$C$2:$C$31,MATCH(C1448,Companies!$A$2:$A$31,0))</f>
        <v>E-commerce</v>
      </c>
      <c r="M1448" s="21" t="str">
        <f aca="false">INDEX(Companies!$D$2:$D$31,MATCH(C1448,Companies!$A$2:$A$31,0))</f>
        <v>Tier 1</v>
      </c>
      <c r="N1448" s="34" t="n">
        <f aca="false">MATCH(F1448,Assumptions!$K$4:$K$8,0)</f>
        <v>1</v>
      </c>
      <c r="O1448" s="21" t="str">
        <f aca="false">IF(H1448="Yes",MONTH(I1448),"")</f>
        <v/>
      </c>
      <c r="P1448" s="21" t="str">
        <f aca="false">IF(H1448="Yes",B1448,"")</f>
        <v/>
      </c>
    </row>
    <row r="1449" customFormat="false" ht="15" hidden="false" customHeight="false" outlineLevel="0" collapsed="false">
      <c r="A1449" s="21" t="s">
        <v>2664</v>
      </c>
      <c r="B1449" s="21" t="s">
        <v>645</v>
      </c>
      <c r="C1449" s="21" t="s">
        <v>1190</v>
      </c>
      <c r="D1449" s="21" t="s">
        <v>1188</v>
      </c>
      <c r="E1449" s="33" t="n">
        <v>45606</v>
      </c>
      <c r="F1449" s="21" t="s">
        <v>1185</v>
      </c>
      <c r="G1449" s="32" t="n">
        <v>25.2</v>
      </c>
      <c r="H1449" s="21" t="s">
        <v>120</v>
      </c>
      <c r="I1449" s="33" t="n">
        <v>45654</v>
      </c>
      <c r="J1449" s="21" t="str">
        <f aca="false">INDEX(Students!$C$2:$C$601,MATCH(B1449,Students!$A$2:$A$601,0))</f>
        <v>Batch 2025</v>
      </c>
      <c r="K1449" s="21" t="str">
        <f aca="false">INDEX(Students!$D$2:$D$601,MATCH(B1449,Students!$A$2:$A$601,0))</f>
        <v>Data Analytics</v>
      </c>
      <c r="L1449" s="21" t="str">
        <f aca="false">INDEX(Companies!$C$2:$C$31,MATCH(C1449,Companies!$A$2:$A$31,0))</f>
        <v>Analytics &amp; Consulting</v>
      </c>
      <c r="M1449" s="21" t="str">
        <f aca="false">INDEX(Companies!$D$2:$D$31,MATCH(C1449,Companies!$A$2:$A$31,0))</f>
        <v>Tier 1</v>
      </c>
      <c r="N1449" s="34" t="n">
        <f aca="false">MATCH(F1449,Assumptions!$K$4:$K$8,0)</f>
        <v>5</v>
      </c>
      <c r="O1449" s="21" t="n">
        <f aca="false">IF(H1449="Yes",MONTH(I1449),"")</f>
        <v>12</v>
      </c>
      <c r="P1449" s="21" t="str">
        <f aca="false">IF(H1449="Yes",B1449,"")</f>
        <v>S0287</v>
      </c>
    </row>
    <row r="1450" customFormat="false" ht="15" hidden="false" customHeight="false" outlineLevel="0" collapsed="false">
      <c r="A1450" s="21" t="s">
        <v>2665</v>
      </c>
      <c r="B1450" s="21" t="s">
        <v>544</v>
      </c>
      <c r="C1450" s="21" t="s">
        <v>1193</v>
      </c>
      <c r="D1450" s="21" t="s">
        <v>1194</v>
      </c>
      <c r="E1450" s="33" t="n">
        <v>45606</v>
      </c>
      <c r="F1450" s="21" t="s">
        <v>1185</v>
      </c>
      <c r="G1450" s="32" t="n">
        <v>12</v>
      </c>
      <c r="H1450" s="21" t="s">
        <v>120</v>
      </c>
      <c r="I1450" s="33" t="n">
        <v>45638</v>
      </c>
      <c r="J1450" s="21" t="str">
        <f aca="false">INDEX(Students!$C$2:$C$601,MATCH(B1450,Students!$A$2:$A$601,0))</f>
        <v>Batch 2025</v>
      </c>
      <c r="K1450" s="21" t="str">
        <f aca="false">INDEX(Students!$D$2:$D$601,MATCH(B1450,Students!$A$2:$A$601,0))</f>
        <v>Data Science &amp; ML</v>
      </c>
      <c r="L1450" s="21" t="str">
        <f aca="false">INDEX(Companies!$C$2:$C$31,MATCH(C1450,Companies!$A$2:$A$31,0))</f>
        <v>Analytics &amp; Consulting</v>
      </c>
      <c r="M1450" s="21" t="str">
        <f aca="false">INDEX(Companies!$D$2:$D$31,MATCH(C1450,Companies!$A$2:$A$31,0))</f>
        <v>Tier 2</v>
      </c>
      <c r="N1450" s="34" t="n">
        <f aca="false">MATCH(F1450,Assumptions!$K$4:$K$8,0)</f>
        <v>5</v>
      </c>
      <c r="O1450" s="21" t="n">
        <f aca="false">IF(H1450="Yes",MONTH(I1450),"")</f>
        <v>12</v>
      </c>
      <c r="P1450" s="21" t="str">
        <f aca="false">IF(H1450="Yes",B1450,"")</f>
        <v>S0230</v>
      </c>
    </row>
    <row r="1451" customFormat="false" ht="15" hidden="false" customHeight="false" outlineLevel="0" collapsed="false">
      <c r="A1451" s="21" t="s">
        <v>2666</v>
      </c>
      <c r="B1451" s="21" t="s">
        <v>751</v>
      </c>
      <c r="C1451" s="21" t="s">
        <v>1190</v>
      </c>
      <c r="D1451" s="21" t="s">
        <v>1188</v>
      </c>
      <c r="E1451" s="33" t="n">
        <v>45606</v>
      </c>
      <c r="F1451" s="21" t="s">
        <v>1175</v>
      </c>
      <c r="G1451" s="32"/>
      <c r="H1451" s="21"/>
      <c r="I1451" s="33"/>
      <c r="J1451" s="21" t="str">
        <f aca="false">INDEX(Students!$C$2:$C$601,MATCH(B1451,Students!$A$2:$A$601,0))</f>
        <v>Batch 2025</v>
      </c>
      <c r="K1451" s="21" t="str">
        <f aca="false">INDEX(Students!$D$2:$D$601,MATCH(B1451,Students!$A$2:$A$601,0))</f>
        <v>Data Analytics</v>
      </c>
      <c r="L1451" s="21" t="str">
        <f aca="false">INDEX(Companies!$C$2:$C$31,MATCH(C1451,Companies!$A$2:$A$31,0))</f>
        <v>Analytics &amp; Consulting</v>
      </c>
      <c r="M1451" s="21" t="str">
        <f aca="false">INDEX(Companies!$D$2:$D$31,MATCH(C1451,Companies!$A$2:$A$31,0))</f>
        <v>Tier 1</v>
      </c>
      <c r="N1451" s="34" t="n">
        <f aca="false">MATCH(F1451,Assumptions!$K$4:$K$8,0)</f>
        <v>1</v>
      </c>
      <c r="O1451" s="21" t="str">
        <f aca="false">IF(H1451="Yes",MONTH(I1451),"")</f>
        <v/>
      </c>
      <c r="P1451" s="21" t="str">
        <f aca="false">IF(H1451="Yes",B1451,"")</f>
        <v/>
      </c>
    </row>
    <row r="1452" customFormat="false" ht="15" hidden="false" customHeight="false" outlineLevel="0" collapsed="false">
      <c r="A1452" s="21" t="s">
        <v>2667</v>
      </c>
      <c r="B1452" s="21" t="s">
        <v>567</v>
      </c>
      <c r="C1452" s="21" t="s">
        <v>1173</v>
      </c>
      <c r="D1452" s="21" t="s">
        <v>1184</v>
      </c>
      <c r="E1452" s="33" t="n">
        <v>45606</v>
      </c>
      <c r="F1452" s="21" t="s">
        <v>1197</v>
      </c>
      <c r="G1452" s="32"/>
      <c r="H1452" s="21"/>
      <c r="I1452" s="33"/>
      <c r="J1452" s="21" t="str">
        <f aca="false">INDEX(Students!$C$2:$C$601,MATCH(B1452,Students!$A$2:$A$601,0))</f>
        <v>Batch 2025</v>
      </c>
      <c r="K1452" s="21" t="str">
        <f aca="false">INDEX(Students!$D$2:$D$601,MATCH(B1452,Students!$A$2:$A$601,0))</f>
        <v>DSA with Java</v>
      </c>
      <c r="L1452" s="21" t="str">
        <f aca="false">INDEX(Companies!$C$2:$C$31,MATCH(C1452,Companies!$A$2:$A$31,0))</f>
        <v>Cybersecurity</v>
      </c>
      <c r="M1452" s="21" t="str">
        <f aca="false">INDEX(Companies!$D$2:$D$31,MATCH(C1452,Companies!$A$2:$A$31,0))</f>
        <v>Tier 1</v>
      </c>
      <c r="N1452" s="34" t="n">
        <f aca="false">MATCH(F1452,Assumptions!$K$4:$K$8,0)</f>
        <v>3</v>
      </c>
      <c r="O1452" s="21" t="str">
        <f aca="false">IF(H1452="Yes",MONTH(I1452),"")</f>
        <v/>
      </c>
      <c r="P1452" s="21" t="str">
        <f aca="false">IF(H1452="Yes",B1452,"")</f>
        <v/>
      </c>
    </row>
    <row r="1453" customFormat="false" ht="15" hidden="false" customHeight="false" outlineLevel="0" collapsed="false">
      <c r="A1453" s="21" t="s">
        <v>2668</v>
      </c>
      <c r="B1453" s="21" t="s">
        <v>656</v>
      </c>
      <c r="C1453" s="21" t="s">
        <v>1211</v>
      </c>
      <c r="D1453" s="21" t="s">
        <v>1181</v>
      </c>
      <c r="E1453" s="33" t="n">
        <v>45606</v>
      </c>
      <c r="F1453" s="21" t="s">
        <v>1197</v>
      </c>
      <c r="G1453" s="32"/>
      <c r="H1453" s="21"/>
      <c r="I1453" s="33"/>
      <c r="J1453" s="21" t="str">
        <f aca="false">INDEX(Students!$C$2:$C$601,MATCH(B1453,Students!$A$2:$A$601,0))</f>
        <v>Batch 2025</v>
      </c>
      <c r="K1453" s="21" t="str">
        <f aca="false">INDEX(Students!$D$2:$D$601,MATCH(B1453,Students!$A$2:$A$601,0))</f>
        <v>Full Stack Development</v>
      </c>
      <c r="L1453" s="21" t="str">
        <f aca="false">INDEX(Companies!$C$2:$C$31,MATCH(C1453,Companies!$A$2:$A$31,0))</f>
        <v>Analytics &amp; Consulting</v>
      </c>
      <c r="M1453" s="21" t="str">
        <f aca="false">INDEX(Companies!$D$2:$D$31,MATCH(C1453,Companies!$A$2:$A$31,0))</f>
        <v>Tier 3</v>
      </c>
      <c r="N1453" s="34" t="n">
        <f aca="false">MATCH(F1453,Assumptions!$K$4:$K$8,0)</f>
        <v>3</v>
      </c>
      <c r="O1453" s="21" t="str">
        <f aca="false">IF(H1453="Yes",MONTH(I1453),"")</f>
        <v/>
      </c>
      <c r="P1453" s="21" t="str">
        <f aca="false">IF(H1453="Yes",B1453,"")</f>
        <v/>
      </c>
    </row>
    <row r="1454" customFormat="false" ht="15" hidden="false" customHeight="false" outlineLevel="0" collapsed="false">
      <c r="A1454" s="21" t="s">
        <v>2669</v>
      </c>
      <c r="B1454" s="21" t="s">
        <v>743</v>
      </c>
      <c r="C1454" s="21" t="s">
        <v>1211</v>
      </c>
      <c r="D1454" s="21" t="s">
        <v>1240</v>
      </c>
      <c r="E1454" s="33" t="n">
        <v>45607</v>
      </c>
      <c r="F1454" s="21" t="s">
        <v>1178</v>
      </c>
      <c r="G1454" s="32"/>
      <c r="H1454" s="21"/>
      <c r="I1454" s="33"/>
      <c r="J1454" s="21" t="str">
        <f aca="false">INDEX(Students!$C$2:$C$601,MATCH(B1454,Students!$A$2:$A$601,0))</f>
        <v>Batch 2025</v>
      </c>
      <c r="K1454" s="21" t="str">
        <f aca="false">INDEX(Students!$D$2:$D$601,MATCH(B1454,Students!$A$2:$A$601,0))</f>
        <v>Cybersecurity</v>
      </c>
      <c r="L1454" s="21" t="str">
        <f aca="false">INDEX(Companies!$C$2:$C$31,MATCH(C1454,Companies!$A$2:$A$31,0))</f>
        <v>Analytics &amp; Consulting</v>
      </c>
      <c r="M1454" s="21" t="str">
        <f aca="false">INDEX(Companies!$D$2:$D$31,MATCH(C1454,Companies!$A$2:$A$31,0))</f>
        <v>Tier 3</v>
      </c>
      <c r="N1454" s="34" t="n">
        <f aca="false">MATCH(F1454,Assumptions!$K$4:$K$8,0)</f>
        <v>2</v>
      </c>
      <c r="O1454" s="21" t="str">
        <f aca="false">IF(H1454="Yes",MONTH(I1454),"")</f>
        <v/>
      </c>
      <c r="P1454" s="21" t="str">
        <f aca="false">IF(H1454="Yes",B1454,"")</f>
        <v/>
      </c>
    </row>
    <row r="1455" customFormat="false" ht="15" hidden="false" customHeight="false" outlineLevel="0" collapsed="false">
      <c r="A1455" s="21" t="s">
        <v>2670</v>
      </c>
      <c r="B1455" s="21" t="s">
        <v>571</v>
      </c>
      <c r="C1455" s="21" t="s">
        <v>1177</v>
      </c>
      <c r="D1455" s="21" t="s">
        <v>1191</v>
      </c>
      <c r="E1455" s="33" t="n">
        <v>45607</v>
      </c>
      <c r="F1455" s="21" t="s">
        <v>1175</v>
      </c>
      <c r="G1455" s="32"/>
      <c r="H1455" s="21"/>
      <c r="I1455" s="33"/>
      <c r="J1455" s="21" t="str">
        <f aca="false">INDEX(Students!$C$2:$C$601,MATCH(B1455,Students!$A$2:$A$601,0))</f>
        <v>Batch 2025</v>
      </c>
      <c r="K1455" s="21" t="str">
        <f aca="false">INDEX(Students!$D$2:$D$601,MATCH(B1455,Students!$A$2:$A$601,0))</f>
        <v>DSA with Java</v>
      </c>
      <c r="L1455" s="21" t="str">
        <f aca="false">INDEX(Companies!$C$2:$C$31,MATCH(C1455,Companies!$A$2:$A$31,0))</f>
        <v>IT Services</v>
      </c>
      <c r="M1455" s="21" t="str">
        <f aca="false">INDEX(Companies!$D$2:$D$31,MATCH(C1455,Companies!$A$2:$A$31,0))</f>
        <v>Tier 3</v>
      </c>
      <c r="N1455" s="34" t="n">
        <f aca="false">MATCH(F1455,Assumptions!$K$4:$K$8,0)</f>
        <v>1</v>
      </c>
      <c r="O1455" s="21" t="str">
        <f aca="false">IF(H1455="Yes",MONTH(I1455),"")</f>
        <v/>
      </c>
      <c r="P1455" s="21" t="str">
        <f aca="false">IF(H1455="Yes",B1455,"")</f>
        <v/>
      </c>
    </row>
    <row r="1456" customFormat="false" ht="15" hidden="false" customHeight="false" outlineLevel="0" collapsed="false">
      <c r="A1456" s="21" t="s">
        <v>2671</v>
      </c>
      <c r="B1456" s="21" t="s">
        <v>468</v>
      </c>
      <c r="C1456" s="21" t="s">
        <v>1234</v>
      </c>
      <c r="D1456" s="21" t="s">
        <v>1174</v>
      </c>
      <c r="E1456" s="33" t="n">
        <v>45607</v>
      </c>
      <c r="F1456" s="21" t="s">
        <v>1175</v>
      </c>
      <c r="G1456" s="32"/>
      <c r="H1456" s="21"/>
      <c r="I1456" s="33"/>
      <c r="J1456" s="21" t="str">
        <f aca="false">INDEX(Students!$C$2:$C$601,MATCH(B1456,Students!$A$2:$A$601,0))</f>
        <v>Batch 2025</v>
      </c>
      <c r="K1456" s="21" t="str">
        <f aca="false">INDEX(Students!$D$2:$D$601,MATCH(B1456,Students!$A$2:$A$601,0))</f>
        <v>Full Stack Development</v>
      </c>
      <c r="L1456" s="21" t="str">
        <f aca="false">INDEX(Companies!$C$2:$C$31,MATCH(C1456,Companies!$A$2:$A$31,0))</f>
        <v>EdTech</v>
      </c>
      <c r="M1456" s="21" t="str">
        <f aca="false">INDEX(Companies!$D$2:$D$31,MATCH(C1456,Companies!$A$2:$A$31,0))</f>
        <v>Tier 3</v>
      </c>
      <c r="N1456" s="34" t="n">
        <f aca="false">MATCH(F1456,Assumptions!$K$4:$K$8,0)</f>
        <v>1</v>
      </c>
      <c r="O1456" s="21" t="str">
        <f aca="false">IF(H1456="Yes",MONTH(I1456),"")</f>
        <v/>
      </c>
      <c r="P1456" s="21" t="str">
        <f aca="false">IF(H1456="Yes",B1456,"")</f>
        <v/>
      </c>
    </row>
    <row r="1457" customFormat="false" ht="15" hidden="false" customHeight="false" outlineLevel="0" collapsed="false">
      <c r="A1457" s="21" t="s">
        <v>2672</v>
      </c>
      <c r="B1457" s="21" t="s">
        <v>663</v>
      </c>
      <c r="C1457" s="21" t="s">
        <v>1322</v>
      </c>
      <c r="D1457" s="21" t="s">
        <v>1191</v>
      </c>
      <c r="E1457" s="33" t="n">
        <v>45608</v>
      </c>
      <c r="F1457" s="21" t="s">
        <v>1185</v>
      </c>
      <c r="G1457" s="32" t="n">
        <v>14.7</v>
      </c>
      <c r="H1457" s="21" t="s">
        <v>120</v>
      </c>
      <c r="I1457" s="33" t="n">
        <v>45644</v>
      </c>
      <c r="J1457" s="21" t="str">
        <f aca="false">INDEX(Students!$C$2:$C$601,MATCH(B1457,Students!$A$2:$A$601,0))</f>
        <v>Batch 2025</v>
      </c>
      <c r="K1457" s="21" t="str">
        <f aca="false">INDEX(Students!$D$2:$D$601,MATCH(B1457,Students!$A$2:$A$601,0))</f>
        <v>DSA with Java</v>
      </c>
      <c r="L1457" s="21" t="str">
        <f aca="false">INDEX(Companies!$C$2:$C$31,MATCH(C1457,Companies!$A$2:$A$31,0))</f>
        <v>Healthtech</v>
      </c>
      <c r="M1457" s="21" t="str">
        <f aca="false">INDEX(Companies!$D$2:$D$31,MATCH(C1457,Companies!$A$2:$A$31,0))</f>
        <v>Tier 2</v>
      </c>
      <c r="N1457" s="34" t="n">
        <f aca="false">MATCH(F1457,Assumptions!$K$4:$K$8,0)</f>
        <v>5</v>
      </c>
      <c r="O1457" s="21" t="n">
        <f aca="false">IF(H1457="Yes",MONTH(I1457),"")</f>
        <v>12</v>
      </c>
      <c r="P1457" s="21" t="str">
        <f aca="false">IF(H1457="Yes",B1457,"")</f>
        <v>S0297</v>
      </c>
    </row>
    <row r="1458" customFormat="false" ht="15" hidden="false" customHeight="false" outlineLevel="0" collapsed="false">
      <c r="A1458" s="21" t="s">
        <v>2673</v>
      </c>
      <c r="B1458" s="21" t="s">
        <v>771</v>
      </c>
      <c r="C1458" s="21" t="s">
        <v>1205</v>
      </c>
      <c r="D1458" s="21" t="s">
        <v>1188</v>
      </c>
      <c r="E1458" s="33" t="n">
        <v>45608</v>
      </c>
      <c r="F1458" s="21" t="s">
        <v>1185</v>
      </c>
      <c r="G1458" s="32" t="n">
        <v>5.1</v>
      </c>
      <c r="H1458" s="21" t="s">
        <v>120</v>
      </c>
      <c r="I1458" s="33" t="n">
        <v>45632</v>
      </c>
      <c r="J1458" s="21" t="str">
        <f aca="false">INDEX(Students!$C$2:$C$601,MATCH(B1458,Students!$A$2:$A$601,0))</f>
        <v>Batch 2025</v>
      </c>
      <c r="K1458" s="21" t="str">
        <f aca="false">INDEX(Students!$D$2:$D$601,MATCH(B1458,Students!$A$2:$A$601,0))</f>
        <v>Data Analytics</v>
      </c>
      <c r="L1458" s="21" t="str">
        <f aca="false">INDEX(Companies!$C$2:$C$31,MATCH(C1458,Companies!$A$2:$A$31,0))</f>
        <v>Healthtech</v>
      </c>
      <c r="M1458" s="21" t="str">
        <f aca="false">INDEX(Companies!$D$2:$D$31,MATCH(C1458,Companies!$A$2:$A$31,0))</f>
        <v>Tier 3</v>
      </c>
      <c r="N1458" s="34" t="n">
        <f aca="false">MATCH(F1458,Assumptions!$K$4:$K$8,0)</f>
        <v>5</v>
      </c>
      <c r="O1458" s="21" t="n">
        <f aca="false">IF(H1458="Yes",MONTH(I1458),"")</f>
        <v>12</v>
      </c>
      <c r="P1458" s="21" t="str">
        <f aca="false">IF(H1458="Yes",B1458,"")</f>
        <v>S0359</v>
      </c>
    </row>
    <row r="1459" customFormat="false" ht="15" hidden="false" customHeight="false" outlineLevel="0" collapsed="false">
      <c r="A1459" s="21" t="s">
        <v>2674</v>
      </c>
      <c r="B1459" s="21" t="s">
        <v>622</v>
      </c>
      <c r="C1459" s="21" t="s">
        <v>1266</v>
      </c>
      <c r="D1459" s="21" t="s">
        <v>1174</v>
      </c>
      <c r="E1459" s="33" t="n">
        <v>45608</v>
      </c>
      <c r="F1459" s="21" t="s">
        <v>1178</v>
      </c>
      <c r="G1459" s="32"/>
      <c r="H1459" s="21"/>
      <c r="I1459" s="33"/>
      <c r="J1459" s="21" t="str">
        <f aca="false">INDEX(Students!$C$2:$C$601,MATCH(B1459,Students!$A$2:$A$601,0))</f>
        <v>Batch 2025</v>
      </c>
      <c r="K1459" s="21" t="str">
        <f aca="false">INDEX(Students!$D$2:$D$601,MATCH(B1459,Students!$A$2:$A$601,0))</f>
        <v>Full Stack Development</v>
      </c>
      <c r="L1459" s="21" t="str">
        <f aca="false">INDEX(Companies!$C$2:$C$31,MATCH(C1459,Companies!$A$2:$A$31,0))</f>
        <v>IT Services</v>
      </c>
      <c r="M1459" s="21" t="str">
        <f aca="false">INDEX(Companies!$D$2:$D$31,MATCH(C1459,Companies!$A$2:$A$31,0))</f>
        <v>Tier 3</v>
      </c>
      <c r="N1459" s="34" t="n">
        <f aca="false">MATCH(F1459,Assumptions!$K$4:$K$8,0)</f>
        <v>2</v>
      </c>
      <c r="O1459" s="21" t="str">
        <f aca="false">IF(H1459="Yes",MONTH(I1459),"")</f>
        <v/>
      </c>
      <c r="P1459" s="21" t="str">
        <f aca="false">IF(H1459="Yes",B1459,"")</f>
        <v/>
      </c>
    </row>
    <row r="1460" customFormat="false" ht="15" hidden="false" customHeight="false" outlineLevel="0" collapsed="false">
      <c r="A1460" s="21" t="s">
        <v>2675</v>
      </c>
      <c r="B1460" s="21" t="s">
        <v>780</v>
      </c>
      <c r="C1460" s="21" t="s">
        <v>1193</v>
      </c>
      <c r="D1460" s="21" t="s">
        <v>1174</v>
      </c>
      <c r="E1460" s="33" t="n">
        <v>45608</v>
      </c>
      <c r="F1460" s="21" t="s">
        <v>1175</v>
      </c>
      <c r="G1460" s="32"/>
      <c r="H1460" s="21"/>
      <c r="I1460" s="33"/>
      <c r="J1460" s="21" t="str">
        <f aca="false">INDEX(Students!$C$2:$C$601,MATCH(B1460,Students!$A$2:$A$601,0))</f>
        <v>Batch 2025</v>
      </c>
      <c r="K1460" s="21" t="str">
        <f aca="false">INDEX(Students!$D$2:$D$601,MATCH(B1460,Students!$A$2:$A$601,0))</f>
        <v>Full Stack Development</v>
      </c>
      <c r="L1460" s="21" t="str">
        <f aca="false">INDEX(Companies!$C$2:$C$31,MATCH(C1460,Companies!$A$2:$A$31,0))</f>
        <v>Analytics &amp; Consulting</v>
      </c>
      <c r="M1460" s="21" t="str">
        <f aca="false">INDEX(Companies!$D$2:$D$31,MATCH(C1460,Companies!$A$2:$A$31,0))</f>
        <v>Tier 2</v>
      </c>
      <c r="N1460" s="34" t="n">
        <f aca="false">MATCH(F1460,Assumptions!$K$4:$K$8,0)</f>
        <v>1</v>
      </c>
      <c r="O1460" s="21" t="str">
        <f aca="false">IF(H1460="Yes",MONTH(I1460),"")</f>
        <v/>
      </c>
      <c r="P1460" s="21" t="str">
        <f aca="false">IF(H1460="Yes",B1460,"")</f>
        <v/>
      </c>
    </row>
    <row r="1461" customFormat="false" ht="15" hidden="false" customHeight="false" outlineLevel="0" collapsed="false">
      <c r="A1461" s="21" t="s">
        <v>2676</v>
      </c>
      <c r="B1461" s="21" t="s">
        <v>576</v>
      </c>
      <c r="C1461" s="21" t="s">
        <v>1214</v>
      </c>
      <c r="D1461" s="21" t="s">
        <v>1191</v>
      </c>
      <c r="E1461" s="33" t="n">
        <v>45608</v>
      </c>
      <c r="F1461" s="21" t="s">
        <v>1175</v>
      </c>
      <c r="G1461" s="32"/>
      <c r="H1461" s="21"/>
      <c r="I1461" s="33"/>
      <c r="J1461" s="21" t="str">
        <f aca="false">INDEX(Students!$C$2:$C$601,MATCH(B1461,Students!$A$2:$A$601,0))</f>
        <v>Batch 2025</v>
      </c>
      <c r="K1461" s="21" t="str">
        <f aca="false">INDEX(Students!$D$2:$D$601,MATCH(B1461,Students!$A$2:$A$601,0))</f>
        <v>DSA with Java</v>
      </c>
      <c r="L1461" s="21" t="str">
        <f aca="false">INDEX(Companies!$C$2:$C$31,MATCH(C1461,Companies!$A$2:$A$31,0))</f>
        <v>Product</v>
      </c>
      <c r="M1461" s="21" t="str">
        <f aca="false">INDEX(Companies!$D$2:$D$31,MATCH(C1461,Companies!$A$2:$A$31,0))</f>
        <v>Tier 1</v>
      </c>
      <c r="N1461" s="34" t="n">
        <f aca="false">MATCH(F1461,Assumptions!$K$4:$K$8,0)</f>
        <v>1</v>
      </c>
      <c r="O1461" s="21" t="str">
        <f aca="false">IF(H1461="Yes",MONTH(I1461),"")</f>
        <v/>
      </c>
      <c r="P1461" s="21" t="str">
        <f aca="false">IF(H1461="Yes",B1461,"")</f>
        <v/>
      </c>
    </row>
    <row r="1462" customFormat="false" ht="15" hidden="false" customHeight="false" outlineLevel="0" collapsed="false">
      <c r="A1462" s="21" t="s">
        <v>2677</v>
      </c>
      <c r="B1462" s="21" t="s">
        <v>735</v>
      </c>
      <c r="C1462" s="21" t="s">
        <v>1230</v>
      </c>
      <c r="D1462" s="21" t="s">
        <v>1191</v>
      </c>
      <c r="E1462" s="33" t="n">
        <v>45608</v>
      </c>
      <c r="F1462" s="21" t="s">
        <v>1185</v>
      </c>
      <c r="G1462" s="32" t="n">
        <v>4.7</v>
      </c>
      <c r="H1462" s="21" t="s">
        <v>113</v>
      </c>
      <c r="I1462" s="33" t="n">
        <v>45641</v>
      </c>
      <c r="J1462" s="21" t="str">
        <f aca="false">INDEX(Students!$C$2:$C$601,MATCH(B1462,Students!$A$2:$A$601,0))</f>
        <v>Batch 2025</v>
      </c>
      <c r="K1462" s="21" t="str">
        <f aca="false">INDEX(Students!$D$2:$D$601,MATCH(B1462,Students!$A$2:$A$601,0))</f>
        <v>DSA with Java</v>
      </c>
      <c r="L1462" s="21" t="str">
        <f aca="false">INDEX(Companies!$C$2:$C$31,MATCH(C1462,Companies!$A$2:$A$31,0))</f>
        <v>IT Services</v>
      </c>
      <c r="M1462" s="21" t="str">
        <f aca="false">INDEX(Companies!$D$2:$D$31,MATCH(C1462,Companies!$A$2:$A$31,0))</f>
        <v>Tier 3</v>
      </c>
      <c r="N1462" s="34" t="n">
        <f aca="false">MATCH(F1462,Assumptions!$K$4:$K$8,0)</f>
        <v>5</v>
      </c>
      <c r="O1462" s="21" t="str">
        <f aca="false">IF(H1462="Yes",MONTH(I1462),"")</f>
        <v/>
      </c>
      <c r="P1462" s="21" t="str">
        <f aca="false">IF(H1462="Yes",B1462,"")</f>
        <v/>
      </c>
    </row>
    <row r="1463" customFormat="false" ht="15" hidden="false" customHeight="false" outlineLevel="0" collapsed="false">
      <c r="A1463" s="21" t="s">
        <v>2678</v>
      </c>
      <c r="B1463" s="21" t="s">
        <v>484</v>
      </c>
      <c r="C1463" s="21" t="s">
        <v>1180</v>
      </c>
      <c r="D1463" s="21" t="s">
        <v>1184</v>
      </c>
      <c r="E1463" s="33" t="n">
        <v>45608</v>
      </c>
      <c r="F1463" s="21" t="s">
        <v>1197</v>
      </c>
      <c r="G1463" s="32"/>
      <c r="H1463" s="21"/>
      <c r="I1463" s="33"/>
      <c r="J1463" s="21" t="str">
        <f aca="false">INDEX(Students!$C$2:$C$601,MATCH(B1463,Students!$A$2:$A$601,0))</f>
        <v>Batch 2025</v>
      </c>
      <c r="K1463" s="21" t="str">
        <f aca="false">INDEX(Students!$D$2:$D$601,MATCH(B1463,Students!$A$2:$A$601,0))</f>
        <v>DSA with Java</v>
      </c>
      <c r="L1463" s="21" t="str">
        <f aca="false">INDEX(Companies!$C$2:$C$31,MATCH(C1463,Companies!$A$2:$A$31,0))</f>
        <v>IT Services</v>
      </c>
      <c r="M1463" s="21" t="str">
        <f aca="false">INDEX(Companies!$D$2:$D$31,MATCH(C1463,Companies!$A$2:$A$31,0))</f>
        <v>Tier 3</v>
      </c>
      <c r="N1463" s="34" t="n">
        <f aca="false">MATCH(F1463,Assumptions!$K$4:$K$8,0)</f>
        <v>3</v>
      </c>
      <c r="O1463" s="21" t="str">
        <f aca="false">IF(H1463="Yes",MONTH(I1463),"")</f>
        <v/>
      </c>
      <c r="P1463" s="21" t="str">
        <f aca="false">IF(H1463="Yes",B1463,"")</f>
        <v/>
      </c>
    </row>
    <row r="1464" customFormat="false" ht="15" hidden="false" customHeight="false" outlineLevel="0" collapsed="false">
      <c r="A1464" s="21" t="s">
        <v>2679</v>
      </c>
      <c r="B1464" s="21" t="s">
        <v>657</v>
      </c>
      <c r="C1464" s="21" t="s">
        <v>1298</v>
      </c>
      <c r="D1464" s="21" t="s">
        <v>1174</v>
      </c>
      <c r="E1464" s="33" t="n">
        <v>45608</v>
      </c>
      <c r="F1464" s="21" t="s">
        <v>1175</v>
      </c>
      <c r="G1464" s="32"/>
      <c r="H1464" s="21"/>
      <c r="I1464" s="33"/>
      <c r="J1464" s="21" t="str">
        <f aca="false">INDEX(Students!$C$2:$C$601,MATCH(B1464,Students!$A$2:$A$601,0))</f>
        <v>Batch 2025</v>
      </c>
      <c r="K1464" s="21" t="str">
        <f aca="false">INDEX(Students!$D$2:$D$601,MATCH(B1464,Students!$A$2:$A$601,0))</f>
        <v>Full Stack Development</v>
      </c>
      <c r="L1464" s="21" t="str">
        <f aca="false">INDEX(Companies!$C$2:$C$31,MATCH(C1464,Companies!$A$2:$A$31,0))</f>
        <v>Fintech</v>
      </c>
      <c r="M1464" s="21" t="str">
        <f aca="false">INDEX(Companies!$D$2:$D$31,MATCH(C1464,Companies!$A$2:$A$31,0))</f>
        <v>Tier 2</v>
      </c>
      <c r="N1464" s="34" t="n">
        <f aca="false">MATCH(F1464,Assumptions!$K$4:$K$8,0)</f>
        <v>1</v>
      </c>
      <c r="O1464" s="21" t="str">
        <f aca="false">IF(H1464="Yes",MONTH(I1464),"")</f>
        <v/>
      </c>
      <c r="P1464" s="21" t="str">
        <f aca="false">IF(H1464="Yes",B1464,"")</f>
        <v/>
      </c>
    </row>
    <row r="1465" customFormat="false" ht="15" hidden="false" customHeight="false" outlineLevel="0" collapsed="false">
      <c r="A1465" s="21" t="s">
        <v>2680</v>
      </c>
      <c r="B1465" s="21" t="s">
        <v>536</v>
      </c>
      <c r="C1465" s="21" t="s">
        <v>1196</v>
      </c>
      <c r="D1465" s="21" t="s">
        <v>1194</v>
      </c>
      <c r="E1465" s="33" t="n">
        <v>45608</v>
      </c>
      <c r="F1465" s="21" t="s">
        <v>1175</v>
      </c>
      <c r="G1465" s="32"/>
      <c r="H1465" s="21"/>
      <c r="I1465" s="33"/>
      <c r="J1465" s="21" t="str">
        <f aca="false">INDEX(Students!$C$2:$C$601,MATCH(B1465,Students!$A$2:$A$601,0))</f>
        <v>Batch 2025</v>
      </c>
      <c r="K1465" s="21" t="str">
        <f aca="false">INDEX(Students!$D$2:$D$601,MATCH(B1465,Students!$A$2:$A$601,0))</f>
        <v>Data Science &amp; ML</v>
      </c>
      <c r="L1465" s="21" t="str">
        <f aca="false">INDEX(Companies!$C$2:$C$31,MATCH(C1465,Companies!$A$2:$A$31,0))</f>
        <v>IT Services</v>
      </c>
      <c r="M1465" s="21" t="str">
        <f aca="false">INDEX(Companies!$D$2:$D$31,MATCH(C1465,Companies!$A$2:$A$31,0))</f>
        <v>Tier 3</v>
      </c>
      <c r="N1465" s="34" t="n">
        <f aca="false">MATCH(F1465,Assumptions!$K$4:$K$8,0)</f>
        <v>1</v>
      </c>
      <c r="O1465" s="21" t="str">
        <f aca="false">IF(H1465="Yes",MONTH(I1465),"")</f>
        <v/>
      </c>
      <c r="P1465" s="21" t="str">
        <f aca="false">IF(H1465="Yes",B1465,"")</f>
        <v/>
      </c>
    </row>
    <row r="1466" customFormat="false" ht="15" hidden="false" customHeight="false" outlineLevel="0" collapsed="false">
      <c r="A1466" s="21" t="s">
        <v>2681</v>
      </c>
      <c r="B1466" s="21" t="s">
        <v>745</v>
      </c>
      <c r="C1466" s="21" t="s">
        <v>1222</v>
      </c>
      <c r="D1466" s="21" t="s">
        <v>1240</v>
      </c>
      <c r="E1466" s="33" t="n">
        <v>45609</v>
      </c>
      <c r="F1466" s="21" t="s">
        <v>1178</v>
      </c>
      <c r="G1466" s="32"/>
      <c r="H1466" s="21"/>
      <c r="I1466" s="33"/>
      <c r="J1466" s="21" t="str">
        <f aca="false">INDEX(Students!$C$2:$C$601,MATCH(B1466,Students!$A$2:$A$601,0))</f>
        <v>Batch 2025</v>
      </c>
      <c r="K1466" s="21" t="str">
        <f aca="false">INDEX(Students!$D$2:$D$601,MATCH(B1466,Students!$A$2:$A$601,0))</f>
        <v>Cybersecurity</v>
      </c>
      <c r="L1466" s="21" t="str">
        <f aca="false">INDEX(Companies!$C$2:$C$31,MATCH(C1466,Companies!$A$2:$A$31,0))</f>
        <v>Product</v>
      </c>
      <c r="M1466" s="21" t="str">
        <f aca="false">INDEX(Companies!$D$2:$D$31,MATCH(C1466,Companies!$A$2:$A$31,0))</f>
        <v>Tier 2</v>
      </c>
      <c r="N1466" s="34" t="n">
        <f aca="false">MATCH(F1466,Assumptions!$K$4:$K$8,0)</f>
        <v>2</v>
      </c>
      <c r="O1466" s="21" t="str">
        <f aca="false">IF(H1466="Yes",MONTH(I1466),"")</f>
        <v/>
      </c>
      <c r="P1466" s="21" t="str">
        <f aca="false">IF(H1466="Yes",B1466,"")</f>
        <v/>
      </c>
    </row>
    <row r="1467" customFormat="false" ht="15" hidden="false" customHeight="false" outlineLevel="0" collapsed="false">
      <c r="A1467" s="21" t="s">
        <v>2682</v>
      </c>
      <c r="B1467" s="21" t="s">
        <v>565</v>
      </c>
      <c r="C1467" s="21" t="s">
        <v>1177</v>
      </c>
      <c r="D1467" s="21" t="s">
        <v>1184</v>
      </c>
      <c r="E1467" s="33" t="n">
        <v>45609</v>
      </c>
      <c r="F1467" s="21" t="s">
        <v>1178</v>
      </c>
      <c r="G1467" s="32"/>
      <c r="H1467" s="21"/>
      <c r="I1467" s="33"/>
      <c r="J1467" s="21" t="str">
        <f aca="false">INDEX(Students!$C$2:$C$601,MATCH(B1467,Students!$A$2:$A$601,0))</f>
        <v>Batch 2025</v>
      </c>
      <c r="K1467" s="21" t="str">
        <f aca="false">INDEX(Students!$D$2:$D$601,MATCH(B1467,Students!$A$2:$A$601,0))</f>
        <v>DSA with Java</v>
      </c>
      <c r="L1467" s="21" t="str">
        <f aca="false">INDEX(Companies!$C$2:$C$31,MATCH(C1467,Companies!$A$2:$A$31,0))</f>
        <v>IT Services</v>
      </c>
      <c r="M1467" s="21" t="str">
        <f aca="false">INDEX(Companies!$D$2:$D$31,MATCH(C1467,Companies!$A$2:$A$31,0))</f>
        <v>Tier 3</v>
      </c>
      <c r="N1467" s="34" t="n">
        <f aca="false">MATCH(F1467,Assumptions!$K$4:$K$8,0)</f>
        <v>2</v>
      </c>
      <c r="O1467" s="21" t="str">
        <f aca="false">IF(H1467="Yes",MONTH(I1467),"")</f>
        <v/>
      </c>
      <c r="P1467" s="21" t="str">
        <f aca="false">IF(H1467="Yes",B1467,"")</f>
        <v/>
      </c>
    </row>
    <row r="1468" customFormat="false" ht="15" hidden="false" customHeight="false" outlineLevel="0" collapsed="false">
      <c r="A1468" s="21" t="s">
        <v>2683</v>
      </c>
      <c r="B1468" s="21" t="s">
        <v>704</v>
      </c>
      <c r="C1468" s="21" t="s">
        <v>1298</v>
      </c>
      <c r="D1468" s="21" t="s">
        <v>1181</v>
      </c>
      <c r="E1468" s="33" t="n">
        <v>45609</v>
      </c>
      <c r="F1468" s="21" t="s">
        <v>1178</v>
      </c>
      <c r="G1468" s="32"/>
      <c r="H1468" s="21"/>
      <c r="I1468" s="33"/>
      <c r="J1468" s="21" t="str">
        <f aca="false">INDEX(Students!$C$2:$C$601,MATCH(B1468,Students!$A$2:$A$601,0))</f>
        <v>Batch 2025</v>
      </c>
      <c r="K1468" s="21" t="str">
        <f aca="false">INDEX(Students!$D$2:$D$601,MATCH(B1468,Students!$A$2:$A$601,0))</f>
        <v>Full Stack Development</v>
      </c>
      <c r="L1468" s="21" t="str">
        <f aca="false">INDEX(Companies!$C$2:$C$31,MATCH(C1468,Companies!$A$2:$A$31,0))</f>
        <v>Fintech</v>
      </c>
      <c r="M1468" s="21" t="str">
        <f aca="false">INDEX(Companies!$D$2:$D$31,MATCH(C1468,Companies!$A$2:$A$31,0))</f>
        <v>Tier 2</v>
      </c>
      <c r="N1468" s="34" t="n">
        <f aca="false">MATCH(F1468,Assumptions!$K$4:$K$8,0)</f>
        <v>2</v>
      </c>
      <c r="O1468" s="21" t="str">
        <f aca="false">IF(H1468="Yes",MONTH(I1468),"")</f>
        <v/>
      </c>
      <c r="P1468" s="21" t="str">
        <f aca="false">IF(H1468="Yes",B1468,"")</f>
        <v/>
      </c>
    </row>
    <row r="1469" customFormat="false" ht="15" hidden="false" customHeight="false" outlineLevel="0" collapsed="false">
      <c r="A1469" s="21" t="s">
        <v>2684</v>
      </c>
      <c r="B1469" s="21" t="s">
        <v>680</v>
      </c>
      <c r="C1469" s="21" t="s">
        <v>1225</v>
      </c>
      <c r="D1469" s="21" t="s">
        <v>1243</v>
      </c>
      <c r="E1469" s="33" t="n">
        <v>45609</v>
      </c>
      <c r="F1469" s="21" t="s">
        <v>1175</v>
      </c>
      <c r="G1469" s="32"/>
      <c r="H1469" s="21"/>
      <c r="I1469" s="33"/>
      <c r="J1469" s="21" t="str">
        <f aca="false">INDEX(Students!$C$2:$C$601,MATCH(B1469,Students!$A$2:$A$601,0))</f>
        <v>Batch 2025</v>
      </c>
      <c r="K1469" s="21" t="str">
        <f aca="false">INDEX(Students!$D$2:$D$601,MATCH(B1469,Students!$A$2:$A$601,0))</f>
        <v>Data Science &amp; ML</v>
      </c>
      <c r="L1469" s="21" t="str">
        <f aca="false">INDEX(Companies!$C$2:$C$31,MATCH(C1469,Companies!$A$2:$A$31,0))</f>
        <v>EdTech</v>
      </c>
      <c r="M1469" s="21" t="str">
        <f aca="false">INDEX(Companies!$D$2:$D$31,MATCH(C1469,Companies!$A$2:$A$31,0))</f>
        <v>Tier 2</v>
      </c>
      <c r="N1469" s="34" t="n">
        <f aca="false">MATCH(F1469,Assumptions!$K$4:$K$8,0)</f>
        <v>1</v>
      </c>
      <c r="O1469" s="21" t="str">
        <f aca="false">IF(H1469="Yes",MONTH(I1469),"")</f>
        <v/>
      </c>
      <c r="P1469" s="21" t="str">
        <f aca="false">IF(H1469="Yes",B1469,"")</f>
        <v/>
      </c>
    </row>
    <row r="1470" customFormat="false" ht="15" hidden="false" customHeight="false" outlineLevel="0" collapsed="false">
      <c r="A1470" s="21" t="s">
        <v>2685</v>
      </c>
      <c r="B1470" s="21" t="s">
        <v>533</v>
      </c>
      <c r="C1470" s="21" t="s">
        <v>1275</v>
      </c>
      <c r="D1470" s="21" t="s">
        <v>1184</v>
      </c>
      <c r="E1470" s="33" t="n">
        <v>45610</v>
      </c>
      <c r="F1470" s="21" t="s">
        <v>1175</v>
      </c>
      <c r="G1470" s="32"/>
      <c r="H1470" s="21"/>
      <c r="I1470" s="33"/>
      <c r="J1470" s="21" t="str">
        <f aca="false">INDEX(Students!$C$2:$C$601,MATCH(B1470,Students!$A$2:$A$601,0))</f>
        <v>Batch 2025</v>
      </c>
      <c r="K1470" s="21" t="str">
        <f aca="false">INDEX(Students!$D$2:$D$601,MATCH(B1470,Students!$A$2:$A$601,0))</f>
        <v>DSA with Java</v>
      </c>
      <c r="L1470" s="21" t="str">
        <f aca="false">INDEX(Companies!$C$2:$C$31,MATCH(C1470,Companies!$A$2:$A$31,0))</f>
        <v>Cybersecurity</v>
      </c>
      <c r="M1470" s="21" t="str">
        <f aca="false">INDEX(Companies!$D$2:$D$31,MATCH(C1470,Companies!$A$2:$A$31,0))</f>
        <v>Tier 2</v>
      </c>
      <c r="N1470" s="34" t="n">
        <f aca="false">MATCH(F1470,Assumptions!$K$4:$K$8,0)</f>
        <v>1</v>
      </c>
      <c r="O1470" s="21" t="str">
        <f aca="false">IF(H1470="Yes",MONTH(I1470),"")</f>
        <v/>
      </c>
      <c r="P1470" s="21" t="str">
        <f aca="false">IF(H1470="Yes",B1470,"")</f>
        <v/>
      </c>
    </row>
    <row r="1471" customFormat="false" ht="15" hidden="false" customHeight="false" outlineLevel="0" collapsed="false">
      <c r="A1471" s="21" t="s">
        <v>2686</v>
      </c>
      <c r="B1471" s="21" t="s">
        <v>670</v>
      </c>
      <c r="C1471" s="21" t="s">
        <v>1201</v>
      </c>
      <c r="D1471" s="21" t="s">
        <v>1243</v>
      </c>
      <c r="E1471" s="33" t="n">
        <v>45610</v>
      </c>
      <c r="F1471" s="21" t="s">
        <v>1185</v>
      </c>
      <c r="G1471" s="32" t="n">
        <v>5.4</v>
      </c>
      <c r="H1471" s="21" t="s">
        <v>120</v>
      </c>
      <c r="I1471" s="33" t="n">
        <v>45639</v>
      </c>
      <c r="J1471" s="21" t="str">
        <f aca="false">INDEX(Students!$C$2:$C$601,MATCH(B1471,Students!$A$2:$A$601,0))</f>
        <v>Batch 2025</v>
      </c>
      <c r="K1471" s="21" t="str">
        <f aca="false">INDEX(Students!$D$2:$D$601,MATCH(B1471,Students!$A$2:$A$601,0))</f>
        <v>Data Science &amp; ML</v>
      </c>
      <c r="L1471" s="21" t="str">
        <f aca="false">INDEX(Companies!$C$2:$C$31,MATCH(C1471,Companies!$A$2:$A$31,0))</f>
        <v>IT Services</v>
      </c>
      <c r="M1471" s="21" t="str">
        <f aca="false">INDEX(Companies!$D$2:$D$31,MATCH(C1471,Companies!$A$2:$A$31,0))</f>
        <v>Tier 3</v>
      </c>
      <c r="N1471" s="34" t="n">
        <f aca="false">MATCH(F1471,Assumptions!$K$4:$K$8,0)</f>
        <v>5</v>
      </c>
      <c r="O1471" s="21" t="n">
        <f aca="false">IF(H1471="Yes",MONTH(I1471),"")</f>
        <v>12</v>
      </c>
      <c r="P1471" s="21" t="str">
        <f aca="false">IF(H1471="Yes",B1471,"")</f>
        <v>S0301</v>
      </c>
    </row>
    <row r="1472" customFormat="false" ht="15" hidden="false" customHeight="false" outlineLevel="0" collapsed="false">
      <c r="A1472" s="21" t="s">
        <v>2687</v>
      </c>
      <c r="B1472" s="21" t="s">
        <v>624</v>
      </c>
      <c r="C1472" s="21" t="s">
        <v>1290</v>
      </c>
      <c r="D1472" s="21" t="s">
        <v>1191</v>
      </c>
      <c r="E1472" s="33" t="n">
        <v>45610</v>
      </c>
      <c r="F1472" s="21" t="s">
        <v>1175</v>
      </c>
      <c r="G1472" s="32"/>
      <c r="H1472" s="21"/>
      <c r="I1472" s="33"/>
      <c r="J1472" s="21" t="str">
        <f aca="false">INDEX(Students!$C$2:$C$601,MATCH(B1472,Students!$A$2:$A$601,0))</f>
        <v>Batch 2025</v>
      </c>
      <c r="K1472" s="21" t="str">
        <f aca="false">INDEX(Students!$D$2:$D$601,MATCH(B1472,Students!$A$2:$A$601,0))</f>
        <v>DSA with Java</v>
      </c>
      <c r="L1472" s="21" t="str">
        <f aca="false">INDEX(Companies!$C$2:$C$31,MATCH(C1472,Companies!$A$2:$A$31,0))</f>
        <v>Fintech</v>
      </c>
      <c r="M1472" s="21" t="str">
        <f aca="false">INDEX(Companies!$D$2:$D$31,MATCH(C1472,Companies!$A$2:$A$31,0))</f>
        <v>Tier 2</v>
      </c>
      <c r="N1472" s="34" t="n">
        <f aca="false">MATCH(F1472,Assumptions!$K$4:$K$8,0)</f>
        <v>1</v>
      </c>
      <c r="O1472" s="21" t="str">
        <f aca="false">IF(H1472="Yes",MONTH(I1472),"")</f>
        <v/>
      </c>
      <c r="P1472" s="21" t="str">
        <f aca="false">IF(H1472="Yes",B1472,"")</f>
        <v/>
      </c>
    </row>
    <row r="1473" customFormat="false" ht="15" hidden="false" customHeight="false" outlineLevel="0" collapsed="false">
      <c r="A1473" s="21" t="s">
        <v>2688</v>
      </c>
      <c r="B1473" s="21" t="s">
        <v>630</v>
      </c>
      <c r="C1473" s="21" t="s">
        <v>1309</v>
      </c>
      <c r="D1473" s="21" t="s">
        <v>1181</v>
      </c>
      <c r="E1473" s="33" t="n">
        <v>45610</v>
      </c>
      <c r="F1473" s="21" t="s">
        <v>1185</v>
      </c>
      <c r="G1473" s="32" t="n">
        <v>9.7</v>
      </c>
      <c r="H1473" s="21" t="s">
        <v>120</v>
      </c>
      <c r="I1473" s="33" t="n">
        <v>45663</v>
      </c>
      <c r="J1473" s="21" t="str">
        <f aca="false">INDEX(Students!$C$2:$C$601,MATCH(B1473,Students!$A$2:$A$601,0))</f>
        <v>Batch 2025</v>
      </c>
      <c r="K1473" s="21" t="str">
        <f aca="false">INDEX(Students!$D$2:$D$601,MATCH(B1473,Students!$A$2:$A$601,0))</f>
        <v>Full Stack Development</v>
      </c>
      <c r="L1473" s="21" t="str">
        <f aca="false">INDEX(Companies!$C$2:$C$31,MATCH(C1473,Companies!$A$2:$A$31,0))</f>
        <v>EdTech</v>
      </c>
      <c r="M1473" s="21" t="str">
        <f aca="false">INDEX(Companies!$D$2:$D$31,MATCH(C1473,Companies!$A$2:$A$31,0))</f>
        <v>Tier 2</v>
      </c>
      <c r="N1473" s="34" t="n">
        <f aca="false">MATCH(F1473,Assumptions!$K$4:$K$8,0)</f>
        <v>5</v>
      </c>
      <c r="O1473" s="21" t="n">
        <f aca="false">IF(H1473="Yes",MONTH(I1473),"")</f>
        <v>1</v>
      </c>
      <c r="P1473" s="21" t="str">
        <f aca="false">IF(H1473="Yes",B1473,"")</f>
        <v>S0279</v>
      </c>
    </row>
    <row r="1474" customFormat="false" ht="15" hidden="false" customHeight="false" outlineLevel="0" collapsed="false">
      <c r="A1474" s="21" t="s">
        <v>2689</v>
      </c>
      <c r="B1474" s="21" t="s">
        <v>785</v>
      </c>
      <c r="C1474" s="21" t="s">
        <v>1255</v>
      </c>
      <c r="D1474" s="21" t="s">
        <v>1191</v>
      </c>
      <c r="E1474" s="33" t="n">
        <v>45611</v>
      </c>
      <c r="F1474" s="21" t="s">
        <v>1185</v>
      </c>
      <c r="G1474" s="32" t="n">
        <v>5.5</v>
      </c>
      <c r="H1474" s="21" t="s">
        <v>120</v>
      </c>
      <c r="I1474" s="33" t="n">
        <v>45666</v>
      </c>
      <c r="J1474" s="21" t="str">
        <f aca="false">INDEX(Students!$C$2:$C$601,MATCH(B1474,Students!$A$2:$A$601,0))</f>
        <v>Batch 2025</v>
      </c>
      <c r="K1474" s="21" t="str">
        <f aca="false">INDEX(Students!$D$2:$D$601,MATCH(B1474,Students!$A$2:$A$601,0))</f>
        <v>DSA with Java</v>
      </c>
      <c r="L1474" s="21" t="str">
        <f aca="false">INDEX(Companies!$C$2:$C$31,MATCH(C1474,Companies!$A$2:$A$31,0))</f>
        <v>IT Services</v>
      </c>
      <c r="M1474" s="21" t="str">
        <f aca="false">INDEX(Companies!$D$2:$D$31,MATCH(C1474,Companies!$A$2:$A$31,0))</f>
        <v>Tier 3</v>
      </c>
      <c r="N1474" s="34" t="n">
        <f aca="false">MATCH(F1474,Assumptions!$K$4:$K$8,0)</f>
        <v>5</v>
      </c>
      <c r="O1474" s="21" t="n">
        <f aca="false">IF(H1474="Yes",MONTH(I1474),"")</f>
        <v>1</v>
      </c>
      <c r="P1474" s="21" t="str">
        <f aca="false">IF(H1474="Yes",B1474,"")</f>
        <v>S0368</v>
      </c>
    </row>
    <row r="1475" customFormat="false" ht="15" hidden="false" customHeight="false" outlineLevel="0" collapsed="false">
      <c r="A1475" s="21" t="s">
        <v>2690</v>
      </c>
      <c r="B1475" s="21" t="s">
        <v>575</v>
      </c>
      <c r="C1475" s="21" t="s">
        <v>1225</v>
      </c>
      <c r="D1475" s="21" t="s">
        <v>1191</v>
      </c>
      <c r="E1475" s="33" t="n">
        <v>45611</v>
      </c>
      <c r="F1475" s="21" t="s">
        <v>1218</v>
      </c>
      <c r="G1475" s="32"/>
      <c r="H1475" s="21"/>
      <c r="I1475" s="33"/>
      <c r="J1475" s="21" t="str">
        <f aca="false">INDEX(Students!$C$2:$C$601,MATCH(B1475,Students!$A$2:$A$601,0))</f>
        <v>Batch 2025</v>
      </c>
      <c r="K1475" s="21" t="str">
        <f aca="false">INDEX(Students!$D$2:$D$601,MATCH(B1475,Students!$A$2:$A$601,0))</f>
        <v>DSA with Java</v>
      </c>
      <c r="L1475" s="21" t="str">
        <f aca="false">INDEX(Companies!$C$2:$C$31,MATCH(C1475,Companies!$A$2:$A$31,0))</f>
        <v>EdTech</v>
      </c>
      <c r="M1475" s="21" t="str">
        <f aca="false">INDEX(Companies!$D$2:$D$31,MATCH(C1475,Companies!$A$2:$A$31,0))</f>
        <v>Tier 2</v>
      </c>
      <c r="N1475" s="34" t="n">
        <f aca="false">MATCH(F1475,Assumptions!$K$4:$K$8,0)</f>
        <v>4</v>
      </c>
      <c r="O1475" s="21" t="str">
        <f aca="false">IF(H1475="Yes",MONTH(I1475),"")</f>
        <v/>
      </c>
      <c r="P1475" s="21" t="str">
        <f aca="false">IF(H1475="Yes",B1475,"")</f>
        <v/>
      </c>
    </row>
    <row r="1476" customFormat="false" ht="15" hidden="false" customHeight="false" outlineLevel="0" collapsed="false">
      <c r="A1476" s="21" t="s">
        <v>2691</v>
      </c>
      <c r="B1476" s="21" t="s">
        <v>701</v>
      </c>
      <c r="C1476" s="21" t="s">
        <v>1230</v>
      </c>
      <c r="D1476" s="21" t="s">
        <v>1240</v>
      </c>
      <c r="E1476" s="33" t="n">
        <v>45611</v>
      </c>
      <c r="F1476" s="21" t="s">
        <v>1218</v>
      </c>
      <c r="G1476" s="32"/>
      <c r="H1476" s="21"/>
      <c r="I1476" s="33"/>
      <c r="J1476" s="21" t="str">
        <f aca="false">INDEX(Students!$C$2:$C$601,MATCH(B1476,Students!$A$2:$A$601,0))</f>
        <v>Batch 2025</v>
      </c>
      <c r="K1476" s="21" t="str">
        <f aca="false">INDEX(Students!$D$2:$D$601,MATCH(B1476,Students!$A$2:$A$601,0))</f>
        <v>Cybersecurity</v>
      </c>
      <c r="L1476" s="21" t="str">
        <f aca="false">INDEX(Companies!$C$2:$C$31,MATCH(C1476,Companies!$A$2:$A$31,0))</f>
        <v>IT Services</v>
      </c>
      <c r="M1476" s="21" t="str">
        <f aca="false">INDEX(Companies!$D$2:$D$31,MATCH(C1476,Companies!$A$2:$A$31,0))</f>
        <v>Tier 3</v>
      </c>
      <c r="N1476" s="34" t="n">
        <f aca="false">MATCH(F1476,Assumptions!$K$4:$K$8,0)</f>
        <v>4</v>
      </c>
      <c r="O1476" s="21" t="str">
        <f aca="false">IF(H1476="Yes",MONTH(I1476),"")</f>
        <v/>
      </c>
      <c r="P1476" s="21" t="str">
        <f aca="false">IF(H1476="Yes",B1476,"")</f>
        <v/>
      </c>
    </row>
    <row r="1477" customFormat="false" ht="15" hidden="false" customHeight="false" outlineLevel="0" collapsed="false">
      <c r="A1477" s="21" t="s">
        <v>2692</v>
      </c>
      <c r="B1477" s="21" t="s">
        <v>530</v>
      </c>
      <c r="C1477" s="21" t="s">
        <v>1225</v>
      </c>
      <c r="D1477" s="21" t="s">
        <v>1240</v>
      </c>
      <c r="E1477" s="33" t="n">
        <v>45611</v>
      </c>
      <c r="F1477" s="21" t="s">
        <v>1185</v>
      </c>
      <c r="G1477" s="32" t="n">
        <v>12.9</v>
      </c>
      <c r="H1477" s="21" t="s">
        <v>113</v>
      </c>
      <c r="I1477" s="33" t="n">
        <v>45633</v>
      </c>
      <c r="J1477" s="21" t="str">
        <f aca="false">INDEX(Students!$C$2:$C$601,MATCH(B1477,Students!$A$2:$A$601,0))</f>
        <v>Batch 2025</v>
      </c>
      <c r="K1477" s="21" t="str">
        <f aca="false">INDEX(Students!$D$2:$D$601,MATCH(B1477,Students!$A$2:$A$601,0))</f>
        <v>Cybersecurity</v>
      </c>
      <c r="L1477" s="21" t="str">
        <f aca="false">INDEX(Companies!$C$2:$C$31,MATCH(C1477,Companies!$A$2:$A$31,0))</f>
        <v>EdTech</v>
      </c>
      <c r="M1477" s="21" t="str">
        <f aca="false">INDEX(Companies!$D$2:$D$31,MATCH(C1477,Companies!$A$2:$A$31,0))</f>
        <v>Tier 2</v>
      </c>
      <c r="N1477" s="34" t="n">
        <f aca="false">MATCH(F1477,Assumptions!$K$4:$K$8,0)</f>
        <v>5</v>
      </c>
      <c r="O1477" s="21" t="str">
        <f aca="false">IF(H1477="Yes",MONTH(I1477),"")</f>
        <v/>
      </c>
      <c r="P1477" s="21" t="str">
        <f aca="false">IF(H1477="Yes",B1477,"")</f>
        <v/>
      </c>
    </row>
    <row r="1478" customFormat="false" ht="15" hidden="false" customHeight="false" outlineLevel="0" collapsed="false">
      <c r="A1478" s="21" t="s">
        <v>2693</v>
      </c>
      <c r="B1478" s="21" t="s">
        <v>615</v>
      </c>
      <c r="C1478" s="21" t="s">
        <v>1263</v>
      </c>
      <c r="D1478" s="21" t="s">
        <v>1191</v>
      </c>
      <c r="E1478" s="33" t="n">
        <v>45611</v>
      </c>
      <c r="F1478" s="21" t="s">
        <v>1197</v>
      </c>
      <c r="G1478" s="32"/>
      <c r="H1478" s="21"/>
      <c r="I1478" s="33"/>
      <c r="J1478" s="21" t="str">
        <f aca="false">INDEX(Students!$C$2:$C$601,MATCH(B1478,Students!$A$2:$A$601,0))</f>
        <v>Batch 2025</v>
      </c>
      <c r="K1478" s="21" t="str">
        <f aca="false">INDEX(Students!$D$2:$D$601,MATCH(B1478,Students!$A$2:$A$601,0))</f>
        <v>DSA with Java</v>
      </c>
      <c r="L1478" s="21" t="str">
        <f aca="false">INDEX(Companies!$C$2:$C$31,MATCH(C1478,Companies!$A$2:$A$31,0))</f>
        <v>Analytics &amp; Consulting</v>
      </c>
      <c r="M1478" s="21" t="str">
        <f aca="false">INDEX(Companies!$D$2:$D$31,MATCH(C1478,Companies!$A$2:$A$31,0))</f>
        <v>Tier 2</v>
      </c>
      <c r="N1478" s="34" t="n">
        <f aca="false">MATCH(F1478,Assumptions!$K$4:$K$8,0)</f>
        <v>3</v>
      </c>
      <c r="O1478" s="21" t="str">
        <f aca="false">IF(H1478="Yes",MONTH(I1478),"")</f>
        <v/>
      </c>
      <c r="P1478" s="21" t="str">
        <f aca="false">IF(H1478="Yes",B1478,"")</f>
        <v/>
      </c>
    </row>
    <row r="1479" customFormat="false" ht="15" hidden="false" customHeight="false" outlineLevel="0" collapsed="false">
      <c r="A1479" s="21" t="s">
        <v>2694</v>
      </c>
      <c r="B1479" s="21" t="s">
        <v>504</v>
      </c>
      <c r="C1479" s="21" t="s">
        <v>1298</v>
      </c>
      <c r="D1479" s="21" t="s">
        <v>1174</v>
      </c>
      <c r="E1479" s="33" t="n">
        <v>45611</v>
      </c>
      <c r="F1479" s="21" t="s">
        <v>1218</v>
      </c>
      <c r="G1479" s="32"/>
      <c r="H1479" s="21"/>
      <c r="I1479" s="33"/>
      <c r="J1479" s="21" t="str">
        <f aca="false">INDEX(Students!$C$2:$C$601,MATCH(B1479,Students!$A$2:$A$601,0))</f>
        <v>Batch 2025</v>
      </c>
      <c r="K1479" s="21" t="str">
        <f aca="false">INDEX(Students!$D$2:$D$601,MATCH(B1479,Students!$A$2:$A$601,0))</f>
        <v>Full Stack Development</v>
      </c>
      <c r="L1479" s="21" t="str">
        <f aca="false">INDEX(Companies!$C$2:$C$31,MATCH(C1479,Companies!$A$2:$A$31,0))</f>
        <v>Fintech</v>
      </c>
      <c r="M1479" s="21" t="str">
        <f aca="false">INDEX(Companies!$D$2:$D$31,MATCH(C1479,Companies!$A$2:$A$31,0))</f>
        <v>Tier 2</v>
      </c>
      <c r="N1479" s="34" t="n">
        <f aca="false">MATCH(F1479,Assumptions!$K$4:$K$8,0)</f>
        <v>4</v>
      </c>
      <c r="O1479" s="21" t="str">
        <f aca="false">IF(H1479="Yes",MONTH(I1479),"")</f>
        <v/>
      </c>
      <c r="P1479" s="21" t="str">
        <f aca="false">IF(H1479="Yes",B1479,"")</f>
        <v/>
      </c>
    </row>
    <row r="1480" customFormat="false" ht="15" hidden="false" customHeight="false" outlineLevel="0" collapsed="false">
      <c r="A1480" s="21" t="s">
        <v>2695</v>
      </c>
      <c r="B1480" s="21" t="s">
        <v>609</v>
      </c>
      <c r="C1480" s="21" t="s">
        <v>1255</v>
      </c>
      <c r="D1480" s="21" t="s">
        <v>1188</v>
      </c>
      <c r="E1480" s="33" t="n">
        <v>45611</v>
      </c>
      <c r="F1480" s="21" t="s">
        <v>1175</v>
      </c>
      <c r="G1480" s="32"/>
      <c r="H1480" s="21"/>
      <c r="I1480" s="33"/>
      <c r="J1480" s="21" t="str">
        <f aca="false">INDEX(Students!$C$2:$C$601,MATCH(B1480,Students!$A$2:$A$601,0))</f>
        <v>Batch 2025</v>
      </c>
      <c r="K1480" s="21" t="str">
        <f aca="false">INDEX(Students!$D$2:$D$601,MATCH(B1480,Students!$A$2:$A$601,0))</f>
        <v>Data Analytics</v>
      </c>
      <c r="L1480" s="21" t="str">
        <f aca="false">INDEX(Companies!$C$2:$C$31,MATCH(C1480,Companies!$A$2:$A$31,0))</f>
        <v>IT Services</v>
      </c>
      <c r="M1480" s="21" t="str">
        <f aca="false">INDEX(Companies!$D$2:$D$31,MATCH(C1480,Companies!$A$2:$A$31,0))</f>
        <v>Tier 3</v>
      </c>
      <c r="N1480" s="34" t="n">
        <f aca="false">MATCH(F1480,Assumptions!$K$4:$K$8,0)</f>
        <v>1</v>
      </c>
      <c r="O1480" s="21" t="str">
        <f aca="false">IF(H1480="Yes",MONTH(I1480),"")</f>
        <v/>
      </c>
      <c r="P1480" s="21" t="str">
        <f aca="false">IF(H1480="Yes",B1480,"")</f>
        <v/>
      </c>
    </row>
    <row r="1481" customFormat="false" ht="15" hidden="false" customHeight="false" outlineLevel="0" collapsed="false">
      <c r="A1481" s="21" t="s">
        <v>2696</v>
      </c>
      <c r="B1481" s="21" t="s">
        <v>503</v>
      </c>
      <c r="C1481" s="21" t="s">
        <v>1230</v>
      </c>
      <c r="D1481" s="21" t="s">
        <v>1181</v>
      </c>
      <c r="E1481" s="33" t="n">
        <v>45611</v>
      </c>
      <c r="F1481" s="21" t="s">
        <v>1185</v>
      </c>
      <c r="G1481" s="32" t="n">
        <v>6.3</v>
      </c>
      <c r="H1481" s="21" t="s">
        <v>120</v>
      </c>
      <c r="I1481" s="33" t="n">
        <v>45657</v>
      </c>
      <c r="J1481" s="21" t="str">
        <f aca="false">INDEX(Students!$C$2:$C$601,MATCH(B1481,Students!$A$2:$A$601,0))</f>
        <v>Batch 2025</v>
      </c>
      <c r="K1481" s="21" t="str">
        <f aca="false">INDEX(Students!$D$2:$D$601,MATCH(B1481,Students!$A$2:$A$601,0))</f>
        <v>Full Stack Development</v>
      </c>
      <c r="L1481" s="21" t="str">
        <f aca="false">INDEX(Companies!$C$2:$C$31,MATCH(C1481,Companies!$A$2:$A$31,0))</f>
        <v>IT Services</v>
      </c>
      <c r="M1481" s="21" t="str">
        <f aca="false">INDEX(Companies!$D$2:$D$31,MATCH(C1481,Companies!$A$2:$A$31,0))</f>
        <v>Tier 3</v>
      </c>
      <c r="N1481" s="34" t="n">
        <f aca="false">MATCH(F1481,Assumptions!$K$4:$K$8,0)</f>
        <v>5</v>
      </c>
      <c r="O1481" s="21" t="n">
        <f aca="false">IF(H1481="Yes",MONTH(I1481),"")</f>
        <v>12</v>
      </c>
      <c r="P1481" s="21" t="str">
        <f aca="false">IF(H1481="Yes",B1481,"")</f>
        <v>S0207</v>
      </c>
    </row>
    <row r="1482" customFormat="false" ht="15" hidden="false" customHeight="false" outlineLevel="0" collapsed="false">
      <c r="A1482" s="21" t="s">
        <v>2697</v>
      </c>
      <c r="B1482" s="21" t="s">
        <v>595</v>
      </c>
      <c r="C1482" s="21" t="s">
        <v>1211</v>
      </c>
      <c r="D1482" s="21" t="s">
        <v>1184</v>
      </c>
      <c r="E1482" s="33" t="n">
        <v>45611</v>
      </c>
      <c r="F1482" s="21" t="s">
        <v>1175</v>
      </c>
      <c r="G1482" s="32"/>
      <c r="H1482" s="21"/>
      <c r="I1482" s="33"/>
      <c r="J1482" s="21" t="str">
        <f aca="false">INDEX(Students!$C$2:$C$601,MATCH(B1482,Students!$A$2:$A$601,0))</f>
        <v>Batch 2025</v>
      </c>
      <c r="K1482" s="21" t="str">
        <f aca="false">INDEX(Students!$D$2:$D$601,MATCH(B1482,Students!$A$2:$A$601,0))</f>
        <v>DSA with Java</v>
      </c>
      <c r="L1482" s="21" t="str">
        <f aca="false">INDEX(Companies!$C$2:$C$31,MATCH(C1482,Companies!$A$2:$A$31,0))</f>
        <v>Analytics &amp; Consulting</v>
      </c>
      <c r="M1482" s="21" t="str">
        <f aca="false">INDEX(Companies!$D$2:$D$31,MATCH(C1482,Companies!$A$2:$A$31,0))</f>
        <v>Tier 3</v>
      </c>
      <c r="N1482" s="34" t="n">
        <f aca="false">MATCH(F1482,Assumptions!$K$4:$K$8,0)</f>
        <v>1</v>
      </c>
      <c r="O1482" s="21" t="str">
        <f aca="false">IF(H1482="Yes",MONTH(I1482),"")</f>
        <v/>
      </c>
      <c r="P1482" s="21" t="str">
        <f aca="false">IF(H1482="Yes",B1482,"")</f>
        <v/>
      </c>
    </row>
    <row r="1483" customFormat="false" ht="15" hidden="false" customHeight="false" outlineLevel="0" collapsed="false">
      <c r="A1483" s="21" t="s">
        <v>2698</v>
      </c>
      <c r="B1483" s="21" t="s">
        <v>594</v>
      </c>
      <c r="C1483" s="21" t="s">
        <v>1180</v>
      </c>
      <c r="D1483" s="21" t="s">
        <v>1240</v>
      </c>
      <c r="E1483" s="33" t="n">
        <v>45611</v>
      </c>
      <c r="F1483" s="21" t="s">
        <v>1175</v>
      </c>
      <c r="G1483" s="32"/>
      <c r="H1483" s="21"/>
      <c r="I1483" s="33"/>
      <c r="J1483" s="21" t="str">
        <f aca="false">INDEX(Students!$C$2:$C$601,MATCH(B1483,Students!$A$2:$A$601,0))</f>
        <v>Batch 2025</v>
      </c>
      <c r="K1483" s="21" t="str">
        <f aca="false">INDEX(Students!$D$2:$D$601,MATCH(B1483,Students!$A$2:$A$601,0))</f>
        <v>Cybersecurity</v>
      </c>
      <c r="L1483" s="21" t="str">
        <f aca="false">INDEX(Companies!$C$2:$C$31,MATCH(C1483,Companies!$A$2:$A$31,0))</f>
        <v>IT Services</v>
      </c>
      <c r="M1483" s="21" t="str">
        <f aca="false">INDEX(Companies!$D$2:$D$31,MATCH(C1483,Companies!$A$2:$A$31,0))</f>
        <v>Tier 3</v>
      </c>
      <c r="N1483" s="34" t="n">
        <f aca="false">MATCH(F1483,Assumptions!$K$4:$K$8,0)</f>
        <v>1</v>
      </c>
      <c r="O1483" s="21" t="str">
        <f aca="false">IF(H1483="Yes",MONTH(I1483),"")</f>
        <v/>
      </c>
      <c r="P1483" s="21" t="str">
        <f aca="false">IF(H1483="Yes",B1483,"")</f>
        <v/>
      </c>
    </row>
    <row r="1484" customFormat="false" ht="15" hidden="false" customHeight="false" outlineLevel="0" collapsed="false">
      <c r="A1484" s="21" t="s">
        <v>2699</v>
      </c>
      <c r="B1484" s="21" t="s">
        <v>615</v>
      </c>
      <c r="C1484" s="21" t="s">
        <v>1255</v>
      </c>
      <c r="D1484" s="21" t="s">
        <v>1184</v>
      </c>
      <c r="E1484" s="33" t="n">
        <v>45611</v>
      </c>
      <c r="F1484" s="21" t="s">
        <v>1185</v>
      </c>
      <c r="G1484" s="32" t="n">
        <v>4.6</v>
      </c>
      <c r="H1484" s="21" t="s">
        <v>113</v>
      </c>
      <c r="I1484" s="33" t="n">
        <v>45651</v>
      </c>
      <c r="J1484" s="21" t="str">
        <f aca="false">INDEX(Students!$C$2:$C$601,MATCH(B1484,Students!$A$2:$A$601,0))</f>
        <v>Batch 2025</v>
      </c>
      <c r="K1484" s="21" t="str">
        <f aca="false">INDEX(Students!$D$2:$D$601,MATCH(B1484,Students!$A$2:$A$601,0))</f>
        <v>DSA with Java</v>
      </c>
      <c r="L1484" s="21" t="str">
        <f aca="false">INDEX(Companies!$C$2:$C$31,MATCH(C1484,Companies!$A$2:$A$31,0))</f>
        <v>IT Services</v>
      </c>
      <c r="M1484" s="21" t="str">
        <f aca="false">INDEX(Companies!$D$2:$D$31,MATCH(C1484,Companies!$A$2:$A$31,0))</f>
        <v>Tier 3</v>
      </c>
      <c r="N1484" s="34" t="n">
        <f aca="false">MATCH(F1484,Assumptions!$K$4:$K$8,0)</f>
        <v>5</v>
      </c>
      <c r="O1484" s="21" t="str">
        <f aca="false">IF(H1484="Yes",MONTH(I1484),"")</f>
        <v/>
      </c>
      <c r="P1484" s="21" t="str">
        <f aca="false">IF(H1484="Yes",B1484,"")</f>
        <v/>
      </c>
    </row>
    <row r="1485" customFormat="false" ht="15" hidden="false" customHeight="false" outlineLevel="0" collapsed="false">
      <c r="A1485" s="21" t="s">
        <v>2700</v>
      </c>
      <c r="B1485" s="21" t="s">
        <v>466</v>
      </c>
      <c r="C1485" s="21" t="s">
        <v>1263</v>
      </c>
      <c r="D1485" s="21" t="s">
        <v>1191</v>
      </c>
      <c r="E1485" s="33" t="n">
        <v>45612</v>
      </c>
      <c r="F1485" s="21" t="s">
        <v>1197</v>
      </c>
      <c r="G1485" s="32"/>
      <c r="H1485" s="21"/>
      <c r="I1485" s="33"/>
      <c r="J1485" s="21" t="str">
        <f aca="false">INDEX(Students!$C$2:$C$601,MATCH(B1485,Students!$A$2:$A$601,0))</f>
        <v>Batch 2025</v>
      </c>
      <c r="K1485" s="21" t="str">
        <f aca="false">INDEX(Students!$D$2:$D$601,MATCH(B1485,Students!$A$2:$A$601,0))</f>
        <v>DSA with Java</v>
      </c>
      <c r="L1485" s="21" t="str">
        <f aca="false">INDEX(Companies!$C$2:$C$31,MATCH(C1485,Companies!$A$2:$A$31,0))</f>
        <v>Analytics &amp; Consulting</v>
      </c>
      <c r="M1485" s="21" t="str">
        <f aca="false">INDEX(Companies!$D$2:$D$31,MATCH(C1485,Companies!$A$2:$A$31,0))</f>
        <v>Tier 2</v>
      </c>
      <c r="N1485" s="34" t="n">
        <f aca="false">MATCH(F1485,Assumptions!$K$4:$K$8,0)</f>
        <v>3</v>
      </c>
      <c r="O1485" s="21" t="str">
        <f aca="false">IF(H1485="Yes",MONTH(I1485),"")</f>
        <v/>
      </c>
      <c r="P1485" s="21" t="str">
        <f aca="false">IF(H1485="Yes",B1485,"")</f>
        <v/>
      </c>
    </row>
    <row r="1486" customFormat="false" ht="15" hidden="false" customHeight="false" outlineLevel="0" collapsed="false">
      <c r="A1486" s="21" t="s">
        <v>2701</v>
      </c>
      <c r="B1486" s="21" t="s">
        <v>556</v>
      </c>
      <c r="C1486" s="21" t="s">
        <v>1275</v>
      </c>
      <c r="D1486" s="21" t="s">
        <v>1194</v>
      </c>
      <c r="E1486" s="33" t="n">
        <v>45613</v>
      </c>
      <c r="F1486" s="21" t="s">
        <v>1178</v>
      </c>
      <c r="G1486" s="32"/>
      <c r="H1486" s="21"/>
      <c r="I1486" s="33"/>
      <c r="J1486" s="21" t="str">
        <f aca="false">INDEX(Students!$C$2:$C$601,MATCH(B1486,Students!$A$2:$A$601,0))</f>
        <v>Batch 2025</v>
      </c>
      <c r="K1486" s="21" t="str">
        <f aca="false">INDEX(Students!$D$2:$D$601,MATCH(B1486,Students!$A$2:$A$601,0))</f>
        <v>Data Science &amp; ML</v>
      </c>
      <c r="L1486" s="21" t="str">
        <f aca="false">INDEX(Companies!$C$2:$C$31,MATCH(C1486,Companies!$A$2:$A$31,0))</f>
        <v>Cybersecurity</v>
      </c>
      <c r="M1486" s="21" t="str">
        <f aca="false">INDEX(Companies!$D$2:$D$31,MATCH(C1486,Companies!$A$2:$A$31,0))</f>
        <v>Tier 2</v>
      </c>
      <c r="N1486" s="34" t="n">
        <f aca="false">MATCH(F1486,Assumptions!$K$4:$K$8,0)</f>
        <v>2</v>
      </c>
      <c r="O1486" s="21" t="str">
        <f aca="false">IF(H1486="Yes",MONTH(I1486),"")</f>
        <v/>
      </c>
      <c r="P1486" s="21" t="str">
        <f aca="false">IF(H1486="Yes",B1486,"")</f>
        <v/>
      </c>
    </row>
    <row r="1487" customFormat="false" ht="15" hidden="false" customHeight="false" outlineLevel="0" collapsed="false">
      <c r="A1487" s="21" t="s">
        <v>2702</v>
      </c>
      <c r="B1487" s="21" t="s">
        <v>741</v>
      </c>
      <c r="C1487" s="21" t="s">
        <v>1266</v>
      </c>
      <c r="D1487" s="21" t="s">
        <v>1243</v>
      </c>
      <c r="E1487" s="33" t="n">
        <v>45613</v>
      </c>
      <c r="F1487" s="21" t="s">
        <v>1175</v>
      </c>
      <c r="G1487" s="32"/>
      <c r="H1487" s="21"/>
      <c r="I1487" s="33"/>
      <c r="J1487" s="21" t="str">
        <f aca="false">INDEX(Students!$C$2:$C$601,MATCH(B1487,Students!$A$2:$A$601,0))</f>
        <v>Batch 2025</v>
      </c>
      <c r="K1487" s="21" t="str">
        <f aca="false">INDEX(Students!$D$2:$D$601,MATCH(B1487,Students!$A$2:$A$601,0))</f>
        <v>Data Science &amp; ML</v>
      </c>
      <c r="L1487" s="21" t="str">
        <f aca="false">INDEX(Companies!$C$2:$C$31,MATCH(C1487,Companies!$A$2:$A$31,0))</f>
        <v>IT Services</v>
      </c>
      <c r="M1487" s="21" t="str">
        <f aca="false">INDEX(Companies!$D$2:$D$31,MATCH(C1487,Companies!$A$2:$A$31,0))</f>
        <v>Tier 3</v>
      </c>
      <c r="N1487" s="34" t="n">
        <f aca="false">MATCH(F1487,Assumptions!$K$4:$K$8,0)</f>
        <v>1</v>
      </c>
      <c r="O1487" s="21" t="str">
        <f aca="false">IF(H1487="Yes",MONTH(I1487),"")</f>
        <v/>
      </c>
      <c r="P1487" s="21" t="str">
        <f aca="false">IF(H1487="Yes",B1487,"")</f>
        <v/>
      </c>
    </row>
    <row r="1488" customFormat="false" ht="15" hidden="false" customHeight="false" outlineLevel="0" collapsed="false">
      <c r="A1488" s="21" t="s">
        <v>2703</v>
      </c>
      <c r="B1488" s="21" t="s">
        <v>780</v>
      </c>
      <c r="C1488" s="21" t="s">
        <v>1239</v>
      </c>
      <c r="D1488" s="21" t="s">
        <v>1181</v>
      </c>
      <c r="E1488" s="33" t="n">
        <v>45613</v>
      </c>
      <c r="F1488" s="21" t="s">
        <v>1178</v>
      </c>
      <c r="G1488" s="32"/>
      <c r="H1488" s="21"/>
      <c r="I1488" s="33"/>
      <c r="J1488" s="21" t="str">
        <f aca="false">INDEX(Students!$C$2:$C$601,MATCH(B1488,Students!$A$2:$A$601,0))</f>
        <v>Batch 2025</v>
      </c>
      <c r="K1488" s="21" t="str">
        <f aca="false">INDEX(Students!$D$2:$D$601,MATCH(B1488,Students!$A$2:$A$601,0))</f>
        <v>Full Stack Development</v>
      </c>
      <c r="L1488" s="21" t="str">
        <f aca="false">INDEX(Companies!$C$2:$C$31,MATCH(C1488,Companies!$A$2:$A$31,0))</f>
        <v>E-commerce</v>
      </c>
      <c r="M1488" s="21" t="str">
        <f aca="false">INDEX(Companies!$D$2:$D$31,MATCH(C1488,Companies!$A$2:$A$31,0))</f>
        <v>Tier 3</v>
      </c>
      <c r="N1488" s="34" t="n">
        <f aca="false">MATCH(F1488,Assumptions!$K$4:$K$8,0)</f>
        <v>2</v>
      </c>
      <c r="O1488" s="21" t="str">
        <f aca="false">IF(H1488="Yes",MONTH(I1488),"")</f>
        <v/>
      </c>
      <c r="P1488" s="21" t="str">
        <f aca="false">IF(H1488="Yes",B1488,"")</f>
        <v/>
      </c>
    </row>
    <row r="1489" customFormat="false" ht="15" hidden="false" customHeight="false" outlineLevel="0" collapsed="false">
      <c r="A1489" s="21" t="s">
        <v>2704</v>
      </c>
      <c r="B1489" s="21" t="s">
        <v>670</v>
      </c>
      <c r="C1489" s="21" t="s">
        <v>1216</v>
      </c>
      <c r="D1489" s="21" t="s">
        <v>1243</v>
      </c>
      <c r="E1489" s="33" t="n">
        <v>45614</v>
      </c>
      <c r="F1489" s="21" t="s">
        <v>1175</v>
      </c>
      <c r="G1489" s="32"/>
      <c r="H1489" s="21"/>
      <c r="I1489" s="33"/>
      <c r="J1489" s="21" t="str">
        <f aca="false">INDEX(Students!$C$2:$C$601,MATCH(B1489,Students!$A$2:$A$601,0))</f>
        <v>Batch 2025</v>
      </c>
      <c r="K1489" s="21" t="str">
        <f aca="false">INDEX(Students!$D$2:$D$601,MATCH(B1489,Students!$A$2:$A$601,0))</f>
        <v>Data Science &amp; ML</v>
      </c>
      <c r="L1489" s="21" t="str">
        <f aca="false">INDEX(Companies!$C$2:$C$31,MATCH(C1489,Companies!$A$2:$A$31,0))</f>
        <v>IT Services</v>
      </c>
      <c r="M1489" s="21" t="str">
        <f aca="false">INDEX(Companies!$D$2:$D$31,MATCH(C1489,Companies!$A$2:$A$31,0))</f>
        <v>Tier 3</v>
      </c>
      <c r="N1489" s="34" t="n">
        <f aca="false">MATCH(F1489,Assumptions!$K$4:$K$8,0)</f>
        <v>1</v>
      </c>
      <c r="O1489" s="21" t="str">
        <f aca="false">IF(H1489="Yes",MONTH(I1489),"")</f>
        <v/>
      </c>
      <c r="P1489" s="21" t="str">
        <f aca="false">IF(H1489="Yes",B1489,"")</f>
        <v/>
      </c>
    </row>
    <row r="1490" customFormat="false" ht="15" hidden="false" customHeight="false" outlineLevel="0" collapsed="false">
      <c r="A1490" s="21" t="s">
        <v>2705</v>
      </c>
      <c r="B1490" s="21" t="s">
        <v>559</v>
      </c>
      <c r="C1490" s="21" t="s">
        <v>1201</v>
      </c>
      <c r="D1490" s="21" t="s">
        <v>1194</v>
      </c>
      <c r="E1490" s="33" t="n">
        <v>45614</v>
      </c>
      <c r="F1490" s="21" t="s">
        <v>1175</v>
      </c>
      <c r="G1490" s="32"/>
      <c r="H1490" s="21"/>
      <c r="I1490" s="33"/>
      <c r="J1490" s="21" t="str">
        <f aca="false">INDEX(Students!$C$2:$C$601,MATCH(B1490,Students!$A$2:$A$601,0))</f>
        <v>Batch 2025</v>
      </c>
      <c r="K1490" s="21" t="str">
        <f aca="false">INDEX(Students!$D$2:$D$601,MATCH(B1490,Students!$A$2:$A$601,0))</f>
        <v>Data Science &amp; ML</v>
      </c>
      <c r="L1490" s="21" t="str">
        <f aca="false">INDEX(Companies!$C$2:$C$31,MATCH(C1490,Companies!$A$2:$A$31,0))</f>
        <v>IT Services</v>
      </c>
      <c r="M1490" s="21" t="str">
        <f aca="false">INDEX(Companies!$D$2:$D$31,MATCH(C1490,Companies!$A$2:$A$31,0))</f>
        <v>Tier 3</v>
      </c>
      <c r="N1490" s="34" t="n">
        <f aca="false">MATCH(F1490,Assumptions!$K$4:$K$8,0)</f>
        <v>1</v>
      </c>
      <c r="O1490" s="21" t="str">
        <f aca="false">IF(H1490="Yes",MONTH(I1490),"")</f>
        <v/>
      </c>
      <c r="P1490" s="21" t="str">
        <f aca="false">IF(H1490="Yes",B1490,"")</f>
        <v/>
      </c>
    </row>
    <row r="1491" customFormat="false" ht="15" hidden="false" customHeight="false" outlineLevel="0" collapsed="false">
      <c r="A1491" s="21" t="s">
        <v>2706</v>
      </c>
      <c r="B1491" s="21" t="s">
        <v>756</v>
      </c>
      <c r="C1491" s="21" t="s">
        <v>1234</v>
      </c>
      <c r="D1491" s="21" t="s">
        <v>1243</v>
      </c>
      <c r="E1491" s="33" t="n">
        <v>45614</v>
      </c>
      <c r="F1491" s="21" t="s">
        <v>1175</v>
      </c>
      <c r="G1491" s="32"/>
      <c r="H1491" s="21"/>
      <c r="I1491" s="33"/>
      <c r="J1491" s="21" t="str">
        <f aca="false">INDEX(Students!$C$2:$C$601,MATCH(B1491,Students!$A$2:$A$601,0))</f>
        <v>Batch 2025</v>
      </c>
      <c r="K1491" s="21" t="str">
        <f aca="false">INDEX(Students!$D$2:$D$601,MATCH(B1491,Students!$A$2:$A$601,0))</f>
        <v>Data Science &amp; ML</v>
      </c>
      <c r="L1491" s="21" t="str">
        <f aca="false">INDEX(Companies!$C$2:$C$31,MATCH(C1491,Companies!$A$2:$A$31,0))</f>
        <v>EdTech</v>
      </c>
      <c r="M1491" s="21" t="str">
        <f aca="false">INDEX(Companies!$D$2:$D$31,MATCH(C1491,Companies!$A$2:$A$31,0))</f>
        <v>Tier 3</v>
      </c>
      <c r="N1491" s="34" t="n">
        <f aca="false">MATCH(F1491,Assumptions!$K$4:$K$8,0)</f>
        <v>1</v>
      </c>
      <c r="O1491" s="21" t="str">
        <f aca="false">IF(H1491="Yes",MONTH(I1491),"")</f>
        <v/>
      </c>
      <c r="P1491" s="21" t="str">
        <f aca="false">IF(H1491="Yes",B1491,"")</f>
        <v/>
      </c>
    </row>
    <row r="1492" customFormat="false" ht="15" hidden="false" customHeight="false" outlineLevel="0" collapsed="false">
      <c r="A1492" s="21" t="s">
        <v>2707</v>
      </c>
      <c r="B1492" s="21" t="s">
        <v>558</v>
      </c>
      <c r="C1492" s="21" t="s">
        <v>1201</v>
      </c>
      <c r="D1492" s="21" t="s">
        <v>1181</v>
      </c>
      <c r="E1492" s="33" t="n">
        <v>45614</v>
      </c>
      <c r="F1492" s="21" t="s">
        <v>1185</v>
      </c>
      <c r="G1492" s="32" t="n">
        <v>5.9</v>
      </c>
      <c r="H1492" s="21" t="s">
        <v>120</v>
      </c>
      <c r="I1492" s="33" t="n">
        <v>45646</v>
      </c>
      <c r="J1492" s="21" t="str">
        <f aca="false">INDEX(Students!$C$2:$C$601,MATCH(B1492,Students!$A$2:$A$601,0))</f>
        <v>Batch 2025</v>
      </c>
      <c r="K1492" s="21" t="str">
        <f aca="false">INDEX(Students!$D$2:$D$601,MATCH(B1492,Students!$A$2:$A$601,0))</f>
        <v>Full Stack Development</v>
      </c>
      <c r="L1492" s="21" t="str">
        <f aca="false">INDEX(Companies!$C$2:$C$31,MATCH(C1492,Companies!$A$2:$A$31,0))</f>
        <v>IT Services</v>
      </c>
      <c r="M1492" s="21" t="str">
        <f aca="false">INDEX(Companies!$D$2:$D$31,MATCH(C1492,Companies!$A$2:$A$31,0))</f>
        <v>Tier 3</v>
      </c>
      <c r="N1492" s="34" t="n">
        <f aca="false">MATCH(F1492,Assumptions!$K$4:$K$8,0)</f>
        <v>5</v>
      </c>
      <c r="O1492" s="21" t="n">
        <f aca="false">IF(H1492="Yes",MONTH(I1492),"")</f>
        <v>12</v>
      </c>
      <c r="P1492" s="21" t="str">
        <f aca="false">IF(H1492="Yes",B1492,"")</f>
        <v>S0238</v>
      </c>
    </row>
    <row r="1493" customFormat="false" ht="15" hidden="false" customHeight="false" outlineLevel="0" collapsed="false">
      <c r="A1493" s="21" t="s">
        <v>2708</v>
      </c>
      <c r="B1493" s="21" t="s">
        <v>487</v>
      </c>
      <c r="C1493" s="21" t="s">
        <v>1228</v>
      </c>
      <c r="D1493" s="21" t="s">
        <v>1243</v>
      </c>
      <c r="E1493" s="33" t="n">
        <v>45614</v>
      </c>
      <c r="F1493" s="21" t="s">
        <v>1218</v>
      </c>
      <c r="G1493" s="32"/>
      <c r="H1493" s="21"/>
      <c r="I1493" s="33"/>
      <c r="J1493" s="21" t="str">
        <f aca="false">INDEX(Students!$C$2:$C$601,MATCH(B1493,Students!$A$2:$A$601,0))</f>
        <v>Batch 2025</v>
      </c>
      <c r="K1493" s="21" t="str">
        <f aca="false">INDEX(Students!$D$2:$D$601,MATCH(B1493,Students!$A$2:$A$601,0))</f>
        <v>Data Science &amp; ML</v>
      </c>
      <c r="L1493" s="21" t="str">
        <f aca="false">INDEX(Companies!$C$2:$C$31,MATCH(C1493,Companies!$A$2:$A$31,0))</f>
        <v>Fintech</v>
      </c>
      <c r="M1493" s="21" t="str">
        <f aca="false">INDEX(Companies!$D$2:$D$31,MATCH(C1493,Companies!$A$2:$A$31,0))</f>
        <v>Tier 1</v>
      </c>
      <c r="N1493" s="34" t="n">
        <f aca="false">MATCH(F1493,Assumptions!$K$4:$K$8,0)</f>
        <v>4</v>
      </c>
      <c r="O1493" s="21" t="str">
        <f aca="false">IF(H1493="Yes",MONTH(I1493),"")</f>
        <v/>
      </c>
      <c r="P1493" s="21" t="str">
        <f aca="false">IF(H1493="Yes",B1493,"")</f>
        <v/>
      </c>
    </row>
    <row r="1494" customFormat="false" ht="15" hidden="false" customHeight="false" outlineLevel="0" collapsed="false">
      <c r="A1494" s="21" t="s">
        <v>2709</v>
      </c>
      <c r="B1494" s="21" t="s">
        <v>533</v>
      </c>
      <c r="C1494" s="21" t="s">
        <v>1180</v>
      </c>
      <c r="D1494" s="21" t="s">
        <v>1191</v>
      </c>
      <c r="E1494" s="33" t="n">
        <v>45614</v>
      </c>
      <c r="F1494" s="21" t="s">
        <v>1175</v>
      </c>
      <c r="G1494" s="32"/>
      <c r="H1494" s="21"/>
      <c r="I1494" s="33"/>
      <c r="J1494" s="21" t="str">
        <f aca="false">INDEX(Students!$C$2:$C$601,MATCH(B1494,Students!$A$2:$A$601,0))</f>
        <v>Batch 2025</v>
      </c>
      <c r="K1494" s="21" t="str">
        <f aca="false">INDEX(Students!$D$2:$D$601,MATCH(B1494,Students!$A$2:$A$601,0))</f>
        <v>DSA with Java</v>
      </c>
      <c r="L1494" s="21" t="str">
        <f aca="false">INDEX(Companies!$C$2:$C$31,MATCH(C1494,Companies!$A$2:$A$31,0))</f>
        <v>IT Services</v>
      </c>
      <c r="M1494" s="21" t="str">
        <f aca="false">INDEX(Companies!$D$2:$D$31,MATCH(C1494,Companies!$A$2:$A$31,0))</f>
        <v>Tier 3</v>
      </c>
      <c r="N1494" s="34" t="n">
        <f aca="false">MATCH(F1494,Assumptions!$K$4:$K$8,0)</f>
        <v>1</v>
      </c>
      <c r="O1494" s="21" t="str">
        <f aca="false">IF(H1494="Yes",MONTH(I1494),"")</f>
        <v/>
      </c>
      <c r="P1494" s="21" t="str">
        <f aca="false">IF(H1494="Yes",B1494,"")</f>
        <v/>
      </c>
    </row>
    <row r="1495" customFormat="false" ht="15" hidden="false" customHeight="false" outlineLevel="0" collapsed="false">
      <c r="A1495" s="21" t="s">
        <v>2710</v>
      </c>
      <c r="B1495" s="21" t="s">
        <v>675</v>
      </c>
      <c r="C1495" s="21" t="s">
        <v>1234</v>
      </c>
      <c r="D1495" s="21" t="s">
        <v>1181</v>
      </c>
      <c r="E1495" s="33" t="n">
        <v>45614</v>
      </c>
      <c r="F1495" s="21" t="s">
        <v>1178</v>
      </c>
      <c r="G1495" s="32"/>
      <c r="H1495" s="21"/>
      <c r="I1495" s="33"/>
      <c r="J1495" s="21" t="str">
        <f aca="false">INDEX(Students!$C$2:$C$601,MATCH(B1495,Students!$A$2:$A$601,0))</f>
        <v>Batch 2025</v>
      </c>
      <c r="K1495" s="21" t="str">
        <f aca="false">INDEX(Students!$D$2:$D$601,MATCH(B1495,Students!$A$2:$A$601,0))</f>
        <v>Full Stack Development</v>
      </c>
      <c r="L1495" s="21" t="str">
        <f aca="false">INDEX(Companies!$C$2:$C$31,MATCH(C1495,Companies!$A$2:$A$31,0))</f>
        <v>EdTech</v>
      </c>
      <c r="M1495" s="21" t="str">
        <f aca="false">INDEX(Companies!$D$2:$D$31,MATCH(C1495,Companies!$A$2:$A$31,0))</f>
        <v>Tier 3</v>
      </c>
      <c r="N1495" s="34" t="n">
        <f aca="false">MATCH(F1495,Assumptions!$K$4:$K$8,0)</f>
        <v>2</v>
      </c>
      <c r="O1495" s="21" t="str">
        <f aca="false">IF(H1495="Yes",MONTH(I1495),"")</f>
        <v/>
      </c>
      <c r="P1495" s="21" t="str">
        <f aca="false">IF(H1495="Yes",B1495,"")</f>
        <v/>
      </c>
    </row>
    <row r="1496" customFormat="false" ht="15" hidden="false" customHeight="false" outlineLevel="0" collapsed="false">
      <c r="A1496" s="21" t="s">
        <v>2711</v>
      </c>
      <c r="B1496" s="21" t="s">
        <v>609</v>
      </c>
      <c r="C1496" s="21" t="s">
        <v>1201</v>
      </c>
      <c r="D1496" s="21" t="s">
        <v>1188</v>
      </c>
      <c r="E1496" s="33" t="n">
        <v>45615</v>
      </c>
      <c r="F1496" s="21" t="s">
        <v>1185</v>
      </c>
      <c r="G1496" s="32" t="n">
        <v>5.1</v>
      </c>
      <c r="H1496" s="21" t="s">
        <v>120</v>
      </c>
      <c r="I1496" s="33" t="n">
        <v>45656</v>
      </c>
      <c r="J1496" s="21" t="str">
        <f aca="false">INDEX(Students!$C$2:$C$601,MATCH(B1496,Students!$A$2:$A$601,0))</f>
        <v>Batch 2025</v>
      </c>
      <c r="K1496" s="21" t="str">
        <f aca="false">INDEX(Students!$D$2:$D$601,MATCH(B1496,Students!$A$2:$A$601,0))</f>
        <v>Data Analytics</v>
      </c>
      <c r="L1496" s="21" t="str">
        <f aca="false">INDEX(Companies!$C$2:$C$31,MATCH(C1496,Companies!$A$2:$A$31,0))</f>
        <v>IT Services</v>
      </c>
      <c r="M1496" s="21" t="str">
        <f aca="false">INDEX(Companies!$D$2:$D$31,MATCH(C1496,Companies!$A$2:$A$31,0))</f>
        <v>Tier 3</v>
      </c>
      <c r="N1496" s="34" t="n">
        <f aca="false">MATCH(F1496,Assumptions!$K$4:$K$8,0)</f>
        <v>5</v>
      </c>
      <c r="O1496" s="21" t="n">
        <f aca="false">IF(H1496="Yes",MONTH(I1496),"")</f>
        <v>12</v>
      </c>
      <c r="P1496" s="21" t="str">
        <f aca="false">IF(H1496="Yes",B1496,"")</f>
        <v>S0266</v>
      </c>
    </row>
    <row r="1497" customFormat="false" ht="15" hidden="false" customHeight="false" outlineLevel="0" collapsed="false">
      <c r="A1497" s="21" t="s">
        <v>2712</v>
      </c>
      <c r="B1497" s="21" t="s">
        <v>679</v>
      </c>
      <c r="C1497" s="21" t="s">
        <v>1173</v>
      </c>
      <c r="D1497" s="21" t="s">
        <v>1194</v>
      </c>
      <c r="E1497" s="33" t="n">
        <v>45615</v>
      </c>
      <c r="F1497" s="21" t="s">
        <v>1178</v>
      </c>
      <c r="G1497" s="32"/>
      <c r="H1497" s="21"/>
      <c r="I1497" s="33"/>
      <c r="J1497" s="21" t="str">
        <f aca="false">INDEX(Students!$C$2:$C$601,MATCH(B1497,Students!$A$2:$A$601,0))</f>
        <v>Batch 2025</v>
      </c>
      <c r="K1497" s="21" t="str">
        <f aca="false">INDEX(Students!$D$2:$D$601,MATCH(B1497,Students!$A$2:$A$601,0))</f>
        <v>Data Science &amp; ML</v>
      </c>
      <c r="L1497" s="21" t="str">
        <f aca="false">INDEX(Companies!$C$2:$C$31,MATCH(C1497,Companies!$A$2:$A$31,0))</f>
        <v>Cybersecurity</v>
      </c>
      <c r="M1497" s="21" t="str">
        <f aca="false">INDEX(Companies!$D$2:$D$31,MATCH(C1497,Companies!$A$2:$A$31,0))</f>
        <v>Tier 1</v>
      </c>
      <c r="N1497" s="34" t="n">
        <f aca="false">MATCH(F1497,Assumptions!$K$4:$K$8,0)</f>
        <v>2</v>
      </c>
      <c r="O1497" s="21" t="str">
        <f aca="false">IF(H1497="Yes",MONTH(I1497),"")</f>
        <v/>
      </c>
      <c r="P1497" s="21" t="str">
        <f aca="false">IF(H1497="Yes",B1497,"")</f>
        <v/>
      </c>
    </row>
    <row r="1498" customFormat="false" ht="15" hidden="false" customHeight="false" outlineLevel="0" collapsed="false">
      <c r="A1498" s="21" t="s">
        <v>2713</v>
      </c>
      <c r="B1498" s="21" t="s">
        <v>778</v>
      </c>
      <c r="C1498" s="21" t="s">
        <v>1255</v>
      </c>
      <c r="D1498" s="21" t="s">
        <v>1191</v>
      </c>
      <c r="E1498" s="33" t="n">
        <v>45615</v>
      </c>
      <c r="F1498" s="21" t="s">
        <v>1178</v>
      </c>
      <c r="G1498" s="32"/>
      <c r="H1498" s="21"/>
      <c r="I1498" s="33"/>
      <c r="J1498" s="21" t="str">
        <f aca="false">INDEX(Students!$C$2:$C$601,MATCH(B1498,Students!$A$2:$A$601,0))</f>
        <v>Batch 2025</v>
      </c>
      <c r="K1498" s="21" t="str">
        <f aca="false">INDEX(Students!$D$2:$D$601,MATCH(B1498,Students!$A$2:$A$601,0))</f>
        <v>DSA with Java</v>
      </c>
      <c r="L1498" s="21" t="str">
        <f aca="false">INDEX(Companies!$C$2:$C$31,MATCH(C1498,Companies!$A$2:$A$31,0))</f>
        <v>IT Services</v>
      </c>
      <c r="M1498" s="21" t="str">
        <f aca="false">INDEX(Companies!$D$2:$D$31,MATCH(C1498,Companies!$A$2:$A$31,0))</f>
        <v>Tier 3</v>
      </c>
      <c r="N1498" s="34" t="n">
        <f aca="false">MATCH(F1498,Assumptions!$K$4:$K$8,0)</f>
        <v>2</v>
      </c>
      <c r="O1498" s="21" t="str">
        <f aca="false">IF(H1498="Yes",MONTH(I1498),"")</f>
        <v/>
      </c>
      <c r="P1498" s="21" t="str">
        <f aca="false">IF(H1498="Yes",B1498,"")</f>
        <v/>
      </c>
    </row>
    <row r="1499" customFormat="false" ht="15" hidden="false" customHeight="false" outlineLevel="0" collapsed="false">
      <c r="A1499" s="21" t="s">
        <v>2714</v>
      </c>
      <c r="B1499" s="21" t="s">
        <v>542</v>
      </c>
      <c r="C1499" s="21" t="s">
        <v>1208</v>
      </c>
      <c r="D1499" s="21" t="s">
        <v>1184</v>
      </c>
      <c r="E1499" s="33" t="n">
        <v>45615</v>
      </c>
      <c r="F1499" s="21" t="s">
        <v>1175</v>
      </c>
      <c r="G1499" s="32"/>
      <c r="H1499" s="21"/>
      <c r="I1499" s="33"/>
      <c r="J1499" s="21" t="str">
        <f aca="false">INDEX(Students!$C$2:$C$601,MATCH(B1499,Students!$A$2:$A$601,0))</f>
        <v>Batch 2025</v>
      </c>
      <c r="K1499" s="21" t="str">
        <f aca="false">INDEX(Students!$D$2:$D$601,MATCH(B1499,Students!$A$2:$A$601,0))</f>
        <v>DSA with Java</v>
      </c>
      <c r="L1499" s="21" t="str">
        <f aca="false">INDEX(Companies!$C$2:$C$31,MATCH(C1499,Companies!$A$2:$A$31,0))</f>
        <v>E-commerce</v>
      </c>
      <c r="M1499" s="21" t="str">
        <f aca="false">INDEX(Companies!$D$2:$D$31,MATCH(C1499,Companies!$A$2:$A$31,0))</f>
        <v>Tier 1</v>
      </c>
      <c r="N1499" s="34" t="n">
        <f aca="false">MATCH(F1499,Assumptions!$K$4:$K$8,0)</f>
        <v>1</v>
      </c>
      <c r="O1499" s="21" t="str">
        <f aca="false">IF(H1499="Yes",MONTH(I1499),"")</f>
        <v/>
      </c>
      <c r="P1499" s="21" t="str">
        <f aca="false">IF(H1499="Yes",B1499,"")</f>
        <v/>
      </c>
    </row>
    <row r="1500" customFormat="false" ht="15" hidden="false" customHeight="false" outlineLevel="0" collapsed="false">
      <c r="A1500" s="21" t="s">
        <v>2715</v>
      </c>
      <c r="B1500" s="21" t="s">
        <v>517</v>
      </c>
      <c r="C1500" s="21" t="s">
        <v>1216</v>
      </c>
      <c r="D1500" s="21" t="s">
        <v>1191</v>
      </c>
      <c r="E1500" s="33" t="n">
        <v>45615</v>
      </c>
      <c r="F1500" s="21" t="s">
        <v>1185</v>
      </c>
      <c r="G1500" s="32" t="n">
        <v>7.6</v>
      </c>
      <c r="H1500" s="21" t="s">
        <v>113</v>
      </c>
      <c r="I1500" s="33" t="n">
        <v>45645</v>
      </c>
      <c r="J1500" s="21" t="str">
        <f aca="false">INDEX(Students!$C$2:$C$601,MATCH(B1500,Students!$A$2:$A$601,0))</f>
        <v>Batch 2025</v>
      </c>
      <c r="K1500" s="21" t="str">
        <f aca="false">INDEX(Students!$D$2:$D$601,MATCH(B1500,Students!$A$2:$A$601,0))</f>
        <v>DSA with Java</v>
      </c>
      <c r="L1500" s="21" t="str">
        <f aca="false">INDEX(Companies!$C$2:$C$31,MATCH(C1500,Companies!$A$2:$A$31,0))</f>
        <v>IT Services</v>
      </c>
      <c r="M1500" s="21" t="str">
        <f aca="false">INDEX(Companies!$D$2:$D$31,MATCH(C1500,Companies!$A$2:$A$31,0))</f>
        <v>Tier 3</v>
      </c>
      <c r="N1500" s="34" t="n">
        <f aca="false">MATCH(F1500,Assumptions!$K$4:$K$8,0)</f>
        <v>5</v>
      </c>
      <c r="O1500" s="21" t="str">
        <f aca="false">IF(H1500="Yes",MONTH(I1500),"")</f>
        <v/>
      </c>
      <c r="P1500" s="21" t="str">
        <f aca="false">IF(H1500="Yes",B1500,"")</f>
        <v/>
      </c>
    </row>
    <row r="1501" customFormat="false" ht="15" hidden="false" customHeight="false" outlineLevel="0" collapsed="false">
      <c r="A1501" s="21" t="s">
        <v>2716</v>
      </c>
      <c r="B1501" s="21" t="s">
        <v>703</v>
      </c>
      <c r="C1501" s="21" t="s">
        <v>1205</v>
      </c>
      <c r="D1501" s="21" t="s">
        <v>1243</v>
      </c>
      <c r="E1501" s="33" t="n">
        <v>45615</v>
      </c>
      <c r="F1501" s="21" t="s">
        <v>1178</v>
      </c>
      <c r="G1501" s="32"/>
      <c r="H1501" s="21"/>
      <c r="I1501" s="33"/>
      <c r="J1501" s="21" t="str">
        <f aca="false">INDEX(Students!$C$2:$C$601,MATCH(B1501,Students!$A$2:$A$601,0))</f>
        <v>Batch 2025</v>
      </c>
      <c r="K1501" s="21" t="str">
        <f aca="false">INDEX(Students!$D$2:$D$601,MATCH(B1501,Students!$A$2:$A$601,0))</f>
        <v>Data Science &amp; ML</v>
      </c>
      <c r="L1501" s="21" t="str">
        <f aca="false">INDEX(Companies!$C$2:$C$31,MATCH(C1501,Companies!$A$2:$A$31,0))</f>
        <v>Healthtech</v>
      </c>
      <c r="M1501" s="21" t="str">
        <f aca="false">INDEX(Companies!$D$2:$D$31,MATCH(C1501,Companies!$A$2:$A$31,0))</f>
        <v>Tier 3</v>
      </c>
      <c r="N1501" s="34" t="n">
        <f aca="false">MATCH(F1501,Assumptions!$K$4:$K$8,0)</f>
        <v>2</v>
      </c>
      <c r="O1501" s="21" t="str">
        <f aca="false">IF(H1501="Yes",MONTH(I1501),"")</f>
        <v/>
      </c>
      <c r="P1501" s="21" t="str">
        <f aca="false">IF(H1501="Yes",B1501,"")</f>
        <v/>
      </c>
    </row>
    <row r="1502" customFormat="false" ht="15" hidden="false" customHeight="false" outlineLevel="0" collapsed="false">
      <c r="A1502" s="21" t="s">
        <v>2717</v>
      </c>
      <c r="B1502" s="21" t="s">
        <v>482</v>
      </c>
      <c r="C1502" s="21" t="s">
        <v>1180</v>
      </c>
      <c r="D1502" s="21" t="s">
        <v>1209</v>
      </c>
      <c r="E1502" s="33" t="n">
        <v>45616</v>
      </c>
      <c r="F1502" s="21" t="s">
        <v>1197</v>
      </c>
      <c r="G1502" s="32"/>
      <c r="H1502" s="21"/>
      <c r="I1502" s="33"/>
      <c r="J1502" s="21" t="str">
        <f aca="false">INDEX(Students!$C$2:$C$601,MATCH(B1502,Students!$A$2:$A$601,0))</f>
        <v>Batch 2025</v>
      </c>
      <c r="K1502" s="21" t="str">
        <f aca="false">INDEX(Students!$D$2:$D$601,MATCH(B1502,Students!$A$2:$A$601,0))</f>
        <v>Data Analytics</v>
      </c>
      <c r="L1502" s="21" t="str">
        <f aca="false">INDEX(Companies!$C$2:$C$31,MATCH(C1502,Companies!$A$2:$A$31,0))</f>
        <v>IT Services</v>
      </c>
      <c r="M1502" s="21" t="str">
        <f aca="false">INDEX(Companies!$D$2:$D$31,MATCH(C1502,Companies!$A$2:$A$31,0))</f>
        <v>Tier 3</v>
      </c>
      <c r="N1502" s="34" t="n">
        <f aca="false">MATCH(F1502,Assumptions!$K$4:$K$8,0)</f>
        <v>3</v>
      </c>
      <c r="O1502" s="21" t="str">
        <f aca="false">IF(H1502="Yes",MONTH(I1502),"")</f>
        <v/>
      </c>
      <c r="P1502" s="21" t="str">
        <f aca="false">IF(H1502="Yes",B1502,"")</f>
        <v/>
      </c>
    </row>
    <row r="1503" customFormat="false" ht="15" hidden="false" customHeight="false" outlineLevel="0" collapsed="false">
      <c r="A1503" s="21" t="s">
        <v>2718</v>
      </c>
      <c r="B1503" s="21" t="s">
        <v>685</v>
      </c>
      <c r="C1503" s="21" t="s">
        <v>1196</v>
      </c>
      <c r="D1503" s="21" t="s">
        <v>1243</v>
      </c>
      <c r="E1503" s="33" t="n">
        <v>45616</v>
      </c>
      <c r="F1503" s="21" t="s">
        <v>1175</v>
      </c>
      <c r="G1503" s="32"/>
      <c r="H1503" s="21"/>
      <c r="I1503" s="33"/>
      <c r="J1503" s="21" t="str">
        <f aca="false">INDEX(Students!$C$2:$C$601,MATCH(B1503,Students!$A$2:$A$601,0))</f>
        <v>Batch 2025</v>
      </c>
      <c r="K1503" s="21" t="str">
        <f aca="false">INDEX(Students!$D$2:$D$601,MATCH(B1503,Students!$A$2:$A$601,0))</f>
        <v>Data Science &amp; ML</v>
      </c>
      <c r="L1503" s="21" t="str">
        <f aca="false">INDEX(Companies!$C$2:$C$31,MATCH(C1503,Companies!$A$2:$A$31,0))</f>
        <v>IT Services</v>
      </c>
      <c r="M1503" s="21" t="str">
        <f aca="false">INDEX(Companies!$D$2:$D$31,MATCH(C1503,Companies!$A$2:$A$31,0))</f>
        <v>Tier 3</v>
      </c>
      <c r="N1503" s="34" t="n">
        <f aca="false">MATCH(F1503,Assumptions!$K$4:$K$8,0)</f>
        <v>1</v>
      </c>
      <c r="O1503" s="21" t="str">
        <f aca="false">IF(H1503="Yes",MONTH(I1503),"")</f>
        <v/>
      </c>
      <c r="P1503" s="21" t="str">
        <f aca="false">IF(H1503="Yes",B1503,"")</f>
        <v/>
      </c>
    </row>
    <row r="1504" customFormat="false" ht="15" hidden="false" customHeight="false" outlineLevel="0" collapsed="false">
      <c r="A1504" s="21" t="s">
        <v>2719</v>
      </c>
      <c r="B1504" s="21" t="s">
        <v>580</v>
      </c>
      <c r="C1504" s="21" t="s">
        <v>1196</v>
      </c>
      <c r="D1504" s="21" t="s">
        <v>1174</v>
      </c>
      <c r="E1504" s="33" t="n">
        <v>45616</v>
      </c>
      <c r="F1504" s="21" t="s">
        <v>1185</v>
      </c>
      <c r="G1504" s="32" t="n">
        <v>6.1</v>
      </c>
      <c r="H1504" s="21" t="s">
        <v>113</v>
      </c>
      <c r="I1504" s="33" t="n">
        <v>45646</v>
      </c>
      <c r="J1504" s="21" t="str">
        <f aca="false">INDEX(Students!$C$2:$C$601,MATCH(B1504,Students!$A$2:$A$601,0))</f>
        <v>Batch 2025</v>
      </c>
      <c r="K1504" s="21" t="str">
        <f aca="false">INDEX(Students!$D$2:$D$601,MATCH(B1504,Students!$A$2:$A$601,0))</f>
        <v>Full Stack Development</v>
      </c>
      <c r="L1504" s="21" t="str">
        <f aca="false">INDEX(Companies!$C$2:$C$31,MATCH(C1504,Companies!$A$2:$A$31,0))</f>
        <v>IT Services</v>
      </c>
      <c r="M1504" s="21" t="str">
        <f aca="false">INDEX(Companies!$D$2:$D$31,MATCH(C1504,Companies!$A$2:$A$31,0))</f>
        <v>Tier 3</v>
      </c>
      <c r="N1504" s="34" t="n">
        <f aca="false">MATCH(F1504,Assumptions!$K$4:$K$8,0)</f>
        <v>5</v>
      </c>
      <c r="O1504" s="21" t="str">
        <f aca="false">IF(H1504="Yes",MONTH(I1504),"")</f>
        <v/>
      </c>
      <c r="P1504" s="21" t="str">
        <f aca="false">IF(H1504="Yes",B1504,"")</f>
        <v/>
      </c>
    </row>
    <row r="1505" customFormat="false" ht="15" hidden="false" customHeight="false" outlineLevel="0" collapsed="false">
      <c r="A1505" s="21" t="s">
        <v>2720</v>
      </c>
      <c r="B1505" s="21" t="s">
        <v>565</v>
      </c>
      <c r="C1505" s="21" t="s">
        <v>1205</v>
      </c>
      <c r="D1505" s="21" t="s">
        <v>1184</v>
      </c>
      <c r="E1505" s="33" t="n">
        <v>45616</v>
      </c>
      <c r="F1505" s="21" t="s">
        <v>1185</v>
      </c>
      <c r="G1505" s="32" t="n">
        <v>8</v>
      </c>
      <c r="H1505" s="21" t="s">
        <v>113</v>
      </c>
      <c r="I1505" s="33" t="n">
        <v>45662</v>
      </c>
      <c r="J1505" s="21" t="str">
        <f aca="false">INDEX(Students!$C$2:$C$601,MATCH(B1505,Students!$A$2:$A$601,0))</f>
        <v>Batch 2025</v>
      </c>
      <c r="K1505" s="21" t="str">
        <f aca="false">INDEX(Students!$D$2:$D$601,MATCH(B1505,Students!$A$2:$A$601,0))</f>
        <v>DSA with Java</v>
      </c>
      <c r="L1505" s="21" t="str">
        <f aca="false">INDEX(Companies!$C$2:$C$31,MATCH(C1505,Companies!$A$2:$A$31,0))</f>
        <v>Healthtech</v>
      </c>
      <c r="M1505" s="21" t="str">
        <f aca="false">INDEX(Companies!$D$2:$D$31,MATCH(C1505,Companies!$A$2:$A$31,0))</f>
        <v>Tier 3</v>
      </c>
      <c r="N1505" s="34" t="n">
        <f aca="false">MATCH(F1505,Assumptions!$K$4:$K$8,0)</f>
        <v>5</v>
      </c>
      <c r="O1505" s="21" t="str">
        <f aca="false">IF(H1505="Yes",MONTH(I1505),"")</f>
        <v/>
      </c>
      <c r="P1505" s="21" t="str">
        <f aca="false">IF(H1505="Yes",B1505,"")</f>
        <v/>
      </c>
    </row>
    <row r="1506" customFormat="false" ht="15" hidden="false" customHeight="false" outlineLevel="0" collapsed="false">
      <c r="A1506" s="21" t="s">
        <v>2721</v>
      </c>
      <c r="B1506" s="21" t="s">
        <v>670</v>
      </c>
      <c r="C1506" s="21" t="s">
        <v>1322</v>
      </c>
      <c r="D1506" s="21" t="s">
        <v>1243</v>
      </c>
      <c r="E1506" s="33" t="n">
        <v>45616</v>
      </c>
      <c r="F1506" s="21" t="s">
        <v>1175</v>
      </c>
      <c r="G1506" s="32"/>
      <c r="H1506" s="21"/>
      <c r="I1506" s="33"/>
      <c r="J1506" s="21" t="str">
        <f aca="false">INDEX(Students!$C$2:$C$601,MATCH(B1506,Students!$A$2:$A$601,0))</f>
        <v>Batch 2025</v>
      </c>
      <c r="K1506" s="21" t="str">
        <f aca="false">INDEX(Students!$D$2:$D$601,MATCH(B1506,Students!$A$2:$A$601,0))</f>
        <v>Data Science &amp; ML</v>
      </c>
      <c r="L1506" s="21" t="str">
        <f aca="false">INDEX(Companies!$C$2:$C$31,MATCH(C1506,Companies!$A$2:$A$31,0))</f>
        <v>Healthtech</v>
      </c>
      <c r="M1506" s="21" t="str">
        <f aca="false">INDEX(Companies!$D$2:$D$31,MATCH(C1506,Companies!$A$2:$A$31,0))</f>
        <v>Tier 2</v>
      </c>
      <c r="N1506" s="34" t="n">
        <f aca="false">MATCH(F1506,Assumptions!$K$4:$K$8,0)</f>
        <v>1</v>
      </c>
      <c r="O1506" s="21" t="str">
        <f aca="false">IF(H1506="Yes",MONTH(I1506),"")</f>
        <v/>
      </c>
      <c r="P1506" s="21" t="str">
        <f aca="false">IF(H1506="Yes",B1506,"")</f>
        <v/>
      </c>
    </row>
    <row r="1507" customFormat="false" ht="15" hidden="false" customHeight="false" outlineLevel="0" collapsed="false">
      <c r="A1507" s="21" t="s">
        <v>2722</v>
      </c>
      <c r="B1507" s="21" t="s">
        <v>563</v>
      </c>
      <c r="C1507" s="21" t="s">
        <v>1222</v>
      </c>
      <c r="D1507" s="21" t="s">
        <v>1181</v>
      </c>
      <c r="E1507" s="33" t="n">
        <v>45617</v>
      </c>
      <c r="F1507" s="21" t="s">
        <v>1175</v>
      </c>
      <c r="G1507" s="32"/>
      <c r="H1507" s="21"/>
      <c r="I1507" s="33"/>
      <c r="J1507" s="21" t="str">
        <f aca="false">INDEX(Students!$C$2:$C$601,MATCH(B1507,Students!$A$2:$A$601,0))</f>
        <v>Batch 2025</v>
      </c>
      <c r="K1507" s="21" t="str">
        <f aca="false">INDEX(Students!$D$2:$D$601,MATCH(B1507,Students!$A$2:$A$601,0))</f>
        <v>Full Stack Development</v>
      </c>
      <c r="L1507" s="21" t="str">
        <f aca="false">INDEX(Companies!$C$2:$C$31,MATCH(C1507,Companies!$A$2:$A$31,0))</f>
        <v>Product</v>
      </c>
      <c r="M1507" s="21" t="str">
        <f aca="false">INDEX(Companies!$D$2:$D$31,MATCH(C1507,Companies!$A$2:$A$31,0))</f>
        <v>Tier 2</v>
      </c>
      <c r="N1507" s="34" t="n">
        <f aca="false">MATCH(F1507,Assumptions!$K$4:$K$8,0)</f>
        <v>1</v>
      </c>
      <c r="O1507" s="21" t="str">
        <f aca="false">IF(H1507="Yes",MONTH(I1507),"")</f>
        <v/>
      </c>
      <c r="P1507" s="21" t="str">
        <f aca="false">IF(H1507="Yes",B1507,"")</f>
        <v/>
      </c>
    </row>
    <row r="1508" customFormat="false" ht="15" hidden="false" customHeight="false" outlineLevel="0" collapsed="false">
      <c r="A1508" s="21" t="s">
        <v>2723</v>
      </c>
      <c r="B1508" s="21" t="s">
        <v>569</v>
      </c>
      <c r="C1508" s="21" t="s">
        <v>1255</v>
      </c>
      <c r="D1508" s="21" t="s">
        <v>1240</v>
      </c>
      <c r="E1508" s="33" t="n">
        <v>45617</v>
      </c>
      <c r="F1508" s="21" t="s">
        <v>1185</v>
      </c>
      <c r="G1508" s="32" t="n">
        <v>6.6</v>
      </c>
      <c r="H1508" s="21" t="s">
        <v>113</v>
      </c>
      <c r="I1508" s="33" t="n">
        <v>45658</v>
      </c>
      <c r="J1508" s="21" t="str">
        <f aca="false">INDEX(Students!$C$2:$C$601,MATCH(B1508,Students!$A$2:$A$601,0))</f>
        <v>Batch 2025</v>
      </c>
      <c r="K1508" s="21" t="str">
        <f aca="false">INDEX(Students!$D$2:$D$601,MATCH(B1508,Students!$A$2:$A$601,0))</f>
        <v>Cybersecurity</v>
      </c>
      <c r="L1508" s="21" t="str">
        <f aca="false">INDEX(Companies!$C$2:$C$31,MATCH(C1508,Companies!$A$2:$A$31,0))</f>
        <v>IT Services</v>
      </c>
      <c r="M1508" s="21" t="str">
        <f aca="false">INDEX(Companies!$D$2:$D$31,MATCH(C1508,Companies!$A$2:$A$31,0))</f>
        <v>Tier 3</v>
      </c>
      <c r="N1508" s="34" t="n">
        <f aca="false">MATCH(F1508,Assumptions!$K$4:$K$8,0)</f>
        <v>5</v>
      </c>
      <c r="O1508" s="21" t="str">
        <f aca="false">IF(H1508="Yes",MONTH(I1508),"")</f>
        <v/>
      </c>
      <c r="P1508" s="21" t="str">
        <f aca="false">IF(H1508="Yes",B1508,"")</f>
        <v/>
      </c>
    </row>
    <row r="1509" customFormat="false" ht="15" hidden="false" customHeight="false" outlineLevel="0" collapsed="false">
      <c r="A1509" s="21" t="s">
        <v>2724</v>
      </c>
      <c r="B1509" s="21" t="s">
        <v>806</v>
      </c>
      <c r="C1509" s="21" t="s">
        <v>1211</v>
      </c>
      <c r="D1509" s="21" t="s">
        <v>1194</v>
      </c>
      <c r="E1509" s="33" t="n">
        <v>45618</v>
      </c>
      <c r="F1509" s="21" t="s">
        <v>1175</v>
      </c>
      <c r="G1509" s="32"/>
      <c r="H1509" s="21"/>
      <c r="I1509" s="33"/>
      <c r="J1509" s="21" t="str">
        <f aca="false">INDEX(Students!$C$2:$C$601,MATCH(B1509,Students!$A$2:$A$601,0))</f>
        <v>Batch 2025</v>
      </c>
      <c r="K1509" s="21" t="str">
        <f aca="false">INDEX(Students!$D$2:$D$601,MATCH(B1509,Students!$A$2:$A$601,0))</f>
        <v>Data Science &amp; ML</v>
      </c>
      <c r="L1509" s="21" t="str">
        <f aca="false">INDEX(Companies!$C$2:$C$31,MATCH(C1509,Companies!$A$2:$A$31,0))</f>
        <v>Analytics &amp; Consulting</v>
      </c>
      <c r="M1509" s="21" t="str">
        <f aca="false">INDEX(Companies!$D$2:$D$31,MATCH(C1509,Companies!$A$2:$A$31,0))</f>
        <v>Tier 3</v>
      </c>
      <c r="N1509" s="34" t="n">
        <f aca="false">MATCH(F1509,Assumptions!$K$4:$K$8,0)</f>
        <v>1</v>
      </c>
      <c r="O1509" s="21" t="str">
        <f aca="false">IF(H1509="Yes",MONTH(I1509),"")</f>
        <v/>
      </c>
      <c r="P1509" s="21" t="str">
        <f aca="false">IF(H1509="Yes",B1509,"")</f>
        <v/>
      </c>
    </row>
    <row r="1510" customFormat="false" ht="15" hidden="false" customHeight="false" outlineLevel="0" collapsed="false">
      <c r="A1510" s="21" t="s">
        <v>2725</v>
      </c>
      <c r="B1510" s="21" t="s">
        <v>699</v>
      </c>
      <c r="C1510" s="21" t="s">
        <v>1255</v>
      </c>
      <c r="D1510" s="21" t="s">
        <v>1181</v>
      </c>
      <c r="E1510" s="33" t="n">
        <v>45618</v>
      </c>
      <c r="F1510" s="21" t="s">
        <v>1185</v>
      </c>
      <c r="G1510" s="32" t="n">
        <v>4.4</v>
      </c>
      <c r="H1510" s="21" t="s">
        <v>120</v>
      </c>
      <c r="I1510" s="33" t="n">
        <v>45654</v>
      </c>
      <c r="J1510" s="21" t="str">
        <f aca="false">INDEX(Students!$C$2:$C$601,MATCH(B1510,Students!$A$2:$A$601,0))</f>
        <v>Batch 2025</v>
      </c>
      <c r="K1510" s="21" t="str">
        <f aca="false">INDEX(Students!$D$2:$D$601,MATCH(B1510,Students!$A$2:$A$601,0))</f>
        <v>Full Stack Development</v>
      </c>
      <c r="L1510" s="21" t="str">
        <f aca="false">INDEX(Companies!$C$2:$C$31,MATCH(C1510,Companies!$A$2:$A$31,0))</f>
        <v>IT Services</v>
      </c>
      <c r="M1510" s="21" t="str">
        <f aca="false">INDEX(Companies!$D$2:$D$31,MATCH(C1510,Companies!$A$2:$A$31,0))</f>
        <v>Tier 3</v>
      </c>
      <c r="N1510" s="34" t="n">
        <f aca="false">MATCH(F1510,Assumptions!$K$4:$K$8,0)</f>
        <v>5</v>
      </c>
      <c r="O1510" s="21" t="n">
        <f aca="false">IF(H1510="Yes",MONTH(I1510),"")</f>
        <v>12</v>
      </c>
      <c r="P1510" s="21" t="str">
        <f aca="false">IF(H1510="Yes",B1510,"")</f>
        <v>S0319</v>
      </c>
    </row>
    <row r="1511" customFormat="false" ht="15" hidden="false" customHeight="false" outlineLevel="0" collapsed="false">
      <c r="A1511" s="21" t="s">
        <v>2726</v>
      </c>
      <c r="B1511" s="21" t="s">
        <v>655</v>
      </c>
      <c r="C1511" s="21" t="s">
        <v>1201</v>
      </c>
      <c r="D1511" s="21" t="s">
        <v>1194</v>
      </c>
      <c r="E1511" s="33" t="n">
        <v>45618</v>
      </c>
      <c r="F1511" s="21" t="s">
        <v>1185</v>
      </c>
      <c r="G1511" s="32" t="n">
        <v>5.1</v>
      </c>
      <c r="H1511" s="21" t="s">
        <v>120</v>
      </c>
      <c r="I1511" s="33" t="n">
        <v>45648</v>
      </c>
      <c r="J1511" s="21" t="str">
        <f aca="false">INDEX(Students!$C$2:$C$601,MATCH(B1511,Students!$A$2:$A$601,0))</f>
        <v>Batch 2025</v>
      </c>
      <c r="K1511" s="21" t="str">
        <f aca="false">INDEX(Students!$D$2:$D$601,MATCH(B1511,Students!$A$2:$A$601,0))</f>
        <v>Data Science &amp; ML</v>
      </c>
      <c r="L1511" s="21" t="str">
        <f aca="false">INDEX(Companies!$C$2:$C$31,MATCH(C1511,Companies!$A$2:$A$31,0))</f>
        <v>IT Services</v>
      </c>
      <c r="M1511" s="21" t="str">
        <f aca="false">INDEX(Companies!$D$2:$D$31,MATCH(C1511,Companies!$A$2:$A$31,0))</f>
        <v>Tier 3</v>
      </c>
      <c r="N1511" s="34" t="n">
        <f aca="false">MATCH(F1511,Assumptions!$K$4:$K$8,0)</f>
        <v>5</v>
      </c>
      <c r="O1511" s="21" t="n">
        <f aca="false">IF(H1511="Yes",MONTH(I1511),"")</f>
        <v>12</v>
      </c>
      <c r="P1511" s="21" t="str">
        <f aca="false">IF(H1511="Yes",B1511,"")</f>
        <v>S0292</v>
      </c>
    </row>
    <row r="1512" customFormat="false" ht="15" hidden="false" customHeight="false" outlineLevel="0" collapsed="false">
      <c r="A1512" s="21" t="s">
        <v>2727</v>
      </c>
      <c r="B1512" s="21" t="s">
        <v>739</v>
      </c>
      <c r="C1512" s="21" t="s">
        <v>1187</v>
      </c>
      <c r="D1512" s="21" t="s">
        <v>1194</v>
      </c>
      <c r="E1512" s="33" t="n">
        <v>45618</v>
      </c>
      <c r="F1512" s="21" t="s">
        <v>1175</v>
      </c>
      <c r="G1512" s="32"/>
      <c r="H1512" s="21"/>
      <c r="I1512" s="33"/>
      <c r="J1512" s="21" t="str">
        <f aca="false">INDEX(Students!$C$2:$C$601,MATCH(B1512,Students!$A$2:$A$601,0))</f>
        <v>Batch 2025</v>
      </c>
      <c r="K1512" s="21" t="str">
        <f aca="false">INDEX(Students!$D$2:$D$601,MATCH(B1512,Students!$A$2:$A$601,0))</f>
        <v>Data Science &amp; ML</v>
      </c>
      <c r="L1512" s="21" t="str">
        <f aca="false">INDEX(Companies!$C$2:$C$31,MATCH(C1512,Companies!$A$2:$A$31,0))</f>
        <v>Product</v>
      </c>
      <c r="M1512" s="21" t="str">
        <f aca="false">INDEX(Companies!$D$2:$D$31,MATCH(C1512,Companies!$A$2:$A$31,0))</f>
        <v>Tier 1</v>
      </c>
      <c r="N1512" s="34" t="n">
        <f aca="false">MATCH(F1512,Assumptions!$K$4:$K$8,0)</f>
        <v>1</v>
      </c>
      <c r="O1512" s="21" t="str">
        <f aca="false">IF(H1512="Yes",MONTH(I1512),"")</f>
        <v/>
      </c>
      <c r="P1512" s="21" t="str">
        <f aca="false">IF(H1512="Yes",B1512,"")</f>
        <v/>
      </c>
    </row>
    <row r="1513" customFormat="false" ht="15" hidden="false" customHeight="false" outlineLevel="0" collapsed="false">
      <c r="A1513" s="21" t="s">
        <v>2728</v>
      </c>
      <c r="B1513" s="21" t="s">
        <v>641</v>
      </c>
      <c r="C1513" s="21" t="s">
        <v>1234</v>
      </c>
      <c r="D1513" s="21" t="s">
        <v>1181</v>
      </c>
      <c r="E1513" s="33" t="n">
        <v>45619</v>
      </c>
      <c r="F1513" s="21" t="s">
        <v>1185</v>
      </c>
      <c r="G1513" s="32" t="n">
        <v>4.8</v>
      </c>
      <c r="H1513" s="21" t="s">
        <v>113</v>
      </c>
      <c r="I1513" s="33" t="n">
        <v>45641</v>
      </c>
      <c r="J1513" s="21" t="str">
        <f aca="false">INDEX(Students!$C$2:$C$601,MATCH(B1513,Students!$A$2:$A$601,0))</f>
        <v>Batch 2025</v>
      </c>
      <c r="K1513" s="21" t="str">
        <f aca="false">INDEX(Students!$D$2:$D$601,MATCH(B1513,Students!$A$2:$A$601,0))</f>
        <v>Full Stack Development</v>
      </c>
      <c r="L1513" s="21" t="str">
        <f aca="false">INDEX(Companies!$C$2:$C$31,MATCH(C1513,Companies!$A$2:$A$31,0))</f>
        <v>EdTech</v>
      </c>
      <c r="M1513" s="21" t="str">
        <f aca="false">INDEX(Companies!$D$2:$D$31,MATCH(C1513,Companies!$A$2:$A$31,0))</f>
        <v>Tier 3</v>
      </c>
      <c r="N1513" s="34" t="n">
        <f aca="false">MATCH(F1513,Assumptions!$K$4:$K$8,0)</f>
        <v>5</v>
      </c>
      <c r="O1513" s="21" t="str">
        <f aca="false">IF(H1513="Yes",MONTH(I1513),"")</f>
        <v/>
      </c>
      <c r="P1513" s="21" t="str">
        <f aca="false">IF(H1513="Yes",B1513,"")</f>
        <v/>
      </c>
    </row>
    <row r="1514" customFormat="false" ht="15" hidden="false" customHeight="false" outlineLevel="0" collapsed="false">
      <c r="A1514" s="21" t="s">
        <v>2729</v>
      </c>
      <c r="B1514" s="21" t="s">
        <v>735</v>
      </c>
      <c r="C1514" s="21" t="s">
        <v>1298</v>
      </c>
      <c r="D1514" s="21" t="s">
        <v>1191</v>
      </c>
      <c r="E1514" s="33" t="n">
        <v>45619</v>
      </c>
      <c r="F1514" s="21" t="s">
        <v>1185</v>
      </c>
      <c r="G1514" s="32" t="n">
        <v>10</v>
      </c>
      <c r="H1514" s="21" t="s">
        <v>120</v>
      </c>
      <c r="I1514" s="33" t="n">
        <v>45661</v>
      </c>
      <c r="J1514" s="21" t="str">
        <f aca="false">INDEX(Students!$C$2:$C$601,MATCH(B1514,Students!$A$2:$A$601,0))</f>
        <v>Batch 2025</v>
      </c>
      <c r="K1514" s="21" t="str">
        <f aca="false">INDEX(Students!$D$2:$D$601,MATCH(B1514,Students!$A$2:$A$601,0))</f>
        <v>DSA with Java</v>
      </c>
      <c r="L1514" s="21" t="str">
        <f aca="false">INDEX(Companies!$C$2:$C$31,MATCH(C1514,Companies!$A$2:$A$31,0))</f>
        <v>Fintech</v>
      </c>
      <c r="M1514" s="21" t="str">
        <f aca="false">INDEX(Companies!$D$2:$D$31,MATCH(C1514,Companies!$A$2:$A$31,0))</f>
        <v>Tier 2</v>
      </c>
      <c r="N1514" s="34" t="n">
        <f aca="false">MATCH(F1514,Assumptions!$K$4:$K$8,0)</f>
        <v>5</v>
      </c>
      <c r="O1514" s="21" t="n">
        <f aca="false">IF(H1514="Yes",MONTH(I1514),"")</f>
        <v>1</v>
      </c>
      <c r="P1514" s="21" t="str">
        <f aca="false">IF(H1514="Yes",B1514,"")</f>
        <v>S0339</v>
      </c>
    </row>
    <row r="1515" customFormat="false" ht="15" hidden="false" customHeight="false" outlineLevel="0" collapsed="false">
      <c r="A1515" s="21" t="s">
        <v>2730</v>
      </c>
      <c r="B1515" s="21" t="s">
        <v>732</v>
      </c>
      <c r="C1515" s="21" t="s">
        <v>1263</v>
      </c>
      <c r="D1515" s="21" t="s">
        <v>1194</v>
      </c>
      <c r="E1515" s="33" t="n">
        <v>45619</v>
      </c>
      <c r="F1515" s="21" t="s">
        <v>1197</v>
      </c>
      <c r="G1515" s="32"/>
      <c r="H1515" s="21"/>
      <c r="I1515" s="33"/>
      <c r="J1515" s="21" t="str">
        <f aca="false">INDEX(Students!$C$2:$C$601,MATCH(B1515,Students!$A$2:$A$601,0))</f>
        <v>Batch 2025</v>
      </c>
      <c r="K1515" s="21" t="str">
        <f aca="false">INDEX(Students!$D$2:$D$601,MATCH(B1515,Students!$A$2:$A$601,0))</f>
        <v>Data Science &amp; ML</v>
      </c>
      <c r="L1515" s="21" t="str">
        <f aca="false">INDEX(Companies!$C$2:$C$31,MATCH(C1515,Companies!$A$2:$A$31,0))</f>
        <v>Analytics &amp; Consulting</v>
      </c>
      <c r="M1515" s="21" t="str">
        <f aca="false">INDEX(Companies!$D$2:$D$31,MATCH(C1515,Companies!$A$2:$A$31,0))</f>
        <v>Tier 2</v>
      </c>
      <c r="N1515" s="34" t="n">
        <f aca="false">MATCH(F1515,Assumptions!$K$4:$K$8,0)</f>
        <v>3</v>
      </c>
      <c r="O1515" s="21" t="str">
        <f aca="false">IF(H1515="Yes",MONTH(I1515),"")</f>
        <v/>
      </c>
      <c r="P1515" s="21" t="str">
        <f aca="false">IF(H1515="Yes",B1515,"")</f>
        <v/>
      </c>
    </row>
    <row r="1516" customFormat="false" ht="15" hidden="false" customHeight="false" outlineLevel="0" collapsed="false">
      <c r="A1516" s="21" t="s">
        <v>2731</v>
      </c>
      <c r="B1516" s="21" t="s">
        <v>737</v>
      </c>
      <c r="C1516" s="21" t="s">
        <v>1222</v>
      </c>
      <c r="D1516" s="21" t="s">
        <v>1181</v>
      </c>
      <c r="E1516" s="33" t="n">
        <v>45620</v>
      </c>
      <c r="F1516" s="21" t="s">
        <v>1175</v>
      </c>
      <c r="G1516" s="32"/>
      <c r="H1516" s="21"/>
      <c r="I1516" s="33"/>
      <c r="J1516" s="21" t="str">
        <f aca="false">INDEX(Students!$C$2:$C$601,MATCH(B1516,Students!$A$2:$A$601,0))</f>
        <v>Batch 2025</v>
      </c>
      <c r="K1516" s="21" t="str">
        <f aca="false">INDEX(Students!$D$2:$D$601,MATCH(B1516,Students!$A$2:$A$601,0))</f>
        <v>Full Stack Development</v>
      </c>
      <c r="L1516" s="21" t="str">
        <f aca="false">INDEX(Companies!$C$2:$C$31,MATCH(C1516,Companies!$A$2:$A$31,0))</f>
        <v>Product</v>
      </c>
      <c r="M1516" s="21" t="str">
        <f aca="false">INDEX(Companies!$D$2:$D$31,MATCH(C1516,Companies!$A$2:$A$31,0))</f>
        <v>Tier 2</v>
      </c>
      <c r="N1516" s="34" t="n">
        <f aca="false">MATCH(F1516,Assumptions!$K$4:$K$8,0)</f>
        <v>1</v>
      </c>
      <c r="O1516" s="21" t="str">
        <f aca="false">IF(H1516="Yes",MONTH(I1516),"")</f>
        <v/>
      </c>
      <c r="P1516" s="21" t="str">
        <f aca="false">IF(H1516="Yes",B1516,"")</f>
        <v/>
      </c>
    </row>
    <row r="1517" customFormat="false" ht="15" hidden="false" customHeight="false" outlineLevel="0" collapsed="false">
      <c r="A1517" s="21" t="s">
        <v>2732</v>
      </c>
      <c r="B1517" s="21" t="s">
        <v>511</v>
      </c>
      <c r="C1517" s="21" t="s">
        <v>1322</v>
      </c>
      <c r="D1517" s="21" t="s">
        <v>1209</v>
      </c>
      <c r="E1517" s="33" t="n">
        <v>45620</v>
      </c>
      <c r="F1517" s="21" t="s">
        <v>1175</v>
      </c>
      <c r="G1517" s="32"/>
      <c r="H1517" s="21"/>
      <c r="I1517" s="33"/>
      <c r="J1517" s="21" t="str">
        <f aca="false">INDEX(Students!$C$2:$C$601,MATCH(B1517,Students!$A$2:$A$601,0))</f>
        <v>Batch 2025</v>
      </c>
      <c r="K1517" s="21" t="str">
        <f aca="false">INDEX(Students!$D$2:$D$601,MATCH(B1517,Students!$A$2:$A$601,0))</f>
        <v>Data Analytics</v>
      </c>
      <c r="L1517" s="21" t="str">
        <f aca="false">INDEX(Companies!$C$2:$C$31,MATCH(C1517,Companies!$A$2:$A$31,0))</f>
        <v>Healthtech</v>
      </c>
      <c r="M1517" s="21" t="str">
        <f aca="false">INDEX(Companies!$D$2:$D$31,MATCH(C1517,Companies!$A$2:$A$31,0))</f>
        <v>Tier 2</v>
      </c>
      <c r="N1517" s="34" t="n">
        <f aca="false">MATCH(F1517,Assumptions!$K$4:$K$8,0)</f>
        <v>1</v>
      </c>
      <c r="O1517" s="21" t="str">
        <f aca="false">IF(H1517="Yes",MONTH(I1517),"")</f>
        <v/>
      </c>
      <c r="P1517" s="21" t="str">
        <f aca="false">IF(H1517="Yes",B1517,"")</f>
        <v/>
      </c>
    </row>
    <row r="1518" customFormat="false" ht="15" hidden="false" customHeight="false" outlineLevel="0" collapsed="false">
      <c r="A1518" s="21" t="s">
        <v>2733</v>
      </c>
      <c r="B1518" s="21" t="s">
        <v>522</v>
      </c>
      <c r="C1518" s="21" t="s">
        <v>1230</v>
      </c>
      <c r="D1518" s="21" t="s">
        <v>1191</v>
      </c>
      <c r="E1518" s="33" t="n">
        <v>45620</v>
      </c>
      <c r="F1518" s="21" t="s">
        <v>1185</v>
      </c>
      <c r="G1518" s="32" t="n">
        <v>5.6</v>
      </c>
      <c r="H1518" s="21" t="s">
        <v>113</v>
      </c>
      <c r="I1518" s="33" t="n">
        <v>45645</v>
      </c>
      <c r="J1518" s="21" t="str">
        <f aca="false">INDEX(Students!$C$2:$C$601,MATCH(B1518,Students!$A$2:$A$601,0))</f>
        <v>Batch 2025</v>
      </c>
      <c r="K1518" s="21" t="str">
        <f aca="false">INDEX(Students!$D$2:$D$601,MATCH(B1518,Students!$A$2:$A$601,0))</f>
        <v>DSA with Java</v>
      </c>
      <c r="L1518" s="21" t="str">
        <f aca="false">INDEX(Companies!$C$2:$C$31,MATCH(C1518,Companies!$A$2:$A$31,0))</f>
        <v>IT Services</v>
      </c>
      <c r="M1518" s="21" t="str">
        <f aca="false">INDEX(Companies!$D$2:$D$31,MATCH(C1518,Companies!$A$2:$A$31,0))</f>
        <v>Tier 3</v>
      </c>
      <c r="N1518" s="34" t="n">
        <f aca="false">MATCH(F1518,Assumptions!$K$4:$K$8,0)</f>
        <v>5</v>
      </c>
      <c r="O1518" s="21" t="str">
        <f aca="false">IF(H1518="Yes",MONTH(I1518),"")</f>
        <v/>
      </c>
      <c r="P1518" s="21" t="str">
        <f aca="false">IF(H1518="Yes",B1518,"")</f>
        <v/>
      </c>
    </row>
    <row r="1519" customFormat="false" ht="15" hidden="false" customHeight="false" outlineLevel="0" collapsed="false">
      <c r="A1519" s="21" t="s">
        <v>2734</v>
      </c>
      <c r="B1519" s="21" t="s">
        <v>628</v>
      </c>
      <c r="C1519" s="21" t="s">
        <v>1322</v>
      </c>
      <c r="D1519" s="21" t="s">
        <v>1240</v>
      </c>
      <c r="E1519" s="33" t="n">
        <v>45621</v>
      </c>
      <c r="F1519" s="21" t="s">
        <v>1185</v>
      </c>
      <c r="G1519" s="32" t="n">
        <v>10.1</v>
      </c>
      <c r="H1519" s="21" t="s">
        <v>120</v>
      </c>
      <c r="I1519" s="33" t="n">
        <v>45643</v>
      </c>
      <c r="J1519" s="21" t="str">
        <f aca="false">INDEX(Students!$C$2:$C$601,MATCH(B1519,Students!$A$2:$A$601,0))</f>
        <v>Batch 2025</v>
      </c>
      <c r="K1519" s="21" t="str">
        <f aca="false">INDEX(Students!$D$2:$D$601,MATCH(B1519,Students!$A$2:$A$601,0))</f>
        <v>Cybersecurity</v>
      </c>
      <c r="L1519" s="21" t="str">
        <f aca="false">INDEX(Companies!$C$2:$C$31,MATCH(C1519,Companies!$A$2:$A$31,0))</f>
        <v>Healthtech</v>
      </c>
      <c r="M1519" s="21" t="str">
        <f aca="false">INDEX(Companies!$D$2:$D$31,MATCH(C1519,Companies!$A$2:$A$31,0))</f>
        <v>Tier 2</v>
      </c>
      <c r="N1519" s="34" t="n">
        <f aca="false">MATCH(F1519,Assumptions!$K$4:$K$8,0)</f>
        <v>5</v>
      </c>
      <c r="O1519" s="21" t="n">
        <f aca="false">IF(H1519="Yes",MONTH(I1519),"")</f>
        <v>12</v>
      </c>
      <c r="P1519" s="21" t="str">
        <f aca="false">IF(H1519="Yes",B1519,"")</f>
        <v>S0277</v>
      </c>
    </row>
    <row r="1520" customFormat="false" ht="15" hidden="false" customHeight="false" outlineLevel="0" collapsed="false">
      <c r="A1520" s="21" t="s">
        <v>2735</v>
      </c>
      <c r="B1520" s="21" t="s">
        <v>802</v>
      </c>
      <c r="C1520" s="21" t="s">
        <v>1255</v>
      </c>
      <c r="D1520" s="21" t="s">
        <v>1181</v>
      </c>
      <c r="E1520" s="33" t="n">
        <v>45621</v>
      </c>
      <c r="F1520" s="21" t="s">
        <v>1218</v>
      </c>
      <c r="G1520" s="32"/>
      <c r="H1520" s="21"/>
      <c r="I1520" s="33"/>
      <c r="J1520" s="21" t="str">
        <f aca="false">INDEX(Students!$C$2:$C$601,MATCH(B1520,Students!$A$2:$A$601,0))</f>
        <v>Batch 2025</v>
      </c>
      <c r="K1520" s="21" t="str">
        <f aca="false">INDEX(Students!$D$2:$D$601,MATCH(B1520,Students!$A$2:$A$601,0))</f>
        <v>Full Stack Development</v>
      </c>
      <c r="L1520" s="21" t="str">
        <f aca="false">INDEX(Companies!$C$2:$C$31,MATCH(C1520,Companies!$A$2:$A$31,0))</f>
        <v>IT Services</v>
      </c>
      <c r="M1520" s="21" t="str">
        <f aca="false">INDEX(Companies!$D$2:$D$31,MATCH(C1520,Companies!$A$2:$A$31,0))</f>
        <v>Tier 3</v>
      </c>
      <c r="N1520" s="34" t="n">
        <f aca="false">MATCH(F1520,Assumptions!$K$4:$K$8,0)</f>
        <v>4</v>
      </c>
      <c r="O1520" s="21" t="str">
        <f aca="false">IF(H1520="Yes",MONTH(I1520),"")</f>
        <v/>
      </c>
      <c r="P1520" s="21" t="str">
        <f aca="false">IF(H1520="Yes",B1520,"")</f>
        <v/>
      </c>
    </row>
    <row r="1521" customFormat="false" ht="15" hidden="false" customHeight="false" outlineLevel="0" collapsed="false">
      <c r="A1521" s="21" t="s">
        <v>2736</v>
      </c>
      <c r="B1521" s="21" t="s">
        <v>491</v>
      </c>
      <c r="C1521" s="21" t="s">
        <v>1214</v>
      </c>
      <c r="D1521" s="21" t="s">
        <v>1191</v>
      </c>
      <c r="E1521" s="33" t="n">
        <v>45621</v>
      </c>
      <c r="F1521" s="21" t="s">
        <v>1175</v>
      </c>
      <c r="G1521" s="32"/>
      <c r="H1521" s="21"/>
      <c r="I1521" s="33"/>
      <c r="J1521" s="21" t="str">
        <f aca="false">INDEX(Students!$C$2:$C$601,MATCH(B1521,Students!$A$2:$A$601,0))</f>
        <v>Batch 2025</v>
      </c>
      <c r="K1521" s="21" t="str">
        <f aca="false">INDEX(Students!$D$2:$D$601,MATCH(B1521,Students!$A$2:$A$601,0))</f>
        <v>DSA with Java</v>
      </c>
      <c r="L1521" s="21" t="str">
        <f aca="false">INDEX(Companies!$C$2:$C$31,MATCH(C1521,Companies!$A$2:$A$31,0))</f>
        <v>Product</v>
      </c>
      <c r="M1521" s="21" t="str">
        <f aca="false">INDEX(Companies!$D$2:$D$31,MATCH(C1521,Companies!$A$2:$A$31,0))</f>
        <v>Tier 1</v>
      </c>
      <c r="N1521" s="34" t="n">
        <f aca="false">MATCH(F1521,Assumptions!$K$4:$K$8,0)</f>
        <v>1</v>
      </c>
      <c r="O1521" s="21" t="str">
        <f aca="false">IF(H1521="Yes",MONTH(I1521),"")</f>
        <v/>
      </c>
      <c r="P1521" s="21" t="str">
        <f aca="false">IF(H1521="Yes",B1521,"")</f>
        <v/>
      </c>
    </row>
    <row r="1522" customFormat="false" ht="15" hidden="false" customHeight="false" outlineLevel="0" collapsed="false">
      <c r="A1522" s="21" t="s">
        <v>2737</v>
      </c>
      <c r="B1522" s="21" t="s">
        <v>783</v>
      </c>
      <c r="C1522" s="21" t="s">
        <v>1239</v>
      </c>
      <c r="D1522" s="21" t="s">
        <v>1174</v>
      </c>
      <c r="E1522" s="33" t="n">
        <v>45622</v>
      </c>
      <c r="F1522" s="21" t="s">
        <v>1185</v>
      </c>
      <c r="G1522" s="32" t="n">
        <v>4.8</v>
      </c>
      <c r="H1522" s="21" t="s">
        <v>120</v>
      </c>
      <c r="I1522" s="33" t="n">
        <v>45666</v>
      </c>
      <c r="J1522" s="21" t="str">
        <f aca="false">INDEX(Students!$C$2:$C$601,MATCH(B1522,Students!$A$2:$A$601,0))</f>
        <v>Batch 2025</v>
      </c>
      <c r="K1522" s="21" t="str">
        <f aca="false">INDEX(Students!$D$2:$D$601,MATCH(B1522,Students!$A$2:$A$601,0))</f>
        <v>Full Stack Development</v>
      </c>
      <c r="L1522" s="21" t="str">
        <f aca="false">INDEX(Companies!$C$2:$C$31,MATCH(C1522,Companies!$A$2:$A$31,0))</f>
        <v>E-commerce</v>
      </c>
      <c r="M1522" s="21" t="str">
        <f aca="false">INDEX(Companies!$D$2:$D$31,MATCH(C1522,Companies!$A$2:$A$31,0))</f>
        <v>Tier 3</v>
      </c>
      <c r="N1522" s="34" t="n">
        <f aca="false">MATCH(F1522,Assumptions!$K$4:$K$8,0)</f>
        <v>5</v>
      </c>
      <c r="O1522" s="21" t="n">
        <f aca="false">IF(H1522="Yes",MONTH(I1522),"")</f>
        <v>1</v>
      </c>
      <c r="P1522" s="21" t="str">
        <f aca="false">IF(H1522="Yes",B1522,"")</f>
        <v>S0367</v>
      </c>
    </row>
    <row r="1523" customFormat="false" ht="15" hidden="false" customHeight="false" outlineLevel="0" collapsed="false">
      <c r="A1523" s="21" t="s">
        <v>2738</v>
      </c>
      <c r="B1523" s="21" t="s">
        <v>501</v>
      </c>
      <c r="C1523" s="21" t="s">
        <v>1203</v>
      </c>
      <c r="D1523" s="21" t="s">
        <v>1191</v>
      </c>
      <c r="E1523" s="33" t="n">
        <v>45622</v>
      </c>
      <c r="F1523" s="21" t="s">
        <v>1197</v>
      </c>
      <c r="G1523" s="32"/>
      <c r="H1523" s="21"/>
      <c r="I1523" s="33"/>
      <c r="J1523" s="21" t="str">
        <f aca="false">INDEX(Students!$C$2:$C$601,MATCH(B1523,Students!$A$2:$A$601,0))</f>
        <v>Batch 2025</v>
      </c>
      <c r="K1523" s="21" t="str">
        <f aca="false">INDEX(Students!$D$2:$D$601,MATCH(B1523,Students!$A$2:$A$601,0))</f>
        <v>DSA with Java</v>
      </c>
      <c r="L1523" s="21" t="str">
        <f aca="false">INDEX(Companies!$C$2:$C$31,MATCH(C1523,Companies!$A$2:$A$31,0))</f>
        <v>Healthtech</v>
      </c>
      <c r="M1523" s="21" t="str">
        <f aca="false">INDEX(Companies!$D$2:$D$31,MATCH(C1523,Companies!$A$2:$A$31,0))</f>
        <v>Tier 2</v>
      </c>
      <c r="N1523" s="34" t="n">
        <f aca="false">MATCH(F1523,Assumptions!$K$4:$K$8,0)</f>
        <v>3</v>
      </c>
      <c r="O1523" s="21" t="str">
        <f aca="false">IF(H1523="Yes",MONTH(I1523),"")</f>
        <v/>
      </c>
      <c r="P1523" s="21" t="str">
        <f aca="false">IF(H1523="Yes",B1523,"")</f>
        <v/>
      </c>
    </row>
    <row r="1524" customFormat="false" ht="15" hidden="false" customHeight="false" outlineLevel="0" collapsed="false">
      <c r="A1524" s="21" t="s">
        <v>2739</v>
      </c>
      <c r="B1524" s="21" t="s">
        <v>601</v>
      </c>
      <c r="C1524" s="21" t="s">
        <v>1230</v>
      </c>
      <c r="D1524" s="21" t="s">
        <v>1184</v>
      </c>
      <c r="E1524" s="33" t="n">
        <v>45622</v>
      </c>
      <c r="F1524" s="21" t="s">
        <v>1185</v>
      </c>
      <c r="G1524" s="32" t="n">
        <v>6.3</v>
      </c>
      <c r="H1524" s="21" t="s">
        <v>120</v>
      </c>
      <c r="I1524" s="33" t="n">
        <v>45666</v>
      </c>
      <c r="J1524" s="21" t="str">
        <f aca="false">INDEX(Students!$C$2:$C$601,MATCH(B1524,Students!$A$2:$A$601,0))</f>
        <v>Batch 2025</v>
      </c>
      <c r="K1524" s="21" t="str">
        <f aca="false">INDEX(Students!$D$2:$D$601,MATCH(B1524,Students!$A$2:$A$601,0))</f>
        <v>DSA with Java</v>
      </c>
      <c r="L1524" s="21" t="str">
        <f aca="false">INDEX(Companies!$C$2:$C$31,MATCH(C1524,Companies!$A$2:$A$31,0))</f>
        <v>IT Services</v>
      </c>
      <c r="M1524" s="21" t="str">
        <f aca="false">INDEX(Companies!$D$2:$D$31,MATCH(C1524,Companies!$A$2:$A$31,0))</f>
        <v>Tier 3</v>
      </c>
      <c r="N1524" s="34" t="n">
        <f aca="false">MATCH(F1524,Assumptions!$K$4:$K$8,0)</f>
        <v>5</v>
      </c>
      <c r="O1524" s="21" t="n">
        <f aca="false">IF(H1524="Yes",MONTH(I1524),"")</f>
        <v>1</v>
      </c>
      <c r="P1524" s="21" t="str">
        <f aca="false">IF(H1524="Yes",B1524,"")</f>
        <v>S0262</v>
      </c>
    </row>
    <row r="1525" customFormat="false" ht="15" hidden="false" customHeight="false" outlineLevel="0" collapsed="false">
      <c r="A1525" s="21" t="s">
        <v>2740</v>
      </c>
      <c r="B1525" s="21" t="s">
        <v>672</v>
      </c>
      <c r="C1525" s="21" t="s">
        <v>1322</v>
      </c>
      <c r="D1525" s="21" t="s">
        <v>1184</v>
      </c>
      <c r="E1525" s="33" t="n">
        <v>45622</v>
      </c>
      <c r="F1525" s="21" t="s">
        <v>1185</v>
      </c>
      <c r="G1525" s="32" t="n">
        <v>13.8</v>
      </c>
      <c r="H1525" s="21" t="s">
        <v>113</v>
      </c>
      <c r="I1525" s="33" t="n">
        <v>45663</v>
      </c>
      <c r="J1525" s="21" t="str">
        <f aca="false">INDEX(Students!$C$2:$C$601,MATCH(B1525,Students!$A$2:$A$601,0))</f>
        <v>Batch 2025</v>
      </c>
      <c r="K1525" s="21" t="str">
        <f aca="false">INDEX(Students!$D$2:$D$601,MATCH(B1525,Students!$A$2:$A$601,0))</f>
        <v>DSA with Java</v>
      </c>
      <c r="L1525" s="21" t="str">
        <f aca="false">INDEX(Companies!$C$2:$C$31,MATCH(C1525,Companies!$A$2:$A$31,0))</f>
        <v>Healthtech</v>
      </c>
      <c r="M1525" s="21" t="str">
        <f aca="false">INDEX(Companies!$D$2:$D$31,MATCH(C1525,Companies!$A$2:$A$31,0))</f>
        <v>Tier 2</v>
      </c>
      <c r="N1525" s="34" t="n">
        <f aca="false">MATCH(F1525,Assumptions!$K$4:$K$8,0)</f>
        <v>5</v>
      </c>
      <c r="O1525" s="21" t="str">
        <f aca="false">IF(H1525="Yes",MONTH(I1525),"")</f>
        <v/>
      </c>
      <c r="P1525" s="21" t="str">
        <f aca="false">IF(H1525="Yes",B1525,"")</f>
        <v/>
      </c>
    </row>
    <row r="1526" customFormat="false" ht="15" hidden="false" customHeight="false" outlineLevel="0" collapsed="false">
      <c r="A1526" s="21" t="s">
        <v>2741</v>
      </c>
      <c r="B1526" s="21" t="s">
        <v>772</v>
      </c>
      <c r="C1526" s="21" t="s">
        <v>1255</v>
      </c>
      <c r="D1526" s="21" t="s">
        <v>1243</v>
      </c>
      <c r="E1526" s="33" t="n">
        <v>45622</v>
      </c>
      <c r="F1526" s="21" t="s">
        <v>1175</v>
      </c>
      <c r="G1526" s="32"/>
      <c r="H1526" s="21"/>
      <c r="I1526" s="33"/>
      <c r="J1526" s="21" t="str">
        <f aca="false">INDEX(Students!$C$2:$C$601,MATCH(B1526,Students!$A$2:$A$601,0))</f>
        <v>Batch 2025</v>
      </c>
      <c r="K1526" s="21" t="str">
        <f aca="false">INDEX(Students!$D$2:$D$601,MATCH(B1526,Students!$A$2:$A$601,0))</f>
        <v>Data Science &amp; ML</v>
      </c>
      <c r="L1526" s="21" t="str">
        <f aca="false">INDEX(Companies!$C$2:$C$31,MATCH(C1526,Companies!$A$2:$A$31,0))</f>
        <v>IT Services</v>
      </c>
      <c r="M1526" s="21" t="str">
        <f aca="false">INDEX(Companies!$D$2:$D$31,MATCH(C1526,Companies!$A$2:$A$31,0))</f>
        <v>Tier 3</v>
      </c>
      <c r="N1526" s="34" t="n">
        <f aca="false">MATCH(F1526,Assumptions!$K$4:$K$8,0)</f>
        <v>1</v>
      </c>
      <c r="O1526" s="21" t="str">
        <f aca="false">IF(H1526="Yes",MONTH(I1526),"")</f>
        <v/>
      </c>
      <c r="P1526" s="21" t="str">
        <f aca="false">IF(H1526="Yes",B1526,"")</f>
        <v/>
      </c>
    </row>
    <row r="1527" customFormat="false" ht="15" hidden="false" customHeight="false" outlineLevel="0" collapsed="false">
      <c r="A1527" s="21" t="s">
        <v>2742</v>
      </c>
      <c r="B1527" s="21" t="s">
        <v>706</v>
      </c>
      <c r="C1527" s="21" t="s">
        <v>1255</v>
      </c>
      <c r="D1527" s="21" t="s">
        <v>1181</v>
      </c>
      <c r="E1527" s="33" t="n">
        <v>45622</v>
      </c>
      <c r="F1527" s="21" t="s">
        <v>1175</v>
      </c>
      <c r="G1527" s="32"/>
      <c r="H1527" s="21"/>
      <c r="I1527" s="33"/>
      <c r="J1527" s="21" t="str">
        <f aca="false">INDEX(Students!$C$2:$C$601,MATCH(B1527,Students!$A$2:$A$601,0))</f>
        <v>Batch 2025</v>
      </c>
      <c r="K1527" s="21" t="str">
        <f aca="false">INDEX(Students!$D$2:$D$601,MATCH(B1527,Students!$A$2:$A$601,0))</f>
        <v>Full Stack Development</v>
      </c>
      <c r="L1527" s="21" t="str">
        <f aca="false">INDEX(Companies!$C$2:$C$31,MATCH(C1527,Companies!$A$2:$A$31,0))</f>
        <v>IT Services</v>
      </c>
      <c r="M1527" s="21" t="str">
        <f aca="false">INDEX(Companies!$D$2:$D$31,MATCH(C1527,Companies!$A$2:$A$31,0))</f>
        <v>Tier 3</v>
      </c>
      <c r="N1527" s="34" t="n">
        <f aca="false">MATCH(F1527,Assumptions!$K$4:$K$8,0)</f>
        <v>1</v>
      </c>
      <c r="O1527" s="21" t="str">
        <f aca="false">IF(H1527="Yes",MONTH(I1527),"")</f>
        <v/>
      </c>
      <c r="P1527" s="21" t="str">
        <f aca="false">IF(H1527="Yes",B1527,"")</f>
        <v/>
      </c>
    </row>
    <row r="1528" customFormat="false" ht="15" hidden="false" customHeight="false" outlineLevel="0" collapsed="false">
      <c r="A1528" s="21" t="s">
        <v>2743</v>
      </c>
      <c r="B1528" s="21" t="s">
        <v>546</v>
      </c>
      <c r="C1528" s="21" t="s">
        <v>1205</v>
      </c>
      <c r="D1528" s="21" t="s">
        <v>1174</v>
      </c>
      <c r="E1528" s="33" t="n">
        <v>45623</v>
      </c>
      <c r="F1528" s="21" t="s">
        <v>1175</v>
      </c>
      <c r="G1528" s="32"/>
      <c r="H1528" s="21"/>
      <c r="I1528" s="33"/>
      <c r="J1528" s="21" t="str">
        <f aca="false">INDEX(Students!$C$2:$C$601,MATCH(B1528,Students!$A$2:$A$601,0))</f>
        <v>Batch 2025</v>
      </c>
      <c r="K1528" s="21" t="str">
        <f aca="false">INDEX(Students!$D$2:$D$601,MATCH(B1528,Students!$A$2:$A$601,0))</f>
        <v>Full Stack Development</v>
      </c>
      <c r="L1528" s="21" t="str">
        <f aca="false">INDEX(Companies!$C$2:$C$31,MATCH(C1528,Companies!$A$2:$A$31,0))</f>
        <v>Healthtech</v>
      </c>
      <c r="M1528" s="21" t="str">
        <f aca="false">INDEX(Companies!$D$2:$D$31,MATCH(C1528,Companies!$A$2:$A$31,0))</f>
        <v>Tier 3</v>
      </c>
      <c r="N1528" s="34" t="n">
        <f aca="false">MATCH(F1528,Assumptions!$K$4:$K$8,0)</f>
        <v>1</v>
      </c>
      <c r="O1528" s="21" t="str">
        <f aca="false">IF(H1528="Yes",MONTH(I1528),"")</f>
        <v/>
      </c>
      <c r="P1528" s="21" t="str">
        <f aca="false">IF(H1528="Yes",B1528,"")</f>
        <v/>
      </c>
    </row>
    <row r="1529" customFormat="false" ht="15" hidden="false" customHeight="false" outlineLevel="0" collapsed="false">
      <c r="A1529" s="21" t="s">
        <v>2744</v>
      </c>
      <c r="B1529" s="21" t="s">
        <v>798</v>
      </c>
      <c r="C1529" s="21" t="s">
        <v>1201</v>
      </c>
      <c r="D1529" s="21" t="s">
        <v>1181</v>
      </c>
      <c r="E1529" s="33" t="n">
        <v>45623</v>
      </c>
      <c r="F1529" s="21" t="s">
        <v>1185</v>
      </c>
      <c r="G1529" s="32" t="n">
        <v>5.9</v>
      </c>
      <c r="H1529" s="21" t="s">
        <v>120</v>
      </c>
      <c r="I1529" s="33" t="n">
        <v>45664</v>
      </c>
      <c r="J1529" s="21" t="str">
        <f aca="false">INDEX(Students!$C$2:$C$601,MATCH(B1529,Students!$A$2:$A$601,0))</f>
        <v>Batch 2025</v>
      </c>
      <c r="K1529" s="21" t="str">
        <f aca="false">INDEX(Students!$D$2:$D$601,MATCH(B1529,Students!$A$2:$A$601,0))</f>
        <v>Full Stack Development</v>
      </c>
      <c r="L1529" s="21" t="str">
        <f aca="false">INDEX(Companies!$C$2:$C$31,MATCH(C1529,Companies!$A$2:$A$31,0))</f>
        <v>IT Services</v>
      </c>
      <c r="M1529" s="21" t="str">
        <f aca="false">INDEX(Companies!$D$2:$D$31,MATCH(C1529,Companies!$A$2:$A$31,0))</f>
        <v>Tier 3</v>
      </c>
      <c r="N1529" s="34" t="n">
        <f aca="false">MATCH(F1529,Assumptions!$K$4:$K$8,0)</f>
        <v>5</v>
      </c>
      <c r="O1529" s="21" t="n">
        <f aca="false">IF(H1529="Yes",MONTH(I1529),"")</f>
        <v>1</v>
      </c>
      <c r="P1529" s="21" t="str">
        <f aca="false">IF(H1529="Yes",B1529,"")</f>
        <v>S0376</v>
      </c>
    </row>
    <row r="1530" customFormat="false" ht="15" hidden="false" customHeight="false" outlineLevel="0" collapsed="false">
      <c r="A1530" s="21" t="s">
        <v>2745</v>
      </c>
      <c r="B1530" s="21" t="s">
        <v>499</v>
      </c>
      <c r="C1530" s="21" t="s">
        <v>1205</v>
      </c>
      <c r="D1530" s="21" t="s">
        <v>1191</v>
      </c>
      <c r="E1530" s="33" t="n">
        <v>45623</v>
      </c>
      <c r="F1530" s="21" t="s">
        <v>1185</v>
      </c>
      <c r="G1530" s="32" t="n">
        <v>6.1</v>
      </c>
      <c r="H1530" s="21" t="s">
        <v>120</v>
      </c>
      <c r="I1530" s="33" t="n">
        <v>45656</v>
      </c>
      <c r="J1530" s="21" t="str">
        <f aca="false">INDEX(Students!$C$2:$C$601,MATCH(B1530,Students!$A$2:$A$601,0))</f>
        <v>Batch 2025</v>
      </c>
      <c r="K1530" s="21" t="str">
        <f aca="false">INDEX(Students!$D$2:$D$601,MATCH(B1530,Students!$A$2:$A$601,0))</f>
        <v>DSA with Java</v>
      </c>
      <c r="L1530" s="21" t="str">
        <f aca="false">INDEX(Companies!$C$2:$C$31,MATCH(C1530,Companies!$A$2:$A$31,0))</f>
        <v>Healthtech</v>
      </c>
      <c r="M1530" s="21" t="str">
        <f aca="false">INDEX(Companies!$D$2:$D$31,MATCH(C1530,Companies!$A$2:$A$31,0))</f>
        <v>Tier 3</v>
      </c>
      <c r="N1530" s="34" t="n">
        <f aca="false">MATCH(F1530,Assumptions!$K$4:$K$8,0)</f>
        <v>5</v>
      </c>
      <c r="O1530" s="21" t="n">
        <f aca="false">IF(H1530="Yes",MONTH(I1530),"")</f>
        <v>12</v>
      </c>
      <c r="P1530" s="21" t="str">
        <f aca="false">IF(H1530="Yes",B1530,"")</f>
        <v>S0205</v>
      </c>
    </row>
    <row r="1531" customFormat="false" ht="15" hidden="false" customHeight="false" outlineLevel="0" collapsed="false">
      <c r="A1531" s="21" t="s">
        <v>2746</v>
      </c>
      <c r="B1531" s="21" t="s">
        <v>651</v>
      </c>
      <c r="C1531" s="21" t="s">
        <v>1211</v>
      </c>
      <c r="D1531" s="21" t="s">
        <v>1240</v>
      </c>
      <c r="E1531" s="33" t="n">
        <v>45623</v>
      </c>
      <c r="F1531" s="21" t="s">
        <v>1175</v>
      </c>
      <c r="G1531" s="32"/>
      <c r="H1531" s="21"/>
      <c r="I1531" s="33"/>
      <c r="J1531" s="21" t="str">
        <f aca="false">INDEX(Students!$C$2:$C$601,MATCH(B1531,Students!$A$2:$A$601,0))</f>
        <v>Batch 2025</v>
      </c>
      <c r="K1531" s="21" t="str">
        <f aca="false">INDEX(Students!$D$2:$D$601,MATCH(B1531,Students!$A$2:$A$601,0))</f>
        <v>Cybersecurity</v>
      </c>
      <c r="L1531" s="21" t="str">
        <f aca="false">INDEX(Companies!$C$2:$C$31,MATCH(C1531,Companies!$A$2:$A$31,0))</f>
        <v>Analytics &amp; Consulting</v>
      </c>
      <c r="M1531" s="21" t="str">
        <f aca="false">INDEX(Companies!$D$2:$D$31,MATCH(C1531,Companies!$A$2:$A$31,0))</f>
        <v>Tier 3</v>
      </c>
      <c r="N1531" s="34" t="n">
        <f aca="false">MATCH(F1531,Assumptions!$K$4:$K$8,0)</f>
        <v>1</v>
      </c>
      <c r="O1531" s="21" t="str">
        <f aca="false">IF(H1531="Yes",MONTH(I1531),"")</f>
        <v/>
      </c>
      <c r="P1531" s="21" t="str">
        <f aca="false">IF(H1531="Yes",B1531,"")</f>
        <v/>
      </c>
    </row>
    <row r="1532" customFormat="false" ht="15" hidden="false" customHeight="false" outlineLevel="0" collapsed="false">
      <c r="A1532" s="21" t="s">
        <v>2747</v>
      </c>
      <c r="B1532" s="21" t="s">
        <v>751</v>
      </c>
      <c r="C1532" s="21" t="s">
        <v>1255</v>
      </c>
      <c r="D1532" s="21" t="s">
        <v>1209</v>
      </c>
      <c r="E1532" s="33" t="n">
        <v>45623</v>
      </c>
      <c r="F1532" s="21" t="s">
        <v>1218</v>
      </c>
      <c r="G1532" s="32"/>
      <c r="H1532" s="21"/>
      <c r="I1532" s="33"/>
      <c r="J1532" s="21" t="str">
        <f aca="false">INDEX(Students!$C$2:$C$601,MATCH(B1532,Students!$A$2:$A$601,0))</f>
        <v>Batch 2025</v>
      </c>
      <c r="K1532" s="21" t="str">
        <f aca="false">INDEX(Students!$D$2:$D$601,MATCH(B1532,Students!$A$2:$A$601,0))</f>
        <v>Data Analytics</v>
      </c>
      <c r="L1532" s="21" t="str">
        <f aca="false">INDEX(Companies!$C$2:$C$31,MATCH(C1532,Companies!$A$2:$A$31,0))</f>
        <v>IT Services</v>
      </c>
      <c r="M1532" s="21" t="str">
        <f aca="false">INDEX(Companies!$D$2:$D$31,MATCH(C1532,Companies!$A$2:$A$31,0))</f>
        <v>Tier 3</v>
      </c>
      <c r="N1532" s="34" t="n">
        <f aca="false">MATCH(F1532,Assumptions!$K$4:$K$8,0)</f>
        <v>4</v>
      </c>
      <c r="O1532" s="21" t="str">
        <f aca="false">IF(H1532="Yes",MONTH(I1532),"")</f>
        <v/>
      </c>
      <c r="P1532" s="21" t="str">
        <f aca="false">IF(H1532="Yes",B1532,"")</f>
        <v/>
      </c>
    </row>
    <row r="1533" customFormat="false" ht="15" hidden="false" customHeight="false" outlineLevel="0" collapsed="false">
      <c r="A1533" s="21" t="s">
        <v>2748</v>
      </c>
      <c r="B1533" s="21" t="s">
        <v>468</v>
      </c>
      <c r="C1533" s="21" t="s">
        <v>1180</v>
      </c>
      <c r="D1533" s="21" t="s">
        <v>1181</v>
      </c>
      <c r="E1533" s="33" t="n">
        <v>45623</v>
      </c>
      <c r="F1533" s="21" t="s">
        <v>1175</v>
      </c>
      <c r="G1533" s="32"/>
      <c r="H1533" s="21"/>
      <c r="I1533" s="33"/>
      <c r="J1533" s="21" t="str">
        <f aca="false">INDEX(Students!$C$2:$C$601,MATCH(B1533,Students!$A$2:$A$601,0))</f>
        <v>Batch 2025</v>
      </c>
      <c r="K1533" s="21" t="str">
        <f aca="false">INDEX(Students!$D$2:$D$601,MATCH(B1533,Students!$A$2:$A$601,0))</f>
        <v>Full Stack Development</v>
      </c>
      <c r="L1533" s="21" t="str">
        <f aca="false">INDEX(Companies!$C$2:$C$31,MATCH(C1533,Companies!$A$2:$A$31,0))</f>
        <v>IT Services</v>
      </c>
      <c r="M1533" s="21" t="str">
        <f aca="false">INDEX(Companies!$D$2:$D$31,MATCH(C1533,Companies!$A$2:$A$31,0))</f>
        <v>Tier 3</v>
      </c>
      <c r="N1533" s="34" t="n">
        <f aca="false">MATCH(F1533,Assumptions!$K$4:$K$8,0)</f>
        <v>1</v>
      </c>
      <c r="O1533" s="21" t="str">
        <f aca="false">IF(H1533="Yes",MONTH(I1533),"")</f>
        <v/>
      </c>
      <c r="P1533" s="21" t="str">
        <f aca="false">IF(H1533="Yes",B1533,"")</f>
        <v/>
      </c>
    </row>
    <row r="1534" customFormat="false" ht="15" hidden="false" customHeight="false" outlineLevel="0" collapsed="false">
      <c r="A1534" s="21" t="s">
        <v>2749</v>
      </c>
      <c r="B1534" s="21" t="s">
        <v>704</v>
      </c>
      <c r="C1534" s="21" t="s">
        <v>1177</v>
      </c>
      <c r="D1534" s="21" t="s">
        <v>1181</v>
      </c>
      <c r="E1534" s="33" t="n">
        <v>45624</v>
      </c>
      <c r="F1534" s="21" t="s">
        <v>1178</v>
      </c>
      <c r="G1534" s="32"/>
      <c r="H1534" s="21"/>
      <c r="I1534" s="33"/>
      <c r="J1534" s="21" t="str">
        <f aca="false">INDEX(Students!$C$2:$C$601,MATCH(B1534,Students!$A$2:$A$601,0))</f>
        <v>Batch 2025</v>
      </c>
      <c r="K1534" s="21" t="str">
        <f aca="false">INDEX(Students!$D$2:$D$601,MATCH(B1534,Students!$A$2:$A$601,0))</f>
        <v>Full Stack Development</v>
      </c>
      <c r="L1534" s="21" t="str">
        <f aca="false">INDEX(Companies!$C$2:$C$31,MATCH(C1534,Companies!$A$2:$A$31,0))</f>
        <v>IT Services</v>
      </c>
      <c r="M1534" s="21" t="str">
        <f aca="false">INDEX(Companies!$D$2:$D$31,MATCH(C1534,Companies!$A$2:$A$31,0))</f>
        <v>Tier 3</v>
      </c>
      <c r="N1534" s="34" t="n">
        <f aca="false">MATCH(F1534,Assumptions!$K$4:$K$8,0)</f>
        <v>2</v>
      </c>
      <c r="O1534" s="21" t="str">
        <f aca="false">IF(H1534="Yes",MONTH(I1534),"")</f>
        <v/>
      </c>
      <c r="P1534" s="21" t="str">
        <f aca="false">IF(H1534="Yes",B1534,"")</f>
        <v/>
      </c>
    </row>
    <row r="1535" customFormat="false" ht="15" hidden="false" customHeight="false" outlineLevel="0" collapsed="false">
      <c r="A1535" s="21" t="s">
        <v>2750</v>
      </c>
      <c r="B1535" s="21" t="s">
        <v>732</v>
      </c>
      <c r="C1535" s="21" t="s">
        <v>1214</v>
      </c>
      <c r="D1535" s="21" t="s">
        <v>1194</v>
      </c>
      <c r="E1535" s="33" t="n">
        <v>45624</v>
      </c>
      <c r="F1535" s="21" t="s">
        <v>1185</v>
      </c>
      <c r="G1535" s="32" t="n">
        <v>22.7</v>
      </c>
      <c r="H1535" s="21" t="s">
        <v>120</v>
      </c>
      <c r="I1535" s="33" t="n">
        <v>45674</v>
      </c>
      <c r="J1535" s="21" t="str">
        <f aca="false">INDEX(Students!$C$2:$C$601,MATCH(B1535,Students!$A$2:$A$601,0))</f>
        <v>Batch 2025</v>
      </c>
      <c r="K1535" s="21" t="str">
        <f aca="false">INDEX(Students!$D$2:$D$601,MATCH(B1535,Students!$A$2:$A$601,0))</f>
        <v>Data Science &amp; ML</v>
      </c>
      <c r="L1535" s="21" t="str">
        <f aca="false">INDEX(Companies!$C$2:$C$31,MATCH(C1535,Companies!$A$2:$A$31,0))</f>
        <v>Product</v>
      </c>
      <c r="M1535" s="21" t="str">
        <f aca="false">INDEX(Companies!$D$2:$D$31,MATCH(C1535,Companies!$A$2:$A$31,0))</f>
        <v>Tier 1</v>
      </c>
      <c r="N1535" s="34" t="n">
        <f aca="false">MATCH(F1535,Assumptions!$K$4:$K$8,0)</f>
        <v>5</v>
      </c>
      <c r="O1535" s="21" t="n">
        <f aca="false">IF(H1535="Yes",MONTH(I1535),"")</f>
        <v>1</v>
      </c>
      <c r="P1535" s="21" t="str">
        <f aca="false">IF(H1535="Yes",B1535,"")</f>
        <v>S0337</v>
      </c>
    </row>
    <row r="1536" customFormat="false" ht="15" hidden="false" customHeight="false" outlineLevel="0" collapsed="false">
      <c r="A1536" s="21" t="s">
        <v>2751</v>
      </c>
      <c r="B1536" s="21" t="s">
        <v>760</v>
      </c>
      <c r="C1536" s="21" t="s">
        <v>1201</v>
      </c>
      <c r="D1536" s="21" t="s">
        <v>1181</v>
      </c>
      <c r="E1536" s="33" t="n">
        <v>45624</v>
      </c>
      <c r="F1536" s="21" t="s">
        <v>1185</v>
      </c>
      <c r="G1536" s="32" t="n">
        <v>5.4</v>
      </c>
      <c r="H1536" s="21" t="s">
        <v>113</v>
      </c>
      <c r="I1536" s="33" t="n">
        <v>45677</v>
      </c>
      <c r="J1536" s="21" t="str">
        <f aca="false">INDEX(Students!$C$2:$C$601,MATCH(B1536,Students!$A$2:$A$601,0))</f>
        <v>Batch 2025</v>
      </c>
      <c r="K1536" s="21" t="str">
        <f aca="false">INDEX(Students!$D$2:$D$601,MATCH(B1536,Students!$A$2:$A$601,0))</f>
        <v>Full Stack Development</v>
      </c>
      <c r="L1536" s="21" t="str">
        <f aca="false">INDEX(Companies!$C$2:$C$31,MATCH(C1536,Companies!$A$2:$A$31,0))</f>
        <v>IT Services</v>
      </c>
      <c r="M1536" s="21" t="str">
        <f aca="false">INDEX(Companies!$D$2:$D$31,MATCH(C1536,Companies!$A$2:$A$31,0))</f>
        <v>Tier 3</v>
      </c>
      <c r="N1536" s="34" t="n">
        <f aca="false">MATCH(F1536,Assumptions!$K$4:$K$8,0)</f>
        <v>5</v>
      </c>
      <c r="O1536" s="21" t="str">
        <f aca="false">IF(H1536="Yes",MONTH(I1536),"")</f>
        <v/>
      </c>
      <c r="P1536" s="21" t="str">
        <f aca="false">IF(H1536="Yes",B1536,"")</f>
        <v/>
      </c>
    </row>
    <row r="1537" customFormat="false" ht="15" hidden="false" customHeight="false" outlineLevel="0" collapsed="false">
      <c r="A1537" s="21" t="s">
        <v>2752</v>
      </c>
      <c r="B1537" s="21" t="s">
        <v>584</v>
      </c>
      <c r="C1537" s="21" t="s">
        <v>1177</v>
      </c>
      <c r="D1537" s="21" t="s">
        <v>1191</v>
      </c>
      <c r="E1537" s="33" t="n">
        <v>45624</v>
      </c>
      <c r="F1537" s="21" t="s">
        <v>1175</v>
      </c>
      <c r="G1537" s="32"/>
      <c r="H1537" s="21"/>
      <c r="I1537" s="33"/>
      <c r="J1537" s="21" t="str">
        <f aca="false">INDEX(Students!$C$2:$C$601,MATCH(B1537,Students!$A$2:$A$601,0))</f>
        <v>Batch 2025</v>
      </c>
      <c r="K1537" s="21" t="str">
        <f aca="false">INDEX(Students!$D$2:$D$601,MATCH(B1537,Students!$A$2:$A$601,0))</f>
        <v>DSA with Java</v>
      </c>
      <c r="L1537" s="21" t="str">
        <f aca="false">INDEX(Companies!$C$2:$C$31,MATCH(C1537,Companies!$A$2:$A$31,0))</f>
        <v>IT Services</v>
      </c>
      <c r="M1537" s="21" t="str">
        <f aca="false">INDEX(Companies!$D$2:$D$31,MATCH(C1537,Companies!$A$2:$A$31,0))</f>
        <v>Tier 3</v>
      </c>
      <c r="N1537" s="34" t="n">
        <f aca="false">MATCH(F1537,Assumptions!$K$4:$K$8,0)</f>
        <v>1</v>
      </c>
      <c r="O1537" s="21" t="str">
        <f aca="false">IF(H1537="Yes",MONTH(I1537),"")</f>
        <v/>
      </c>
      <c r="P1537" s="21" t="str">
        <f aca="false">IF(H1537="Yes",B1537,"")</f>
        <v/>
      </c>
    </row>
    <row r="1538" customFormat="false" ht="15" hidden="false" customHeight="false" outlineLevel="0" collapsed="false">
      <c r="A1538" s="21" t="s">
        <v>2753</v>
      </c>
      <c r="B1538" s="21" t="s">
        <v>697</v>
      </c>
      <c r="C1538" s="21" t="s">
        <v>1203</v>
      </c>
      <c r="D1538" s="21" t="s">
        <v>1194</v>
      </c>
      <c r="E1538" s="33" t="n">
        <v>45624</v>
      </c>
      <c r="F1538" s="21" t="s">
        <v>1185</v>
      </c>
      <c r="G1538" s="32" t="n">
        <v>11.8</v>
      </c>
      <c r="H1538" s="21" t="s">
        <v>120</v>
      </c>
      <c r="I1538" s="33" t="n">
        <v>45673</v>
      </c>
      <c r="J1538" s="21" t="str">
        <f aca="false">INDEX(Students!$C$2:$C$601,MATCH(B1538,Students!$A$2:$A$601,0))</f>
        <v>Batch 2025</v>
      </c>
      <c r="K1538" s="21" t="str">
        <f aca="false">INDEX(Students!$D$2:$D$601,MATCH(B1538,Students!$A$2:$A$601,0))</f>
        <v>Data Science &amp; ML</v>
      </c>
      <c r="L1538" s="21" t="str">
        <f aca="false">INDEX(Companies!$C$2:$C$31,MATCH(C1538,Companies!$A$2:$A$31,0))</f>
        <v>Healthtech</v>
      </c>
      <c r="M1538" s="21" t="str">
        <f aca="false">INDEX(Companies!$D$2:$D$31,MATCH(C1538,Companies!$A$2:$A$31,0))</f>
        <v>Tier 2</v>
      </c>
      <c r="N1538" s="34" t="n">
        <f aca="false">MATCH(F1538,Assumptions!$K$4:$K$8,0)</f>
        <v>5</v>
      </c>
      <c r="O1538" s="21" t="n">
        <f aca="false">IF(H1538="Yes",MONTH(I1538),"")</f>
        <v>1</v>
      </c>
      <c r="P1538" s="21" t="str">
        <f aca="false">IF(H1538="Yes",B1538,"")</f>
        <v>S0318</v>
      </c>
    </row>
    <row r="1539" customFormat="false" ht="15" hidden="false" customHeight="false" outlineLevel="0" collapsed="false">
      <c r="A1539" s="21" t="s">
        <v>2754</v>
      </c>
      <c r="B1539" s="21" t="s">
        <v>729</v>
      </c>
      <c r="C1539" s="21" t="s">
        <v>1309</v>
      </c>
      <c r="D1539" s="21" t="s">
        <v>1240</v>
      </c>
      <c r="E1539" s="33" t="n">
        <v>45624</v>
      </c>
      <c r="F1539" s="21" t="s">
        <v>1175</v>
      </c>
      <c r="G1539" s="32"/>
      <c r="H1539" s="21"/>
      <c r="I1539" s="33"/>
      <c r="J1539" s="21" t="str">
        <f aca="false">INDEX(Students!$C$2:$C$601,MATCH(B1539,Students!$A$2:$A$601,0))</f>
        <v>Batch 2025</v>
      </c>
      <c r="K1539" s="21" t="str">
        <f aca="false">INDEX(Students!$D$2:$D$601,MATCH(B1539,Students!$A$2:$A$601,0))</f>
        <v>Cybersecurity</v>
      </c>
      <c r="L1539" s="21" t="str">
        <f aca="false">INDEX(Companies!$C$2:$C$31,MATCH(C1539,Companies!$A$2:$A$31,0))</f>
        <v>EdTech</v>
      </c>
      <c r="M1539" s="21" t="str">
        <f aca="false">INDEX(Companies!$D$2:$D$31,MATCH(C1539,Companies!$A$2:$A$31,0))</f>
        <v>Tier 2</v>
      </c>
      <c r="N1539" s="34" t="n">
        <f aca="false">MATCH(F1539,Assumptions!$K$4:$K$8,0)</f>
        <v>1</v>
      </c>
      <c r="O1539" s="21" t="str">
        <f aca="false">IF(H1539="Yes",MONTH(I1539),"")</f>
        <v/>
      </c>
      <c r="P1539" s="21" t="str">
        <f aca="false">IF(H1539="Yes",B1539,"")</f>
        <v/>
      </c>
    </row>
    <row r="1540" customFormat="false" ht="15" hidden="false" customHeight="false" outlineLevel="0" collapsed="false">
      <c r="A1540" s="21" t="s">
        <v>2755</v>
      </c>
      <c r="B1540" s="21" t="s">
        <v>573</v>
      </c>
      <c r="C1540" s="21" t="s">
        <v>1266</v>
      </c>
      <c r="D1540" s="21" t="s">
        <v>1194</v>
      </c>
      <c r="E1540" s="33" t="n">
        <v>45625</v>
      </c>
      <c r="F1540" s="21" t="s">
        <v>1197</v>
      </c>
      <c r="G1540" s="32"/>
      <c r="H1540" s="21"/>
      <c r="I1540" s="33"/>
      <c r="J1540" s="21" t="str">
        <f aca="false">INDEX(Students!$C$2:$C$601,MATCH(B1540,Students!$A$2:$A$601,0))</f>
        <v>Batch 2025</v>
      </c>
      <c r="K1540" s="21" t="str">
        <f aca="false">INDEX(Students!$D$2:$D$601,MATCH(B1540,Students!$A$2:$A$601,0))</f>
        <v>Data Science &amp; ML</v>
      </c>
      <c r="L1540" s="21" t="str">
        <f aca="false">INDEX(Companies!$C$2:$C$31,MATCH(C1540,Companies!$A$2:$A$31,0))</f>
        <v>IT Services</v>
      </c>
      <c r="M1540" s="21" t="str">
        <f aca="false">INDEX(Companies!$D$2:$D$31,MATCH(C1540,Companies!$A$2:$A$31,0))</f>
        <v>Tier 3</v>
      </c>
      <c r="N1540" s="34" t="n">
        <f aca="false">MATCH(F1540,Assumptions!$K$4:$K$8,0)</f>
        <v>3</v>
      </c>
      <c r="O1540" s="21" t="str">
        <f aca="false">IF(H1540="Yes",MONTH(I1540),"")</f>
        <v/>
      </c>
      <c r="P1540" s="21" t="str">
        <f aca="false">IF(H1540="Yes",B1540,"")</f>
        <v/>
      </c>
    </row>
    <row r="1541" customFormat="false" ht="15" hidden="false" customHeight="false" outlineLevel="0" collapsed="false">
      <c r="A1541" s="21" t="s">
        <v>2756</v>
      </c>
      <c r="B1541" s="21" t="s">
        <v>511</v>
      </c>
      <c r="C1541" s="21" t="s">
        <v>1190</v>
      </c>
      <c r="D1541" s="21" t="s">
        <v>1209</v>
      </c>
      <c r="E1541" s="33" t="n">
        <v>45625</v>
      </c>
      <c r="F1541" s="21" t="s">
        <v>1175</v>
      </c>
      <c r="G1541" s="32"/>
      <c r="H1541" s="21"/>
      <c r="I1541" s="33"/>
      <c r="J1541" s="21" t="str">
        <f aca="false">INDEX(Students!$C$2:$C$601,MATCH(B1541,Students!$A$2:$A$601,0))</f>
        <v>Batch 2025</v>
      </c>
      <c r="K1541" s="21" t="str">
        <f aca="false">INDEX(Students!$D$2:$D$601,MATCH(B1541,Students!$A$2:$A$601,0))</f>
        <v>Data Analytics</v>
      </c>
      <c r="L1541" s="21" t="str">
        <f aca="false">INDEX(Companies!$C$2:$C$31,MATCH(C1541,Companies!$A$2:$A$31,0))</f>
        <v>Analytics &amp; Consulting</v>
      </c>
      <c r="M1541" s="21" t="str">
        <f aca="false">INDEX(Companies!$D$2:$D$31,MATCH(C1541,Companies!$A$2:$A$31,0))</f>
        <v>Tier 1</v>
      </c>
      <c r="N1541" s="34" t="n">
        <f aca="false">MATCH(F1541,Assumptions!$K$4:$K$8,0)</f>
        <v>1</v>
      </c>
      <c r="O1541" s="21" t="str">
        <f aca="false">IF(H1541="Yes",MONTH(I1541),"")</f>
        <v/>
      </c>
      <c r="P1541" s="21" t="str">
        <f aca="false">IF(H1541="Yes",B1541,"")</f>
        <v/>
      </c>
    </row>
    <row r="1542" customFormat="false" ht="15" hidden="false" customHeight="false" outlineLevel="0" collapsed="false">
      <c r="A1542" s="21" t="s">
        <v>2757</v>
      </c>
      <c r="B1542" s="21" t="s">
        <v>701</v>
      </c>
      <c r="C1542" s="21" t="s">
        <v>1205</v>
      </c>
      <c r="D1542" s="21" t="s">
        <v>1226</v>
      </c>
      <c r="E1542" s="33" t="n">
        <v>45625</v>
      </c>
      <c r="F1542" s="21" t="s">
        <v>1175</v>
      </c>
      <c r="G1542" s="32"/>
      <c r="H1542" s="21"/>
      <c r="I1542" s="33"/>
      <c r="J1542" s="21" t="str">
        <f aca="false">INDEX(Students!$C$2:$C$601,MATCH(B1542,Students!$A$2:$A$601,0))</f>
        <v>Batch 2025</v>
      </c>
      <c r="K1542" s="21" t="str">
        <f aca="false">INDEX(Students!$D$2:$D$601,MATCH(B1542,Students!$A$2:$A$601,0))</f>
        <v>Cybersecurity</v>
      </c>
      <c r="L1542" s="21" t="str">
        <f aca="false">INDEX(Companies!$C$2:$C$31,MATCH(C1542,Companies!$A$2:$A$31,0))</f>
        <v>Healthtech</v>
      </c>
      <c r="M1542" s="21" t="str">
        <f aca="false">INDEX(Companies!$D$2:$D$31,MATCH(C1542,Companies!$A$2:$A$31,0))</f>
        <v>Tier 3</v>
      </c>
      <c r="N1542" s="34" t="n">
        <f aca="false">MATCH(F1542,Assumptions!$K$4:$K$8,0)</f>
        <v>1</v>
      </c>
      <c r="O1542" s="21" t="str">
        <f aca="false">IF(H1542="Yes",MONTH(I1542),"")</f>
        <v/>
      </c>
      <c r="P1542" s="21" t="str">
        <f aca="false">IF(H1542="Yes",B1542,"")</f>
        <v/>
      </c>
    </row>
    <row r="1543" customFormat="false" ht="15" hidden="false" customHeight="false" outlineLevel="0" collapsed="false">
      <c r="A1543" s="21" t="s">
        <v>2758</v>
      </c>
      <c r="B1543" s="21" t="s">
        <v>677</v>
      </c>
      <c r="C1543" s="21" t="s">
        <v>1201</v>
      </c>
      <c r="D1543" s="21" t="s">
        <v>1181</v>
      </c>
      <c r="E1543" s="33" t="n">
        <v>45625</v>
      </c>
      <c r="F1543" s="21" t="s">
        <v>1175</v>
      </c>
      <c r="G1543" s="32"/>
      <c r="H1543" s="21"/>
      <c r="I1543" s="33"/>
      <c r="J1543" s="21" t="str">
        <f aca="false">INDEX(Students!$C$2:$C$601,MATCH(B1543,Students!$A$2:$A$601,0))</f>
        <v>Batch 2025</v>
      </c>
      <c r="K1543" s="21" t="str">
        <f aca="false">INDEX(Students!$D$2:$D$601,MATCH(B1543,Students!$A$2:$A$601,0))</f>
        <v>Full Stack Development</v>
      </c>
      <c r="L1543" s="21" t="str">
        <f aca="false">INDEX(Companies!$C$2:$C$31,MATCH(C1543,Companies!$A$2:$A$31,0))</f>
        <v>IT Services</v>
      </c>
      <c r="M1543" s="21" t="str">
        <f aca="false">INDEX(Companies!$D$2:$D$31,MATCH(C1543,Companies!$A$2:$A$31,0))</f>
        <v>Tier 3</v>
      </c>
      <c r="N1543" s="34" t="n">
        <f aca="false">MATCH(F1543,Assumptions!$K$4:$K$8,0)</f>
        <v>1</v>
      </c>
      <c r="O1543" s="21" t="str">
        <f aca="false">IF(H1543="Yes",MONTH(I1543),"")</f>
        <v/>
      </c>
      <c r="P1543" s="21" t="str">
        <f aca="false">IF(H1543="Yes",B1543,"")</f>
        <v/>
      </c>
    </row>
    <row r="1544" customFormat="false" ht="15" hidden="false" customHeight="false" outlineLevel="0" collapsed="false">
      <c r="A1544" s="21" t="s">
        <v>2759</v>
      </c>
      <c r="B1544" s="21" t="s">
        <v>685</v>
      </c>
      <c r="C1544" s="21" t="s">
        <v>1239</v>
      </c>
      <c r="D1544" s="21" t="s">
        <v>1243</v>
      </c>
      <c r="E1544" s="33" t="n">
        <v>45626</v>
      </c>
      <c r="F1544" s="21" t="s">
        <v>1185</v>
      </c>
      <c r="G1544" s="32" t="n">
        <v>5.5</v>
      </c>
      <c r="H1544" s="21" t="s">
        <v>113</v>
      </c>
      <c r="I1544" s="33" t="n">
        <v>45667</v>
      </c>
      <c r="J1544" s="21" t="str">
        <f aca="false">INDEX(Students!$C$2:$C$601,MATCH(B1544,Students!$A$2:$A$601,0))</f>
        <v>Batch 2025</v>
      </c>
      <c r="K1544" s="21" t="str">
        <f aca="false">INDEX(Students!$D$2:$D$601,MATCH(B1544,Students!$A$2:$A$601,0))</f>
        <v>Data Science &amp; ML</v>
      </c>
      <c r="L1544" s="21" t="str">
        <f aca="false">INDEX(Companies!$C$2:$C$31,MATCH(C1544,Companies!$A$2:$A$31,0))</f>
        <v>E-commerce</v>
      </c>
      <c r="M1544" s="21" t="str">
        <f aca="false">INDEX(Companies!$D$2:$D$31,MATCH(C1544,Companies!$A$2:$A$31,0))</f>
        <v>Tier 3</v>
      </c>
      <c r="N1544" s="34" t="n">
        <f aca="false">MATCH(F1544,Assumptions!$K$4:$K$8,0)</f>
        <v>5</v>
      </c>
      <c r="O1544" s="21" t="str">
        <f aca="false">IF(H1544="Yes",MONTH(I1544),"")</f>
        <v/>
      </c>
      <c r="P1544" s="21" t="str">
        <f aca="false">IF(H1544="Yes",B1544,"")</f>
        <v/>
      </c>
    </row>
    <row r="1545" customFormat="false" ht="15" hidden="false" customHeight="false" outlineLevel="0" collapsed="false">
      <c r="A1545" s="21" t="s">
        <v>2760</v>
      </c>
      <c r="B1545" s="21" t="s">
        <v>714</v>
      </c>
      <c r="C1545" s="21" t="s">
        <v>1183</v>
      </c>
      <c r="D1545" s="21" t="s">
        <v>1188</v>
      </c>
      <c r="E1545" s="33" t="n">
        <v>45626</v>
      </c>
      <c r="F1545" s="21" t="s">
        <v>1218</v>
      </c>
      <c r="G1545" s="32"/>
      <c r="H1545" s="21"/>
      <c r="I1545" s="33"/>
      <c r="J1545" s="21" t="str">
        <f aca="false">INDEX(Students!$C$2:$C$601,MATCH(B1545,Students!$A$2:$A$601,0))</f>
        <v>Batch 2025</v>
      </c>
      <c r="K1545" s="21" t="str">
        <f aca="false">INDEX(Students!$D$2:$D$601,MATCH(B1545,Students!$A$2:$A$601,0))</f>
        <v>Data Analytics</v>
      </c>
      <c r="L1545" s="21" t="str">
        <f aca="false">INDEX(Companies!$C$2:$C$31,MATCH(C1545,Companies!$A$2:$A$31,0))</f>
        <v>E-commerce</v>
      </c>
      <c r="M1545" s="21" t="str">
        <f aca="false">INDEX(Companies!$D$2:$D$31,MATCH(C1545,Companies!$A$2:$A$31,0))</f>
        <v>Tier 2</v>
      </c>
      <c r="N1545" s="34" t="n">
        <f aca="false">MATCH(F1545,Assumptions!$K$4:$K$8,0)</f>
        <v>4</v>
      </c>
      <c r="O1545" s="21" t="str">
        <f aca="false">IF(H1545="Yes",MONTH(I1545),"")</f>
        <v/>
      </c>
      <c r="P1545" s="21" t="str">
        <f aca="false">IF(H1545="Yes",B1545,"")</f>
        <v/>
      </c>
    </row>
    <row r="1546" customFormat="false" ht="15" hidden="false" customHeight="false" outlineLevel="0" collapsed="false">
      <c r="A1546" s="21" t="s">
        <v>2761</v>
      </c>
      <c r="B1546" s="21" t="s">
        <v>795</v>
      </c>
      <c r="C1546" s="21" t="s">
        <v>1205</v>
      </c>
      <c r="D1546" s="21" t="s">
        <v>1181</v>
      </c>
      <c r="E1546" s="33" t="n">
        <v>45626</v>
      </c>
      <c r="F1546" s="21" t="s">
        <v>1175</v>
      </c>
      <c r="G1546" s="32"/>
      <c r="H1546" s="21"/>
      <c r="I1546" s="33"/>
      <c r="J1546" s="21" t="str">
        <f aca="false">INDEX(Students!$C$2:$C$601,MATCH(B1546,Students!$A$2:$A$601,0))</f>
        <v>Batch 2025</v>
      </c>
      <c r="K1546" s="21" t="str">
        <f aca="false">INDEX(Students!$D$2:$D$601,MATCH(B1546,Students!$A$2:$A$601,0))</f>
        <v>Full Stack Development</v>
      </c>
      <c r="L1546" s="21" t="str">
        <f aca="false">INDEX(Companies!$C$2:$C$31,MATCH(C1546,Companies!$A$2:$A$31,0))</f>
        <v>Healthtech</v>
      </c>
      <c r="M1546" s="21" t="str">
        <f aca="false">INDEX(Companies!$D$2:$D$31,MATCH(C1546,Companies!$A$2:$A$31,0))</f>
        <v>Tier 3</v>
      </c>
      <c r="N1546" s="34" t="n">
        <f aca="false">MATCH(F1546,Assumptions!$K$4:$K$8,0)</f>
        <v>1</v>
      </c>
      <c r="O1546" s="21" t="str">
        <f aca="false">IF(H1546="Yes",MONTH(I1546),"")</f>
        <v/>
      </c>
      <c r="P1546" s="21" t="str">
        <f aca="false">IF(H1546="Yes",B1546,"")</f>
        <v/>
      </c>
    </row>
    <row r="1547" customFormat="false" ht="15" hidden="false" customHeight="false" outlineLevel="0" collapsed="false">
      <c r="A1547" s="21" t="s">
        <v>2762</v>
      </c>
      <c r="B1547" s="21" t="s">
        <v>767</v>
      </c>
      <c r="C1547" s="21" t="s">
        <v>1187</v>
      </c>
      <c r="D1547" s="21" t="s">
        <v>1226</v>
      </c>
      <c r="E1547" s="33" t="n">
        <v>45627</v>
      </c>
      <c r="F1547" s="21" t="s">
        <v>1175</v>
      </c>
      <c r="G1547" s="32"/>
      <c r="H1547" s="21"/>
      <c r="I1547" s="33"/>
      <c r="J1547" s="21" t="str">
        <f aca="false">INDEX(Students!$C$2:$C$601,MATCH(B1547,Students!$A$2:$A$601,0))</f>
        <v>Batch 2025</v>
      </c>
      <c r="K1547" s="21" t="str">
        <f aca="false">INDEX(Students!$D$2:$D$601,MATCH(B1547,Students!$A$2:$A$601,0))</f>
        <v>Cybersecurity</v>
      </c>
      <c r="L1547" s="21" t="str">
        <f aca="false">INDEX(Companies!$C$2:$C$31,MATCH(C1547,Companies!$A$2:$A$31,0))</f>
        <v>Product</v>
      </c>
      <c r="M1547" s="21" t="str">
        <f aca="false">INDEX(Companies!$D$2:$D$31,MATCH(C1547,Companies!$A$2:$A$31,0))</f>
        <v>Tier 1</v>
      </c>
      <c r="N1547" s="34" t="n">
        <f aca="false">MATCH(F1547,Assumptions!$K$4:$K$8,0)</f>
        <v>1</v>
      </c>
      <c r="O1547" s="21" t="str">
        <f aca="false">IF(H1547="Yes",MONTH(I1547),"")</f>
        <v/>
      </c>
      <c r="P1547" s="21" t="str">
        <f aca="false">IF(H1547="Yes",B1547,"")</f>
        <v/>
      </c>
    </row>
    <row r="1548" customFormat="false" ht="15" hidden="false" customHeight="false" outlineLevel="0" collapsed="false">
      <c r="A1548" s="21" t="s">
        <v>2763</v>
      </c>
      <c r="B1548" s="21" t="s">
        <v>578</v>
      </c>
      <c r="C1548" s="21" t="s">
        <v>1266</v>
      </c>
      <c r="D1548" s="21" t="s">
        <v>1181</v>
      </c>
      <c r="E1548" s="33" t="n">
        <v>45627</v>
      </c>
      <c r="F1548" s="21" t="s">
        <v>1175</v>
      </c>
      <c r="G1548" s="32"/>
      <c r="H1548" s="21"/>
      <c r="I1548" s="33"/>
      <c r="J1548" s="21" t="str">
        <f aca="false">INDEX(Students!$C$2:$C$601,MATCH(B1548,Students!$A$2:$A$601,0))</f>
        <v>Batch 2025</v>
      </c>
      <c r="K1548" s="21" t="str">
        <f aca="false">INDEX(Students!$D$2:$D$601,MATCH(B1548,Students!$A$2:$A$601,0))</f>
        <v>Full Stack Development</v>
      </c>
      <c r="L1548" s="21" t="str">
        <f aca="false">INDEX(Companies!$C$2:$C$31,MATCH(C1548,Companies!$A$2:$A$31,0))</f>
        <v>IT Services</v>
      </c>
      <c r="M1548" s="21" t="str">
        <f aca="false">INDEX(Companies!$D$2:$D$31,MATCH(C1548,Companies!$A$2:$A$31,0))</f>
        <v>Tier 3</v>
      </c>
      <c r="N1548" s="34" t="n">
        <f aca="false">MATCH(F1548,Assumptions!$K$4:$K$8,0)</f>
        <v>1</v>
      </c>
      <c r="O1548" s="21" t="str">
        <f aca="false">IF(H1548="Yes",MONTH(I1548),"")</f>
        <v/>
      </c>
      <c r="P1548" s="21" t="str">
        <f aca="false">IF(H1548="Yes",B1548,"")</f>
        <v/>
      </c>
    </row>
    <row r="1549" customFormat="false" ht="15" hidden="false" customHeight="false" outlineLevel="0" collapsed="false">
      <c r="A1549" s="21" t="s">
        <v>2764</v>
      </c>
      <c r="B1549" s="21" t="s">
        <v>614</v>
      </c>
      <c r="C1549" s="21" t="s">
        <v>1187</v>
      </c>
      <c r="D1549" s="21" t="s">
        <v>1243</v>
      </c>
      <c r="E1549" s="33" t="n">
        <v>45627</v>
      </c>
      <c r="F1549" s="21" t="s">
        <v>1178</v>
      </c>
      <c r="G1549" s="32"/>
      <c r="H1549" s="21"/>
      <c r="I1549" s="33"/>
      <c r="J1549" s="21" t="str">
        <f aca="false">INDEX(Students!$C$2:$C$601,MATCH(B1549,Students!$A$2:$A$601,0))</f>
        <v>Batch 2025</v>
      </c>
      <c r="K1549" s="21" t="str">
        <f aca="false">INDEX(Students!$D$2:$D$601,MATCH(B1549,Students!$A$2:$A$601,0))</f>
        <v>Data Science &amp; ML</v>
      </c>
      <c r="L1549" s="21" t="str">
        <f aca="false">INDEX(Companies!$C$2:$C$31,MATCH(C1549,Companies!$A$2:$A$31,0))</f>
        <v>Product</v>
      </c>
      <c r="M1549" s="21" t="str">
        <f aca="false">INDEX(Companies!$D$2:$D$31,MATCH(C1549,Companies!$A$2:$A$31,0))</f>
        <v>Tier 1</v>
      </c>
      <c r="N1549" s="34" t="n">
        <f aca="false">MATCH(F1549,Assumptions!$K$4:$K$8,0)</f>
        <v>2</v>
      </c>
      <c r="O1549" s="21" t="str">
        <f aca="false">IF(H1549="Yes",MONTH(I1549),"")</f>
        <v/>
      </c>
      <c r="P1549" s="21" t="str">
        <f aca="false">IF(H1549="Yes",B1549,"")</f>
        <v/>
      </c>
    </row>
    <row r="1550" customFormat="false" ht="15" hidden="false" customHeight="false" outlineLevel="0" collapsed="false">
      <c r="A1550" s="21" t="s">
        <v>2765</v>
      </c>
      <c r="B1550" s="21" t="s">
        <v>559</v>
      </c>
      <c r="C1550" s="21" t="s">
        <v>1275</v>
      </c>
      <c r="D1550" s="21" t="s">
        <v>1194</v>
      </c>
      <c r="E1550" s="33" t="n">
        <v>45628</v>
      </c>
      <c r="F1550" s="21" t="s">
        <v>1178</v>
      </c>
      <c r="G1550" s="32"/>
      <c r="H1550" s="21"/>
      <c r="I1550" s="33"/>
      <c r="J1550" s="21" t="str">
        <f aca="false">INDEX(Students!$C$2:$C$601,MATCH(B1550,Students!$A$2:$A$601,0))</f>
        <v>Batch 2025</v>
      </c>
      <c r="K1550" s="21" t="str">
        <f aca="false">INDEX(Students!$D$2:$D$601,MATCH(B1550,Students!$A$2:$A$601,0))</f>
        <v>Data Science &amp; ML</v>
      </c>
      <c r="L1550" s="21" t="str">
        <f aca="false">INDEX(Companies!$C$2:$C$31,MATCH(C1550,Companies!$A$2:$A$31,0))</f>
        <v>Cybersecurity</v>
      </c>
      <c r="M1550" s="21" t="str">
        <f aca="false">INDEX(Companies!$D$2:$D$31,MATCH(C1550,Companies!$A$2:$A$31,0))</f>
        <v>Tier 2</v>
      </c>
      <c r="N1550" s="34" t="n">
        <f aca="false">MATCH(F1550,Assumptions!$K$4:$K$8,0)</f>
        <v>2</v>
      </c>
      <c r="O1550" s="21" t="str">
        <f aca="false">IF(H1550="Yes",MONTH(I1550),"")</f>
        <v/>
      </c>
      <c r="P1550" s="21" t="str">
        <f aca="false">IF(H1550="Yes",B1550,"")</f>
        <v/>
      </c>
    </row>
    <row r="1551" customFormat="false" ht="15" hidden="false" customHeight="false" outlineLevel="0" collapsed="false">
      <c r="A1551" s="21" t="s">
        <v>2766</v>
      </c>
      <c r="B1551" s="21" t="s">
        <v>544</v>
      </c>
      <c r="C1551" s="21" t="s">
        <v>1196</v>
      </c>
      <c r="D1551" s="21" t="s">
        <v>1243</v>
      </c>
      <c r="E1551" s="33" t="n">
        <v>45628</v>
      </c>
      <c r="F1551" s="21" t="s">
        <v>1178</v>
      </c>
      <c r="G1551" s="32"/>
      <c r="H1551" s="21"/>
      <c r="I1551" s="33"/>
      <c r="J1551" s="21" t="str">
        <f aca="false">INDEX(Students!$C$2:$C$601,MATCH(B1551,Students!$A$2:$A$601,0))</f>
        <v>Batch 2025</v>
      </c>
      <c r="K1551" s="21" t="str">
        <f aca="false">INDEX(Students!$D$2:$D$601,MATCH(B1551,Students!$A$2:$A$601,0))</f>
        <v>Data Science &amp; ML</v>
      </c>
      <c r="L1551" s="21" t="str">
        <f aca="false">INDEX(Companies!$C$2:$C$31,MATCH(C1551,Companies!$A$2:$A$31,0))</f>
        <v>IT Services</v>
      </c>
      <c r="M1551" s="21" t="str">
        <f aca="false">INDEX(Companies!$D$2:$D$31,MATCH(C1551,Companies!$A$2:$A$31,0))</f>
        <v>Tier 3</v>
      </c>
      <c r="N1551" s="34" t="n">
        <f aca="false">MATCH(F1551,Assumptions!$K$4:$K$8,0)</f>
        <v>2</v>
      </c>
      <c r="O1551" s="21" t="str">
        <f aca="false">IF(H1551="Yes",MONTH(I1551),"")</f>
        <v/>
      </c>
      <c r="P1551" s="21" t="str">
        <f aca="false">IF(H1551="Yes",B1551,"")</f>
        <v/>
      </c>
    </row>
    <row r="1552" customFormat="false" ht="15" hidden="false" customHeight="false" outlineLevel="0" collapsed="false">
      <c r="A1552" s="21" t="s">
        <v>2767</v>
      </c>
      <c r="B1552" s="21" t="s">
        <v>575</v>
      </c>
      <c r="C1552" s="21" t="s">
        <v>1234</v>
      </c>
      <c r="D1552" s="21" t="s">
        <v>1191</v>
      </c>
      <c r="E1552" s="33" t="n">
        <v>45628</v>
      </c>
      <c r="F1552" s="21" t="s">
        <v>1175</v>
      </c>
      <c r="G1552" s="32"/>
      <c r="H1552" s="21"/>
      <c r="I1552" s="33"/>
      <c r="J1552" s="21" t="str">
        <f aca="false">INDEX(Students!$C$2:$C$601,MATCH(B1552,Students!$A$2:$A$601,0))</f>
        <v>Batch 2025</v>
      </c>
      <c r="K1552" s="21" t="str">
        <f aca="false">INDEX(Students!$D$2:$D$601,MATCH(B1552,Students!$A$2:$A$601,0))</f>
        <v>DSA with Java</v>
      </c>
      <c r="L1552" s="21" t="str">
        <f aca="false">INDEX(Companies!$C$2:$C$31,MATCH(C1552,Companies!$A$2:$A$31,0))</f>
        <v>EdTech</v>
      </c>
      <c r="M1552" s="21" t="str">
        <f aca="false">INDEX(Companies!$D$2:$D$31,MATCH(C1552,Companies!$A$2:$A$31,0))</f>
        <v>Tier 3</v>
      </c>
      <c r="N1552" s="34" t="n">
        <f aca="false">MATCH(F1552,Assumptions!$K$4:$K$8,0)</f>
        <v>1</v>
      </c>
      <c r="O1552" s="21" t="str">
        <f aca="false">IF(H1552="Yes",MONTH(I1552),"")</f>
        <v/>
      </c>
      <c r="P1552" s="21" t="str">
        <f aca="false">IF(H1552="Yes",B1552,"")</f>
        <v/>
      </c>
    </row>
    <row r="1553" customFormat="false" ht="15" hidden="false" customHeight="false" outlineLevel="0" collapsed="false">
      <c r="A1553" s="21" t="s">
        <v>2768</v>
      </c>
      <c r="B1553" s="21" t="s">
        <v>776</v>
      </c>
      <c r="C1553" s="21" t="s">
        <v>1180</v>
      </c>
      <c r="D1553" s="21" t="s">
        <v>1209</v>
      </c>
      <c r="E1553" s="33" t="n">
        <v>45628</v>
      </c>
      <c r="F1553" s="21" t="s">
        <v>1185</v>
      </c>
      <c r="G1553" s="32" t="n">
        <v>5.1</v>
      </c>
      <c r="H1553" s="21" t="s">
        <v>120</v>
      </c>
      <c r="I1553" s="33" t="n">
        <v>45672</v>
      </c>
      <c r="J1553" s="21" t="str">
        <f aca="false">INDEX(Students!$C$2:$C$601,MATCH(B1553,Students!$A$2:$A$601,0))</f>
        <v>Batch 2025</v>
      </c>
      <c r="K1553" s="21" t="str">
        <f aca="false">INDEX(Students!$D$2:$D$601,MATCH(B1553,Students!$A$2:$A$601,0))</f>
        <v>Data Analytics</v>
      </c>
      <c r="L1553" s="21" t="str">
        <f aca="false">INDEX(Companies!$C$2:$C$31,MATCH(C1553,Companies!$A$2:$A$31,0))</f>
        <v>IT Services</v>
      </c>
      <c r="M1553" s="21" t="str">
        <f aca="false">INDEX(Companies!$D$2:$D$31,MATCH(C1553,Companies!$A$2:$A$31,0))</f>
        <v>Tier 3</v>
      </c>
      <c r="N1553" s="34" t="n">
        <f aca="false">MATCH(F1553,Assumptions!$K$4:$K$8,0)</f>
        <v>5</v>
      </c>
      <c r="O1553" s="21" t="n">
        <f aca="false">IF(H1553="Yes",MONTH(I1553),"")</f>
        <v>1</v>
      </c>
      <c r="P1553" s="21" t="str">
        <f aca="false">IF(H1553="Yes",B1553,"")</f>
        <v>S0363</v>
      </c>
    </row>
    <row r="1554" customFormat="false" ht="15" hidden="false" customHeight="false" outlineLevel="0" collapsed="false">
      <c r="A1554" s="21" t="s">
        <v>2769</v>
      </c>
      <c r="B1554" s="21" t="s">
        <v>476</v>
      </c>
      <c r="C1554" s="21" t="s">
        <v>1196</v>
      </c>
      <c r="D1554" s="21" t="s">
        <v>1174</v>
      </c>
      <c r="E1554" s="33" t="n">
        <v>45629</v>
      </c>
      <c r="F1554" s="21" t="s">
        <v>1185</v>
      </c>
      <c r="G1554" s="32" t="n">
        <v>8</v>
      </c>
      <c r="H1554" s="21" t="s">
        <v>113</v>
      </c>
      <c r="I1554" s="33" t="n">
        <v>45675</v>
      </c>
      <c r="J1554" s="21" t="str">
        <f aca="false">INDEX(Students!$C$2:$C$601,MATCH(B1554,Students!$A$2:$A$601,0))</f>
        <v>Batch 2025</v>
      </c>
      <c r="K1554" s="21" t="str">
        <f aca="false">INDEX(Students!$D$2:$D$601,MATCH(B1554,Students!$A$2:$A$601,0))</f>
        <v>Full Stack Development</v>
      </c>
      <c r="L1554" s="21" t="str">
        <f aca="false">INDEX(Companies!$C$2:$C$31,MATCH(C1554,Companies!$A$2:$A$31,0))</f>
        <v>IT Services</v>
      </c>
      <c r="M1554" s="21" t="str">
        <f aca="false">INDEX(Companies!$D$2:$D$31,MATCH(C1554,Companies!$A$2:$A$31,0))</f>
        <v>Tier 3</v>
      </c>
      <c r="N1554" s="34" t="n">
        <f aca="false">MATCH(F1554,Assumptions!$K$4:$K$8,0)</f>
        <v>5</v>
      </c>
      <c r="O1554" s="21" t="str">
        <f aca="false">IF(H1554="Yes",MONTH(I1554),"")</f>
        <v/>
      </c>
      <c r="P1554" s="21" t="str">
        <f aca="false">IF(H1554="Yes",B1554,"")</f>
        <v/>
      </c>
    </row>
    <row r="1555" customFormat="false" ht="15" hidden="false" customHeight="false" outlineLevel="0" collapsed="false">
      <c r="A1555" s="21" t="s">
        <v>2770</v>
      </c>
      <c r="B1555" s="21" t="s">
        <v>769</v>
      </c>
      <c r="C1555" s="21" t="s">
        <v>1263</v>
      </c>
      <c r="D1555" s="21" t="s">
        <v>1188</v>
      </c>
      <c r="E1555" s="33" t="n">
        <v>45629</v>
      </c>
      <c r="F1555" s="21" t="s">
        <v>1197</v>
      </c>
      <c r="G1555" s="32"/>
      <c r="H1555" s="21"/>
      <c r="I1555" s="33"/>
      <c r="J1555" s="21" t="str">
        <f aca="false">INDEX(Students!$C$2:$C$601,MATCH(B1555,Students!$A$2:$A$601,0))</f>
        <v>Batch 2025</v>
      </c>
      <c r="K1555" s="21" t="str">
        <f aca="false">INDEX(Students!$D$2:$D$601,MATCH(B1555,Students!$A$2:$A$601,0))</f>
        <v>Data Analytics</v>
      </c>
      <c r="L1555" s="21" t="str">
        <f aca="false">INDEX(Companies!$C$2:$C$31,MATCH(C1555,Companies!$A$2:$A$31,0))</f>
        <v>Analytics &amp; Consulting</v>
      </c>
      <c r="M1555" s="21" t="str">
        <f aca="false">INDEX(Companies!$D$2:$D$31,MATCH(C1555,Companies!$A$2:$A$31,0))</f>
        <v>Tier 2</v>
      </c>
      <c r="N1555" s="34" t="n">
        <f aca="false">MATCH(F1555,Assumptions!$K$4:$K$8,0)</f>
        <v>3</v>
      </c>
      <c r="O1555" s="21" t="str">
        <f aca="false">IF(H1555="Yes",MONTH(I1555),"")</f>
        <v/>
      </c>
      <c r="P1555" s="21" t="str">
        <f aca="false">IF(H1555="Yes",B1555,"")</f>
        <v/>
      </c>
    </row>
    <row r="1556" customFormat="false" ht="15" hidden="false" customHeight="false" outlineLevel="0" collapsed="false">
      <c r="A1556" s="21" t="s">
        <v>2771</v>
      </c>
      <c r="B1556" s="21" t="s">
        <v>651</v>
      </c>
      <c r="C1556" s="21" t="s">
        <v>1290</v>
      </c>
      <c r="D1556" s="21" t="s">
        <v>1226</v>
      </c>
      <c r="E1556" s="33" t="n">
        <v>45629</v>
      </c>
      <c r="F1556" s="21" t="s">
        <v>1185</v>
      </c>
      <c r="G1556" s="32" t="n">
        <v>11.6</v>
      </c>
      <c r="H1556" s="21" t="s">
        <v>120</v>
      </c>
      <c r="I1556" s="33" t="n">
        <v>45682</v>
      </c>
      <c r="J1556" s="21" t="str">
        <f aca="false">INDEX(Students!$C$2:$C$601,MATCH(B1556,Students!$A$2:$A$601,0))</f>
        <v>Batch 2025</v>
      </c>
      <c r="K1556" s="21" t="str">
        <f aca="false">INDEX(Students!$D$2:$D$601,MATCH(B1556,Students!$A$2:$A$601,0))</f>
        <v>Cybersecurity</v>
      </c>
      <c r="L1556" s="21" t="str">
        <f aca="false">INDEX(Companies!$C$2:$C$31,MATCH(C1556,Companies!$A$2:$A$31,0))</f>
        <v>Fintech</v>
      </c>
      <c r="M1556" s="21" t="str">
        <f aca="false">INDEX(Companies!$D$2:$D$31,MATCH(C1556,Companies!$A$2:$A$31,0))</f>
        <v>Tier 2</v>
      </c>
      <c r="N1556" s="34" t="n">
        <f aca="false">MATCH(F1556,Assumptions!$K$4:$K$8,0)</f>
        <v>5</v>
      </c>
      <c r="O1556" s="21" t="n">
        <f aca="false">IF(H1556="Yes",MONTH(I1556),"")</f>
        <v>1</v>
      </c>
      <c r="P1556" s="21" t="str">
        <f aca="false">IF(H1556="Yes",B1556,"")</f>
        <v>S0290</v>
      </c>
    </row>
    <row r="1557" customFormat="false" ht="15" hidden="false" customHeight="false" outlineLevel="0" collapsed="false">
      <c r="A1557" s="21" t="s">
        <v>2772</v>
      </c>
      <c r="B1557" s="21" t="s">
        <v>601</v>
      </c>
      <c r="C1557" s="21" t="s">
        <v>1239</v>
      </c>
      <c r="D1557" s="21" t="s">
        <v>1191</v>
      </c>
      <c r="E1557" s="33" t="n">
        <v>45629</v>
      </c>
      <c r="F1557" s="21" t="s">
        <v>1178</v>
      </c>
      <c r="G1557" s="32"/>
      <c r="H1557" s="21"/>
      <c r="I1557" s="33"/>
      <c r="J1557" s="21" t="str">
        <f aca="false">INDEX(Students!$C$2:$C$601,MATCH(B1557,Students!$A$2:$A$601,0))</f>
        <v>Batch 2025</v>
      </c>
      <c r="K1557" s="21" t="str">
        <f aca="false">INDEX(Students!$D$2:$D$601,MATCH(B1557,Students!$A$2:$A$601,0))</f>
        <v>DSA with Java</v>
      </c>
      <c r="L1557" s="21" t="str">
        <f aca="false">INDEX(Companies!$C$2:$C$31,MATCH(C1557,Companies!$A$2:$A$31,0))</f>
        <v>E-commerce</v>
      </c>
      <c r="M1557" s="21" t="str">
        <f aca="false">INDEX(Companies!$D$2:$D$31,MATCH(C1557,Companies!$A$2:$A$31,0))</f>
        <v>Tier 3</v>
      </c>
      <c r="N1557" s="34" t="n">
        <f aca="false">MATCH(F1557,Assumptions!$K$4:$K$8,0)</f>
        <v>2</v>
      </c>
      <c r="O1557" s="21" t="str">
        <f aca="false">IF(H1557="Yes",MONTH(I1557),"")</f>
        <v/>
      </c>
      <c r="P1557" s="21" t="str">
        <f aca="false">IF(H1557="Yes",B1557,"")</f>
        <v/>
      </c>
    </row>
    <row r="1558" customFormat="false" ht="15" hidden="false" customHeight="false" outlineLevel="0" collapsed="false">
      <c r="A1558" s="21" t="s">
        <v>2773</v>
      </c>
      <c r="B1558" s="21" t="s">
        <v>773</v>
      </c>
      <c r="C1558" s="21" t="s">
        <v>1205</v>
      </c>
      <c r="D1558" s="21" t="s">
        <v>1194</v>
      </c>
      <c r="E1558" s="33" t="n">
        <v>45630</v>
      </c>
      <c r="F1558" s="21" t="s">
        <v>1185</v>
      </c>
      <c r="G1558" s="32" t="n">
        <v>6.5</v>
      </c>
      <c r="H1558" s="21" t="s">
        <v>113</v>
      </c>
      <c r="I1558" s="33" t="n">
        <v>45664</v>
      </c>
      <c r="J1558" s="21" t="str">
        <f aca="false">INDEX(Students!$C$2:$C$601,MATCH(B1558,Students!$A$2:$A$601,0))</f>
        <v>Batch 2025</v>
      </c>
      <c r="K1558" s="21" t="str">
        <f aca="false">INDEX(Students!$D$2:$D$601,MATCH(B1558,Students!$A$2:$A$601,0))</f>
        <v>Data Science &amp; ML</v>
      </c>
      <c r="L1558" s="21" t="str">
        <f aca="false">INDEX(Companies!$C$2:$C$31,MATCH(C1558,Companies!$A$2:$A$31,0))</f>
        <v>Healthtech</v>
      </c>
      <c r="M1558" s="21" t="str">
        <f aca="false">INDEX(Companies!$D$2:$D$31,MATCH(C1558,Companies!$A$2:$A$31,0))</f>
        <v>Tier 3</v>
      </c>
      <c r="N1558" s="34" t="n">
        <f aca="false">MATCH(F1558,Assumptions!$K$4:$K$8,0)</f>
        <v>5</v>
      </c>
      <c r="O1558" s="21" t="str">
        <f aca="false">IF(H1558="Yes",MONTH(I1558),"")</f>
        <v/>
      </c>
      <c r="P1558" s="21" t="str">
        <f aca="false">IF(H1558="Yes",B1558,"")</f>
        <v/>
      </c>
    </row>
    <row r="1559" customFormat="false" ht="15" hidden="false" customHeight="false" outlineLevel="0" collapsed="false">
      <c r="A1559" s="21" t="s">
        <v>2774</v>
      </c>
      <c r="B1559" s="21" t="s">
        <v>728</v>
      </c>
      <c r="C1559" s="21" t="s">
        <v>1177</v>
      </c>
      <c r="D1559" s="21" t="s">
        <v>1194</v>
      </c>
      <c r="E1559" s="33" t="n">
        <v>45630</v>
      </c>
      <c r="F1559" s="21" t="s">
        <v>1218</v>
      </c>
      <c r="G1559" s="32"/>
      <c r="H1559" s="21"/>
      <c r="I1559" s="33"/>
      <c r="J1559" s="21" t="str">
        <f aca="false">INDEX(Students!$C$2:$C$601,MATCH(B1559,Students!$A$2:$A$601,0))</f>
        <v>Batch 2025</v>
      </c>
      <c r="K1559" s="21" t="str">
        <f aca="false">INDEX(Students!$D$2:$D$601,MATCH(B1559,Students!$A$2:$A$601,0))</f>
        <v>Data Science &amp; ML</v>
      </c>
      <c r="L1559" s="21" t="str">
        <f aca="false">INDEX(Companies!$C$2:$C$31,MATCH(C1559,Companies!$A$2:$A$31,0))</f>
        <v>IT Services</v>
      </c>
      <c r="M1559" s="21" t="str">
        <f aca="false">INDEX(Companies!$D$2:$D$31,MATCH(C1559,Companies!$A$2:$A$31,0))</f>
        <v>Tier 3</v>
      </c>
      <c r="N1559" s="34" t="n">
        <f aca="false">MATCH(F1559,Assumptions!$K$4:$K$8,0)</f>
        <v>4</v>
      </c>
      <c r="O1559" s="21" t="str">
        <f aca="false">IF(H1559="Yes",MONTH(I1559),"")</f>
        <v/>
      </c>
      <c r="P1559" s="21" t="str">
        <f aca="false">IF(H1559="Yes",B1559,"")</f>
        <v/>
      </c>
    </row>
    <row r="1560" customFormat="false" ht="15" hidden="false" customHeight="false" outlineLevel="0" collapsed="false">
      <c r="A1560" s="21" t="s">
        <v>2775</v>
      </c>
      <c r="B1560" s="21" t="s">
        <v>569</v>
      </c>
      <c r="C1560" s="21" t="s">
        <v>1290</v>
      </c>
      <c r="D1560" s="21" t="s">
        <v>1240</v>
      </c>
      <c r="E1560" s="33" t="n">
        <v>45630</v>
      </c>
      <c r="F1560" s="21" t="s">
        <v>1185</v>
      </c>
      <c r="G1560" s="32" t="n">
        <v>12.9</v>
      </c>
      <c r="H1560" s="21" t="s">
        <v>120</v>
      </c>
      <c r="I1560" s="33" t="n">
        <v>45654</v>
      </c>
      <c r="J1560" s="21" t="str">
        <f aca="false">INDEX(Students!$C$2:$C$601,MATCH(B1560,Students!$A$2:$A$601,0))</f>
        <v>Batch 2025</v>
      </c>
      <c r="K1560" s="21" t="str">
        <f aca="false">INDEX(Students!$D$2:$D$601,MATCH(B1560,Students!$A$2:$A$601,0))</f>
        <v>Cybersecurity</v>
      </c>
      <c r="L1560" s="21" t="str">
        <f aca="false">INDEX(Companies!$C$2:$C$31,MATCH(C1560,Companies!$A$2:$A$31,0))</f>
        <v>Fintech</v>
      </c>
      <c r="M1560" s="21" t="str">
        <f aca="false">INDEX(Companies!$D$2:$D$31,MATCH(C1560,Companies!$A$2:$A$31,0))</f>
        <v>Tier 2</v>
      </c>
      <c r="N1560" s="34" t="n">
        <f aca="false">MATCH(F1560,Assumptions!$K$4:$K$8,0)</f>
        <v>5</v>
      </c>
      <c r="O1560" s="21" t="n">
        <f aca="false">IF(H1560="Yes",MONTH(I1560),"")</f>
        <v>12</v>
      </c>
      <c r="P1560" s="21" t="str">
        <f aca="false">IF(H1560="Yes",B1560,"")</f>
        <v>S0244</v>
      </c>
    </row>
    <row r="1561" customFormat="false" ht="15" hidden="false" customHeight="false" outlineLevel="0" collapsed="false">
      <c r="A1561" s="21" t="s">
        <v>2776</v>
      </c>
      <c r="B1561" s="21" t="s">
        <v>794</v>
      </c>
      <c r="C1561" s="21" t="s">
        <v>1216</v>
      </c>
      <c r="D1561" s="21" t="s">
        <v>1194</v>
      </c>
      <c r="E1561" s="33" t="n">
        <v>45630</v>
      </c>
      <c r="F1561" s="21" t="s">
        <v>1178</v>
      </c>
      <c r="G1561" s="32"/>
      <c r="H1561" s="21"/>
      <c r="I1561" s="33"/>
      <c r="J1561" s="21" t="str">
        <f aca="false">INDEX(Students!$C$2:$C$601,MATCH(B1561,Students!$A$2:$A$601,0))</f>
        <v>Batch 2025</v>
      </c>
      <c r="K1561" s="21" t="str">
        <f aca="false">INDEX(Students!$D$2:$D$601,MATCH(B1561,Students!$A$2:$A$601,0))</f>
        <v>Data Science &amp; ML</v>
      </c>
      <c r="L1561" s="21" t="str">
        <f aca="false">INDEX(Companies!$C$2:$C$31,MATCH(C1561,Companies!$A$2:$A$31,0))</f>
        <v>IT Services</v>
      </c>
      <c r="M1561" s="21" t="str">
        <f aca="false">INDEX(Companies!$D$2:$D$31,MATCH(C1561,Companies!$A$2:$A$31,0))</f>
        <v>Tier 3</v>
      </c>
      <c r="N1561" s="34" t="n">
        <f aca="false">MATCH(F1561,Assumptions!$K$4:$K$8,0)</f>
        <v>2</v>
      </c>
      <c r="O1561" s="21" t="str">
        <f aca="false">IF(H1561="Yes",MONTH(I1561),"")</f>
        <v/>
      </c>
      <c r="P1561" s="21" t="str">
        <f aca="false">IF(H1561="Yes",B1561,"")</f>
        <v/>
      </c>
    </row>
    <row r="1562" customFormat="false" ht="15" hidden="false" customHeight="false" outlineLevel="0" collapsed="false">
      <c r="A1562" s="21" t="s">
        <v>2777</v>
      </c>
      <c r="B1562" s="21" t="s">
        <v>797</v>
      </c>
      <c r="C1562" s="21" t="s">
        <v>1266</v>
      </c>
      <c r="D1562" s="21" t="s">
        <v>1191</v>
      </c>
      <c r="E1562" s="33" t="n">
        <v>45630</v>
      </c>
      <c r="F1562" s="21" t="s">
        <v>1175</v>
      </c>
      <c r="G1562" s="32"/>
      <c r="H1562" s="21"/>
      <c r="I1562" s="33"/>
      <c r="J1562" s="21" t="str">
        <f aca="false">INDEX(Students!$C$2:$C$601,MATCH(B1562,Students!$A$2:$A$601,0))</f>
        <v>Batch 2025</v>
      </c>
      <c r="K1562" s="21" t="str">
        <f aca="false">INDEX(Students!$D$2:$D$601,MATCH(B1562,Students!$A$2:$A$601,0))</f>
        <v>DSA with Java</v>
      </c>
      <c r="L1562" s="21" t="str">
        <f aca="false">INDEX(Companies!$C$2:$C$31,MATCH(C1562,Companies!$A$2:$A$31,0))</f>
        <v>IT Services</v>
      </c>
      <c r="M1562" s="21" t="str">
        <f aca="false">INDEX(Companies!$D$2:$D$31,MATCH(C1562,Companies!$A$2:$A$31,0))</f>
        <v>Tier 3</v>
      </c>
      <c r="N1562" s="34" t="n">
        <f aca="false">MATCH(F1562,Assumptions!$K$4:$K$8,0)</f>
        <v>1</v>
      </c>
      <c r="O1562" s="21" t="str">
        <f aca="false">IF(H1562="Yes",MONTH(I1562),"")</f>
        <v/>
      </c>
      <c r="P1562" s="21" t="str">
        <f aca="false">IF(H1562="Yes",B1562,"")</f>
        <v/>
      </c>
    </row>
    <row r="1563" customFormat="false" ht="15" hidden="false" customHeight="false" outlineLevel="0" collapsed="false">
      <c r="A1563" s="21" t="s">
        <v>2778</v>
      </c>
      <c r="B1563" s="21" t="s">
        <v>637</v>
      </c>
      <c r="C1563" s="21" t="s">
        <v>1298</v>
      </c>
      <c r="D1563" s="21" t="s">
        <v>1209</v>
      </c>
      <c r="E1563" s="33" t="n">
        <v>45631</v>
      </c>
      <c r="F1563" s="21" t="s">
        <v>1175</v>
      </c>
      <c r="G1563" s="32"/>
      <c r="H1563" s="21"/>
      <c r="I1563" s="33"/>
      <c r="J1563" s="21" t="str">
        <f aca="false">INDEX(Students!$C$2:$C$601,MATCH(B1563,Students!$A$2:$A$601,0))</f>
        <v>Batch 2025</v>
      </c>
      <c r="K1563" s="21" t="str">
        <f aca="false">INDEX(Students!$D$2:$D$601,MATCH(B1563,Students!$A$2:$A$601,0))</f>
        <v>Data Analytics</v>
      </c>
      <c r="L1563" s="21" t="str">
        <f aca="false">INDEX(Companies!$C$2:$C$31,MATCH(C1563,Companies!$A$2:$A$31,0))</f>
        <v>Fintech</v>
      </c>
      <c r="M1563" s="21" t="str">
        <f aca="false">INDEX(Companies!$D$2:$D$31,MATCH(C1563,Companies!$A$2:$A$31,0))</f>
        <v>Tier 2</v>
      </c>
      <c r="N1563" s="34" t="n">
        <f aca="false">MATCH(F1563,Assumptions!$K$4:$K$8,0)</f>
        <v>1</v>
      </c>
      <c r="O1563" s="21" t="str">
        <f aca="false">IF(H1563="Yes",MONTH(I1563),"")</f>
        <v/>
      </c>
      <c r="P1563" s="21" t="str">
        <f aca="false">IF(H1563="Yes",B1563,"")</f>
        <v/>
      </c>
    </row>
    <row r="1564" customFormat="false" ht="15" hidden="false" customHeight="false" outlineLevel="0" collapsed="false">
      <c r="A1564" s="21" t="s">
        <v>2779</v>
      </c>
      <c r="B1564" s="21" t="s">
        <v>544</v>
      </c>
      <c r="C1564" s="21" t="s">
        <v>1222</v>
      </c>
      <c r="D1564" s="21" t="s">
        <v>1194</v>
      </c>
      <c r="E1564" s="33" t="n">
        <v>45631</v>
      </c>
      <c r="F1564" s="21" t="s">
        <v>1178</v>
      </c>
      <c r="G1564" s="32"/>
      <c r="H1564" s="21"/>
      <c r="I1564" s="33"/>
      <c r="J1564" s="21" t="str">
        <f aca="false">INDEX(Students!$C$2:$C$601,MATCH(B1564,Students!$A$2:$A$601,0))</f>
        <v>Batch 2025</v>
      </c>
      <c r="K1564" s="21" t="str">
        <f aca="false">INDEX(Students!$D$2:$D$601,MATCH(B1564,Students!$A$2:$A$601,0))</f>
        <v>Data Science &amp; ML</v>
      </c>
      <c r="L1564" s="21" t="str">
        <f aca="false">INDEX(Companies!$C$2:$C$31,MATCH(C1564,Companies!$A$2:$A$31,0))</f>
        <v>Product</v>
      </c>
      <c r="M1564" s="21" t="str">
        <f aca="false">INDEX(Companies!$D$2:$D$31,MATCH(C1564,Companies!$A$2:$A$31,0))</f>
        <v>Tier 2</v>
      </c>
      <c r="N1564" s="34" t="n">
        <f aca="false">MATCH(F1564,Assumptions!$K$4:$K$8,0)</f>
        <v>2</v>
      </c>
      <c r="O1564" s="21" t="str">
        <f aca="false">IF(H1564="Yes",MONTH(I1564),"")</f>
        <v/>
      </c>
      <c r="P1564" s="21" t="str">
        <f aca="false">IF(H1564="Yes",B1564,"")</f>
        <v/>
      </c>
    </row>
    <row r="1565" customFormat="false" ht="15" hidden="false" customHeight="false" outlineLevel="0" collapsed="false">
      <c r="A1565" s="21" t="s">
        <v>2780</v>
      </c>
      <c r="B1565" s="21" t="s">
        <v>755</v>
      </c>
      <c r="C1565" s="21" t="s">
        <v>1225</v>
      </c>
      <c r="D1565" s="21" t="s">
        <v>1209</v>
      </c>
      <c r="E1565" s="33" t="n">
        <v>45631</v>
      </c>
      <c r="F1565" s="21" t="s">
        <v>1175</v>
      </c>
      <c r="G1565" s="32"/>
      <c r="H1565" s="21"/>
      <c r="I1565" s="33"/>
      <c r="J1565" s="21" t="str">
        <f aca="false">INDEX(Students!$C$2:$C$601,MATCH(B1565,Students!$A$2:$A$601,0))</f>
        <v>Batch 2025</v>
      </c>
      <c r="K1565" s="21" t="str">
        <f aca="false">INDEX(Students!$D$2:$D$601,MATCH(B1565,Students!$A$2:$A$601,0))</f>
        <v>Data Analytics</v>
      </c>
      <c r="L1565" s="21" t="str">
        <f aca="false">INDEX(Companies!$C$2:$C$31,MATCH(C1565,Companies!$A$2:$A$31,0))</f>
        <v>EdTech</v>
      </c>
      <c r="M1565" s="21" t="str">
        <f aca="false">INDEX(Companies!$D$2:$D$31,MATCH(C1565,Companies!$A$2:$A$31,0))</f>
        <v>Tier 2</v>
      </c>
      <c r="N1565" s="34" t="n">
        <f aca="false">MATCH(F1565,Assumptions!$K$4:$K$8,0)</f>
        <v>1</v>
      </c>
      <c r="O1565" s="21" t="str">
        <f aca="false">IF(H1565="Yes",MONTH(I1565),"")</f>
        <v/>
      </c>
      <c r="P1565" s="21" t="str">
        <f aca="false">IF(H1565="Yes",B1565,"")</f>
        <v/>
      </c>
    </row>
    <row r="1566" customFormat="false" ht="15" hidden="false" customHeight="false" outlineLevel="0" collapsed="false">
      <c r="A1566" s="21" t="s">
        <v>2781</v>
      </c>
      <c r="B1566" s="21" t="s">
        <v>524</v>
      </c>
      <c r="C1566" s="21" t="s">
        <v>1290</v>
      </c>
      <c r="D1566" s="21" t="s">
        <v>1194</v>
      </c>
      <c r="E1566" s="33" t="n">
        <v>45631</v>
      </c>
      <c r="F1566" s="21" t="s">
        <v>1175</v>
      </c>
      <c r="G1566" s="32"/>
      <c r="H1566" s="21"/>
      <c r="I1566" s="33"/>
      <c r="J1566" s="21" t="str">
        <f aca="false">INDEX(Students!$C$2:$C$601,MATCH(B1566,Students!$A$2:$A$601,0))</f>
        <v>Batch 2025</v>
      </c>
      <c r="K1566" s="21" t="str">
        <f aca="false">INDEX(Students!$D$2:$D$601,MATCH(B1566,Students!$A$2:$A$601,0))</f>
        <v>Data Science &amp; ML</v>
      </c>
      <c r="L1566" s="21" t="str">
        <f aca="false">INDEX(Companies!$C$2:$C$31,MATCH(C1566,Companies!$A$2:$A$31,0))</f>
        <v>Fintech</v>
      </c>
      <c r="M1566" s="21" t="str">
        <f aca="false">INDEX(Companies!$D$2:$D$31,MATCH(C1566,Companies!$A$2:$A$31,0))</f>
        <v>Tier 2</v>
      </c>
      <c r="N1566" s="34" t="n">
        <f aca="false">MATCH(F1566,Assumptions!$K$4:$K$8,0)</f>
        <v>1</v>
      </c>
      <c r="O1566" s="21" t="str">
        <f aca="false">IF(H1566="Yes",MONTH(I1566),"")</f>
        <v/>
      </c>
      <c r="P1566" s="21" t="str">
        <f aca="false">IF(H1566="Yes",B1566,"")</f>
        <v/>
      </c>
    </row>
    <row r="1567" customFormat="false" ht="15" hidden="false" customHeight="false" outlineLevel="0" collapsed="false">
      <c r="A1567" s="21" t="s">
        <v>2782</v>
      </c>
      <c r="B1567" s="21" t="s">
        <v>776</v>
      </c>
      <c r="C1567" s="21" t="s">
        <v>1309</v>
      </c>
      <c r="D1567" s="21" t="s">
        <v>1188</v>
      </c>
      <c r="E1567" s="33" t="n">
        <v>45631</v>
      </c>
      <c r="F1567" s="21" t="s">
        <v>1175</v>
      </c>
      <c r="G1567" s="32"/>
      <c r="H1567" s="21"/>
      <c r="I1567" s="33"/>
      <c r="J1567" s="21" t="str">
        <f aca="false">INDEX(Students!$C$2:$C$601,MATCH(B1567,Students!$A$2:$A$601,0))</f>
        <v>Batch 2025</v>
      </c>
      <c r="K1567" s="21" t="str">
        <f aca="false">INDEX(Students!$D$2:$D$601,MATCH(B1567,Students!$A$2:$A$601,0))</f>
        <v>Data Analytics</v>
      </c>
      <c r="L1567" s="21" t="str">
        <f aca="false">INDEX(Companies!$C$2:$C$31,MATCH(C1567,Companies!$A$2:$A$31,0))</f>
        <v>EdTech</v>
      </c>
      <c r="M1567" s="21" t="str">
        <f aca="false">INDEX(Companies!$D$2:$D$31,MATCH(C1567,Companies!$A$2:$A$31,0))</f>
        <v>Tier 2</v>
      </c>
      <c r="N1567" s="34" t="n">
        <f aca="false">MATCH(F1567,Assumptions!$K$4:$K$8,0)</f>
        <v>1</v>
      </c>
      <c r="O1567" s="21" t="str">
        <f aca="false">IF(H1567="Yes",MONTH(I1567),"")</f>
        <v/>
      </c>
      <c r="P1567" s="21" t="str">
        <f aca="false">IF(H1567="Yes",B1567,"")</f>
        <v/>
      </c>
    </row>
    <row r="1568" customFormat="false" ht="15" hidden="false" customHeight="false" outlineLevel="0" collapsed="false">
      <c r="A1568" s="21" t="s">
        <v>2783</v>
      </c>
      <c r="B1568" s="21" t="s">
        <v>594</v>
      </c>
      <c r="C1568" s="21" t="s">
        <v>1193</v>
      </c>
      <c r="D1568" s="21" t="s">
        <v>1240</v>
      </c>
      <c r="E1568" s="33" t="n">
        <v>45631</v>
      </c>
      <c r="F1568" s="21" t="s">
        <v>1175</v>
      </c>
      <c r="G1568" s="32"/>
      <c r="H1568" s="21"/>
      <c r="I1568" s="33"/>
      <c r="J1568" s="21" t="str">
        <f aca="false">INDEX(Students!$C$2:$C$601,MATCH(B1568,Students!$A$2:$A$601,0))</f>
        <v>Batch 2025</v>
      </c>
      <c r="K1568" s="21" t="str">
        <f aca="false">INDEX(Students!$D$2:$D$601,MATCH(B1568,Students!$A$2:$A$601,0))</f>
        <v>Cybersecurity</v>
      </c>
      <c r="L1568" s="21" t="str">
        <f aca="false">INDEX(Companies!$C$2:$C$31,MATCH(C1568,Companies!$A$2:$A$31,0))</f>
        <v>Analytics &amp; Consulting</v>
      </c>
      <c r="M1568" s="21" t="str">
        <f aca="false">INDEX(Companies!$D$2:$D$31,MATCH(C1568,Companies!$A$2:$A$31,0))</f>
        <v>Tier 2</v>
      </c>
      <c r="N1568" s="34" t="n">
        <f aca="false">MATCH(F1568,Assumptions!$K$4:$K$8,0)</f>
        <v>1</v>
      </c>
      <c r="O1568" s="21" t="str">
        <f aca="false">IF(H1568="Yes",MONTH(I1568),"")</f>
        <v/>
      </c>
      <c r="P1568" s="21" t="str">
        <f aca="false">IF(H1568="Yes",B1568,"")</f>
        <v/>
      </c>
    </row>
    <row r="1569" customFormat="false" ht="15" hidden="false" customHeight="false" outlineLevel="0" collapsed="false">
      <c r="A1569" s="21" t="s">
        <v>2784</v>
      </c>
      <c r="B1569" s="21" t="s">
        <v>641</v>
      </c>
      <c r="C1569" s="21" t="s">
        <v>1203</v>
      </c>
      <c r="D1569" s="21" t="s">
        <v>1181</v>
      </c>
      <c r="E1569" s="33" t="n">
        <v>45632</v>
      </c>
      <c r="F1569" s="21" t="s">
        <v>1185</v>
      </c>
      <c r="G1569" s="32" t="n">
        <v>14</v>
      </c>
      <c r="H1569" s="21" t="s">
        <v>120</v>
      </c>
      <c r="I1569" s="33" t="n">
        <v>45675</v>
      </c>
      <c r="J1569" s="21" t="str">
        <f aca="false">INDEX(Students!$C$2:$C$601,MATCH(B1569,Students!$A$2:$A$601,0))</f>
        <v>Batch 2025</v>
      </c>
      <c r="K1569" s="21" t="str">
        <f aca="false">INDEX(Students!$D$2:$D$601,MATCH(B1569,Students!$A$2:$A$601,0))</f>
        <v>Full Stack Development</v>
      </c>
      <c r="L1569" s="21" t="str">
        <f aca="false">INDEX(Companies!$C$2:$C$31,MATCH(C1569,Companies!$A$2:$A$31,0))</f>
        <v>Healthtech</v>
      </c>
      <c r="M1569" s="21" t="str">
        <f aca="false">INDEX(Companies!$D$2:$D$31,MATCH(C1569,Companies!$A$2:$A$31,0))</f>
        <v>Tier 2</v>
      </c>
      <c r="N1569" s="34" t="n">
        <f aca="false">MATCH(F1569,Assumptions!$K$4:$K$8,0)</f>
        <v>5</v>
      </c>
      <c r="O1569" s="21" t="n">
        <f aca="false">IF(H1569="Yes",MONTH(I1569),"")</f>
        <v>1</v>
      </c>
      <c r="P1569" s="21" t="str">
        <f aca="false">IF(H1569="Yes",B1569,"")</f>
        <v>S0285</v>
      </c>
    </row>
    <row r="1570" customFormat="false" ht="15" hidden="false" customHeight="false" outlineLevel="0" collapsed="false">
      <c r="A1570" s="21" t="s">
        <v>2785</v>
      </c>
      <c r="B1570" s="21" t="s">
        <v>649</v>
      </c>
      <c r="C1570" s="21" t="s">
        <v>1190</v>
      </c>
      <c r="D1570" s="21" t="s">
        <v>1191</v>
      </c>
      <c r="E1570" s="33" t="n">
        <v>45632</v>
      </c>
      <c r="F1570" s="21" t="s">
        <v>1197</v>
      </c>
      <c r="G1570" s="32"/>
      <c r="H1570" s="21"/>
      <c r="I1570" s="33"/>
      <c r="J1570" s="21" t="str">
        <f aca="false">INDEX(Students!$C$2:$C$601,MATCH(B1570,Students!$A$2:$A$601,0))</f>
        <v>Batch 2025</v>
      </c>
      <c r="K1570" s="21" t="str">
        <f aca="false">INDEX(Students!$D$2:$D$601,MATCH(B1570,Students!$A$2:$A$601,0))</f>
        <v>DSA with Java</v>
      </c>
      <c r="L1570" s="21" t="str">
        <f aca="false">INDEX(Companies!$C$2:$C$31,MATCH(C1570,Companies!$A$2:$A$31,0))</f>
        <v>Analytics &amp; Consulting</v>
      </c>
      <c r="M1570" s="21" t="str">
        <f aca="false">INDEX(Companies!$D$2:$D$31,MATCH(C1570,Companies!$A$2:$A$31,0))</f>
        <v>Tier 1</v>
      </c>
      <c r="N1570" s="34" t="n">
        <f aca="false">MATCH(F1570,Assumptions!$K$4:$K$8,0)</f>
        <v>3</v>
      </c>
      <c r="O1570" s="21" t="str">
        <f aca="false">IF(H1570="Yes",MONTH(I1570),"")</f>
        <v/>
      </c>
      <c r="P1570" s="21" t="str">
        <f aca="false">IF(H1570="Yes",B1570,"")</f>
        <v/>
      </c>
    </row>
    <row r="1571" customFormat="false" ht="15" hidden="false" customHeight="false" outlineLevel="0" collapsed="false">
      <c r="A1571" s="21" t="s">
        <v>2786</v>
      </c>
      <c r="B1571" s="21" t="s">
        <v>482</v>
      </c>
      <c r="C1571" s="21" t="s">
        <v>1322</v>
      </c>
      <c r="D1571" s="21" t="s">
        <v>1209</v>
      </c>
      <c r="E1571" s="33" t="n">
        <v>45633</v>
      </c>
      <c r="F1571" s="21" t="s">
        <v>1175</v>
      </c>
      <c r="G1571" s="32"/>
      <c r="H1571" s="21"/>
      <c r="I1571" s="33"/>
      <c r="J1571" s="21" t="str">
        <f aca="false">INDEX(Students!$C$2:$C$601,MATCH(B1571,Students!$A$2:$A$601,0))</f>
        <v>Batch 2025</v>
      </c>
      <c r="K1571" s="21" t="str">
        <f aca="false">INDEX(Students!$D$2:$D$601,MATCH(B1571,Students!$A$2:$A$601,0))</f>
        <v>Data Analytics</v>
      </c>
      <c r="L1571" s="21" t="str">
        <f aca="false">INDEX(Companies!$C$2:$C$31,MATCH(C1571,Companies!$A$2:$A$31,0))</f>
        <v>Healthtech</v>
      </c>
      <c r="M1571" s="21" t="str">
        <f aca="false">INDEX(Companies!$D$2:$D$31,MATCH(C1571,Companies!$A$2:$A$31,0))</f>
        <v>Tier 2</v>
      </c>
      <c r="N1571" s="34" t="n">
        <f aca="false">MATCH(F1571,Assumptions!$K$4:$K$8,0)</f>
        <v>1</v>
      </c>
      <c r="O1571" s="21" t="str">
        <f aca="false">IF(H1571="Yes",MONTH(I1571),"")</f>
        <v/>
      </c>
      <c r="P1571" s="21" t="str">
        <f aca="false">IF(H1571="Yes",B1571,"")</f>
        <v/>
      </c>
    </row>
    <row r="1572" customFormat="false" ht="15" hidden="false" customHeight="false" outlineLevel="0" collapsed="false">
      <c r="A1572" s="21" t="s">
        <v>2787</v>
      </c>
      <c r="B1572" s="21" t="s">
        <v>703</v>
      </c>
      <c r="C1572" s="21" t="s">
        <v>1201</v>
      </c>
      <c r="D1572" s="21" t="s">
        <v>1243</v>
      </c>
      <c r="E1572" s="33" t="n">
        <v>45633</v>
      </c>
      <c r="F1572" s="21" t="s">
        <v>1185</v>
      </c>
      <c r="G1572" s="32" t="n">
        <v>6.5</v>
      </c>
      <c r="H1572" s="21" t="s">
        <v>113</v>
      </c>
      <c r="I1572" s="33" t="n">
        <v>45679</v>
      </c>
      <c r="J1572" s="21" t="str">
        <f aca="false">INDEX(Students!$C$2:$C$601,MATCH(B1572,Students!$A$2:$A$601,0))</f>
        <v>Batch 2025</v>
      </c>
      <c r="K1572" s="21" t="str">
        <f aca="false">INDEX(Students!$D$2:$D$601,MATCH(B1572,Students!$A$2:$A$601,0))</f>
        <v>Data Science &amp; ML</v>
      </c>
      <c r="L1572" s="21" t="str">
        <f aca="false">INDEX(Companies!$C$2:$C$31,MATCH(C1572,Companies!$A$2:$A$31,0))</f>
        <v>IT Services</v>
      </c>
      <c r="M1572" s="21" t="str">
        <f aca="false">INDEX(Companies!$D$2:$D$31,MATCH(C1572,Companies!$A$2:$A$31,0))</f>
        <v>Tier 3</v>
      </c>
      <c r="N1572" s="34" t="n">
        <f aca="false">MATCH(F1572,Assumptions!$K$4:$K$8,0)</f>
        <v>5</v>
      </c>
      <c r="O1572" s="21" t="str">
        <f aca="false">IF(H1572="Yes",MONTH(I1572),"")</f>
        <v/>
      </c>
      <c r="P1572" s="21" t="str">
        <f aca="false">IF(H1572="Yes",B1572,"")</f>
        <v/>
      </c>
    </row>
    <row r="1573" customFormat="false" ht="15" hidden="false" customHeight="false" outlineLevel="0" collapsed="false">
      <c r="A1573" s="21" t="s">
        <v>2788</v>
      </c>
      <c r="B1573" s="21" t="s">
        <v>590</v>
      </c>
      <c r="C1573" s="21" t="s">
        <v>1173</v>
      </c>
      <c r="D1573" s="21" t="s">
        <v>1209</v>
      </c>
      <c r="E1573" s="33" t="n">
        <v>45633</v>
      </c>
      <c r="F1573" s="21" t="s">
        <v>1175</v>
      </c>
      <c r="G1573" s="32"/>
      <c r="H1573" s="21"/>
      <c r="I1573" s="33"/>
      <c r="J1573" s="21" t="str">
        <f aca="false">INDEX(Students!$C$2:$C$601,MATCH(B1573,Students!$A$2:$A$601,0))</f>
        <v>Batch 2025</v>
      </c>
      <c r="K1573" s="21" t="str">
        <f aca="false">INDEX(Students!$D$2:$D$601,MATCH(B1573,Students!$A$2:$A$601,0))</f>
        <v>Data Analytics</v>
      </c>
      <c r="L1573" s="21" t="str">
        <f aca="false">INDEX(Companies!$C$2:$C$31,MATCH(C1573,Companies!$A$2:$A$31,0))</f>
        <v>Cybersecurity</v>
      </c>
      <c r="M1573" s="21" t="str">
        <f aca="false">INDEX(Companies!$D$2:$D$31,MATCH(C1573,Companies!$A$2:$A$31,0))</f>
        <v>Tier 1</v>
      </c>
      <c r="N1573" s="34" t="n">
        <f aca="false">MATCH(F1573,Assumptions!$K$4:$K$8,0)</f>
        <v>1</v>
      </c>
      <c r="O1573" s="21" t="str">
        <f aca="false">IF(H1573="Yes",MONTH(I1573),"")</f>
        <v/>
      </c>
      <c r="P1573" s="21" t="str">
        <f aca="false">IF(H1573="Yes",B1573,"")</f>
        <v/>
      </c>
    </row>
    <row r="1574" customFormat="false" ht="15" hidden="false" customHeight="false" outlineLevel="0" collapsed="false">
      <c r="A1574" s="21" t="s">
        <v>2789</v>
      </c>
      <c r="B1574" s="21" t="s">
        <v>472</v>
      </c>
      <c r="C1574" s="21" t="s">
        <v>1211</v>
      </c>
      <c r="D1574" s="21" t="s">
        <v>1194</v>
      </c>
      <c r="E1574" s="33" t="n">
        <v>45633</v>
      </c>
      <c r="F1574" s="21" t="s">
        <v>1175</v>
      </c>
      <c r="G1574" s="32"/>
      <c r="H1574" s="21"/>
      <c r="I1574" s="33"/>
      <c r="J1574" s="21" t="str">
        <f aca="false">INDEX(Students!$C$2:$C$601,MATCH(B1574,Students!$A$2:$A$601,0))</f>
        <v>Batch 2025</v>
      </c>
      <c r="K1574" s="21" t="str">
        <f aca="false">INDEX(Students!$D$2:$D$601,MATCH(B1574,Students!$A$2:$A$601,0))</f>
        <v>Data Science &amp; ML</v>
      </c>
      <c r="L1574" s="21" t="str">
        <f aca="false">INDEX(Companies!$C$2:$C$31,MATCH(C1574,Companies!$A$2:$A$31,0))</f>
        <v>Analytics &amp; Consulting</v>
      </c>
      <c r="M1574" s="21" t="str">
        <f aca="false">INDEX(Companies!$D$2:$D$31,MATCH(C1574,Companies!$A$2:$A$31,0))</f>
        <v>Tier 3</v>
      </c>
      <c r="N1574" s="34" t="n">
        <f aca="false">MATCH(F1574,Assumptions!$K$4:$K$8,0)</f>
        <v>1</v>
      </c>
      <c r="O1574" s="21" t="str">
        <f aca="false">IF(H1574="Yes",MONTH(I1574),"")</f>
        <v/>
      </c>
      <c r="P1574" s="21" t="str">
        <f aca="false">IF(H1574="Yes",B1574,"")</f>
        <v/>
      </c>
    </row>
    <row r="1575" customFormat="false" ht="15" hidden="false" customHeight="false" outlineLevel="0" collapsed="false">
      <c r="A1575" s="21" t="s">
        <v>2790</v>
      </c>
      <c r="B1575" s="21" t="s">
        <v>501</v>
      </c>
      <c r="C1575" s="21" t="s">
        <v>1275</v>
      </c>
      <c r="D1575" s="21" t="s">
        <v>1191</v>
      </c>
      <c r="E1575" s="33" t="n">
        <v>45633</v>
      </c>
      <c r="F1575" s="21" t="s">
        <v>1175</v>
      </c>
      <c r="G1575" s="32"/>
      <c r="H1575" s="21"/>
      <c r="I1575" s="33"/>
      <c r="J1575" s="21" t="str">
        <f aca="false">INDEX(Students!$C$2:$C$601,MATCH(B1575,Students!$A$2:$A$601,0))</f>
        <v>Batch 2025</v>
      </c>
      <c r="K1575" s="21" t="str">
        <f aca="false">INDEX(Students!$D$2:$D$601,MATCH(B1575,Students!$A$2:$A$601,0))</f>
        <v>DSA with Java</v>
      </c>
      <c r="L1575" s="21" t="str">
        <f aca="false">INDEX(Companies!$C$2:$C$31,MATCH(C1575,Companies!$A$2:$A$31,0))</f>
        <v>Cybersecurity</v>
      </c>
      <c r="M1575" s="21" t="str">
        <f aca="false">INDEX(Companies!$D$2:$D$31,MATCH(C1575,Companies!$A$2:$A$31,0))</f>
        <v>Tier 2</v>
      </c>
      <c r="N1575" s="34" t="n">
        <f aca="false">MATCH(F1575,Assumptions!$K$4:$K$8,0)</f>
        <v>1</v>
      </c>
      <c r="O1575" s="21" t="str">
        <f aca="false">IF(H1575="Yes",MONTH(I1575),"")</f>
        <v/>
      </c>
      <c r="P1575" s="21" t="str">
        <f aca="false">IF(H1575="Yes",B1575,"")</f>
        <v/>
      </c>
    </row>
    <row r="1576" customFormat="false" ht="15" hidden="false" customHeight="false" outlineLevel="0" collapsed="false">
      <c r="A1576" s="21" t="s">
        <v>2791</v>
      </c>
      <c r="B1576" s="21" t="s">
        <v>526</v>
      </c>
      <c r="C1576" s="21" t="s">
        <v>1230</v>
      </c>
      <c r="D1576" s="21" t="s">
        <v>1184</v>
      </c>
      <c r="E1576" s="33" t="n">
        <v>45633</v>
      </c>
      <c r="F1576" s="21" t="s">
        <v>1218</v>
      </c>
      <c r="G1576" s="32"/>
      <c r="H1576" s="21"/>
      <c r="I1576" s="33"/>
      <c r="J1576" s="21" t="str">
        <f aca="false">INDEX(Students!$C$2:$C$601,MATCH(B1576,Students!$A$2:$A$601,0))</f>
        <v>Batch 2025</v>
      </c>
      <c r="K1576" s="21" t="str">
        <f aca="false">INDEX(Students!$D$2:$D$601,MATCH(B1576,Students!$A$2:$A$601,0))</f>
        <v>DSA with Java</v>
      </c>
      <c r="L1576" s="21" t="str">
        <f aca="false">INDEX(Companies!$C$2:$C$31,MATCH(C1576,Companies!$A$2:$A$31,0))</f>
        <v>IT Services</v>
      </c>
      <c r="M1576" s="21" t="str">
        <f aca="false">INDEX(Companies!$D$2:$D$31,MATCH(C1576,Companies!$A$2:$A$31,0))</f>
        <v>Tier 3</v>
      </c>
      <c r="N1576" s="34" t="n">
        <f aca="false">MATCH(F1576,Assumptions!$K$4:$K$8,0)</f>
        <v>4</v>
      </c>
      <c r="O1576" s="21" t="str">
        <f aca="false">IF(H1576="Yes",MONTH(I1576),"")</f>
        <v/>
      </c>
      <c r="P1576" s="21" t="str">
        <f aca="false">IF(H1576="Yes",B1576,"")</f>
        <v/>
      </c>
    </row>
    <row r="1577" customFormat="false" ht="15" hidden="false" customHeight="false" outlineLevel="0" collapsed="false">
      <c r="A1577" s="21" t="s">
        <v>2792</v>
      </c>
      <c r="B1577" s="21" t="s">
        <v>732</v>
      </c>
      <c r="C1577" s="21" t="s">
        <v>1290</v>
      </c>
      <c r="D1577" s="21" t="s">
        <v>1194</v>
      </c>
      <c r="E1577" s="33" t="n">
        <v>45633</v>
      </c>
      <c r="F1577" s="21" t="s">
        <v>1175</v>
      </c>
      <c r="G1577" s="32"/>
      <c r="H1577" s="21"/>
      <c r="I1577" s="33"/>
      <c r="J1577" s="21" t="str">
        <f aca="false">INDEX(Students!$C$2:$C$601,MATCH(B1577,Students!$A$2:$A$601,0))</f>
        <v>Batch 2025</v>
      </c>
      <c r="K1577" s="21" t="str">
        <f aca="false">INDEX(Students!$D$2:$D$601,MATCH(B1577,Students!$A$2:$A$601,0))</f>
        <v>Data Science &amp; ML</v>
      </c>
      <c r="L1577" s="21" t="str">
        <f aca="false">INDEX(Companies!$C$2:$C$31,MATCH(C1577,Companies!$A$2:$A$31,0))</f>
        <v>Fintech</v>
      </c>
      <c r="M1577" s="21" t="str">
        <f aca="false">INDEX(Companies!$D$2:$D$31,MATCH(C1577,Companies!$A$2:$A$31,0))</f>
        <v>Tier 2</v>
      </c>
      <c r="N1577" s="34" t="n">
        <f aca="false">MATCH(F1577,Assumptions!$K$4:$K$8,0)</f>
        <v>1</v>
      </c>
      <c r="O1577" s="21" t="str">
        <f aca="false">IF(H1577="Yes",MONTH(I1577),"")</f>
        <v/>
      </c>
      <c r="P1577" s="21" t="str">
        <f aca="false">IF(H1577="Yes",B1577,"")</f>
        <v/>
      </c>
    </row>
    <row r="1578" customFormat="false" ht="15" hidden="false" customHeight="false" outlineLevel="0" collapsed="false">
      <c r="A1578" s="21" t="s">
        <v>2793</v>
      </c>
      <c r="B1578" s="21" t="s">
        <v>752</v>
      </c>
      <c r="C1578" s="21" t="s">
        <v>1266</v>
      </c>
      <c r="D1578" s="21" t="s">
        <v>1191</v>
      </c>
      <c r="E1578" s="33" t="n">
        <v>45633</v>
      </c>
      <c r="F1578" s="21" t="s">
        <v>1175</v>
      </c>
      <c r="G1578" s="32"/>
      <c r="H1578" s="21"/>
      <c r="I1578" s="33"/>
      <c r="J1578" s="21" t="str">
        <f aca="false">INDEX(Students!$C$2:$C$601,MATCH(B1578,Students!$A$2:$A$601,0))</f>
        <v>Batch 2025</v>
      </c>
      <c r="K1578" s="21" t="str">
        <f aca="false">INDEX(Students!$D$2:$D$601,MATCH(B1578,Students!$A$2:$A$601,0))</f>
        <v>DSA with Java</v>
      </c>
      <c r="L1578" s="21" t="str">
        <f aca="false">INDEX(Companies!$C$2:$C$31,MATCH(C1578,Companies!$A$2:$A$31,0))</f>
        <v>IT Services</v>
      </c>
      <c r="M1578" s="21" t="str">
        <f aca="false">INDEX(Companies!$D$2:$D$31,MATCH(C1578,Companies!$A$2:$A$31,0))</f>
        <v>Tier 3</v>
      </c>
      <c r="N1578" s="34" t="n">
        <f aca="false">MATCH(F1578,Assumptions!$K$4:$K$8,0)</f>
        <v>1</v>
      </c>
      <c r="O1578" s="21" t="str">
        <f aca="false">IF(H1578="Yes",MONTH(I1578),"")</f>
        <v/>
      </c>
      <c r="P1578" s="21" t="str">
        <f aca="false">IF(H1578="Yes",B1578,"")</f>
        <v/>
      </c>
    </row>
    <row r="1579" customFormat="false" ht="15" hidden="false" customHeight="false" outlineLevel="0" collapsed="false">
      <c r="A1579" s="21" t="s">
        <v>2794</v>
      </c>
      <c r="B1579" s="21" t="s">
        <v>696</v>
      </c>
      <c r="C1579" s="21" t="s">
        <v>1230</v>
      </c>
      <c r="D1579" s="21" t="s">
        <v>1226</v>
      </c>
      <c r="E1579" s="33" t="n">
        <v>45634</v>
      </c>
      <c r="F1579" s="21" t="s">
        <v>1175</v>
      </c>
      <c r="G1579" s="32"/>
      <c r="H1579" s="21"/>
      <c r="I1579" s="33"/>
      <c r="J1579" s="21" t="str">
        <f aca="false">INDEX(Students!$C$2:$C$601,MATCH(B1579,Students!$A$2:$A$601,0))</f>
        <v>Batch 2025</v>
      </c>
      <c r="K1579" s="21" t="str">
        <f aca="false">INDEX(Students!$D$2:$D$601,MATCH(B1579,Students!$A$2:$A$601,0))</f>
        <v>Cybersecurity</v>
      </c>
      <c r="L1579" s="21" t="str">
        <f aca="false">INDEX(Companies!$C$2:$C$31,MATCH(C1579,Companies!$A$2:$A$31,0))</f>
        <v>IT Services</v>
      </c>
      <c r="M1579" s="21" t="str">
        <f aca="false">INDEX(Companies!$D$2:$D$31,MATCH(C1579,Companies!$A$2:$A$31,0))</f>
        <v>Tier 3</v>
      </c>
      <c r="N1579" s="34" t="n">
        <f aca="false">MATCH(F1579,Assumptions!$K$4:$K$8,0)</f>
        <v>1</v>
      </c>
      <c r="O1579" s="21" t="str">
        <f aca="false">IF(H1579="Yes",MONTH(I1579),"")</f>
        <v/>
      </c>
      <c r="P1579" s="21" t="str">
        <f aca="false">IF(H1579="Yes",B1579,"")</f>
        <v/>
      </c>
    </row>
    <row r="1580" customFormat="false" ht="15" hidden="false" customHeight="false" outlineLevel="0" collapsed="false">
      <c r="A1580" s="21" t="s">
        <v>2795</v>
      </c>
      <c r="B1580" s="21" t="s">
        <v>624</v>
      </c>
      <c r="C1580" s="21" t="s">
        <v>1263</v>
      </c>
      <c r="D1580" s="21" t="s">
        <v>1184</v>
      </c>
      <c r="E1580" s="33" t="n">
        <v>45634</v>
      </c>
      <c r="F1580" s="21" t="s">
        <v>1175</v>
      </c>
      <c r="G1580" s="32"/>
      <c r="H1580" s="21"/>
      <c r="I1580" s="33"/>
      <c r="J1580" s="21" t="str">
        <f aca="false">INDEX(Students!$C$2:$C$601,MATCH(B1580,Students!$A$2:$A$601,0))</f>
        <v>Batch 2025</v>
      </c>
      <c r="K1580" s="21" t="str">
        <f aca="false">INDEX(Students!$D$2:$D$601,MATCH(B1580,Students!$A$2:$A$601,0))</f>
        <v>DSA with Java</v>
      </c>
      <c r="L1580" s="21" t="str">
        <f aca="false">INDEX(Companies!$C$2:$C$31,MATCH(C1580,Companies!$A$2:$A$31,0))</f>
        <v>Analytics &amp; Consulting</v>
      </c>
      <c r="M1580" s="21" t="str">
        <f aca="false">INDEX(Companies!$D$2:$D$31,MATCH(C1580,Companies!$A$2:$A$31,0))</f>
        <v>Tier 2</v>
      </c>
      <c r="N1580" s="34" t="n">
        <f aca="false">MATCH(F1580,Assumptions!$K$4:$K$8,0)</f>
        <v>1</v>
      </c>
      <c r="O1580" s="21" t="str">
        <f aca="false">IF(H1580="Yes",MONTH(I1580),"")</f>
        <v/>
      </c>
      <c r="P1580" s="21" t="str">
        <f aca="false">IF(H1580="Yes",B1580,"")</f>
        <v/>
      </c>
    </row>
    <row r="1581" customFormat="false" ht="15" hidden="false" customHeight="false" outlineLevel="0" collapsed="false">
      <c r="A1581" s="21" t="s">
        <v>2796</v>
      </c>
      <c r="B1581" s="21" t="s">
        <v>728</v>
      </c>
      <c r="C1581" s="21" t="s">
        <v>1225</v>
      </c>
      <c r="D1581" s="21" t="s">
        <v>1243</v>
      </c>
      <c r="E1581" s="33" t="n">
        <v>45634</v>
      </c>
      <c r="F1581" s="21" t="s">
        <v>1197</v>
      </c>
      <c r="G1581" s="32"/>
      <c r="H1581" s="21"/>
      <c r="I1581" s="33"/>
      <c r="J1581" s="21" t="str">
        <f aca="false">INDEX(Students!$C$2:$C$601,MATCH(B1581,Students!$A$2:$A$601,0))</f>
        <v>Batch 2025</v>
      </c>
      <c r="K1581" s="21" t="str">
        <f aca="false">INDEX(Students!$D$2:$D$601,MATCH(B1581,Students!$A$2:$A$601,0))</f>
        <v>Data Science &amp; ML</v>
      </c>
      <c r="L1581" s="21" t="str">
        <f aca="false">INDEX(Companies!$C$2:$C$31,MATCH(C1581,Companies!$A$2:$A$31,0))</f>
        <v>EdTech</v>
      </c>
      <c r="M1581" s="21" t="str">
        <f aca="false">INDEX(Companies!$D$2:$D$31,MATCH(C1581,Companies!$A$2:$A$31,0))</f>
        <v>Tier 2</v>
      </c>
      <c r="N1581" s="34" t="n">
        <f aca="false">MATCH(F1581,Assumptions!$K$4:$K$8,0)</f>
        <v>3</v>
      </c>
      <c r="O1581" s="21" t="str">
        <f aca="false">IF(H1581="Yes",MONTH(I1581),"")</f>
        <v/>
      </c>
      <c r="P1581" s="21" t="str">
        <f aca="false">IF(H1581="Yes",B1581,"")</f>
        <v/>
      </c>
    </row>
    <row r="1582" customFormat="false" ht="15" hidden="false" customHeight="false" outlineLevel="0" collapsed="false">
      <c r="A1582" s="21" t="s">
        <v>2797</v>
      </c>
      <c r="B1582" s="21" t="s">
        <v>773</v>
      </c>
      <c r="C1582" s="21" t="s">
        <v>1230</v>
      </c>
      <c r="D1582" s="21" t="s">
        <v>1243</v>
      </c>
      <c r="E1582" s="33" t="n">
        <v>45634</v>
      </c>
      <c r="F1582" s="21" t="s">
        <v>1175</v>
      </c>
      <c r="G1582" s="32"/>
      <c r="H1582" s="21"/>
      <c r="I1582" s="33"/>
      <c r="J1582" s="21" t="str">
        <f aca="false">INDEX(Students!$C$2:$C$601,MATCH(B1582,Students!$A$2:$A$601,0))</f>
        <v>Batch 2025</v>
      </c>
      <c r="K1582" s="21" t="str">
        <f aca="false">INDEX(Students!$D$2:$D$601,MATCH(B1582,Students!$A$2:$A$601,0))</f>
        <v>Data Science &amp; ML</v>
      </c>
      <c r="L1582" s="21" t="str">
        <f aca="false">INDEX(Companies!$C$2:$C$31,MATCH(C1582,Companies!$A$2:$A$31,0))</f>
        <v>IT Services</v>
      </c>
      <c r="M1582" s="21" t="str">
        <f aca="false">INDEX(Companies!$D$2:$D$31,MATCH(C1582,Companies!$A$2:$A$31,0))</f>
        <v>Tier 3</v>
      </c>
      <c r="N1582" s="34" t="n">
        <f aca="false">MATCH(F1582,Assumptions!$K$4:$K$8,0)</f>
        <v>1</v>
      </c>
      <c r="O1582" s="21" t="str">
        <f aca="false">IF(H1582="Yes",MONTH(I1582),"")</f>
        <v/>
      </c>
      <c r="P1582" s="21" t="str">
        <f aca="false">IF(H1582="Yes",B1582,"")</f>
        <v/>
      </c>
    </row>
    <row r="1583" customFormat="false" ht="15" hidden="false" customHeight="false" outlineLevel="0" collapsed="false">
      <c r="A1583" s="21" t="s">
        <v>2798</v>
      </c>
      <c r="B1583" s="21" t="s">
        <v>747</v>
      </c>
      <c r="C1583" s="21" t="s">
        <v>1230</v>
      </c>
      <c r="D1583" s="21" t="s">
        <v>1191</v>
      </c>
      <c r="E1583" s="33" t="n">
        <v>45634</v>
      </c>
      <c r="F1583" s="21" t="s">
        <v>1175</v>
      </c>
      <c r="G1583" s="32"/>
      <c r="H1583" s="21"/>
      <c r="I1583" s="33"/>
      <c r="J1583" s="21" t="str">
        <f aca="false">INDEX(Students!$C$2:$C$601,MATCH(B1583,Students!$A$2:$A$601,0))</f>
        <v>Batch 2025</v>
      </c>
      <c r="K1583" s="21" t="str">
        <f aca="false">INDEX(Students!$D$2:$D$601,MATCH(B1583,Students!$A$2:$A$601,0))</f>
        <v>DSA with Java</v>
      </c>
      <c r="L1583" s="21" t="str">
        <f aca="false">INDEX(Companies!$C$2:$C$31,MATCH(C1583,Companies!$A$2:$A$31,0))</f>
        <v>IT Services</v>
      </c>
      <c r="M1583" s="21" t="str">
        <f aca="false">INDEX(Companies!$D$2:$D$31,MATCH(C1583,Companies!$A$2:$A$31,0))</f>
        <v>Tier 3</v>
      </c>
      <c r="N1583" s="34" t="n">
        <f aca="false">MATCH(F1583,Assumptions!$K$4:$K$8,0)</f>
        <v>1</v>
      </c>
      <c r="O1583" s="21" t="str">
        <f aca="false">IF(H1583="Yes",MONTH(I1583),"")</f>
        <v/>
      </c>
      <c r="P1583" s="21" t="str">
        <f aca="false">IF(H1583="Yes",B1583,"")</f>
        <v/>
      </c>
    </row>
    <row r="1584" customFormat="false" ht="15" hidden="false" customHeight="false" outlineLevel="0" collapsed="false">
      <c r="A1584" s="21" t="s">
        <v>2799</v>
      </c>
      <c r="B1584" s="21" t="s">
        <v>772</v>
      </c>
      <c r="C1584" s="21" t="s">
        <v>1266</v>
      </c>
      <c r="D1584" s="21" t="s">
        <v>1243</v>
      </c>
      <c r="E1584" s="33" t="n">
        <v>45635</v>
      </c>
      <c r="F1584" s="21" t="s">
        <v>1175</v>
      </c>
      <c r="G1584" s="32"/>
      <c r="H1584" s="21"/>
      <c r="I1584" s="33"/>
      <c r="J1584" s="21" t="str">
        <f aca="false">INDEX(Students!$C$2:$C$601,MATCH(B1584,Students!$A$2:$A$601,0))</f>
        <v>Batch 2025</v>
      </c>
      <c r="K1584" s="21" t="str">
        <f aca="false">INDEX(Students!$D$2:$D$601,MATCH(B1584,Students!$A$2:$A$601,0))</f>
        <v>Data Science &amp; ML</v>
      </c>
      <c r="L1584" s="21" t="str">
        <f aca="false">INDEX(Companies!$C$2:$C$31,MATCH(C1584,Companies!$A$2:$A$31,0))</f>
        <v>IT Services</v>
      </c>
      <c r="M1584" s="21" t="str">
        <f aca="false">INDEX(Companies!$D$2:$D$31,MATCH(C1584,Companies!$A$2:$A$31,0))</f>
        <v>Tier 3</v>
      </c>
      <c r="N1584" s="34" t="n">
        <f aca="false">MATCH(F1584,Assumptions!$K$4:$K$8,0)</f>
        <v>1</v>
      </c>
      <c r="O1584" s="21" t="str">
        <f aca="false">IF(H1584="Yes",MONTH(I1584),"")</f>
        <v/>
      </c>
      <c r="P1584" s="21" t="str">
        <f aca="false">IF(H1584="Yes",B1584,"")</f>
        <v/>
      </c>
    </row>
    <row r="1585" customFormat="false" ht="15" hidden="false" customHeight="false" outlineLevel="0" collapsed="false">
      <c r="A1585" s="21" t="s">
        <v>2800</v>
      </c>
      <c r="B1585" s="21" t="s">
        <v>635</v>
      </c>
      <c r="C1585" s="21" t="s">
        <v>1201</v>
      </c>
      <c r="D1585" s="21" t="s">
        <v>1184</v>
      </c>
      <c r="E1585" s="33" t="n">
        <v>45635</v>
      </c>
      <c r="F1585" s="21" t="s">
        <v>1175</v>
      </c>
      <c r="G1585" s="32"/>
      <c r="H1585" s="21"/>
      <c r="I1585" s="33"/>
      <c r="J1585" s="21" t="str">
        <f aca="false">INDEX(Students!$C$2:$C$601,MATCH(B1585,Students!$A$2:$A$601,0))</f>
        <v>Batch 2025</v>
      </c>
      <c r="K1585" s="21" t="str">
        <f aca="false">INDEX(Students!$D$2:$D$601,MATCH(B1585,Students!$A$2:$A$601,0))</f>
        <v>DSA with Java</v>
      </c>
      <c r="L1585" s="21" t="str">
        <f aca="false">INDEX(Companies!$C$2:$C$31,MATCH(C1585,Companies!$A$2:$A$31,0))</f>
        <v>IT Services</v>
      </c>
      <c r="M1585" s="21" t="str">
        <f aca="false">INDEX(Companies!$D$2:$D$31,MATCH(C1585,Companies!$A$2:$A$31,0))</f>
        <v>Tier 3</v>
      </c>
      <c r="N1585" s="34" t="n">
        <f aca="false">MATCH(F1585,Assumptions!$K$4:$K$8,0)</f>
        <v>1</v>
      </c>
      <c r="O1585" s="21" t="str">
        <f aca="false">IF(H1585="Yes",MONTH(I1585),"")</f>
        <v/>
      </c>
      <c r="P1585" s="21" t="str">
        <f aca="false">IF(H1585="Yes",B1585,"")</f>
        <v/>
      </c>
    </row>
    <row r="1586" customFormat="false" ht="15" hidden="false" customHeight="false" outlineLevel="0" collapsed="false">
      <c r="A1586" s="21" t="s">
        <v>2801</v>
      </c>
      <c r="B1586" s="21" t="s">
        <v>696</v>
      </c>
      <c r="C1586" s="21" t="s">
        <v>1309</v>
      </c>
      <c r="D1586" s="21" t="s">
        <v>1226</v>
      </c>
      <c r="E1586" s="33" t="n">
        <v>45635</v>
      </c>
      <c r="F1586" s="21" t="s">
        <v>1178</v>
      </c>
      <c r="G1586" s="32"/>
      <c r="H1586" s="21"/>
      <c r="I1586" s="33"/>
      <c r="J1586" s="21" t="str">
        <f aca="false">INDEX(Students!$C$2:$C$601,MATCH(B1586,Students!$A$2:$A$601,0))</f>
        <v>Batch 2025</v>
      </c>
      <c r="K1586" s="21" t="str">
        <f aca="false">INDEX(Students!$D$2:$D$601,MATCH(B1586,Students!$A$2:$A$601,0))</f>
        <v>Cybersecurity</v>
      </c>
      <c r="L1586" s="21" t="str">
        <f aca="false">INDEX(Companies!$C$2:$C$31,MATCH(C1586,Companies!$A$2:$A$31,0))</f>
        <v>EdTech</v>
      </c>
      <c r="M1586" s="21" t="str">
        <f aca="false">INDEX(Companies!$D$2:$D$31,MATCH(C1586,Companies!$A$2:$A$31,0))</f>
        <v>Tier 2</v>
      </c>
      <c r="N1586" s="34" t="n">
        <f aca="false">MATCH(F1586,Assumptions!$K$4:$K$8,0)</f>
        <v>2</v>
      </c>
      <c r="O1586" s="21" t="str">
        <f aca="false">IF(H1586="Yes",MONTH(I1586),"")</f>
        <v/>
      </c>
      <c r="P1586" s="21" t="str">
        <f aca="false">IF(H1586="Yes",B1586,"")</f>
        <v/>
      </c>
    </row>
    <row r="1587" customFormat="false" ht="15" hidden="false" customHeight="false" outlineLevel="0" collapsed="false">
      <c r="A1587" s="21" t="s">
        <v>2802</v>
      </c>
      <c r="B1587" s="21" t="s">
        <v>769</v>
      </c>
      <c r="C1587" s="21" t="s">
        <v>1214</v>
      </c>
      <c r="D1587" s="21" t="s">
        <v>1209</v>
      </c>
      <c r="E1587" s="33" t="n">
        <v>45636</v>
      </c>
      <c r="F1587" s="21" t="s">
        <v>1175</v>
      </c>
      <c r="G1587" s="32"/>
      <c r="H1587" s="21"/>
      <c r="I1587" s="33"/>
      <c r="J1587" s="21" t="str">
        <f aca="false">INDEX(Students!$C$2:$C$601,MATCH(B1587,Students!$A$2:$A$601,0))</f>
        <v>Batch 2025</v>
      </c>
      <c r="K1587" s="21" t="str">
        <f aca="false">INDEX(Students!$D$2:$D$601,MATCH(B1587,Students!$A$2:$A$601,0))</f>
        <v>Data Analytics</v>
      </c>
      <c r="L1587" s="21" t="str">
        <f aca="false">INDEX(Companies!$C$2:$C$31,MATCH(C1587,Companies!$A$2:$A$31,0))</f>
        <v>Product</v>
      </c>
      <c r="M1587" s="21" t="str">
        <f aca="false">INDEX(Companies!$D$2:$D$31,MATCH(C1587,Companies!$A$2:$A$31,0))</f>
        <v>Tier 1</v>
      </c>
      <c r="N1587" s="34" t="n">
        <f aca="false">MATCH(F1587,Assumptions!$K$4:$K$8,0)</f>
        <v>1</v>
      </c>
      <c r="O1587" s="21" t="str">
        <f aca="false">IF(H1587="Yes",MONTH(I1587),"")</f>
        <v/>
      </c>
      <c r="P1587" s="21" t="str">
        <f aca="false">IF(H1587="Yes",B1587,"")</f>
        <v/>
      </c>
    </row>
    <row r="1588" customFormat="false" ht="15" hidden="false" customHeight="false" outlineLevel="0" collapsed="false">
      <c r="A1588" s="21" t="s">
        <v>2803</v>
      </c>
      <c r="B1588" s="21" t="s">
        <v>672</v>
      </c>
      <c r="C1588" s="21" t="s">
        <v>1203</v>
      </c>
      <c r="D1588" s="21" t="s">
        <v>1191</v>
      </c>
      <c r="E1588" s="33" t="n">
        <v>45636</v>
      </c>
      <c r="F1588" s="21" t="s">
        <v>1185</v>
      </c>
      <c r="G1588" s="32" t="n">
        <v>13.4</v>
      </c>
      <c r="H1588" s="21" t="s">
        <v>113</v>
      </c>
      <c r="I1588" s="33" t="n">
        <v>45669</v>
      </c>
      <c r="J1588" s="21" t="str">
        <f aca="false">INDEX(Students!$C$2:$C$601,MATCH(B1588,Students!$A$2:$A$601,0))</f>
        <v>Batch 2025</v>
      </c>
      <c r="K1588" s="21" t="str">
        <f aca="false">INDEX(Students!$D$2:$D$601,MATCH(B1588,Students!$A$2:$A$601,0))</f>
        <v>DSA with Java</v>
      </c>
      <c r="L1588" s="21" t="str">
        <f aca="false">INDEX(Companies!$C$2:$C$31,MATCH(C1588,Companies!$A$2:$A$31,0))</f>
        <v>Healthtech</v>
      </c>
      <c r="M1588" s="21" t="str">
        <f aca="false">INDEX(Companies!$D$2:$D$31,MATCH(C1588,Companies!$A$2:$A$31,0))</f>
        <v>Tier 2</v>
      </c>
      <c r="N1588" s="34" t="n">
        <f aca="false">MATCH(F1588,Assumptions!$K$4:$K$8,0)</f>
        <v>5</v>
      </c>
      <c r="O1588" s="21" t="str">
        <f aca="false">IF(H1588="Yes",MONTH(I1588),"")</f>
        <v/>
      </c>
      <c r="P1588" s="21" t="str">
        <f aca="false">IF(H1588="Yes",B1588,"")</f>
        <v/>
      </c>
    </row>
    <row r="1589" customFormat="false" ht="15" hidden="false" customHeight="false" outlineLevel="0" collapsed="false">
      <c r="A1589" s="21" t="s">
        <v>2804</v>
      </c>
      <c r="B1589" s="21" t="s">
        <v>582</v>
      </c>
      <c r="C1589" s="21" t="s">
        <v>1290</v>
      </c>
      <c r="D1589" s="21" t="s">
        <v>1194</v>
      </c>
      <c r="E1589" s="33" t="n">
        <v>45636</v>
      </c>
      <c r="F1589" s="21" t="s">
        <v>1197</v>
      </c>
      <c r="G1589" s="32"/>
      <c r="H1589" s="21"/>
      <c r="I1589" s="33"/>
      <c r="J1589" s="21" t="str">
        <f aca="false">INDEX(Students!$C$2:$C$601,MATCH(B1589,Students!$A$2:$A$601,0))</f>
        <v>Batch 2025</v>
      </c>
      <c r="K1589" s="21" t="str">
        <f aca="false">INDEX(Students!$D$2:$D$601,MATCH(B1589,Students!$A$2:$A$601,0))</f>
        <v>Data Science &amp; ML</v>
      </c>
      <c r="L1589" s="21" t="str">
        <f aca="false">INDEX(Companies!$C$2:$C$31,MATCH(C1589,Companies!$A$2:$A$31,0))</f>
        <v>Fintech</v>
      </c>
      <c r="M1589" s="21" t="str">
        <f aca="false">INDEX(Companies!$D$2:$D$31,MATCH(C1589,Companies!$A$2:$A$31,0))</f>
        <v>Tier 2</v>
      </c>
      <c r="N1589" s="34" t="n">
        <f aca="false">MATCH(F1589,Assumptions!$K$4:$K$8,0)</f>
        <v>3</v>
      </c>
      <c r="O1589" s="21" t="str">
        <f aca="false">IF(H1589="Yes",MONTH(I1589),"")</f>
        <v/>
      </c>
      <c r="P1589" s="21" t="str">
        <f aca="false">IF(H1589="Yes",B1589,"")</f>
        <v/>
      </c>
    </row>
    <row r="1590" customFormat="false" ht="15" hidden="false" customHeight="false" outlineLevel="0" collapsed="false">
      <c r="A1590" s="21" t="s">
        <v>2805</v>
      </c>
      <c r="B1590" s="21" t="s">
        <v>580</v>
      </c>
      <c r="C1590" s="21" t="s">
        <v>1225</v>
      </c>
      <c r="D1590" s="21" t="s">
        <v>1181</v>
      </c>
      <c r="E1590" s="33" t="n">
        <v>45637</v>
      </c>
      <c r="F1590" s="21" t="s">
        <v>1175</v>
      </c>
      <c r="G1590" s="32"/>
      <c r="H1590" s="21"/>
      <c r="I1590" s="33"/>
      <c r="J1590" s="21" t="str">
        <f aca="false">INDEX(Students!$C$2:$C$601,MATCH(B1590,Students!$A$2:$A$601,0))</f>
        <v>Batch 2025</v>
      </c>
      <c r="K1590" s="21" t="str">
        <f aca="false">INDEX(Students!$D$2:$D$601,MATCH(B1590,Students!$A$2:$A$601,0))</f>
        <v>Full Stack Development</v>
      </c>
      <c r="L1590" s="21" t="str">
        <f aca="false">INDEX(Companies!$C$2:$C$31,MATCH(C1590,Companies!$A$2:$A$31,0))</f>
        <v>EdTech</v>
      </c>
      <c r="M1590" s="21" t="str">
        <f aca="false">INDEX(Companies!$D$2:$D$31,MATCH(C1590,Companies!$A$2:$A$31,0))</f>
        <v>Tier 2</v>
      </c>
      <c r="N1590" s="34" t="n">
        <f aca="false">MATCH(F1590,Assumptions!$K$4:$K$8,0)</f>
        <v>1</v>
      </c>
      <c r="O1590" s="21" t="str">
        <f aca="false">IF(H1590="Yes",MONTH(I1590),"")</f>
        <v/>
      </c>
      <c r="P1590" s="21" t="str">
        <f aca="false">IF(H1590="Yes",B1590,"")</f>
        <v/>
      </c>
    </row>
    <row r="1591" customFormat="false" ht="15" hidden="false" customHeight="false" outlineLevel="0" collapsed="false">
      <c r="A1591" s="21" t="s">
        <v>2806</v>
      </c>
      <c r="B1591" s="21" t="s">
        <v>737</v>
      </c>
      <c r="C1591" s="21" t="s">
        <v>1203</v>
      </c>
      <c r="D1591" s="21" t="s">
        <v>1181</v>
      </c>
      <c r="E1591" s="33" t="n">
        <v>45637</v>
      </c>
      <c r="F1591" s="21" t="s">
        <v>1175</v>
      </c>
      <c r="G1591" s="32"/>
      <c r="H1591" s="21"/>
      <c r="I1591" s="33"/>
      <c r="J1591" s="21" t="str">
        <f aca="false">INDEX(Students!$C$2:$C$601,MATCH(B1591,Students!$A$2:$A$601,0))</f>
        <v>Batch 2025</v>
      </c>
      <c r="K1591" s="21" t="str">
        <f aca="false">INDEX(Students!$D$2:$D$601,MATCH(B1591,Students!$A$2:$A$601,0))</f>
        <v>Full Stack Development</v>
      </c>
      <c r="L1591" s="21" t="str">
        <f aca="false">INDEX(Companies!$C$2:$C$31,MATCH(C1591,Companies!$A$2:$A$31,0))</f>
        <v>Healthtech</v>
      </c>
      <c r="M1591" s="21" t="str">
        <f aca="false">INDEX(Companies!$D$2:$D$31,MATCH(C1591,Companies!$A$2:$A$31,0))</f>
        <v>Tier 2</v>
      </c>
      <c r="N1591" s="34" t="n">
        <f aca="false">MATCH(F1591,Assumptions!$K$4:$K$8,0)</f>
        <v>1</v>
      </c>
      <c r="O1591" s="21" t="str">
        <f aca="false">IF(H1591="Yes",MONTH(I1591),"")</f>
        <v/>
      </c>
      <c r="P1591" s="21" t="str">
        <f aca="false">IF(H1591="Yes",B1591,"")</f>
        <v/>
      </c>
    </row>
    <row r="1592" customFormat="false" ht="15" hidden="false" customHeight="false" outlineLevel="0" collapsed="false">
      <c r="A1592" s="21" t="s">
        <v>2807</v>
      </c>
      <c r="B1592" s="21" t="s">
        <v>785</v>
      </c>
      <c r="C1592" s="21" t="s">
        <v>1222</v>
      </c>
      <c r="D1592" s="21" t="s">
        <v>1191</v>
      </c>
      <c r="E1592" s="33" t="n">
        <v>45637</v>
      </c>
      <c r="F1592" s="21" t="s">
        <v>1218</v>
      </c>
      <c r="G1592" s="32"/>
      <c r="H1592" s="21"/>
      <c r="I1592" s="33"/>
      <c r="J1592" s="21" t="str">
        <f aca="false">INDEX(Students!$C$2:$C$601,MATCH(B1592,Students!$A$2:$A$601,0))</f>
        <v>Batch 2025</v>
      </c>
      <c r="K1592" s="21" t="str">
        <f aca="false">INDEX(Students!$D$2:$D$601,MATCH(B1592,Students!$A$2:$A$601,0))</f>
        <v>DSA with Java</v>
      </c>
      <c r="L1592" s="21" t="str">
        <f aca="false">INDEX(Companies!$C$2:$C$31,MATCH(C1592,Companies!$A$2:$A$31,0))</f>
        <v>Product</v>
      </c>
      <c r="M1592" s="21" t="str">
        <f aca="false">INDEX(Companies!$D$2:$D$31,MATCH(C1592,Companies!$A$2:$A$31,0))</f>
        <v>Tier 2</v>
      </c>
      <c r="N1592" s="34" t="n">
        <f aca="false">MATCH(F1592,Assumptions!$K$4:$K$8,0)</f>
        <v>4</v>
      </c>
      <c r="O1592" s="21" t="str">
        <f aca="false">IF(H1592="Yes",MONTH(I1592),"")</f>
        <v/>
      </c>
      <c r="P1592" s="21" t="str">
        <f aca="false">IF(H1592="Yes",B1592,"")</f>
        <v/>
      </c>
    </row>
    <row r="1593" customFormat="false" ht="15" hidden="false" customHeight="false" outlineLevel="0" collapsed="false">
      <c r="A1593" s="21" t="s">
        <v>2808</v>
      </c>
      <c r="B1593" s="21" t="s">
        <v>540</v>
      </c>
      <c r="C1593" s="21" t="s">
        <v>1180</v>
      </c>
      <c r="D1593" s="21" t="s">
        <v>1194</v>
      </c>
      <c r="E1593" s="33" t="n">
        <v>45637</v>
      </c>
      <c r="F1593" s="21" t="s">
        <v>1178</v>
      </c>
      <c r="G1593" s="32"/>
      <c r="H1593" s="21"/>
      <c r="I1593" s="33"/>
      <c r="J1593" s="21" t="str">
        <f aca="false">INDEX(Students!$C$2:$C$601,MATCH(B1593,Students!$A$2:$A$601,0))</f>
        <v>Batch 2025</v>
      </c>
      <c r="K1593" s="21" t="str">
        <f aca="false">INDEX(Students!$D$2:$D$601,MATCH(B1593,Students!$A$2:$A$601,0))</f>
        <v>Data Science &amp; ML</v>
      </c>
      <c r="L1593" s="21" t="str">
        <f aca="false">INDEX(Companies!$C$2:$C$31,MATCH(C1593,Companies!$A$2:$A$31,0))</f>
        <v>IT Services</v>
      </c>
      <c r="M1593" s="21" t="str">
        <f aca="false">INDEX(Companies!$D$2:$D$31,MATCH(C1593,Companies!$A$2:$A$31,0))</f>
        <v>Tier 3</v>
      </c>
      <c r="N1593" s="34" t="n">
        <f aca="false">MATCH(F1593,Assumptions!$K$4:$K$8,0)</f>
        <v>2</v>
      </c>
      <c r="O1593" s="21" t="str">
        <f aca="false">IF(H1593="Yes",MONTH(I1593),"")</f>
        <v/>
      </c>
      <c r="P1593" s="21" t="str">
        <f aca="false">IF(H1593="Yes",B1593,"")</f>
        <v/>
      </c>
    </row>
    <row r="1594" customFormat="false" ht="15" hidden="false" customHeight="false" outlineLevel="0" collapsed="false">
      <c r="A1594" s="21" t="s">
        <v>2809</v>
      </c>
      <c r="B1594" s="21" t="s">
        <v>653</v>
      </c>
      <c r="C1594" s="21" t="s">
        <v>1266</v>
      </c>
      <c r="D1594" s="21" t="s">
        <v>1240</v>
      </c>
      <c r="E1594" s="33" t="n">
        <v>45637</v>
      </c>
      <c r="F1594" s="21" t="s">
        <v>1185</v>
      </c>
      <c r="G1594" s="32" t="n">
        <v>5.4</v>
      </c>
      <c r="H1594" s="21" t="s">
        <v>113</v>
      </c>
      <c r="I1594" s="33" t="n">
        <v>45662</v>
      </c>
      <c r="J1594" s="21" t="str">
        <f aca="false">INDEX(Students!$C$2:$C$601,MATCH(B1594,Students!$A$2:$A$601,0))</f>
        <v>Batch 2025</v>
      </c>
      <c r="K1594" s="21" t="str">
        <f aca="false">INDEX(Students!$D$2:$D$601,MATCH(B1594,Students!$A$2:$A$601,0))</f>
        <v>Cybersecurity</v>
      </c>
      <c r="L1594" s="21" t="str">
        <f aca="false">INDEX(Companies!$C$2:$C$31,MATCH(C1594,Companies!$A$2:$A$31,0))</f>
        <v>IT Services</v>
      </c>
      <c r="M1594" s="21" t="str">
        <f aca="false">INDEX(Companies!$D$2:$D$31,MATCH(C1594,Companies!$A$2:$A$31,0))</f>
        <v>Tier 3</v>
      </c>
      <c r="N1594" s="34" t="n">
        <f aca="false">MATCH(F1594,Assumptions!$K$4:$K$8,0)</f>
        <v>5</v>
      </c>
      <c r="O1594" s="21" t="str">
        <f aca="false">IF(H1594="Yes",MONTH(I1594),"")</f>
        <v/>
      </c>
      <c r="P1594" s="21" t="str">
        <f aca="false">IF(H1594="Yes",B1594,"")</f>
        <v/>
      </c>
    </row>
    <row r="1595" customFormat="false" ht="15" hidden="false" customHeight="false" outlineLevel="0" collapsed="false">
      <c r="A1595" s="21" t="s">
        <v>2810</v>
      </c>
      <c r="B1595" s="21" t="s">
        <v>802</v>
      </c>
      <c r="C1595" s="21" t="s">
        <v>1225</v>
      </c>
      <c r="D1595" s="21" t="s">
        <v>1181</v>
      </c>
      <c r="E1595" s="33" t="n">
        <v>45638</v>
      </c>
      <c r="F1595" s="21" t="s">
        <v>1175</v>
      </c>
      <c r="G1595" s="32"/>
      <c r="H1595" s="21"/>
      <c r="I1595" s="33"/>
      <c r="J1595" s="21" t="str">
        <f aca="false">INDEX(Students!$C$2:$C$601,MATCH(B1595,Students!$A$2:$A$601,0))</f>
        <v>Batch 2025</v>
      </c>
      <c r="K1595" s="21" t="str">
        <f aca="false">INDEX(Students!$D$2:$D$601,MATCH(B1595,Students!$A$2:$A$601,0))</f>
        <v>Full Stack Development</v>
      </c>
      <c r="L1595" s="21" t="str">
        <f aca="false">INDEX(Companies!$C$2:$C$31,MATCH(C1595,Companies!$A$2:$A$31,0))</f>
        <v>EdTech</v>
      </c>
      <c r="M1595" s="21" t="str">
        <f aca="false">INDEX(Companies!$D$2:$D$31,MATCH(C1595,Companies!$A$2:$A$31,0))</f>
        <v>Tier 2</v>
      </c>
      <c r="N1595" s="34" t="n">
        <f aca="false">MATCH(F1595,Assumptions!$K$4:$K$8,0)</f>
        <v>1</v>
      </c>
      <c r="O1595" s="21" t="str">
        <f aca="false">IF(H1595="Yes",MONTH(I1595),"")</f>
        <v/>
      </c>
      <c r="P1595" s="21" t="str">
        <f aca="false">IF(H1595="Yes",B1595,"")</f>
        <v/>
      </c>
    </row>
    <row r="1596" customFormat="false" ht="15" hidden="false" customHeight="false" outlineLevel="0" collapsed="false">
      <c r="A1596" s="21" t="s">
        <v>2811</v>
      </c>
      <c r="B1596" s="21" t="s">
        <v>685</v>
      </c>
      <c r="C1596" s="21" t="s">
        <v>1187</v>
      </c>
      <c r="D1596" s="21" t="s">
        <v>1243</v>
      </c>
      <c r="E1596" s="33" t="n">
        <v>45638</v>
      </c>
      <c r="F1596" s="21" t="s">
        <v>1218</v>
      </c>
      <c r="G1596" s="32"/>
      <c r="H1596" s="21"/>
      <c r="I1596" s="33"/>
      <c r="J1596" s="21" t="str">
        <f aca="false">INDEX(Students!$C$2:$C$601,MATCH(B1596,Students!$A$2:$A$601,0))</f>
        <v>Batch 2025</v>
      </c>
      <c r="K1596" s="21" t="str">
        <f aca="false">INDEX(Students!$D$2:$D$601,MATCH(B1596,Students!$A$2:$A$601,0))</f>
        <v>Data Science &amp; ML</v>
      </c>
      <c r="L1596" s="21" t="str">
        <f aca="false">INDEX(Companies!$C$2:$C$31,MATCH(C1596,Companies!$A$2:$A$31,0))</f>
        <v>Product</v>
      </c>
      <c r="M1596" s="21" t="str">
        <f aca="false">INDEX(Companies!$D$2:$D$31,MATCH(C1596,Companies!$A$2:$A$31,0))</f>
        <v>Tier 1</v>
      </c>
      <c r="N1596" s="34" t="n">
        <f aca="false">MATCH(F1596,Assumptions!$K$4:$K$8,0)</f>
        <v>4</v>
      </c>
      <c r="O1596" s="21" t="str">
        <f aca="false">IF(H1596="Yes",MONTH(I1596),"")</f>
        <v/>
      </c>
      <c r="P1596" s="21" t="str">
        <f aca="false">IF(H1596="Yes",B1596,"")</f>
        <v/>
      </c>
    </row>
    <row r="1597" customFormat="false" ht="15" hidden="false" customHeight="false" outlineLevel="0" collapsed="false">
      <c r="A1597" s="21" t="s">
        <v>2812</v>
      </c>
      <c r="B1597" s="21" t="s">
        <v>622</v>
      </c>
      <c r="C1597" s="21" t="s">
        <v>1180</v>
      </c>
      <c r="D1597" s="21" t="s">
        <v>1181</v>
      </c>
      <c r="E1597" s="33" t="n">
        <v>45638</v>
      </c>
      <c r="F1597" s="21" t="s">
        <v>1218</v>
      </c>
      <c r="G1597" s="32"/>
      <c r="H1597" s="21"/>
      <c r="I1597" s="33"/>
      <c r="J1597" s="21" t="str">
        <f aca="false">INDEX(Students!$C$2:$C$601,MATCH(B1597,Students!$A$2:$A$601,0))</f>
        <v>Batch 2025</v>
      </c>
      <c r="K1597" s="21" t="str">
        <f aca="false">INDEX(Students!$D$2:$D$601,MATCH(B1597,Students!$A$2:$A$601,0))</f>
        <v>Full Stack Development</v>
      </c>
      <c r="L1597" s="21" t="str">
        <f aca="false">INDEX(Companies!$C$2:$C$31,MATCH(C1597,Companies!$A$2:$A$31,0))</f>
        <v>IT Services</v>
      </c>
      <c r="M1597" s="21" t="str">
        <f aca="false">INDEX(Companies!$D$2:$D$31,MATCH(C1597,Companies!$A$2:$A$31,0))</f>
        <v>Tier 3</v>
      </c>
      <c r="N1597" s="34" t="n">
        <f aca="false">MATCH(F1597,Assumptions!$K$4:$K$8,0)</f>
        <v>4</v>
      </c>
      <c r="O1597" s="21" t="str">
        <f aca="false">IF(H1597="Yes",MONTH(I1597),"")</f>
        <v/>
      </c>
      <c r="P1597" s="21" t="str">
        <f aca="false">IF(H1597="Yes",B1597,"")</f>
        <v/>
      </c>
    </row>
    <row r="1598" customFormat="false" ht="15" hidden="false" customHeight="false" outlineLevel="0" collapsed="false">
      <c r="A1598" s="21" t="s">
        <v>2813</v>
      </c>
      <c r="B1598" s="21" t="s">
        <v>657</v>
      </c>
      <c r="C1598" s="21" t="s">
        <v>1180</v>
      </c>
      <c r="D1598" s="21" t="s">
        <v>1181</v>
      </c>
      <c r="E1598" s="33" t="n">
        <v>45638</v>
      </c>
      <c r="F1598" s="21" t="s">
        <v>1185</v>
      </c>
      <c r="G1598" s="32" t="n">
        <v>5.5</v>
      </c>
      <c r="H1598" s="21" t="s">
        <v>120</v>
      </c>
      <c r="I1598" s="33" t="n">
        <v>45691</v>
      </c>
      <c r="J1598" s="21" t="str">
        <f aca="false">INDEX(Students!$C$2:$C$601,MATCH(B1598,Students!$A$2:$A$601,0))</f>
        <v>Batch 2025</v>
      </c>
      <c r="K1598" s="21" t="str">
        <f aca="false">INDEX(Students!$D$2:$D$601,MATCH(B1598,Students!$A$2:$A$601,0))</f>
        <v>Full Stack Development</v>
      </c>
      <c r="L1598" s="21" t="str">
        <f aca="false">INDEX(Companies!$C$2:$C$31,MATCH(C1598,Companies!$A$2:$A$31,0))</f>
        <v>IT Services</v>
      </c>
      <c r="M1598" s="21" t="str">
        <f aca="false">INDEX(Companies!$D$2:$D$31,MATCH(C1598,Companies!$A$2:$A$31,0))</f>
        <v>Tier 3</v>
      </c>
      <c r="N1598" s="34" t="n">
        <f aca="false">MATCH(F1598,Assumptions!$K$4:$K$8,0)</f>
        <v>5</v>
      </c>
      <c r="O1598" s="21" t="n">
        <f aca="false">IF(H1598="Yes",MONTH(I1598),"")</f>
        <v>2</v>
      </c>
      <c r="P1598" s="21" t="str">
        <f aca="false">IF(H1598="Yes",B1598,"")</f>
        <v>S0294</v>
      </c>
    </row>
    <row r="1599" customFormat="false" ht="15" hidden="false" customHeight="false" outlineLevel="0" collapsed="false">
      <c r="A1599" s="21" t="s">
        <v>2814</v>
      </c>
      <c r="B1599" s="21" t="s">
        <v>643</v>
      </c>
      <c r="C1599" s="21" t="s">
        <v>1196</v>
      </c>
      <c r="D1599" s="21" t="s">
        <v>1188</v>
      </c>
      <c r="E1599" s="33" t="n">
        <v>45639</v>
      </c>
      <c r="F1599" s="21" t="s">
        <v>1175</v>
      </c>
      <c r="G1599" s="32"/>
      <c r="H1599" s="21"/>
      <c r="I1599" s="33"/>
      <c r="J1599" s="21" t="str">
        <f aca="false">INDEX(Students!$C$2:$C$601,MATCH(B1599,Students!$A$2:$A$601,0))</f>
        <v>Batch 2025</v>
      </c>
      <c r="K1599" s="21" t="str">
        <f aca="false">INDEX(Students!$D$2:$D$601,MATCH(B1599,Students!$A$2:$A$601,0))</f>
        <v>Data Analytics</v>
      </c>
      <c r="L1599" s="21" t="str">
        <f aca="false">INDEX(Companies!$C$2:$C$31,MATCH(C1599,Companies!$A$2:$A$31,0))</f>
        <v>IT Services</v>
      </c>
      <c r="M1599" s="21" t="str">
        <f aca="false">INDEX(Companies!$D$2:$D$31,MATCH(C1599,Companies!$A$2:$A$31,0))</f>
        <v>Tier 3</v>
      </c>
      <c r="N1599" s="34" t="n">
        <f aca="false">MATCH(F1599,Assumptions!$K$4:$K$8,0)</f>
        <v>1</v>
      </c>
      <c r="O1599" s="21" t="str">
        <f aca="false">IF(H1599="Yes",MONTH(I1599),"")</f>
        <v/>
      </c>
      <c r="P1599" s="21" t="str">
        <f aca="false">IF(H1599="Yes",B1599,"")</f>
        <v/>
      </c>
    </row>
    <row r="1600" customFormat="false" ht="15" hidden="false" customHeight="false" outlineLevel="0" collapsed="false">
      <c r="A1600" s="21" t="s">
        <v>2815</v>
      </c>
      <c r="B1600" s="21" t="s">
        <v>493</v>
      </c>
      <c r="C1600" s="21" t="s">
        <v>1211</v>
      </c>
      <c r="D1600" s="21" t="s">
        <v>1191</v>
      </c>
      <c r="E1600" s="33" t="n">
        <v>45639</v>
      </c>
      <c r="F1600" s="21" t="s">
        <v>1185</v>
      </c>
      <c r="G1600" s="32" t="n">
        <v>7.6</v>
      </c>
      <c r="H1600" s="21" t="s">
        <v>120</v>
      </c>
      <c r="I1600" s="33" t="n">
        <v>45682</v>
      </c>
      <c r="J1600" s="21" t="str">
        <f aca="false">INDEX(Students!$C$2:$C$601,MATCH(B1600,Students!$A$2:$A$601,0))</f>
        <v>Batch 2025</v>
      </c>
      <c r="K1600" s="21" t="str">
        <f aca="false">INDEX(Students!$D$2:$D$601,MATCH(B1600,Students!$A$2:$A$601,0))</f>
        <v>DSA with Java</v>
      </c>
      <c r="L1600" s="21" t="str">
        <f aca="false">INDEX(Companies!$C$2:$C$31,MATCH(C1600,Companies!$A$2:$A$31,0))</f>
        <v>Analytics &amp; Consulting</v>
      </c>
      <c r="M1600" s="21" t="str">
        <f aca="false">INDEX(Companies!$D$2:$D$31,MATCH(C1600,Companies!$A$2:$A$31,0))</f>
        <v>Tier 3</v>
      </c>
      <c r="N1600" s="34" t="n">
        <f aca="false">MATCH(F1600,Assumptions!$K$4:$K$8,0)</f>
        <v>5</v>
      </c>
      <c r="O1600" s="21" t="n">
        <f aca="false">IF(H1600="Yes",MONTH(I1600),"")</f>
        <v>1</v>
      </c>
      <c r="P1600" s="21" t="str">
        <f aca="false">IF(H1600="Yes",B1600,"")</f>
        <v>S0202</v>
      </c>
    </row>
    <row r="1601" customFormat="false" ht="15" hidden="false" customHeight="false" outlineLevel="0" collapsed="false">
      <c r="A1601" s="21" t="s">
        <v>2816</v>
      </c>
      <c r="B1601" s="21" t="s">
        <v>576</v>
      </c>
      <c r="C1601" s="21" t="s">
        <v>1216</v>
      </c>
      <c r="D1601" s="21" t="s">
        <v>1191</v>
      </c>
      <c r="E1601" s="33" t="n">
        <v>45639</v>
      </c>
      <c r="F1601" s="21" t="s">
        <v>1218</v>
      </c>
      <c r="G1601" s="32"/>
      <c r="H1601" s="21"/>
      <c r="I1601" s="33"/>
      <c r="J1601" s="21" t="str">
        <f aca="false">INDEX(Students!$C$2:$C$601,MATCH(B1601,Students!$A$2:$A$601,0))</f>
        <v>Batch 2025</v>
      </c>
      <c r="K1601" s="21" t="str">
        <f aca="false">INDEX(Students!$D$2:$D$601,MATCH(B1601,Students!$A$2:$A$601,0))</f>
        <v>DSA with Java</v>
      </c>
      <c r="L1601" s="21" t="str">
        <f aca="false">INDEX(Companies!$C$2:$C$31,MATCH(C1601,Companies!$A$2:$A$31,0))</f>
        <v>IT Services</v>
      </c>
      <c r="M1601" s="21" t="str">
        <f aca="false">INDEX(Companies!$D$2:$D$31,MATCH(C1601,Companies!$A$2:$A$31,0))</f>
        <v>Tier 3</v>
      </c>
      <c r="N1601" s="34" t="n">
        <f aca="false">MATCH(F1601,Assumptions!$K$4:$K$8,0)</f>
        <v>4</v>
      </c>
      <c r="O1601" s="21" t="str">
        <f aca="false">IF(H1601="Yes",MONTH(I1601),"")</f>
        <v/>
      </c>
      <c r="P1601" s="21" t="str">
        <f aca="false">IF(H1601="Yes",B1601,"")</f>
        <v/>
      </c>
    </row>
    <row r="1602" customFormat="false" ht="15" hidden="false" customHeight="false" outlineLevel="0" collapsed="false">
      <c r="A1602" s="21" t="s">
        <v>2817</v>
      </c>
      <c r="B1602" s="21" t="s">
        <v>563</v>
      </c>
      <c r="C1602" s="21" t="s">
        <v>1203</v>
      </c>
      <c r="D1602" s="21" t="s">
        <v>1174</v>
      </c>
      <c r="E1602" s="33" t="n">
        <v>45639</v>
      </c>
      <c r="F1602" s="21" t="s">
        <v>1175</v>
      </c>
      <c r="G1602" s="32"/>
      <c r="H1602" s="21"/>
      <c r="I1602" s="33"/>
      <c r="J1602" s="21" t="str">
        <f aca="false">INDEX(Students!$C$2:$C$601,MATCH(B1602,Students!$A$2:$A$601,0))</f>
        <v>Batch 2025</v>
      </c>
      <c r="K1602" s="21" t="str">
        <f aca="false">INDEX(Students!$D$2:$D$601,MATCH(B1602,Students!$A$2:$A$601,0))</f>
        <v>Full Stack Development</v>
      </c>
      <c r="L1602" s="21" t="str">
        <f aca="false">INDEX(Companies!$C$2:$C$31,MATCH(C1602,Companies!$A$2:$A$31,0))</f>
        <v>Healthtech</v>
      </c>
      <c r="M1602" s="21" t="str">
        <f aca="false">INDEX(Companies!$D$2:$D$31,MATCH(C1602,Companies!$A$2:$A$31,0))</f>
        <v>Tier 2</v>
      </c>
      <c r="N1602" s="34" t="n">
        <f aca="false">MATCH(F1602,Assumptions!$K$4:$K$8,0)</f>
        <v>1</v>
      </c>
      <c r="O1602" s="21" t="str">
        <f aca="false">IF(H1602="Yes",MONTH(I1602),"")</f>
        <v/>
      </c>
      <c r="P1602" s="21" t="str">
        <f aca="false">IF(H1602="Yes",B1602,"")</f>
        <v/>
      </c>
    </row>
    <row r="1603" customFormat="false" ht="15" hidden="false" customHeight="false" outlineLevel="0" collapsed="false">
      <c r="A1603" s="21" t="s">
        <v>2818</v>
      </c>
      <c r="B1603" s="21" t="s">
        <v>478</v>
      </c>
      <c r="C1603" s="21" t="s">
        <v>1230</v>
      </c>
      <c r="D1603" s="21" t="s">
        <v>1191</v>
      </c>
      <c r="E1603" s="33" t="n">
        <v>45639</v>
      </c>
      <c r="F1603" s="21" t="s">
        <v>1218</v>
      </c>
      <c r="G1603" s="32"/>
      <c r="H1603" s="21"/>
      <c r="I1603" s="33"/>
      <c r="J1603" s="21" t="str">
        <f aca="false">INDEX(Students!$C$2:$C$601,MATCH(B1603,Students!$A$2:$A$601,0))</f>
        <v>Batch 2025</v>
      </c>
      <c r="K1603" s="21" t="str">
        <f aca="false">INDEX(Students!$D$2:$D$601,MATCH(B1603,Students!$A$2:$A$601,0))</f>
        <v>DSA with Java</v>
      </c>
      <c r="L1603" s="21" t="str">
        <f aca="false">INDEX(Companies!$C$2:$C$31,MATCH(C1603,Companies!$A$2:$A$31,0))</f>
        <v>IT Services</v>
      </c>
      <c r="M1603" s="21" t="str">
        <f aca="false">INDEX(Companies!$D$2:$D$31,MATCH(C1603,Companies!$A$2:$A$31,0))</f>
        <v>Tier 3</v>
      </c>
      <c r="N1603" s="34" t="n">
        <f aca="false">MATCH(F1603,Assumptions!$K$4:$K$8,0)</f>
        <v>4</v>
      </c>
      <c r="O1603" s="21" t="str">
        <f aca="false">IF(H1603="Yes",MONTH(I1603),"")</f>
        <v/>
      </c>
      <c r="P1603" s="21" t="str">
        <f aca="false">IF(H1603="Yes",B1603,"")</f>
        <v/>
      </c>
    </row>
    <row r="1604" customFormat="false" ht="15" hidden="false" customHeight="false" outlineLevel="0" collapsed="false">
      <c r="A1604" s="21" t="s">
        <v>2819</v>
      </c>
      <c r="B1604" s="21" t="s">
        <v>735</v>
      </c>
      <c r="C1604" s="21" t="s">
        <v>1234</v>
      </c>
      <c r="D1604" s="21" t="s">
        <v>1191</v>
      </c>
      <c r="E1604" s="33" t="n">
        <v>45639</v>
      </c>
      <c r="F1604" s="21" t="s">
        <v>1175</v>
      </c>
      <c r="G1604" s="32"/>
      <c r="H1604" s="21"/>
      <c r="I1604" s="33"/>
      <c r="J1604" s="21" t="str">
        <f aca="false">INDEX(Students!$C$2:$C$601,MATCH(B1604,Students!$A$2:$A$601,0))</f>
        <v>Batch 2025</v>
      </c>
      <c r="K1604" s="21" t="str">
        <f aca="false">INDEX(Students!$D$2:$D$601,MATCH(B1604,Students!$A$2:$A$601,0))</f>
        <v>DSA with Java</v>
      </c>
      <c r="L1604" s="21" t="str">
        <f aca="false">INDEX(Companies!$C$2:$C$31,MATCH(C1604,Companies!$A$2:$A$31,0))</f>
        <v>EdTech</v>
      </c>
      <c r="M1604" s="21" t="str">
        <f aca="false">INDEX(Companies!$D$2:$D$31,MATCH(C1604,Companies!$A$2:$A$31,0))</f>
        <v>Tier 3</v>
      </c>
      <c r="N1604" s="34" t="n">
        <f aca="false">MATCH(F1604,Assumptions!$K$4:$K$8,0)</f>
        <v>1</v>
      </c>
      <c r="O1604" s="21" t="str">
        <f aca="false">IF(H1604="Yes",MONTH(I1604),"")</f>
        <v/>
      </c>
      <c r="P1604" s="21" t="str">
        <f aca="false">IF(H1604="Yes",B1604,"")</f>
        <v/>
      </c>
    </row>
    <row r="1605" customFormat="false" ht="15" hidden="false" customHeight="false" outlineLevel="0" collapsed="false">
      <c r="A1605" s="21" t="s">
        <v>2820</v>
      </c>
      <c r="B1605" s="21" t="s">
        <v>590</v>
      </c>
      <c r="C1605" s="21" t="s">
        <v>1225</v>
      </c>
      <c r="D1605" s="21" t="s">
        <v>1188</v>
      </c>
      <c r="E1605" s="33" t="n">
        <v>45640</v>
      </c>
      <c r="F1605" s="21" t="s">
        <v>1175</v>
      </c>
      <c r="G1605" s="32"/>
      <c r="H1605" s="21"/>
      <c r="I1605" s="33"/>
      <c r="J1605" s="21" t="str">
        <f aca="false">INDEX(Students!$C$2:$C$601,MATCH(B1605,Students!$A$2:$A$601,0))</f>
        <v>Batch 2025</v>
      </c>
      <c r="K1605" s="21" t="str">
        <f aca="false">INDEX(Students!$D$2:$D$601,MATCH(B1605,Students!$A$2:$A$601,0))</f>
        <v>Data Analytics</v>
      </c>
      <c r="L1605" s="21" t="str">
        <f aca="false">INDEX(Companies!$C$2:$C$31,MATCH(C1605,Companies!$A$2:$A$31,0))</f>
        <v>EdTech</v>
      </c>
      <c r="M1605" s="21" t="str">
        <f aca="false">INDEX(Companies!$D$2:$D$31,MATCH(C1605,Companies!$A$2:$A$31,0))</f>
        <v>Tier 2</v>
      </c>
      <c r="N1605" s="34" t="n">
        <f aca="false">MATCH(F1605,Assumptions!$K$4:$K$8,0)</f>
        <v>1</v>
      </c>
      <c r="O1605" s="21" t="str">
        <f aca="false">IF(H1605="Yes",MONTH(I1605),"")</f>
        <v/>
      </c>
      <c r="P1605" s="21" t="str">
        <f aca="false">IF(H1605="Yes",B1605,"")</f>
        <v/>
      </c>
    </row>
    <row r="1606" customFormat="false" ht="15" hidden="false" customHeight="false" outlineLevel="0" collapsed="false">
      <c r="A1606" s="21" t="s">
        <v>2821</v>
      </c>
      <c r="B1606" s="21" t="s">
        <v>675</v>
      </c>
      <c r="C1606" s="21" t="s">
        <v>1193</v>
      </c>
      <c r="D1606" s="21" t="s">
        <v>1181</v>
      </c>
      <c r="E1606" s="33" t="n">
        <v>45640</v>
      </c>
      <c r="F1606" s="21" t="s">
        <v>1175</v>
      </c>
      <c r="G1606" s="32"/>
      <c r="H1606" s="21"/>
      <c r="I1606" s="33"/>
      <c r="J1606" s="21" t="str">
        <f aca="false">INDEX(Students!$C$2:$C$601,MATCH(B1606,Students!$A$2:$A$601,0))</f>
        <v>Batch 2025</v>
      </c>
      <c r="K1606" s="21" t="str">
        <f aca="false">INDEX(Students!$D$2:$D$601,MATCH(B1606,Students!$A$2:$A$601,0))</f>
        <v>Full Stack Development</v>
      </c>
      <c r="L1606" s="21" t="str">
        <f aca="false">INDEX(Companies!$C$2:$C$31,MATCH(C1606,Companies!$A$2:$A$31,0))</f>
        <v>Analytics &amp; Consulting</v>
      </c>
      <c r="M1606" s="21" t="str">
        <f aca="false">INDEX(Companies!$D$2:$D$31,MATCH(C1606,Companies!$A$2:$A$31,0))</f>
        <v>Tier 2</v>
      </c>
      <c r="N1606" s="34" t="n">
        <f aca="false">MATCH(F1606,Assumptions!$K$4:$K$8,0)</f>
        <v>1</v>
      </c>
      <c r="O1606" s="21" t="str">
        <f aca="false">IF(H1606="Yes",MONTH(I1606),"")</f>
        <v/>
      </c>
      <c r="P1606" s="21" t="str">
        <f aca="false">IF(H1606="Yes",B1606,"")</f>
        <v/>
      </c>
    </row>
    <row r="1607" customFormat="false" ht="15" hidden="false" customHeight="false" outlineLevel="0" collapsed="false">
      <c r="A1607" s="21" t="s">
        <v>2822</v>
      </c>
      <c r="B1607" s="21" t="s">
        <v>687</v>
      </c>
      <c r="C1607" s="21" t="s">
        <v>1230</v>
      </c>
      <c r="D1607" s="21" t="s">
        <v>1226</v>
      </c>
      <c r="E1607" s="33" t="n">
        <v>45640</v>
      </c>
      <c r="F1607" s="21" t="s">
        <v>1175</v>
      </c>
      <c r="G1607" s="32"/>
      <c r="H1607" s="21"/>
      <c r="I1607" s="33"/>
      <c r="J1607" s="21" t="str">
        <f aca="false">INDEX(Students!$C$2:$C$601,MATCH(B1607,Students!$A$2:$A$601,0))</f>
        <v>Batch 2025</v>
      </c>
      <c r="K1607" s="21" t="str">
        <f aca="false">INDEX(Students!$D$2:$D$601,MATCH(B1607,Students!$A$2:$A$601,0))</f>
        <v>Cybersecurity</v>
      </c>
      <c r="L1607" s="21" t="str">
        <f aca="false">INDEX(Companies!$C$2:$C$31,MATCH(C1607,Companies!$A$2:$A$31,0))</f>
        <v>IT Services</v>
      </c>
      <c r="M1607" s="21" t="str">
        <f aca="false">INDEX(Companies!$D$2:$D$31,MATCH(C1607,Companies!$A$2:$A$31,0))</f>
        <v>Tier 3</v>
      </c>
      <c r="N1607" s="34" t="n">
        <f aca="false">MATCH(F1607,Assumptions!$K$4:$K$8,0)</f>
        <v>1</v>
      </c>
      <c r="O1607" s="21" t="str">
        <f aca="false">IF(H1607="Yes",MONTH(I1607),"")</f>
        <v/>
      </c>
      <c r="P1607" s="21" t="str">
        <f aca="false">IF(H1607="Yes",B1607,"")</f>
        <v/>
      </c>
    </row>
    <row r="1608" customFormat="false" ht="15" hidden="false" customHeight="false" outlineLevel="0" collapsed="false">
      <c r="A1608" s="21" t="s">
        <v>2823</v>
      </c>
      <c r="B1608" s="21" t="s">
        <v>794</v>
      </c>
      <c r="C1608" s="21" t="s">
        <v>1255</v>
      </c>
      <c r="D1608" s="21" t="s">
        <v>1243</v>
      </c>
      <c r="E1608" s="33" t="n">
        <v>45640</v>
      </c>
      <c r="F1608" s="21" t="s">
        <v>1197</v>
      </c>
      <c r="G1608" s="32"/>
      <c r="H1608" s="21"/>
      <c r="I1608" s="33"/>
      <c r="J1608" s="21" t="str">
        <f aca="false">INDEX(Students!$C$2:$C$601,MATCH(B1608,Students!$A$2:$A$601,0))</f>
        <v>Batch 2025</v>
      </c>
      <c r="K1608" s="21" t="str">
        <f aca="false">INDEX(Students!$D$2:$D$601,MATCH(B1608,Students!$A$2:$A$601,0))</f>
        <v>Data Science &amp; ML</v>
      </c>
      <c r="L1608" s="21" t="str">
        <f aca="false">INDEX(Companies!$C$2:$C$31,MATCH(C1608,Companies!$A$2:$A$31,0))</f>
        <v>IT Services</v>
      </c>
      <c r="M1608" s="21" t="str">
        <f aca="false">INDEX(Companies!$D$2:$D$31,MATCH(C1608,Companies!$A$2:$A$31,0))</f>
        <v>Tier 3</v>
      </c>
      <c r="N1608" s="34" t="n">
        <f aca="false">MATCH(F1608,Assumptions!$K$4:$K$8,0)</f>
        <v>3</v>
      </c>
      <c r="O1608" s="21" t="str">
        <f aca="false">IF(H1608="Yes",MONTH(I1608),"")</f>
        <v/>
      </c>
      <c r="P1608" s="21" t="str">
        <f aca="false">IF(H1608="Yes",B1608,"")</f>
        <v/>
      </c>
    </row>
    <row r="1609" customFormat="false" ht="15" hidden="false" customHeight="false" outlineLevel="0" collapsed="false">
      <c r="A1609" s="21" t="s">
        <v>2824</v>
      </c>
      <c r="B1609" s="21" t="s">
        <v>701</v>
      </c>
      <c r="C1609" s="21" t="s">
        <v>1239</v>
      </c>
      <c r="D1609" s="21" t="s">
        <v>1226</v>
      </c>
      <c r="E1609" s="33" t="n">
        <v>45641</v>
      </c>
      <c r="F1609" s="21" t="s">
        <v>1185</v>
      </c>
      <c r="G1609" s="32" t="n">
        <v>5.9</v>
      </c>
      <c r="H1609" s="21" t="s">
        <v>113</v>
      </c>
      <c r="I1609" s="33" t="n">
        <v>45665</v>
      </c>
      <c r="J1609" s="21" t="str">
        <f aca="false">INDEX(Students!$C$2:$C$601,MATCH(B1609,Students!$A$2:$A$601,0))</f>
        <v>Batch 2025</v>
      </c>
      <c r="K1609" s="21" t="str">
        <f aca="false">INDEX(Students!$D$2:$D$601,MATCH(B1609,Students!$A$2:$A$601,0))</f>
        <v>Cybersecurity</v>
      </c>
      <c r="L1609" s="21" t="str">
        <f aca="false">INDEX(Companies!$C$2:$C$31,MATCH(C1609,Companies!$A$2:$A$31,0))</f>
        <v>E-commerce</v>
      </c>
      <c r="M1609" s="21" t="str">
        <f aca="false">INDEX(Companies!$D$2:$D$31,MATCH(C1609,Companies!$A$2:$A$31,0))</f>
        <v>Tier 3</v>
      </c>
      <c r="N1609" s="34" t="n">
        <f aca="false">MATCH(F1609,Assumptions!$K$4:$K$8,0)</f>
        <v>5</v>
      </c>
      <c r="O1609" s="21" t="str">
        <f aca="false">IF(H1609="Yes",MONTH(I1609),"")</f>
        <v/>
      </c>
      <c r="P1609" s="21" t="str">
        <f aca="false">IF(H1609="Yes",B1609,"")</f>
        <v/>
      </c>
    </row>
    <row r="1610" customFormat="false" ht="15" hidden="false" customHeight="false" outlineLevel="0" collapsed="false">
      <c r="A1610" s="21" t="s">
        <v>2825</v>
      </c>
      <c r="B1610" s="21" t="s">
        <v>653</v>
      </c>
      <c r="C1610" s="21" t="s">
        <v>1239</v>
      </c>
      <c r="D1610" s="21" t="s">
        <v>1226</v>
      </c>
      <c r="E1610" s="33" t="n">
        <v>45641</v>
      </c>
      <c r="F1610" s="21" t="s">
        <v>1197</v>
      </c>
      <c r="G1610" s="32"/>
      <c r="H1610" s="21"/>
      <c r="I1610" s="33"/>
      <c r="J1610" s="21" t="str">
        <f aca="false">INDEX(Students!$C$2:$C$601,MATCH(B1610,Students!$A$2:$A$601,0))</f>
        <v>Batch 2025</v>
      </c>
      <c r="K1610" s="21" t="str">
        <f aca="false">INDEX(Students!$D$2:$D$601,MATCH(B1610,Students!$A$2:$A$601,0))</f>
        <v>Cybersecurity</v>
      </c>
      <c r="L1610" s="21" t="str">
        <f aca="false">INDEX(Companies!$C$2:$C$31,MATCH(C1610,Companies!$A$2:$A$31,0))</f>
        <v>E-commerce</v>
      </c>
      <c r="M1610" s="21" t="str">
        <f aca="false">INDEX(Companies!$D$2:$D$31,MATCH(C1610,Companies!$A$2:$A$31,0))</f>
        <v>Tier 3</v>
      </c>
      <c r="N1610" s="34" t="n">
        <f aca="false">MATCH(F1610,Assumptions!$K$4:$K$8,0)</f>
        <v>3</v>
      </c>
      <c r="O1610" s="21" t="str">
        <f aca="false">IF(H1610="Yes",MONTH(I1610),"")</f>
        <v/>
      </c>
      <c r="P1610" s="21" t="str">
        <f aca="false">IF(H1610="Yes",B1610,"")</f>
        <v/>
      </c>
    </row>
    <row r="1611" customFormat="false" ht="15" hidden="false" customHeight="false" outlineLevel="0" collapsed="false">
      <c r="A1611" s="21" t="s">
        <v>2826</v>
      </c>
      <c r="B1611" s="21" t="s">
        <v>544</v>
      </c>
      <c r="C1611" s="21" t="s">
        <v>1230</v>
      </c>
      <c r="D1611" s="21" t="s">
        <v>1243</v>
      </c>
      <c r="E1611" s="33" t="n">
        <v>45641</v>
      </c>
      <c r="F1611" s="21" t="s">
        <v>1185</v>
      </c>
      <c r="G1611" s="32" t="n">
        <v>4.9</v>
      </c>
      <c r="H1611" s="21" t="s">
        <v>113</v>
      </c>
      <c r="I1611" s="33" t="n">
        <v>45670</v>
      </c>
      <c r="J1611" s="21" t="str">
        <f aca="false">INDEX(Students!$C$2:$C$601,MATCH(B1611,Students!$A$2:$A$601,0))</f>
        <v>Batch 2025</v>
      </c>
      <c r="K1611" s="21" t="str">
        <f aca="false">INDEX(Students!$D$2:$D$601,MATCH(B1611,Students!$A$2:$A$601,0))</f>
        <v>Data Science &amp; ML</v>
      </c>
      <c r="L1611" s="21" t="str">
        <f aca="false">INDEX(Companies!$C$2:$C$31,MATCH(C1611,Companies!$A$2:$A$31,0))</f>
        <v>IT Services</v>
      </c>
      <c r="M1611" s="21" t="str">
        <f aca="false">INDEX(Companies!$D$2:$D$31,MATCH(C1611,Companies!$A$2:$A$31,0))</f>
        <v>Tier 3</v>
      </c>
      <c r="N1611" s="34" t="n">
        <f aca="false">MATCH(F1611,Assumptions!$K$4:$K$8,0)</f>
        <v>5</v>
      </c>
      <c r="O1611" s="21" t="str">
        <f aca="false">IF(H1611="Yes",MONTH(I1611),"")</f>
        <v/>
      </c>
      <c r="P1611" s="21" t="str">
        <f aca="false">IF(H1611="Yes",B1611,"")</f>
        <v/>
      </c>
    </row>
    <row r="1612" customFormat="false" ht="15" hidden="false" customHeight="false" outlineLevel="0" collapsed="false">
      <c r="A1612" s="21" t="s">
        <v>2827</v>
      </c>
      <c r="B1612" s="21" t="s">
        <v>530</v>
      </c>
      <c r="C1612" s="21" t="s">
        <v>1216</v>
      </c>
      <c r="D1612" s="21" t="s">
        <v>1240</v>
      </c>
      <c r="E1612" s="33" t="n">
        <v>45641</v>
      </c>
      <c r="F1612" s="21" t="s">
        <v>1178</v>
      </c>
      <c r="G1612" s="32"/>
      <c r="H1612" s="21"/>
      <c r="I1612" s="33"/>
      <c r="J1612" s="21" t="str">
        <f aca="false">INDEX(Students!$C$2:$C$601,MATCH(B1612,Students!$A$2:$A$601,0))</f>
        <v>Batch 2025</v>
      </c>
      <c r="K1612" s="21" t="str">
        <f aca="false">INDEX(Students!$D$2:$D$601,MATCH(B1612,Students!$A$2:$A$601,0))</f>
        <v>Cybersecurity</v>
      </c>
      <c r="L1612" s="21" t="str">
        <f aca="false">INDEX(Companies!$C$2:$C$31,MATCH(C1612,Companies!$A$2:$A$31,0))</f>
        <v>IT Services</v>
      </c>
      <c r="M1612" s="21" t="str">
        <f aca="false">INDEX(Companies!$D$2:$D$31,MATCH(C1612,Companies!$A$2:$A$31,0))</f>
        <v>Tier 3</v>
      </c>
      <c r="N1612" s="34" t="n">
        <f aca="false">MATCH(F1612,Assumptions!$K$4:$K$8,0)</f>
        <v>2</v>
      </c>
      <c r="O1612" s="21" t="str">
        <f aca="false">IF(H1612="Yes",MONTH(I1612),"")</f>
        <v/>
      </c>
      <c r="P1612" s="21" t="str">
        <f aca="false">IF(H1612="Yes",B1612,"")</f>
        <v/>
      </c>
    </row>
    <row r="1613" customFormat="false" ht="15" hidden="false" customHeight="false" outlineLevel="0" collapsed="false">
      <c r="A1613" s="21" t="s">
        <v>2828</v>
      </c>
      <c r="B1613" s="21" t="s">
        <v>501</v>
      </c>
      <c r="C1613" s="21" t="s">
        <v>1183</v>
      </c>
      <c r="D1613" s="21" t="s">
        <v>1191</v>
      </c>
      <c r="E1613" s="33" t="n">
        <v>45641</v>
      </c>
      <c r="F1613" s="21" t="s">
        <v>1178</v>
      </c>
      <c r="G1613" s="32"/>
      <c r="H1613" s="21"/>
      <c r="I1613" s="33"/>
      <c r="J1613" s="21" t="str">
        <f aca="false">INDEX(Students!$C$2:$C$601,MATCH(B1613,Students!$A$2:$A$601,0))</f>
        <v>Batch 2025</v>
      </c>
      <c r="K1613" s="21" t="str">
        <f aca="false">INDEX(Students!$D$2:$D$601,MATCH(B1613,Students!$A$2:$A$601,0))</f>
        <v>DSA with Java</v>
      </c>
      <c r="L1613" s="21" t="str">
        <f aca="false">INDEX(Companies!$C$2:$C$31,MATCH(C1613,Companies!$A$2:$A$31,0))</f>
        <v>E-commerce</v>
      </c>
      <c r="M1613" s="21" t="str">
        <f aca="false">INDEX(Companies!$D$2:$D$31,MATCH(C1613,Companies!$A$2:$A$31,0))</f>
        <v>Tier 2</v>
      </c>
      <c r="N1613" s="34" t="n">
        <f aca="false">MATCH(F1613,Assumptions!$K$4:$K$8,0)</f>
        <v>2</v>
      </c>
      <c r="O1613" s="21" t="str">
        <f aca="false">IF(H1613="Yes",MONTH(I1613),"")</f>
        <v/>
      </c>
      <c r="P1613" s="21" t="str">
        <f aca="false">IF(H1613="Yes",B1613,"")</f>
        <v/>
      </c>
    </row>
    <row r="1614" customFormat="false" ht="15" hidden="false" customHeight="false" outlineLevel="0" collapsed="false">
      <c r="A1614" s="21" t="s">
        <v>2829</v>
      </c>
      <c r="B1614" s="21" t="s">
        <v>599</v>
      </c>
      <c r="C1614" s="21" t="s">
        <v>1322</v>
      </c>
      <c r="D1614" s="21" t="s">
        <v>1181</v>
      </c>
      <c r="E1614" s="33" t="n">
        <v>45641</v>
      </c>
      <c r="F1614" s="21" t="s">
        <v>1185</v>
      </c>
      <c r="G1614" s="32" t="n">
        <v>14.6</v>
      </c>
      <c r="H1614" s="21" t="s">
        <v>120</v>
      </c>
      <c r="I1614" s="33" t="n">
        <v>45696</v>
      </c>
      <c r="J1614" s="21" t="str">
        <f aca="false">INDEX(Students!$C$2:$C$601,MATCH(B1614,Students!$A$2:$A$601,0))</f>
        <v>Batch 2025</v>
      </c>
      <c r="K1614" s="21" t="str">
        <f aca="false">INDEX(Students!$D$2:$D$601,MATCH(B1614,Students!$A$2:$A$601,0))</f>
        <v>Full Stack Development</v>
      </c>
      <c r="L1614" s="21" t="str">
        <f aca="false">INDEX(Companies!$C$2:$C$31,MATCH(C1614,Companies!$A$2:$A$31,0))</f>
        <v>Healthtech</v>
      </c>
      <c r="M1614" s="21" t="str">
        <f aca="false">INDEX(Companies!$D$2:$D$31,MATCH(C1614,Companies!$A$2:$A$31,0))</f>
        <v>Tier 2</v>
      </c>
      <c r="N1614" s="34" t="n">
        <f aca="false">MATCH(F1614,Assumptions!$K$4:$K$8,0)</f>
        <v>5</v>
      </c>
      <c r="O1614" s="21" t="n">
        <f aca="false">IF(H1614="Yes",MONTH(I1614),"")</f>
        <v>2</v>
      </c>
      <c r="P1614" s="21" t="str">
        <f aca="false">IF(H1614="Yes",B1614,"")</f>
        <v>S0261</v>
      </c>
    </row>
    <row r="1615" customFormat="false" ht="15" hidden="false" customHeight="false" outlineLevel="0" collapsed="false">
      <c r="A1615" s="21" t="s">
        <v>2830</v>
      </c>
      <c r="B1615" s="21" t="s">
        <v>785</v>
      </c>
      <c r="C1615" s="21" t="s">
        <v>1228</v>
      </c>
      <c r="D1615" s="21" t="s">
        <v>1184</v>
      </c>
      <c r="E1615" s="33" t="n">
        <v>45642</v>
      </c>
      <c r="F1615" s="21" t="s">
        <v>1178</v>
      </c>
      <c r="G1615" s="32"/>
      <c r="H1615" s="21"/>
      <c r="I1615" s="33"/>
      <c r="J1615" s="21" t="str">
        <f aca="false">INDEX(Students!$C$2:$C$601,MATCH(B1615,Students!$A$2:$A$601,0))</f>
        <v>Batch 2025</v>
      </c>
      <c r="K1615" s="21" t="str">
        <f aca="false">INDEX(Students!$D$2:$D$601,MATCH(B1615,Students!$A$2:$A$601,0))</f>
        <v>DSA with Java</v>
      </c>
      <c r="L1615" s="21" t="str">
        <f aca="false">INDEX(Companies!$C$2:$C$31,MATCH(C1615,Companies!$A$2:$A$31,0))</f>
        <v>Fintech</v>
      </c>
      <c r="M1615" s="21" t="str">
        <f aca="false">INDEX(Companies!$D$2:$D$31,MATCH(C1615,Companies!$A$2:$A$31,0))</f>
        <v>Tier 1</v>
      </c>
      <c r="N1615" s="34" t="n">
        <f aca="false">MATCH(F1615,Assumptions!$K$4:$K$8,0)</f>
        <v>2</v>
      </c>
      <c r="O1615" s="21" t="str">
        <f aca="false">IF(H1615="Yes",MONTH(I1615),"")</f>
        <v/>
      </c>
      <c r="P1615" s="21" t="str">
        <f aca="false">IF(H1615="Yes",B1615,"")</f>
        <v/>
      </c>
    </row>
    <row r="1616" customFormat="false" ht="15" hidden="false" customHeight="false" outlineLevel="0" collapsed="false">
      <c r="A1616" s="21" t="s">
        <v>2831</v>
      </c>
      <c r="B1616" s="21" t="s">
        <v>610</v>
      </c>
      <c r="C1616" s="21" t="s">
        <v>1177</v>
      </c>
      <c r="D1616" s="21" t="s">
        <v>1181</v>
      </c>
      <c r="E1616" s="33" t="n">
        <v>45642</v>
      </c>
      <c r="F1616" s="21" t="s">
        <v>1185</v>
      </c>
      <c r="G1616" s="32" t="n">
        <v>5.4</v>
      </c>
      <c r="H1616" s="21" t="s">
        <v>120</v>
      </c>
      <c r="I1616" s="33" t="n">
        <v>45693</v>
      </c>
      <c r="J1616" s="21" t="str">
        <f aca="false">INDEX(Students!$C$2:$C$601,MATCH(B1616,Students!$A$2:$A$601,0))</f>
        <v>Batch 2025</v>
      </c>
      <c r="K1616" s="21" t="str">
        <f aca="false">INDEX(Students!$D$2:$D$601,MATCH(B1616,Students!$A$2:$A$601,0))</f>
        <v>Full Stack Development</v>
      </c>
      <c r="L1616" s="21" t="str">
        <f aca="false">INDEX(Companies!$C$2:$C$31,MATCH(C1616,Companies!$A$2:$A$31,0))</f>
        <v>IT Services</v>
      </c>
      <c r="M1616" s="21" t="str">
        <f aca="false">INDEX(Companies!$D$2:$D$31,MATCH(C1616,Companies!$A$2:$A$31,0))</f>
        <v>Tier 3</v>
      </c>
      <c r="N1616" s="34" t="n">
        <f aca="false">MATCH(F1616,Assumptions!$K$4:$K$8,0)</f>
        <v>5</v>
      </c>
      <c r="O1616" s="21" t="n">
        <f aca="false">IF(H1616="Yes",MONTH(I1616),"")</f>
        <v>2</v>
      </c>
      <c r="P1616" s="21" t="str">
        <f aca="false">IF(H1616="Yes",B1616,"")</f>
        <v>S0267</v>
      </c>
    </row>
    <row r="1617" customFormat="false" ht="15" hidden="false" customHeight="false" outlineLevel="0" collapsed="false">
      <c r="A1617" s="21" t="s">
        <v>2832</v>
      </c>
      <c r="B1617" s="21" t="s">
        <v>699</v>
      </c>
      <c r="C1617" s="21" t="s">
        <v>1183</v>
      </c>
      <c r="D1617" s="21" t="s">
        <v>1181</v>
      </c>
      <c r="E1617" s="33" t="n">
        <v>45642</v>
      </c>
      <c r="F1617" s="21" t="s">
        <v>1178</v>
      </c>
      <c r="G1617" s="32"/>
      <c r="H1617" s="21"/>
      <c r="I1617" s="33"/>
      <c r="J1617" s="21" t="str">
        <f aca="false">INDEX(Students!$C$2:$C$601,MATCH(B1617,Students!$A$2:$A$601,0))</f>
        <v>Batch 2025</v>
      </c>
      <c r="K1617" s="21" t="str">
        <f aca="false">INDEX(Students!$D$2:$D$601,MATCH(B1617,Students!$A$2:$A$601,0))</f>
        <v>Full Stack Development</v>
      </c>
      <c r="L1617" s="21" t="str">
        <f aca="false">INDEX(Companies!$C$2:$C$31,MATCH(C1617,Companies!$A$2:$A$31,0))</f>
        <v>E-commerce</v>
      </c>
      <c r="M1617" s="21" t="str">
        <f aca="false">INDEX(Companies!$D$2:$D$31,MATCH(C1617,Companies!$A$2:$A$31,0))</f>
        <v>Tier 2</v>
      </c>
      <c r="N1617" s="34" t="n">
        <f aca="false">MATCH(F1617,Assumptions!$K$4:$K$8,0)</f>
        <v>2</v>
      </c>
      <c r="O1617" s="21" t="str">
        <f aca="false">IF(H1617="Yes",MONTH(I1617),"")</f>
        <v/>
      </c>
      <c r="P1617" s="21" t="str">
        <f aca="false">IF(H1617="Yes",B1617,"")</f>
        <v/>
      </c>
    </row>
    <row r="1618" customFormat="false" ht="15" hidden="false" customHeight="false" outlineLevel="0" collapsed="false">
      <c r="A1618" s="21" t="s">
        <v>2833</v>
      </c>
      <c r="B1618" s="21" t="s">
        <v>461</v>
      </c>
      <c r="C1618" s="21" t="s">
        <v>1275</v>
      </c>
      <c r="D1618" s="21" t="s">
        <v>1181</v>
      </c>
      <c r="E1618" s="33" t="n">
        <v>45642</v>
      </c>
      <c r="F1618" s="21" t="s">
        <v>1178</v>
      </c>
      <c r="G1618" s="32"/>
      <c r="H1618" s="21"/>
      <c r="I1618" s="33"/>
      <c r="J1618" s="21" t="str">
        <f aca="false">INDEX(Students!$C$2:$C$601,MATCH(B1618,Students!$A$2:$A$601,0))</f>
        <v>Batch 2025</v>
      </c>
      <c r="K1618" s="21" t="str">
        <f aca="false">INDEX(Students!$D$2:$D$601,MATCH(B1618,Students!$A$2:$A$601,0))</f>
        <v>Full Stack Development</v>
      </c>
      <c r="L1618" s="21" t="str">
        <f aca="false">INDEX(Companies!$C$2:$C$31,MATCH(C1618,Companies!$A$2:$A$31,0))</f>
        <v>Cybersecurity</v>
      </c>
      <c r="M1618" s="21" t="str">
        <f aca="false">INDEX(Companies!$D$2:$D$31,MATCH(C1618,Companies!$A$2:$A$31,0))</f>
        <v>Tier 2</v>
      </c>
      <c r="N1618" s="34" t="n">
        <f aca="false">MATCH(F1618,Assumptions!$K$4:$K$8,0)</f>
        <v>2</v>
      </c>
      <c r="O1618" s="21" t="str">
        <f aca="false">IF(H1618="Yes",MONTH(I1618),"")</f>
        <v/>
      </c>
      <c r="P1618" s="21" t="str">
        <f aca="false">IF(H1618="Yes",B1618,"")</f>
        <v/>
      </c>
    </row>
    <row r="1619" customFormat="false" ht="15" hidden="false" customHeight="false" outlineLevel="0" collapsed="false">
      <c r="A1619" s="21" t="s">
        <v>2834</v>
      </c>
      <c r="B1619" s="21" t="s">
        <v>656</v>
      </c>
      <c r="C1619" s="21" t="s">
        <v>1183</v>
      </c>
      <c r="D1619" s="21" t="s">
        <v>1181</v>
      </c>
      <c r="E1619" s="33" t="n">
        <v>45642</v>
      </c>
      <c r="F1619" s="21" t="s">
        <v>1197</v>
      </c>
      <c r="G1619" s="32"/>
      <c r="H1619" s="21"/>
      <c r="I1619" s="33"/>
      <c r="J1619" s="21" t="str">
        <f aca="false">INDEX(Students!$C$2:$C$601,MATCH(B1619,Students!$A$2:$A$601,0))</f>
        <v>Batch 2025</v>
      </c>
      <c r="K1619" s="21" t="str">
        <f aca="false">INDEX(Students!$D$2:$D$601,MATCH(B1619,Students!$A$2:$A$601,0))</f>
        <v>Full Stack Development</v>
      </c>
      <c r="L1619" s="21" t="str">
        <f aca="false">INDEX(Companies!$C$2:$C$31,MATCH(C1619,Companies!$A$2:$A$31,0))</f>
        <v>E-commerce</v>
      </c>
      <c r="M1619" s="21" t="str">
        <f aca="false">INDEX(Companies!$D$2:$D$31,MATCH(C1619,Companies!$A$2:$A$31,0))</f>
        <v>Tier 2</v>
      </c>
      <c r="N1619" s="34" t="n">
        <f aca="false">MATCH(F1619,Assumptions!$K$4:$K$8,0)</f>
        <v>3</v>
      </c>
      <c r="O1619" s="21" t="str">
        <f aca="false">IF(H1619="Yes",MONTH(I1619),"")</f>
        <v/>
      </c>
      <c r="P1619" s="21" t="str">
        <f aca="false">IF(H1619="Yes",B1619,"")</f>
        <v/>
      </c>
    </row>
    <row r="1620" customFormat="false" ht="15" hidden="false" customHeight="false" outlineLevel="0" collapsed="false">
      <c r="A1620" s="21" t="s">
        <v>2835</v>
      </c>
      <c r="B1620" s="21" t="s">
        <v>482</v>
      </c>
      <c r="C1620" s="21" t="s">
        <v>1203</v>
      </c>
      <c r="D1620" s="21" t="s">
        <v>1188</v>
      </c>
      <c r="E1620" s="33" t="n">
        <v>45642</v>
      </c>
      <c r="F1620" s="21" t="s">
        <v>1185</v>
      </c>
      <c r="G1620" s="32" t="n">
        <v>12.4</v>
      </c>
      <c r="H1620" s="21" t="s">
        <v>120</v>
      </c>
      <c r="I1620" s="33" t="n">
        <v>45677</v>
      </c>
      <c r="J1620" s="21" t="str">
        <f aca="false">INDEX(Students!$C$2:$C$601,MATCH(B1620,Students!$A$2:$A$601,0))</f>
        <v>Batch 2025</v>
      </c>
      <c r="K1620" s="21" t="str">
        <f aca="false">INDEX(Students!$D$2:$D$601,MATCH(B1620,Students!$A$2:$A$601,0))</f>
        <v>Data Analytics</v>
      </c>
      <c r="L1620" s="21" t="str">
        <f aca="false">INDEX(Companies!$C$2:$C$31,MATCH(C1620,Companies!$A$2:$A$31,0))</f>
        <v>Healthtech</v>
      </c>
      <c r="M1620" s="21" t="str">
        <f aca="false">INDEX(Companies!$D$2:$D$31,MATCH(C1620,Companies!$A$2:$A$31,0))</f>
        <v>Tier 2</v>
      </c>
      <c r="N1620" s="34" t="n">
        <f aca="false">MATCH(F1620,Assumptions!$K$4:$K$8,0)</f>
        <v>5</v>
      </c>
      <c r="O1620" s="21" t="n">
        <f aca="false">IF(H1620="Yes",MONTH(I1620),"")</f>
        <v>1</v>
      </c>
      <c r="P1620" s="21" t="str">
        <f aca="false">IF(H1620="Yes",B1620,"")</f>
        <v>S0196</v>
      </c>
    </row>
    <row r="1621" customFormat="false" ht="15" hidden="false" customHeight="false" outlineLevel="0" collapsed="false">
      <c r="A1621" s="21" t="s">
        <v>2836</v>
      </c>
      <c r="B1621" s="21" t="s">
        <v>536</v>
      </c>
      <c r="C1621" s="21" t="s">
        <v>1309</v>
      </c>
      <c r="D1621" s="21" t="s">
        <v>1194</v>
      </c>
      <c r="E1621" s="33" t="n">
        <v>45642</v>
      </c>
      <c r="F1621" s="21" t="s">
        <v>1175</v>
      </c>
      <c r="G1621" s="32"/>
      <c r="H1621" s="21"/>
      <c r="I1621" s="33"/>
      <c r="J1621" s="21" t="str">
        <f aca="false">INDEX(Students!$C$2:$C$601,MATCH(B1621,Students!$A$2:$A$601,0))</f>
        <v>Batch 2025</v>
      </c>
      <c r="K1621" s="21" t="str">
        <f aca="false">INDEX(Students!$D$2:$D$601,MATCH(B1621,Students!$A$2:$A$601,0))</f>
        <v>Data Science &amp; ML</v>
      </c>
      <c r="L1621" s="21" t="str">
        <f aca="false">INDEX(Companies!$C$2:$C$31,MATCH(C1621,Companies!$A$2:$A$31,0))</f>
        <v>EdTech</v>
      </c>
      <c r="M1621" s="21" t="str">
        <f aca="false">INDEX(Companies!$D$2:$D$31,MATCH(C1621,Companies!$A$2:$A$31,0))</f>
        <v>Tier 2</v>
      </c>
      <c r="N1621" s="34" t="n">
        <f aca="false">MATCH(F1621,Assumptions!$K$4:$K$8,0)</f>
        <v>1</v>
      </c>
      <c r="O1621" s="21" t="str">
        <f aca="false">IF(H1621="Yes",MONTH(I1621),"")</f>
        <v/>
      </c>
      <c r="P1621" s="21" t="str">
        <f aca="false">IF(H1621="Yes",B1621,"")</f>
        <v/>
      </c>
    </row>
    <row r="1622" customFormat="false" ht="15" hidden="false" customHeight="false" outlineLevel="0" collapsed="false">
      <c r="A1622" s="21" t="s">
        <v>2837</v>
      </c>
      <c r="B1622" s="21" t="s">
        <v>729</v>
      </c>
      <c r="C1622" s="21" t="s">
        <v>1183</v>
      </c>
      <c r="D1622" s="21" t="s">
        <v>1240</v>
      </c>
      <c r="E1622" s="33" t="n">
        <v>45642</v>
      </c>
      <c r="F1622" s="21" t="s">
        <v>1175</v>
      </c>
      <c r="G1622" s="32"/>
      <c r="H1622" s="21"/>
      <c r="I1622" s="33"/>
      <c r="J1622" s="21" t="str">
        <f aca="false">INDEX(Students!$C$2:$C$601,MATCH(B1622,Students!$A$2:$A$601,0))</f>
        <v>Batch 2025</v>
      </c>
      <c r="K1622" s="21" t="str">
        <f aca="false">INDEX(Students!$D$2:$D$601,MATCH(B1622,Students!$A$2:$A$601,0))</f>
        <v>Cybersecurity</v>
      </c>
      <c r="L1622" s="21" t="str">
        <f aca="false">INDEX(Companies!$C$2:$C$31,MATCH(C1622,Companies!$A$2:$A$31,0))</f>
        <v>E-commerce</v>
      </c>
      <c r="M1622" s="21" t="str">
        <f aca="false">INDEX(Companies!$D$2:$D$31,MATCH(C1622,Companies!$A$2:$A$31,0))</f>
        <v>Tier 2</v>
      </c>
      <c r="N1622" s="34" t="n">
        <f aca="false">MATCH(F1622,Assumptions!$K$4:$K$8,0)</f>
        <v>1</v>
      </c>
      <c r="O1622" s="21" t="str">
        <f aca="false">IF(H1622="Yes",MONTH(I1622),"")</f>
        <v/>
      </c>
      <c r="P1622" s="21" t="str">
        <f aca="false">IF(H1622="Yes",B1622,"")</f>
        <v/>
      </c>
    </row>
    <row r="1623" customFormat="false" ht="15" hidden="false" customHeight="false" outlineLevel="0" collapsed="false">
      <c r="A1623" s="21" t="s">
        <v>2838</v>
      </c>
      <c r="B1623" s="21" t="s">
        <v>751</v>
      </c>
      <c r="C1623" s="21" t="s">
        <v>1183</v>
      </c>
      <c r="D1623" s="21" t="s">
        <v>1209</v>
      </c>
      <c r="E1623" s="33" t="n">
        <v>45643</v>
      </c>
      <c r="F1623" s="21" t="s">
        <v>1218</v>
      </c>
      <c r="G1623" s="32"/>
      <c r="H1623" s="21"/>
      <c r="I1623" s="33"/>
      <c r="J1623" s="21" t="str">
        <f aca="false">INDEX(Students!$C$2:$C$601,MATCH(B1623,Students!$A$2:$A$601,0))</f>
        <v>Batch 2025</v>
      </c>
      <c r="K1623" s="21" t="str">
        <f aca="false">INDEX(Students!$D$2:$D$601,MATCH(B1623,Students!$A$2:$A$601,0))</f>
        <v>Data Analytics</v>
      </c>
      <c r="L1623" s="21" t="str">
        <f aca="false">INDEX(Companies!$C$2:$C$31,MATCH(C1623,Companies!$A$2:$A$31,0))</f>
        <v>E-commerce</v>
      </c>
      <c r="M1623" s="21" t="str">
        <f aca="false">INDEX(Companies!$D$2:$D$31,MATCH(C1623,Companies!$A$2:$A$31,0))</f>
        <v>Tier 2</v>
      </c>
      <c r="N1623" s="34" t="n">
        <f aca="false">MATCH(F1623,Assumptions!$K$4:$K$8,0)</f>
        <v>4</v>
      </c>
      <c r="O1623" s="21" t="str">
        <f aca="false">IF(H1623="Yes",MONTH(I1623),"")</f>
        <v/>
      </c>
      <c r="P1623" s="21" t="str">
        <f aca="false">IF(H1623="Yes",B1623,"")</f>
        <v/>
      </c>
    </row>
    <row r="1624" customFormat="false" ht="15" hidden="false" customHeight="false" outlineLevel="0" collapsed="false">
      <c r="A1624" s="21" t="s">
        <v>2839</v>
      </c>
      <c r="B1624" s="21" t="s">
        <v>651</v>
      </c>
      <c r="C1624" s="21" t="s">
        <v>1263</v>
      </c>
      <c r="D1624" s="21" t="s">
        <v>1240</v>
      </c>
      <c r="E1624" s="33" t="n">
        <v>45643</v>
      </c>
      <c r="F1624" s="21" t="s">
        <v>1178</v>
      </c>
      <c r="G1624" s="32"/>
      <c r="H1624" s="21"/>
      <c r="I1624" s="33"/>
      <c r="J1624" s="21" t="str">
        <f aca="false">INDEX(Students!$C$2:$C$601,MATCH(B1624,Students!$A$2:$A$601,0))</f>
        <v>Batch 2025</v>
      </c>
      <c r="K1624" s="21" t="str">
        <f aca="false">INDEX(Students!$D$2:$D$601,MATCH(B1624,Students!$A$2:$A$601,0))</f>
        <v>Cybersecurity</v>
      </c>
      <c r="L1624" s="21" t="str">
        <f aca="false">INDEX(Companies!$C$2:$C$31,MATCH(C1624,Companies!$A$2:$A$31,0))</f>
        <v>Analytics &amp; Consulting</v>
      </c>
      <c r="M1624" s="21" t="str">
        <f aca="false">INDEX(Companies!$D$2:$D$31,MATCH(C1624,Companies!$A$2:$A$31,0))</f>
        <v>Tier 2</v>
      </c>
      <c r="N1624" s="34" t="n">
        <f aca="false">MATCH(F1624,Assumptions!$K$4:$K$8,0)</f>
        <v>2</v>
      </c>
      <c r="O1624" s="21" t="str">
        <f aca="false">IF(H1624="Yes",MONTH(I1624),"")</f>
        <v/>
      </c>
      <c r="P1624" s="21" t="str">
        <f aca="false">IF(H1624="Yes",B1624,"")</f>
        <v/>
      </c>
    </row>
    <row r="1625" customFormat="false" ht="15" hidden="false" customHeight="false" outlineLevel="0" collapsed="false">
      <c r="A1625" s="21" t="s">
        <v>2840</v>
      </c>
      <c r="B1625" s="21" t="s">
        <v>668</v>
      </c>
      <c r="C1625" s="21" t="s">
        <v>1211</v>
      </c>
      <c r="D1625" s="21" t="s">
        <v>1243</v>
      </c>
      <c r="E1625" s="33" t="n">
        <v>45644</v>
      </c>
      <c r="F1625" s="21" t="s">
        <v>1185</v>
      </c>
      <c r="G1625" s="32" t="n">
        <v>6.7</v>
      </c>
      <c r="H1625" s="21" t="s">
        <v>113</v>
      </c>
      <c r="I1625" s="33" t="n">
        <v>45680</v>
      </c>
      <c r="J1625" s="21" t="str">
        <f aca="false">INDEX(Students!$C$2:$C$601,MATCH(B1625,Students!$A$2:$A$601,0))</f>
        <v>Batch 2025</v>
      </c>
      <c r="K1625" s="21" t="str">
        <f aca="false">INDEX(Students!$D$2:$D$601,MATCH(B1625,Students!$A$2:$A$601,0))</f>
        <v>Data Science &amp; ML</v>
      </c>
      <c r="L1625" s="21" t="str">
        <f aca="false">INDEX(Companies!$C$2:$C$31,MATCH(C1625,Companies!$A$2:$A$31,0))</f>
        <v>Analytics &amp; Consulting</v>
      </c>
      <c r="M1625" s="21" t="str">
        <f aca="false">INDEX(Companies!$D$2:$D$31,MATCH(C1625,Companies!$A$2:$A$31,0))</f>
        <v>Tier 3</v>
      </c>
      <c r="N1625" s="34" t="n">
        <f aca="false">MATCH(F1625,Assumptions!$K$4:$K$8,0)</f>
        <v>5</v>
      </c>
      <c r="O1625" s="21" t="str">
        <f aca="false">IF(H1625="Yes",MONTH(I1625),"")</f>
        <v/>
      </c>
      <c r="P1625" s="21" t="str">
        <f aca="false">IF(H1625="Yes",B1625,"")</f>
        <v/>
      </c>
    </row>
    <row r="1626" customFormat="false" ht="15" hidden="false" customHeight="false" outlineLevel="0" collapsed="false">
      <c r="A1626" s="21" t="s">
        <v>2841</v>
      </c>
      <c r="B1626" s="21" t="s">
        <v>470</v>
      </c>
      <c r="C1626" s="21" t="s">
        <v>1255</v>
      </c>
      <c r="D1626" s="21" t="s">
        <v>1209</v>
      </c>
      <c r="E1626" s="33" t="n">
        <v>45644</v>
      </c>
      <c r="F1626" s="21" t="s">
        <v>1197</v>
      </c>
      <c r="G1626" s="32"/>
      <c r="H1626" s="21"/>
      <c r="I1626" s="33"/>
      <c r="J1626" s="21" t="str">
        <f aca="false">INDEX(Students!$C$2:$C$601,MATCH(B1626,Students!$A$2:$A$601,0))</f>
        <v>Batch 2025</v>
      </c>
      <c r="K1626" s="21" t="str">
        <f aca="false">INDEX(Students!$D$2:$D$601,MATCH(B1626,Students!$A$2:$A$601,0))</f>
        <v>Data Analytics</v>
      </c>
      <c r="L1626" s="21" t="str">
        <f aca="false">INDEX(Companies!$C$2:$C$31,MATCH(C1626,Companies!$A$2:$A$31,0))</f>
        <v>IT Services</v>
      </c>
      <c r="M1626" s="21" t="str">
        <f aca="false">INDEX(Companies!$D$2:$D$31,MATCH(C1626,Companies!$A$2:$A$31,0))</f>
        <v>Tier 3</v>
      </c>
      <c r="N1626" s="34" t="n">
        <f aca="false">MATCH(F1626,Assumptions!$K$4:$K$8,0)</f>
        <v>3</v>
      </c>
      <c r="O1626" s="21" t="str">
        <f aca="false">IF(H1626="Yes",MONTH(I1626),"")</f>
        <v/>
      </c>
      <c r="P1626" s="21" t="str">
        <f aca="false">IF(H1626="Yes",B1626,"")</f>
        <v/>
      </c>
    </row>
    <row r="1627" customFormat="false" ht="15" hidden="false" customHeight="false" outlineLevel="0" collapsed="false">
      <c r="A1627" s="21" t="s">
        <v>2842</v>
      </c>
      <c r="B1627" s="21" t="s">
        <v>554</v>
      </c>
      <c r="C1627" s="21" t="s">
        <v>1255</v>
      </c>
      <c r="D1627" s="21" t="s">
        <v>1184</v>
      </c>
      <c r="E1627" s="33" t="n">
        <v>45644</v>
      </c>
      <c r="F1627" s="21" t="s">
        <v>1185</v>
      </c>
      <c r="G1627" s="32" t="n">
        <v>5.6</v>
      </c>
      <c r="H1627" s="21" t="s">
        <v>120</v>
      </c>
      <c r="I1627" s="33" t="n">
        <v>45687</v>
      </c>
      <c r="J1627" s="21" t="str">
        <f aca="false">INDEX(Students!$C$2:$C$601,MATCH(B1627,Students!$A$2:$A$601,0))</f>
        <v>Batch 2025</v>
      </c>
      <c r="K1627" s="21" t="str">
        <f aca="false">INDEX(Students!$D$2:$D$601,MATCH(B1627,Students!$A$2:$A$601,0))</f>
        <v>DSA with Java</v>
      </c>
      <c r="L1627" s="21" t="str">
        <f aca="false">INDEX(Companies!$C$2:$C$31,MATCH(C1627,Companies!$A$2:$A$31,0))</f>
        <v>IT Services</v>
      </c>
      <c r="M1627" s="21" t="str">
        <f aca="false">INDEX(Companies!$D$2:$D$31,MATCH(C1627,Companies!$A$2:$A$31,0))</f>
        <v>Tier 3</v>
      </c>
      <c r="N1627" s="34" t="n">
        <f aca="false">MATCH(F1627,Assumptions!$K$4:$K$8,0)</f>
        <v>5</v>
      </c>
      <c r="O1627" s="21" t="n">
        <f aca="false">IF(H1627="Yes",MONTH(I1627),"")</f>
        <v>1</v>
      </c>
      <c r="P1627" s="21" t="str">
        <f aca="false">IF(H1627="Yes",B1627,"")</f>
        <v>S0236</v>
      </c>
    </row>
    <row r="1628" customFormat="false" ht="15" hidden="false" customHeight="false" outlineLevel="0" collapsed="false">
      <c r="A1628" s="21" t="s">
        <v>2843</v>
      </c>
      <c r="B1628" s="21" t="s">
        <v>780</v>
      </c>
      <c r="C1628" s="21" t="s">
        <v>1322</v>
      </c>
      <c r="D1628" s="21" t="s">
        <v>1174</v>
      </c>
      <c r="E1628" s="33" t="n">
        <v>45644</v>
      </c>
      <c r="F1628" s="21" t="s">
        <v>1218</v>
      </c>
      <c r="G1628" s="32"/>
      <c r="H1628" s="21"/>
      <c r="I1628" s="33"/>
      <c r="J1628" s="21" t="str">
        <f aca="false">INDEX(Students!$C$2:$C$601,MATCH(B1628,Students!$A$2:$A$601,0))</f>
        <v>Batch 2025</v>
      </c>
      <c r="K1628" s="21" t="str">
        <f aca="false">INDEX(Students!$D$2:$D$601,MATCH(B1628,Students!$A$2:$A$601,0))</f>
        <v>Full Stack Development</v>
      </c>
      <c r="L1628" s="21" t="str">
        <f aca="false">INDEX(Companies!$C$2:$C$31,MATCH(C1628,Companies!$A$2:$A$31,0))</f>
        <v>Healthtech</v>
      </c>
      <c r="M1628" s="21" t="str">
        <f aca="false">INDEX(Companies!$D$2:$D$31,MATCH(C1628,Companies!$A$2:$A$31,0))</f>
        <v>Tier 2</v>
      </c>
      <c r="N1628" s="34" t="n">
        <f aca="false">MATCH(F1628,Assumptions!$K$4:$K$8,0)</f>
        <v>4</v>
      </c>
      <c r="O1628" s="21" t="str">
        <f aca="false">IF(H1628="Yes",MONTH(I1628),"")</f>
        <v/>
      </c>
      <c r="P1628" s="21" t="str">
        <f aca="false">IF(H1628="Yes",B1628,"")</f>
        <v/>
      </c>
    </row>
    <row r="1629" customFormat="false" ht="15" hidden="false" customHeight="false" outlineLevel="0" collapsed="false">
      <c r="A1629" s="21" t="s">
        <v>2844</v>
      </c>
      <c r="B1629" s="21" t="s">
        <v>472</v>
      </c>
      <c r="C1629" s="21" t="s">
        <v>1180</v>
      </c>
      <c r="D1629" s="21" t="s">
        <v>1243</v>
      </c>
      <c r="E1629" s="33" t="n">
        <v>45644</v>
      </c>
      <c r="F1629" s="21" t="s">
        <v>1178</v>
      </c>
      <c r="G1629" s="32"/>
      <c r="H1629" s="21"/>
      <c r="I1629" s="33"/>
      <c r="J1629" s="21" t="str">
        <f aca="false">INDEX(Students!$C$2:$C$601,MATCH(B1629,Students!$A$2:$A$601,0))</f>
        <v>Batch 2025</v>
      </c>
      <c r="K1629" s="21" t="str">
        <f aca="false">INDEX(Students!$D$2:$D$601,MATCH(B1629,Students!$A$2:$A$601,0))</f>
        <v>Data Science &amp; ML</v>
      </c>
      <c r="L1629" s="21" t="str">
        <f aca="false">INDEX(Companies!$C$2:$C$31,MATCH(C1629,Companies!$A$2:$A$31,0))</f>
        <v>IT Services</v>
      </c>
      <c r="M1629" s="21" t="str">
        <f aca="false">INDEX(Companies!$D$2:$D$31,MATCH(C1629,Companies!$A$2:$A$31,0))</f>
        <v>Tier 3</v>
      </c>
      <c r="N1629" s="34" t="n">
        <f aca="false">MATCH(F1629,Assumptions!$K$4:$K$8,0)</f>
        <v>2</v>
      </c>
      <c r="O1629" s="21" t="str">
        <f aca="false">IF(H1629="Yes",MONTH(I1629),"")</f>
        <v/>
      </c>
      <c r="P1629" s="21" t="str">
        <f aca="false">IF(H1629="Yes",B1629,"")</f>
        <v/>
      </c>
    </row>
    <row r="1630" customFormat="false" ht="15" hidden="false" customHeight="false" outlineLevel="0" collapsed="false">
      <c r="A1630" s="21" t="s">
        <v>2845</v>
      </c>
      <c r="B1630" s="21" t="s">
        <v>682</v>
      </c>
      <c r="C1630" s="21" t="s">
        <v>1216</v>
      </c>
      <c r="D1630" s="21" t="s">
        <v>1191</v>
      </c>
      <c r="E1630" s="33" t="n">
        <v>45644</v>
      </c>
      <c r="F1630" s="21" t="s">
        <v>1178</v>
      </c>
      <c r="G1630" s="32"/>
      <c r="H1630" s="21"/>
      <c r="I1630" s="33"/>
      <c r="J1630" s="21" t="str">
        <f aca="false">INDEX(Students!$C$2:$C$601,MATCH(B1630,Students!$A$2:$A$601,0))</f>
        <v>Batch 2025</v>
      </c>
      <c r="K1630" s="21" t="str">
        <f aca="false">INDEX(Students!$D$2:$D$601,MATCH(B1630,Students!$A$2:$A$601,0))</f>
        <v>DSA with Java</v>
      </c>
      <c r="L1630" s="21" t="str">
        <f aca="false">INDEX(Companies!$C$2:$C$31,MATCH(C1630,Companies!$A$2:$A$31,0))</f>
        <v>IT Services</v>
      </c>
      <c r="M1630" s="21" t="str">
        <f aca="false">INDEX(Companies!$D$2:$D$31,MATCH(C1630,Companies!$A$2:$A$31,0))</f>
        <v>Tier 3</v>
      </c>
      <c r="N1630" s="34" t="n">
        <f aca="false">MATCH(F1630,Assumptions!$K$4:$K$8,0)</f>
        <v>2</v>
      </c>
      <c r="O1630" s="21" t="str">
        <f aca="false">IF(H1630="Yes",MONTH(I1630),"")</f>
        <v/>
      </c>
      <c r="P1630" s="21" t="str">
        <f aca="false">IF(H1630="Yes",B1630,"")</f>
        <v/>
      </c>
    </row>
    <row r="1631" customFormat="false" ht="15" hidden="false" customHeight="false" outlineLevel="0" collapsed="false">
      <c r="A1631" s="21" t="s">
        <v>2846</v>
      </c>
      <c r="B1631" s="21" t="s">
        <v>542</v>
      </c>
      <c r="C1631" s="21" t="s">
        <v>1255</v>
      </c>
      <c r="D1631" s="21" t="s">
        <v>1184</v>
      </c>
      <c r="E1631" s="33" t="n">
        <v>45645</v>
      </c>
      <c r="F1631" s="21" t="s">
        <v>1185</v>
      </c>
      <c r="G1631" s="32" t="n">
        <v>5.9</v>
      </c>
      <c r="H1631" s="21" t="s">
        <v>113</v>
      </c>
      <c r="I1631" s="33" t="n">
        <v>45672</v>
      </c>
      <c r="J1631" s="21" t="str">
        <f aca="false">INDEX(Students!$C$2:$C$601,MATCH(B1631,Students!$A$2:$A$601,0))</f>
        <v>Batch 2025</v>
      </c>
      <c r="K1631" s="21" t="str">
        <f aca="false">INDEX(Students!$D$2:$D$601,MATCH(B1631,Students!$A$2:$A$601,0))</f>
        <v>DSA with Java</v>
      </c>
      <c r="L1631" s="21" t="str">
        <f aca="false">INDEX(Companies!$C$2:$C$31,MATCH(C1631,Companies!$A$2:$A$31,0))</f>
        <v>IT Services</v>
      </c>
      <c r="M1631" s="21" t="str">
        <f aca="false">INDEX(Companies!$D$2:$D$31,MATCH(C1631,Companies!$A$2:$A$31,0))</f>
        <v>Tier 3</v>
      </c>
      <c r="N1631" s="34" t="n">
        <f aca="false">MATCH(F1631,Assumptions!$K$4:$K$8,0)</f>
        <v>5</v>
      </c>
      <c r="O1631" s="21" t="str">
        <f aca="false">IF(H1631="Yes",MONTH(I1631),"")</f>
        <v/>
      </c>
      <c r="P1631" s="21" t="str">
        <f aca="false">IF(H1631="Yes",B1631,"")</f>
        <v/>
      </c>
    </row>
    <row r="1632" customFormat="false" ht="15" hidden="false" customHeight="false" outlineLevel="0" collapsed="false">
      <c r="A1632" s="21" t="s">
        <v>2847</v>
      </c>
      <c r="B1632" s="21" t="s">
        <v>522</v>
      </c>
      <c r="C1632" s="21" t="s">
        <v>1266</v>
      </c>
      <c r="D1632" s="21" t="s">
        <v>1191</v>
      </c>
      <c r="E1632" s="33" t="n">
        <v>45645</v>
      </c>
      <c r="F1632" s="21" t="s">
        <v>1185</v>
      </c>
      <c r="G1632" s="32" t="n">
        <v>5.4</v>
      </c>
      <c r="H1632" s="21" t="s">
        <v>113</v>
      </c>
      <c r="I1632" s="33" t="n">
        <v>45693</v>
      </c>
      <c r="J1632" s="21" t="str">
        <f aca="false">INDEX(Students!$C$2:$C$601,MATCH(B1632,Students!$A$2:$A$601,0))</f>
        <v>Batch 2025</v>
      </c>
      <c r="K1632" s="21" t="str">
        <f aca="false">INDEX(Students!$D$2:$D$601,MATCH(B1632,Students!$A$2:$A$601,0))</f>
        <v>DSA with Java</v>
      </c>
      <c r="L1632" s="21" t="str">
        <f aca="false">INDEX(Companies!$C$2:$C$31,MATCH(C1632,Companies!$A$2:$A$31,0))</f>
        <v>IT Services</v>
      </c>
      <c r="M1632" s="21" t="str">
        <f aca="false">INDEX(Companies!$D$2:$D$31,MATCH(C1632,Companies!$A$2:$A$31,0))</f>
        <v>Tier 3</v>
      </c>
      <c r="N1632" s="34" t="n">
        <f aca="false">MATCH(F1632,Assumptions!$K$4:$K$8,0)</f>
        <v>5</v>
      </c>
      <c r="O1632" s="21" t="str">
        <f aca="false">IF(H1632="Yes",MONTH(I1632),"")</f>
        <v/>
      </c>
      <c r="P1632" s="21" t="str">
        <f aca="false">IF(H1632="Yes",B1632,"")</f>
        <v/>
      </c>
    </row>
    <row r="1633" customFormat="false" ht="15" hidden="false" customHeight="false" outlineLevel="0" collapsed="false">
      <c r="A1633" s="21" t="s">
        <v>2848</v>
      </c>
      <c r="B1633" s="21" t="s">
        <v>701</v>
      </c>
      <c r="C1633" s="21" t="s">
        <v>1180</v>
      </c>
      <c r="D1633" s="21" t="s">
        <v>1226</v>
      </c>
      <c r="E1633" s="33" t="n">
        <v>45645</v>
      </c>
      <c r="F1633" s="21" t="s">
        <v>1185</v>
      </c>
      <c r="G1633" s="32" t="n">
        <v>6.3</v>
      </c>
      <c r="H1633" s="21" t="s">
        <v>120</v>
      </c>
      <c r="I1633" s="33" t="n">
        <v>45692</v>
      </c>
      <c r="J1633" s="21" t="str">
        <f aca="false">INDEX(Students!$C$2:$C$601,MATCH(B1633,Students!$A$2:$A$601,0))</f>
        <v>Batch 2025</v>
      </c>
      <c r="K1633" s="21" t="str">
        <f aca="false">INDEX(Students!$D$2:$D$601,MATCH(B1633,Students!$A$2:$A$601,0))</f>
        <v>Cybersecurity</v>
      </c>
      <c r="L1633" s="21" t="str">
        <f aca="false">INDEX(Companies!$C$2:$C$31,MATCH(C1633,Companies!$A$2:$A$31,0))</f>
        <v>IT Services</v>
      </c>
      <c r="M1633" s="21" t="str">
        <f aca="false">INDEX(Companies!$D$2:$D$31,MATCH(C1633,Companies!$A$2:$A$31,0))</f>
        <v>Tier 3</v>
      </c>
      <c r="N1633" s="34" t="n">
        <f aca="false">MATCH(F1633,Assumptions!$K$4:$K$8,0)</f>
        <v>5</v>
      </c>
      <c r="O1633" s="21" t="n">
        <f aca="false">IF(H1633="Yes",MONTH(I1633),"")</f>
        <v>2</v>
      </c>
      <c r="P1633" s="21" t="str">
        <f aca="false">IF(H1633="Yes",B1633,"")</f>
        <v>S0320</v>
      </c>
    </row>
    <row r="1634" customFormat="false" ht="15" hidden="false" customHeight="false" outlineLevel="0" collapsed="false">
      <c r="A1634" s="21" t="s">
        <v>2849</v>
      </c>
      <c r="B1634" s="21" t="s">
        <v>517</v>
      </c>
      <c r="C1634" s="21" t="s">
        <v>1201</v>
      </c>
      <c r="D1634" s="21" t="s">
        <v>1184</v>
      </c>
      <c r="E1634" s="33" t="n">
        <v>45645</v>
      </c>
      <c r="F1634" s="21" t="s">
        <v>1185</v>
      </c>
      <c r="G1634" s="32" t="n">
        <v>5.1</v>
      </c>
      <c r="H1634" s="21" t="s">
        <v>113</v>
      </c>
      <c r="I1634" s="33" t="n">
        <v>45672</v>
      </c>
      <c r="J1634" s="21" t="str">
        <f aca="false">INDEX(Students!$C$2:$C$601,MATCH(B1634,Students!$A$2:$A$601,0))</f>
        <v>Batch 2025</v>
      </c>
      <c r="K1634" s="21" t="str">
        <f aca="false">INDEX(Students!$D$2:$D$601,MATCH(B1634,Students!$A$2:$A$601,0))</f>
        <v>DSA with Java</v>
      </c>
      <c r="L1634" s="21" t="str">
        <f aca="false">INDEX(Companies!$C$2:$C$31,MATCH(C1634,Companies!$A$2:$A$31,0))</f>
        <v>IT Services</v>
      </c>
      <c r="M1634" s="21" t="str">
        <f aca="false">INDEX(Companies!$D$2:$D$31,MATCH(C1634,Companies!$A$2:$A$31,0))</f>
        <v>Tier 3</v>
      </c>
      <c r="N1634" s="34" t="n">
        <f aca="false">MATCH(F1634,Assumptions!$K$4:$K$8,0)</f>
        <v>5</v>
      </c>
      <c r="O1634" s="21" t="str">
        <f aca="false">IF(H1634="Yes",MONTH(I1634),"")</f>
        <v/>
      </c>
      <c r="P1634" s="21" t="str">
        <f aca="false">IF(H1634="Yes",B1634,"")</f>
        <v/>
      </c>
    </row>
    <row r="1635" customFormat="false" ht="15" hidden="false" customHeight="false" outlineLevel="0" collapsed="false">
      <c r="A1635" s="21" t="s">
        <v>2850</v>
      </c>
      <c r="B1635" s="21" t="s">
        <v>503</v>
      </c>
      <c r="C1635" s="21" t="s">
        <v>1203</v>
      </c>
      <c r="D1635" s="21" t="s">
        <v>1181</v>
      </c>
      <c r="E1635" s="33" t="n">
        <v>45645</v>
      </c>
      <c r="F1635" s="21" t="s">
        <v>1175</v>
      </c>
      <c r="G1635" s="32"/>
      <c r="H1635" s="21"/>
      <c r="I1635" s="33"/>
      <c r="J1635" s="21" t="str">
        <f aca="false">INDEX(Students!$C$2:$C$601,MATCH(B1635,Students!$A$2:$A$601,0))</f>
        <v>Batch 2025</v>
      </c>
      <c r="K1635" s="21" t="str">
        <f aca="false">INDEX(Students!$D$2:$D$601,MATCH(B1635,Students!$A$2:$A$601,0))</f>
        <v>Full Stack Development</v>
      </c>
      <c r="L1635" s="21" t="str">
        <f aca="false">INDEX(Companies!$C$2:$C$31,MATCH(C1635,Companies!$A$2:$A$31,0))</f>
        <v>Healthtech</v>
      </c>
      <c r="M1635" s="21" t="str">
        <f aca="false">INDEX(Companies!$D$2:$D$31,MATCH(C1635,Companies!$A$2:$A$31,0))</f>
        <v>Tier 2</v>
      </c>
      <c r="N1635" s="34" t="n">
        <f aca="false">MATCH(F1635,Assumptions!$K$4:$K$8,0)</f>
        <v>1</v>
      </c>
      <c r="O1635" s="21" t="str">
        <f aca="false">IF(H1635="Yes",MONTH(I1635),"")</f>
        <v/>
      </c>
      <c r="P1635" s="21" t="str">
        <f aca="false">IF(H1635="Yes",B1635,"")</f>
        <v/>
      </c>
    </row>
    <row r="1636" customFormat="false" ht="15" hidden="false" customHeight="false" outlineLevel="0" collapsed="false">
      <c r="A1636" s="21" t="s">
        <v>2851</v>
      </c>
      <c r="B1636" s="21" t="s">
        <v>752</v>
      </c>
      <c r="C1636" s="21" t="s">
        <v>1201</v>
      </c>
      <c r="D1636" s="21" t="s">
        <v>1184</v>
      </c>
      <c r="E1636" s="33" t="n">
        <v>45645</v>
      </c>
      <c r="F1636" s="21" t="s">
        <v>1175</v>
      </c>
      <c r="G1636" s="32"/>
      <c r="H1636" s="21"/>
      <c r="I1636" s="33"/>
      <c r="J1636" s="21" t="str">
        <f aca="false">INDEX(Students!$C$2:$C$601,MATCH(B1636,Students!$A$2:$A$601,0))</f>
        <v>Batch 2025</v>
      </c>
      <c r="K1636" s="21" t="str">
        <f aca="false">INDEX(Students!$D$2:$D$601,MATCH(B1636,Students!$A$2:$A$601,0))</f>
        <v>DSA with Java</v>
      </c>
      <c r="L1636" s="21" t="str">
        <f aca="false">INDEX(Companies!$C$2:$C$31,MATCH(C1636,Companies!$A$2:$A$31,0))</f>
        <v>IT Services</v>
      </c>
      <c r="M1636" s="21" t="str">
        <f aca="false">INDEX(Companies!$D$2:$D$31,MATCH(C1636,Companies!$A$2:$A$31,0))</f>
        <v>Tier 3</v>
      </c>
      <c r="N1636" s="34" t="n">
        <f aca="false">MATCH(F1636,Assumptions!$K$4:$K$8,0)</f>
        <v>1</v>
      </c>
      <c r="O1636" s="21" t="str">
        <f aca="false">IF(H1636="Yes",MONTH(I1636),"")</f>
        <v/>
      </c>
      <c r="P1636" s="21" t="str">
        <f aca="false">IF(H1636="Yes",B1636,"")</f>
        <v/>
      </c>
    </row>
    <row r="1637" customFormat="false" ht="15" hidden="false" customHeight="false" outlineLevel="0" collapsed="false">
      <c r="A1637" s="21" t="s">
        <v>2852</v>
      </c>
      <c r="B1637" s="21" t="s">
        <v>460</v>
      </c>
      <c r="C1637" s="21" t="s">
        <v>1234</v>
      </c>
      <c r="D1637" s="21" t="s">
        <v>1181</v>
      </c>
      <c r="E1637" s="33" t="n">
        <v>45645</v>
      </c>
      <c r="F1637" s="21" t="s">
        <v>1178</v>
      </c>
      <c r="G1637" s="32"/>
      <c r="H1637" s="21"/>
      <c r="I1637" s="33"/>
      <c r="J1637" s="21" t="str">
        <f aca="false">INDEX(Students!$C$2:$C$601,MATCH(B1637,Students!$A$2:$A$601,0))</f>
        <v>Batch 2025</v>
      </c>
      <c r="K1637" s="21" t="str">
        <f aca="false">INDEX(Students!$D$2:$D$601,MATCH(B1637,Students!$A$2:$A$601,0))</f>
        <v>Full Stack Development</v>
      </c>
      <c r="L1637" s="21" t="str">
        <f aca="false">INDEX(Companies!$C$2:$C$31,MATCH(C1637,Companies!$A$2:$A$31,0))</f>
        <v>EdTech</v>
      </c>
      <c r="M1637" s="21" t="str">
        <f aca="false">INDEX(Companies!$D$2:$D$31,MATCH(C1637,Companies!$A$2:$A$31,0))</f>
        <v>Tier 3</v>
      </c>
      <c r="N1637" s="34" t="n">
        <f aca="false">MATCH(F1637,Assumptions!$K$4:$K$8,0)</f>
        <v>2</v>
      </c>
      <c r="O1637" s="21" t="str">
        <f aca="false">IF(H1637="Yes",MONTH(I1637),"")</f>
        <v/>
      </c>
      <c r="P1637" s="21" t="str">
        <f aca="false">IF(H1637="Yes",B1637,"")</f>
        <v/>
      </c>
    </row>
    <row r="1638" customFormat="false" ht="15" hidden="false" customHeight="false" outlineLevel="0" collapsed="false">
      <c r="A1638" s="21" t="s">
        <v>2853</v>
      </c>
      <c r="B1638" s="21" t="s">
        <v>584</v>
      </c>
      <c r="C1638" s="21" t="s">
        <v>1234</v>
      </c>
      <c r="D1638" s="21" t="s">
        <v>1191</v>
      </c>
      <c r="E1638" s="33" t="n">
        <v>45645</v>
      </c>
      <c r="F1638" s="21" t="s">
        <v>1185</v>
      </c>
      <c r="G1638" s="32" t="n">
        <v>6.4</v>
      </c>
      <c r="H1638" s="21" t="s">
        <v>120</v>
      </c>
      <c r="I1638" s="33" t="n">
        <v>45699</v>
      </c>
      <c r="J1638" s="21" t="str">
        <f aca="false">INDEX(Students!$C$2:$C$601,MATCH(B1638,Students!$A$2:$A$601,0))</f>
        <v>Batch 2025</v>
      </c>
      <c r="K1638" s="21" t="str">
        <f aca="false">INDEX(Students!$D$2:$D$601,MATCH(B1638,Students!$A$2:$A$601,0))</f>
        <v>DSA with Java</v>
      </c>
      <c r="L1638" s="21" t="str">
        <f aca="false">INDEX(Companies!$C$2:$C$31,MATCH(C1638,Companies!$A$2:$A$31,0))</f>
        <v>EdTech</v>
      </c>
      <c r="M1638" s="21" t="str">
        <f aca="false">INDEX(Companies!$D$2:$D$31,MATCH(C1638,Companies!$A$2:$A$31,0))</f>
        <v>Tier 3</v>
      </c>
      <c r="N1638" s="34" t="n">
        <f aca="false">MATCH(F1638,Assumptions!$K$4:$K$8,0)</f>
        <v>5</v>
      </c>
      <c r="O1638" s="21" t="n">
        <f aca="false">IF(H1638="Yes",MONTH(I1638),"")</f>
        <v>2</v>
      </c>
      <c r="P1638" s="21" t="str">
        <f aca="false">IF(H1638="Yes",B1638,"")</f>
        <v>S0252</v>
      </c>
    </row>
    <row r="1639" customFormat="false" ht="15" hidden="false" customHeight="false" outlineLevel="0" collapsed="false">
      <c r="A1639" s="21" t="s">
        <v>2854</v>
      </c>
      <c r="B1639" s="21" t="s">
        <v>682</v>
      </c>
      <c r="C1639" s="21" t="s">
        <v>1193</v>
      </c>
      <c r="D1639" s="21" t="s">
        <v>1191</v>
      </c>
      <c r="E1639" s="33" t="n">
        <v>45645</v>
      </c>
      <c r="F1639" s="21" t="s">
        <v>1178</v>
      </c>
      <c r="G1639" s="32"/>
      <c r="H1639" s="21"/>
      <c r="I1639" s="33"/>
      <c r="J1639" s="21" t="str">
        <f aca="false">INDEX(Students!$C$2:$C$601,MATCH(B1639,Students!$A$2:$A$601,0))</f>
        <v>Batch 2025</v>
      </c>
      <c r="K1639" s="21" t="str">
        <f aca="false">INDEX(Students!$D$2:$D$601,MATCH(B1639,Students!$A$2:$A$601,0))</f>
        <v>DSA with Java</v>
      </c>
      <c r="L1639" s="21" t="str">
        <f aca="false">INDEX(Companies!$C$2:$C$31,MATCH(C1639,Companies!$A$2:$A$31,0))</f>
        <v>Analytics &amp; Consulting</v>
      </c>
      <c r="M1639" s="21" t="str">
        <f aca="false">INDEX(Companies!$D$2:$D$31,MATCH(C1639,Companies!$A$2:$A$31,0))</f>
        <v>Tier 2</v>
      </c>
      <c r="N1639" s="34" t="n">
        <f aca="false">MATCH(F1639,Assumptions!$K$4:$K$8,0)</f>
        <v>2</v>
      </c>
      <c r="O1639" s="21" t="str">
        <f aca="false">IF(H1639="Yes",MONTH(I1639),"")</f>
        <v/>
      </c>
      <c r="P1639" s="21" t="str">
        <f aca="false">IF(H1639="Yes",B1639,"")</f>
        <v/>
      </c>
    </row>
    <row r="1640" customFormat="false" ht="15" hidden="false" customHeight="false" outlineLevel="0" collapsed="false">
      <c r="A1640" s="21" t="s">
        <v>2855</v>
      </c>
      <c r="B1640" s="21" t="s">
        <v>724</v>
      </c>
      <c r="C1640" s="21" t="s">
        <v>1275</v>
      </c>
      <c r="D1640" s="21" t="s">
        <v>1181</v>
      </c>
      <c r="E1640" s="33" t="n">
        <v>45646</v>
      </c>
      <c r="F1640" s="21" t="s">
        <v>1175</v>
      </c>
      <c r="G1640" s="32"/>
      <c r="H1640" s="21"/>
      <c r="I1640" s="33"/>
      <c r="J1640" s="21" t="str">
        <f aca="false">INDEX(Students!$C$2:$C$601,MATCH(B1640,Students!$A$2:$A$601,0))</f>
        <v>Batch 2025</v>
      </c>
      <c r="K1640" s="21" t="str">
        <f aca="false">INDEX(Students!$D$2:$D$601,MATCH(B1640,Students!$A$2:$A$601,0))</f>
        <v>Full Stack Development</v>
      </c>
      <c r="L1640" s="21" t="str">
        <f aca="false">INDEX(Companies!$C$2:$C$31,MATCH(C1640,Companies!$A$2:$A$31,0))</f>
        <v>Cybersecurity</v>
      </c>
      <c r="M1640" s="21" t="str">
        <f aca="false">INDEX(Companies!$D$2:$D$31,MATCH(C1640,Companies!$A$2:$A$31,0))</f>
        <v>Tier 2</v>
      </c>
      <c r="N1640" s="34" t="n">
        <f aca="false">MATCH(F1640,Assumptions!$K$4:$K$8,0)</f>
        <v>1</v>
      </c>
      <c r="O1640" s="21" t="str">
        <f aca="false">IF(H1640="Yes",MONTH(I1640),"")</f>
        <v/>
      </c>
      <c r="P1640" s="21" t="str">
        <f aca="false">IF(H1640="Yes",B1640,"")</f>
        <v/>
      </c>
    </row>
    <row r="1641" customFormat="false" ht="15" hidden="false" customHeight="false" outlineLevel="0" collapsed="false">
      <c r="A1641" s="21" t="s">
        <v>2856</v>
      </c>
      <c r="B1641" s="21" t="s">
        <v>795</v>
      </c>
      <c r="C1641" s="21" t="s">
        <v>1230</v>
      </c>
      <c r="D1641" s="21" t="s">
        <v>1174</v>
      </c>
      <c r="E1641" s="33" t="n">
        <v>45646</v>
      </c>
      <c r="F1641" s="21" t="s">
        <v>1175</v>
      </c>
      <c r="G1641" s="32"/>
      <c r="H1641" s="21"/>
      <c r="I1641" s="33"/>
      <c r="J1641" s="21" t="str">
        <f aca="false">INDEX(Students!$C$2:$C$601,MATCH(B1641,Students!$A$2:$A$601,0))</f>
        <v>Batch 2025</v>
      </c>
      <c r="K1641" s="21" t="str">
        <f aca="false">INDEX(Students!$D$2:$D$601,MATCH(B1641,Students!$A$2:$A$601,0))</f>
        <v>Full Stack Development</v>
      </c>
      <c r="L1641" s="21" t="str">
        <f aca="false">INDEX(Companies!$C$2:$C$31,MATCH(C1641,Companies!$A$2:$A$31,0))</f>
        <v>IT Services</v>
      </c>
      <c r="M1641" s="21" t="str">
        <f aca="false">INDEX(Companies!$D$2:$D$31,MATCH(C1641,Companies!$A$2:$A$31,0))</f>
        <v>Tier 3</v>
      </c>
      <c r="N1641" s="34" t="n">
        <f aca="false">MATCH(F1641,Assumptions!$K$4:$K$8,0)</f>
        <v>1</v>
      </c>
      <c r="O1641" s="21" t="str">
        <f aca="false">IF(H1641="Yes",MONTH(I1641),"")</f>
        <v/>
      </c>
      <c r="P1641" s="21" t="str">
        <f aca="false">IF(H1641="Yes",B1641,"")</f>
        <v/>
      </c>
    </row>
    <row r="1642" customFormat="false" ht="15" hidden="false" customHeight="false" outlineLevel="0" collapsed="false">
      <c r="A1642" s="21" t="s">
        <v>2857</v>
      </c>
      <c r="B1642" s="21" t="s">
        <v>788</v>
      </c>
      <c r="C1642" s="21" t="s">
        <v>1266</v>
      </c>
      <c r="D1642" s="21" t="s">
        <v>1209</v>
      </c>
      <c r="E1642" s="33" t="n">
        <v>45646</v>
      </c>
      <c r="F1642" s="21" t="s">
        <v>1185</v>
      </c>
      <c r="G1642" s="32" t="n">
        <v>6.1</v>
      </c>
      <c r="H1642" s="21" t="s">
        <v>120</v>
      </c>
      <c r="I1642" s="33" t="n">
        <v>45680</v>
      </c>
      <c r="J1642" s="21" t="str">
        <f aca="false">INDEX(Students!$C$2:$C$601,MATCH(B1642,Students!$A$2:$A$601,0))</f>
        <v>Batch 2025</v>
      </c>
      <c r="K1642" s="21" t="str">
        <f aca="false">INDEX(Students!$D$2:$D$601,MATCH(B1642,Students!$A$2:$A$601,0))</f>
        <v>Data Analytics</v>
      </c>
      <c r="L1642" s="21" t="str">
        <f aca="false">INDEX(Companies!$C$2:$C$31,MATCH(C1642,Companies!$A$2:$A$31,0))</f>
        <v>IT Services</v>
      </c>
      <c r="M1642" s="21" t="str">
        <f aca="false">INDEX(Companies!$D$2:$D$31,MATCH(C1642,Companies!$A$2:$A$31,0))</f>
        <v>Tier 3</v>
      </c>
      <c r="N1642" s="34" t="n">
        <f aca="false">MATCH(F1642,Assumptions!$K$4:$K$8,0)</f>
        <v>5</v>
      </c>
      <c r="O1642" s="21" t="n">
        <f aca="false">IF(H1642="Yes",MONTH(I1642),"")</f>
        <v>1</v>
      </c>
      <c r="P1642" s="21" t="str">
        <f aca="false">IF(H1642="Yes",B1642,"")</f>
        <v>S0370</v>
      </c>
    </row>
    <row r="1643" customFormat="false" ht="15" hidden="false" customHeight="false" outlineLevel="0" collapsed="false">
      <c r="A1643" s="21" t="s">
        <v>2858</v>
      </c>
      <c r="B1643" s="21" t="s">
        <v>626</v>
      </c>
      <c r="C1643" s="21" t="s">
        <v>1255</v>
      </c>
      <c r="D1643" s="21" t="s">
        <v>1209</v>
      </c>
      <c r="E1643" s="33" t="n">
        <v>45646</v>
      </c>
      <c r="F1643" s="21" t="s">
        <v>1185</v>
      </c>
      <c r="G1643" s="32" t="n">
        <v>5.9</v>
      </c>
      <c r="H1643" s="21" t="s">
        <v>113</v>
      </c>
      <c r="I1643" s="33" t="n">
        <v>45695</v>
      </c>
      <c r="J1643" s="21" t="str">
        <f aca="false">INDEX(Students!$C$2:$C$601,MATCH(B1643,Students!$A$2:$A$601,0))</f>
        <v>Batch 2025</v>
      </c>
      <c r="K1643" s="21" t="str">
        <f aca="false">INDEX(Students!$D$2:$D$601,MATCH(B1643,Students!$A$2:$A$601,0))</f>
        <v>Data Analytics</v>
      </c>
      <c r="L1643" s="21" t="str">
        <f aca="false">INDEX(Companies!$C$2:$C$31,MATCH(C1643,Companies!$A$2:$A$31,0))</f>
        <v>IT Services</v>
      </c>
      <c r="M1643" s="21" t="str">
        <f aca="false">INDEX(Companies!$D$2:$D$31,MATCH(C1643,Companies!$A$2:$A$31,0))</f>
        <v>Tier 3</v>
      </c>
      <c r="N1643" s="34" t="n">
        <f aca="false">MATCH(F1643,Assumptions!$K$4:$K$8,0)</f>
        <v>5</v>
      </c>
      <c r="O1643" s="21" t="str">
        <f aca="false">IF(H1643="Yes",MONTH(I1643),"")</f>
        <v/>
      </c>
      <c r="P1643" s="21" t="str">
        <f aca="false">IF(H1643="Yes",B1643,"")</f>
        <v/>
      </c>
    </row>
    <row r="1644" customFormat="false" ht="15" hidden="false" customHeight="false" outlineLevel="0" collapsed="false">
      <c r="A1644" s="21" t="s">
        <v>2859</v>
      </c>
      <c r="B1644" s="21" t="s">
        <v>582</v>
      </c>
      <c r="C1644" s="21" t="s">
        <v>1216</v>
      </c>
      <c r="D1644" s="21" t="s">
        <v>1243</v>
      </c>
      <c r="E1644" s="33" t="n">
        <v>45646</v>
      </c>
      <c r="F1644" s="21" t="s">
        <v>1218</v>
      </c>
      <c r="G1644" s="32"/>
      <c r="H1644" s="21"/>
      <c r="I1644" s="33"/>
      <c r="J1644" s="21" t="str">
        <f aca="false">INDEX(Students!$C$2:$C$601,MATCH(B1644,Students!$A$2:$A$601,0))</f>
        <v>Batch 2025</v>
      </c>
      <c r="K1644" s="21" t="str">
        <f aca="false">INDEX(Students!$D$2:$D$601,MATCH(B1644,Students!$A$2:$A$601,0))</f>
        <v>Data Science &amp; ML</v>
      </c>
      <c r="L1644" s="21" t="str">
        <f aca="false">INDEX(Companies!$C$2:$C$31,MATCH(C1644,Companies!$A$2:$A$31,0))</f>
        <v>IT Services</v>
      </c>
      <c r="M1644" s="21" t="str">
        <f aca="false">INDEX(Companies!$D$2:$D$31,MATCH(C1644,Companies!$A$2:$A$31,0))</f>
        <v>Tier 3</v>
      </c>
      <c r="N1644" s="34" t="n">
        <f aca="false">MATCH(F1644,Assumptions!$K$4:$K$8,0)</f>
        <v>4</v>
      </c>
      <c r="O1644" s="21" t="str">
        <f aca="false">IF(H1644="Yes",MONTH(I1644),"")</f>
        <v/>
      </c>
      <c r="P1644" s="21" t="str">
        <f aca="false">IF(H1644="Yes",B1644,"")</f>
        <v/>
      </c>
    </row>
    <row r="1645" customFormat="false" ht="15" hidden="false" customHeight="false" outlineLevel="0" collapsed="false">
      <c r="A1645" s="21" t="s">
        <v>2860</v>
      </c>
      <c r="B1645" s="21" t="s">
        <v>802</v>
      </c>
      <c r="C1645" s="21" t="s">
        <v>1275</v>
      </c>
      <c r="D1645" s="21" t="s">
        <v>1181</v>
      </c>
      <c r="E1645" s="33" t="n">
        <v>45646</v>
      </c>
      <c r="F1645" s="21" t="s">
        <v>1178</v>
      </c>
      <c r="G1645" s="32"/>
      <c r="H1645" s="21"/>
      <c r="I1645" s="33"/>
      <c r="J1645" s="21" t="str">
        <f aca="false">INDEX(Students!$C$2:$C$601,MATCH(B1645,Students!$A$2:$A$601,0))</f>
        <v>Batch 2025</v>
      </c>
      <c r="K1645" s="21" t="str">
        <f aca="false">INDEX(Students!$D$2:$D$601,MATCH(B1645,Students!$A$2:$A$601,0))</f>
        <v>Full Stack Development</v>
      </c>
      <c r="L1645" s="21" t="str">
        <f aca="false">INDEX(Companies!$C$2:$C$31,MATCH(C1645,Companies!$A$2:$A$31,0))</f>
        <v>Cybersecurity</v>
      </c>
      <c r="M1645" s="21" t="str">
        <f aca="false">INDEX(Companies!$D$2:$D$31,MATCH(C1645,Companies!$A$2:$A$31,0))</f>
        <v>Tier 2</v>
      </c>
      <c r="N1645" s="34" t="n">
        <f aca="false">MATCH(F1645,Assumptions!$K$4:$K$8,0)</f>
        <v>2</v>
      </c>
      <c r="O1645" s="21" t="str">
        <f aca="false">IF(H1645="Yes",MONTH(I1645),"")</f>
        <v/>
      </c>
      <c r="P1645" s="21" t="str">
        <f aca="false">IF(H1645="Yes",B1645,"")</f>
        <v/>
      </c>
    </row>
    <row r="1646" customFormat="false" ht="15" hidden="false" customHeight="false" outlineLevel="0" collapsed="false">
      <c r="A1646" s="21" t="s">
        <v>2861</v>
      </c>
      <c r="B1646" s="21" t="s">
        <v>470</v>
      </c>
      <c r="C1646" s="21" t="s">
        <v>1183</v>
      </c>
      <c r="D1646" s="21" t="s">
        <v>1209</v>
      </c>
      <c r="E1646" s="33" t="n">
        <v>45646</v>
      </c>
      <c r="F1646" s="21" t="s">
        <v>1197</v>
      </c>
      <c r="G1646" s="32"/>
      <c r="H1646" s="21"/>
      <c r="I1646" s="33"/>
      <c r="J1646" s="21" t="str">
        <f aca="false">INDEX(Students!$C$2:$C$601,MATCH(B1646,Students!$A$2:$A$601,0))</f>
        <v>Batch 2025</v>
      </c>
      <c r="K1646" s="21" t="str">
        <f aca="false">INDEX(Students!$D$2:$D$601,MATCH(B1646,Students!$A$2:$A$601,0))</f>
        <v>Data Analytics</v>
      </c>
      <c r="L1646" s="21" t="str">
        <f aca="false">INDEX(Companies!$C$2:$C$31,MATCH(C1646,Companies!$A$2:$A$31,0))</f>
        <v>E-commerce</v>
      </c>
      <c r="M1646" s="21" t="str">
        <f aca="false">INDEX(Companies!$D$2:$D$31,MATCH(C1646,Companies!$A$2:$A$31,0))</f>
        <v>Tier 2</v>
      </c>
      <c r="N1646" s="34" t="n">
        <f aca="false">MATCH(F1646,Assumptions!$K$4:$K$8,0)</f>
        <v>3</v>
      </c>
      <c r="O1646" s="21" t="str">
        <f aca="false">IF(H1646="Yes",MONTH(I1646),"")</f>
        <v/>
      </c>
      <c r="P1646" s="21" t="str">
        <f aca="false">IF(H1646="Yes",B1646,"")</f>
        <v/>
      </c>
    </row>
    <row r="1647" customFormat="false" ht="15" hidden="false" customHeight="false" outlineLevel="0" collapsed="false">
      <c r="A1647" s="21" t="s">
        <v>2862</v>
      </c>
      <c r="B1647" s="21" t="s">
        <v>751</v>
      </c>
      <c r="C1647" s="21" t="s">
        <v>1211</v>
      </c>
      <c r="D1647" s="21" t="s">
        <v>1188</v>
      </c>
      <c r="E1647" s="33" t="n">
        <v>45646</v>
      </c>
      <c r="F1647" s="21" t="s">
        <v>1178</v>
      </c>
      <c r="G1647" s="32"/>
      <c r="H1647" s="21"/>
      <c r="I1647" s="33"/>
      <c r="J1647" s="21" t="str">
        <f aca="false">INDEX(Students!$C$2:$C$601,MATCH(B1647,Students!$A$2:$A$601,0))</f>
        <v>Batch 2025</v>
      </c>
      <c r="K1647" s="21" t="str">
        <f aca="false">INDEX(Students!$D$2:$D$601,MATCH(B1647,Students!$A$2:$A$601,0))</f>
        <v>Data Analytics</v>
      </c>
      <c r="L1647" s="21" t="str">
        <f aca="false">INDEX(Companies!$C$2:$C$31,MATCH(C1647,Companies!$A$2:$A$31,0))</f>
        <v>Analytics &amp; Consulting</v>
      </c>
      <c r="M1647" s="21" t="str">
        <f aca="false">INDEX(Companies!$D$2:$D$31,MATCH(C1647,Companies!$A$2:$A$31,0))</f>
        <v>Tier 3</v>
      </c>
      <c r="N1647" s="34" t="n">
        <f aca="false">MATCH(F1647,Assumptions!$K$4:$K$8,0)</f>
        <v>2</v>
      </c>
      <c r="O1647" s="21" t="str">
        <f aca="false">IF(H1647="Yes",MONTH(I1647),"")</f>
        <v/>
      </c>
      <c r="P1647" s="21" t="str">
        <f aca="false">IF(H1647="Yes",B1647,"")</f>
        <v/>
      </c>
    </row>
    <row r="1648" customFormat="false" ht="15" hidden="false" customHeight="false" outlineLevel="0" collapsed="false">
      <c r="A1648" s="21" t="s">
        <v>2863</v>
      </c>
      <c r="B1648" s="21" t="s">
        <v>466</v>
      </c>
      <c r="C1648" s="21" t="s">
        <v>1205</v>
      </c>
      <c r="D1648" s="21" t="s">
        <v>1184</v>
      </c>
      <c r="E1648" s="33" t="n">
        <v>45647</v>
      </c>
      <c r="F1648" s="21" t="s">
        <v>1178</v>
      </c>
      <c r="G1648" s="32"/>
      <c r="H1648" s="21"/>
      <c r="I1648" s="33"/>
      <c r="J1648" s="21" t="str">
        <f aca="false">INDEX(Students!$C$2:$C$601,MATCH(B1648,Students!$A$2:$A$601,0))</f>
        <v>Batch 2025</v>
      </c>
      <c r="K1648" s="21" t="str">
        <f aca="false">INDEX(Students!$D$2:$D$601,MATCH(B1648,Students!$A$2:$A$601,0))</f>
        <v>DSA with Java</v>
      </c>
      <c r="L1648" s="21" t="str">
        <f aca="false">INDEX(Companies!$C$2:$C$31,MATCH(C1648,Companies!$A$2:$A$31,0))</f>
        <v>Healthtech</v>
      </c>
      <c r="M1648" s="21" t="str">
        <f aca="false">INDEX(Companies!$D$2:$D$31,MATCH(C1648,Companies!$A$2:$A$31,0))</f>
        <v>Tier 3</v>
      </c>
      <c r="N1648" s="34" t="n">
        <f aca="false">MATCH(F1648,Assumptions!$K$4:$K$8,0)</f>
        <v>2</v>
      </c>
      <c r="O1648" s="21" t="str">
        <f aca="false">IF(H1648="Yes",MONTH(I1648),"")</f>
        <v/>
      </c>
      <c r="P1648" s="21" t="str">
        <f aca="false">IF(H1648="Yes",B1648,"")</f>
        <v/>
      </c>
    </row>
    <row r="1649" customFormat="false" ht="15" hidden="false" customHeight="false" outlineLevel="0" collapsed="false">
      <c r="A1649" s="21" t="s">
        <v>2864</v>
      </c>
      <c r="B1649" s="21" t="s">
        <v>722</v>
      </c>
      <c r="C1649" s="21" t="s">
        <v>1177</v>
      </c>
      <c r="D1649" s="21" t="s">
        <v>1209</v>
      </c>
      <c r="E1649" s="33" t="n">
        <v>45647</v>
      </c>
      <c r="F1649" s="21" t="s">
        <v>1178</v>
      </c>
      <c r="G1649" s="32"/>
      <c r="H1649" s="21"/>
      <c r="I1649" s="33"/>
      <c r="J1649" s="21" t="str">
        <f aca="false">INDEX(Students!$C$2:$C$601,MATCH(B1649,Students!$A$2:$A$601,0))</f>
        <v>Batch 2025</v>
      </c>
      <c r="K1649" s="21" t="str">
        <f aca="false">INDEX(Students!$D$2:$D$601,MATCH(B1649,Students!$A$2:$A$601,0))</f>
        <v>Data Analytics</v>
      </c>
      <c r="L1649" s="21" t="str">
        <f aca="false">INDEX(Companies!$C$2:$C$31,MATCH(C1649,Companies!$A$2:$A$31,0))</f>
        <v>IT Services</v>
      </c>
      <c r="M1649" s="21" t="str">
        <f aca="false">INDEX(Companies!$D$2:$D$31,MATCH(C1649,Companies!$A$2:$A$31,0))</f>
        <v>Tier 3</v>
      </c>
      <c r="N1649" s="34" t="n">
        <f aca="false">MATCH(F1649,Assumptions!$K$4:$K$8,0)</f>
        <v>2</v>
      </c>
      <c r="O1649" s="21" t="str">
        <f aca="false">IF(H1649="Yes",MONTH(I1649),"")</f>
        <v/>
      </c>
      <c r="P1649" s="21" t="str">
        <f aca="false">IF(H1649="Yes",B1649,"")</f>
        <v/>
      </c>
    </row>
    <row r="1650" customFormat="false" ht="15" hidden="false" customHeight="false" outlineLevel="0" collapsed="false">
      <c r="A1650" s="21" t="s">
        <v>2865</v>
      </c>
      <c r="B1650" s="21" t="s">
        <v>682</v>
      </c>
      <c r="C1650" s="21" t="s">
        <v>1190</v>
      </c>
      <c r="D1650" s="21" t="s">
        <v>1191</v>
      </c>
      <c r="E1650" s="33" t="n">
        <v>45647</v>
      </c>
      <c r="F1650" s="21" t="s">
        <v>1178</v>
      </c>
      <c r="G1650" s="32"/>
      <c r="H1650" s="21"/>
      <c r="I1650" s="33"/>
      <c r="J1650" s="21" t="str">
        <f aca="false">INDEX(Students!$C$2:$C$601,MATCH(B1650,Students!$A$2:$A$601,0))</f>
        <v>Batch 2025</v>
      </c>
      <c r="K1650" s="21" t="str">
        <f aca="false">INDEX(Students!$D$2:$D$601,MATCH(B1650,Students!$A$2:$A$601,0))</f>
        <v>DSA with Java</v>
      </c>
      <c r="L1650" s="21" t="str">
        <f aca="false">INDEX(Companies!$C$2:$C$31,MATCH(C1650,Companies!$A$2:$A$31,0))</f>
        <v>Analytics &amp; Consulting</v>
      </c>
      <c r="M1650" s="21" t="str">
        <f aca="false">INDEX(Companies!$D$2:$D$31,MATCH(C1650,Companies!$A$2:$A$31,0))</f>
        <v>Tier 1</v>
      </c>
      <c r="N1650" s="34" t="n">
        <f aca="false">MATCH(F1650,Assumptions!$K$4:$K$8,0)</f>
        <v>2</v>
      </c>
      <c r="O1650" s="21" t="str">
        <f aca="false">IF(H1650="Yes",MONTH(I1650),"")</f>
        <v/>
      </c>
      <c r="P1650" s="21" t="str">
        <f aca="false">IF(H1650="Yes",B1650,"")</f>
        <v/>
      </c>
    </row>
    <row r="1651" customFormat="false" ht="15" hidden="false" customHeight="false" outlineLevel="0" collapsed="false">
      <c r="A1651" s="21" t="s">
        <v>2866</v>
      </c>
      <c r="B1651" s="21" t="s">
        <v>655</v>
      </c>
      <c r="C1651" s="21" t="s">
        <v>1183</v>
      </c>
      <c r="D1651" s="21" t="s">
        <v>1243</v>
      </c>
      <c r="E1651" s="33" t="n">
        <v>45647</v>
      </c>
      <c r="F1651" s="21" t="s">
        <v>1175</v>
      </c>
      <c r="G1651" s="32"/>
      <c r="H1651" s="21"/>
      <c r="I1651" s="33"/>
      <c r="J1651" s="21" t="str">
        <f aca="false">INDEX(Students!$C$2:$C$601,MATCH(B1651,Students!$A$2:$A$601,0))</f>
        <v>Batch 2025</v>
      </c>
      <c r="K1651" s="21" t="str">
        <f aca="false">INDEX(Students!$D$2:$D$601,MATCH(B1651,Students!$A$2:$A$601,0))</f>
        <v>Data Science &amp; ML</v>
      </c>
      <c r="L1651" s="21" t="str">
        <f aca="false">INDEX(Companies!$C$2:$C$31,MATCH(C1651,Companies!$A$2:$A$31,0))</f>
        <v>E-commerce</v>
      </c>
      <c r="M1651" s="21" t="str">
        <f aca="false">INDEX(Companies!$D$2:$D$31,MATCH(C1651,Companies!$A$2:$A$31,0))</f>
        <v>Tier 2</v>
      </c>
      <c r="N1651" s="34" t="n">
        <f aca="false">MATCH(F1651,Assumptions!$K$4:$K$8,0)</f>
        <v>1</v>
      </c>
      <c r="O1651" s="21" t="str">
        <f aca="false">IF(H1651="Yes",MONTH(I1651),"")</f>
        <v/>
      </c>
      <c r="P1651" s="21" t="str">
        <f aca="false">IF(H1651="Yes",B1651,"")</f>
        <v/>
      </c>
    </row>
    <row r="1652" customFormat="false" ht="15" hidden="false" customHeight="false" outlineLevel="0" collapsed="false">
      <c r="A1652" s="21" t="s">
        <v>2867</v>
      </c>
      <c r="B1652" s="21" t="s">
        <v>718</v>
      </c>
      <c r="C1652" s="21" t="s">
        <v>1201</v>
      </c>
      <c r="D1652" s="21" t="s">
        <v>1184</v>
      </c>
      <c r="E1652" s="33" t="n">
        <v>45648</v>
      </c>
      <c r="F1652" s="21" t="s">
        <v>1185</v>
      </c>
      <c r="G1652" s="32" t="n">
        <v>7.9</v>
      </c>
      <c r="H1652" s="21" t="s">
        <v>113</v>
      </c>
      <c r="I1652" s="33" t="n">
        <v>45703</v>
      </c>
      <c r="J1652" s="21" t="str">
        <f aca="false">INDEX(Students!$C$2:$C$601,MATCH(B1652,Students!$A$2:$A$601,0))</f>
        <v>Batch 2025</v>
      </c>
      <c r="K1652" s="21" t="str">
        <f aca="false">INDEX(Students!$D$2:$D$601,MATCH(B1652,Students!$A$2:$A$601,0))</f>
        <v>DSA with Java</v>
      </c>
      <c r="L1652" s="21" t="str">
        <f aca="false">INDEX(Companies!$C$2:$C$31,MATCH(C1652,Companies!$A$2:$A$31,0))</f>
        <v>IT Services</v>
      </c>
      <c r="M1652" s="21" t="str">
        <f aca="false">INDEX(Companies!$D$2:$D$31,MATCH(C1652,Companies!$A$2:$A$31,0))</f>
        <v>Tier 3</v>
      </c>
      <c r="N1652" s="34" t="n">
        <f aca="false">MATCH(F1652,Assumptions!$K$4:$K$8,0)</f>
        <v>5</v>
      </c>
      <c r="O1652" s="21" t="str">
        <f aca="false">IF(H1652="Yes",MONTH(I1652),"")</f>
        <v/>
      </c>
      <c r="P1652" s="21" t="str">
        <f aca="false">IF(H1652="Yes",B1652,"")</f>
        <v/>
      </c>
    </row>
    <row r="1653" customFormat="false" ht="15" hidden="false" customHeight="false" outlineLevel="0" collapsed="false">
      <c r="A1653" s="21" t="s">
        <v>2868</v>
      </c>
      <c r="B1653" s="21" t="s">
        <v>509</v>
      </c>
      <c r="C1653" s="21" t="s">
        <v>1309</v>
      </c>
      <c r="D1653" s="21" t="s">
        <v>1209</v>
      </c>
      <c r="E1653" s="33" t="n">
        <v>45648</v>
      </c>
      <c r="F1653" s="21" t="s">
        <v>1175</v>
      </c>
      <c r="G1653" s="32"/>
      <c r="H1653" s="21"/>
      <c r="I1653" s="33"/>
      <c r="J1653" s="21" t="str">
        <f aca="false">INDEX(Students!$C$2:$C$601,MATCH(B1653,Students!$A$2:$A$601,0))</f>
        <v>Batch 2025</v>
      </c>
      <c r="K1653" s="21" t="str">
        <f aca="false">INDEX(Students!$D$2:$D$601,MATCH(B1653,Students!$A$2:$A$601,0))</f>
        <v>Data Analytics</v>
      </c>
      <c r="L1653" s="21" t="str">
        <f aca="false">INDEX(Companies!$C$2:$C$31,MATCH(C1653,Companies!$A$2:$A$31,0))</f>
        <v>EdTech</v>
      </c>
      <c r="M1653" s="21" t="str">
        <f aca="false">INDEX(Companies!$D$2:$D$31,MATCH(C1653,Companies!$A$2:$A$31,0))</f>
        <v>Tier 2</v>
      </c>
      <c r="N1653" s="34" t="n">
        <f aca="false">MATCH(F1653,Assumptions!$K$4:$K$8,0)</f>
        <v>1</v>
      </c>
      <c r="O1653" s="21" t="str">
        <f aca="false">IF(H1653="Yes",MONTH(I1653),"")</f>
        <v/>
      </c>
      <c r="P1653" s="21" t="str">
        <f aca="false">IF(H1653="Yes",B1653,"")</f>
        <v/>
      </c>
    </row>
    <row r="1654" customFormat="false" ht="15" hidden="false" customHeight="false" outlineLevel="0" collapsed="false">
      <c r="A1654" s="21" t="s">
        <v>2869</v>
      </c>
      <c r="B1654" s="21" t="s">
        <v>511</v>
      </c>
      <c r="C1654" s="21" t="s">
        <v>1222</v>
      </c>
      <c r="D1654" s="21" t="s">
        <v>1209</v>
      </c>
      <c r="E1654" s="33" t="n">
        <v>45648</v>
      </c>
      <c r="F1654" s="21" t="s">
        <v>1175</v>
      </c>
      <c r="G1654" s="32"/>
      <c r="H1654" s="21"/>
      <c r="I1654" s="33"/>
      <c r="J1654" s="21" t="str">
        <f aca="false">INDEX(Students!$C$2:$C$601,MATCH(B1654,Students!$A$2:$A$601,0))</f>
        <v>Batch 2025</v>
      </c>
      <c r="K1654" s="21" t="str">
        <f aca="false">INDEX(Students!$D$2:$D$601,MATCH(B1654,Students!$A$2:$A$601,0))</f>
        <v>Data Analytics</v>
      </c>
      <c r="L1654" s="21" t="str">
        <f aca="false">INDEX(Companies!$C$2:$C$31,MATCH(C1654,Companies!$A$2:$A$31,0))</f>
        <v>Product</v>
      </c>
      <c r="M1654" s="21" t="str">
        <f aca="false">INDEX(Companies!$D$2:$D$31,MATCH(C1654,Companies!$A$2:$A$31,0))</f>
        <v>Tier 2</v>
      </c>
      <c r="N1654" s="34" t="n">
        <f aca="false">MATCH(F1654,Assumptions!$K$4:$K$8,0)</f>
        <v>1</v>
      </c>
      <c r="O1654" s="21" t="str">
        <f aca="false">IF(H1654="Yes",MONTH(I1654),"")</f>
        <v/>
      </c>
      <c r="P1654" s="21" t="str">
        <f aca="false">IF(H1654="Yes",B1654,"")</f>
        <v/>
      </c>
    </row>
    <row r="1655" customFormat="false" ht="15" hidden="false" customHeight="false" outlineLevel="0" collapsed="false">
      <c r="A1655" s="21" t="s">
        <v>2870</v>
      </c>
      <c r="B1655" s="21" t="s">
        <v>758</v>
      </c>
      <c r="C1655" s="21" t="s">
        <v>1228</v>
      </c>
      <c r="D1655" s="21" t="s">
        <v>1188</v>
      </c>
      <c r="E1655" s="33" t="n">
        <v>45648</v>
      </c>
      <c r="F1655" s="21" t="s">
        <v>1175</v>
      </c>
      <c r="G1655" s="32"/>
      <c r="H1655" s="21"/>
      <c r="I1655" s="33"/>
      <c r="J1655" s="21" t="str">
        <f aca="false">INDEX(Students!$C$2:$C$601,MATCH(B1655,Students!$A$2:$A$601,0))</f>
        <v>Batch 2025</v>
      </c>
      <c r="K1655" s="21" t="str">
        <f aca="false">INDEX(Students!$D$2:$D$601,MATCH(B1655,Students!$A$2:$A$601,0))</f>
        <v>Data Analytics</v>
      </c>
      <c r="L1655" s="21" t="str">
        <f aca="false">INDEX(Companies!$C$2:$C$31,MATCH(C1655,Companies!$A$2:$A$31,0))</f>
        <v>Fintech</v>
      </c>
      <c r="M1655" s="21" t="str">
        <f aca="false">INDEX(Companies!$D$2:$D$31,MATCH(C1655,Companies!$A$2:$A$31,0))</f>
        <v>Tier 1</v>
      </c>
      <c r="N1655" s="34" t="n">
        <f aca="false">MATCH(F1655,Assumptions!$K$4:$K$8,0)</f>
        <v>1</v>
      </c>
      <c r="O1655" s="21" t="str">
        <f aca="false">IF(H1655="Yes",MONTH(I1655),"")</f>
        <v/>
      </c>
      <c r="P1655" s="21" t="str">
        <f aca="false">IF(H1655="Yes",B1655,"")</f>
        <v/>
      </c>
    </row>
    <row r="1656" customFormat="false" ht="15" hidden="false" customHeight="false" outlineLevel="0" collapsed="false">
      <c r="A1656" s="21" t="s">
        <v>2871</v>
      </c>
      <c r="B1656" s="21" t="s">
        <v>763</v>
      </c>
      <c r="C1656" s="21" t="s">
        <v>1255</v>
      </c>
      <c r="D1656" s="21" t="s">
        <v>1194</v>
      </c>
      <c r="E1656" s="33" t="n">
        <v>45648</v>
      </c>
      <c r="F1656" s="21" t="s">
        <v>1175</v>
      </c>
      <c r="G1656" s="32"/>
      <c r="H1656" s="21"/>
      <c r="I1656" s="33"/>
      <c r="J1656" s="21" t="str">
        <f aca="false">INDEX(Students!$C$2:$C$601,MATCH(B1656,Students!$A$2:$A$601,0))</f>
        <v>Batch 2025</v>
      </c>
      <c r="K1656" s="21" t="str">
        <f aca="false">INDEX(Students!$D$2:$D$601,MATCH(B1656,Students!$A$2:$A$601,0))</f>
        <v>Data Science &amp; ML</v>
      </c>
      <c r="L1656" s="21" t="str">
        <f aca="false">INDEX(Companies!$C$2:$C$31,MATCH(C1656,Companies!$A$2:$A$31,0))</f>
        <v>IT Services</v>
      </c>
      <c r="M1656" s="21" t="str">
        <f aca="false">INDEX(Companies!$D$2:$D$31,MATCH(C1656,Companies!$A$2:$A$31,0))</f>
        <v>Tier 3</v>
      </c>
      <c r="N1656" s="34" t="n">
        <f aca="false">MATCH(F1656,Assumptions!$K$4:$K$8,0)</f>
        <v>1</v>
      </c>
      <c r="O1656" s="21" t="str">
        <f aca="false">IF(H1656="Yes",MONTH(I1656),"")</f>
        <v/>
      </c>
      <c r="P1656" s="21" t="str">
        <f aca="false">IF(H1656="Yes",B1656,"")</f>
        <v/>
      </c>
    </row>
    <row r="1657" customFormat="false" ht="15" hidden="false" customHeight="false" outlineLevel="0" collapsed="false">
      <c r="A1657" s="21" t="s">
        <v>2872</v>
      </c>
      <c r="B1657" s="21" t="s">
        <v>511</v>
      </c>
      <c r="C1657" s="21" t="s">
        <v>1228</v>
      </c>
      <c r="D1657" s="21" t="s">
        <v>1209</v>
      </c>
      <c r="E1657" s="33" t="n">
        <v>45648</v>
      </c>
      <c r="F1657" s="21" t="s">
        <v>1218</v>
      </c>
      <c r="G1657" s="32"/>
      <c r="H1657" s="21"/>
      <c r="I1657" s="33"/>
      <c r="J1657" s="21" t="str">
        <f aca="false">INDEX(Students!$C$2:$C$601,MATCH(B1657,Students!$A$2:$A$601,0))</f>
        <v>Batch 2025</v>
      </c>
      <c r="K1657" s="21" t="str">
        <f aca="false">INDEX(Students!$D$2:$D$601,MATCH(B1657,Students!$A$2:$A$601,0))</f>
        <v>Data Analytics</v>
      </c>
      <c r="L1657" s="21" t="str">
        <f aca="false">INDEX(Companies!$C$2:$C$31,MATCH(C1657,Companies!$A$2:$A$31,0))</f>
        <v>Fintech</v>
      </c>
      <c r="M1657" s="21" t="str">
        <f aca="false">INDEX(Companies!$D$2:$D$31,MATCH(C1657,Companies!$A$2:$A$31,0))</f>
        <v>Tier 1</v>
      </c>
      <c r="N1657" s="34" t="n">
        <f aca="false">MATCH(F1657,Assumptions!$K$4:$K$8,0)</f>
        <v>4</v>
      </c>
      <c r="O1657" s="21" t="str">
        <f aca="false">IF(H1657="Yes",MONTH(I1657),"")</f>
        <v/>
      </c>
      <c r="P1657" s="21" t="str">
        <f aca="false">IF(H1657="Yes",B1657,"")</f>
        <v/>
      </c>
    </row>
    <row r="1658" customFormat="false" ht="15" hidden="false" customHeight="false" outlineLevel="0" collapsed="false">
      <c r="A1658" s="21" t="s">
        <v>2873</v>
      </c>
      <c r="B1658" s="21" t="s">
        <v>591</v>
      </c>
      <c r="C1658" s="21" t="s">
        <v>1211</v>
      </c>
      <c r="D1658" s="21" t="s">
        <v>1209</v>
      </c>
      <c r="E1658" s="33" t="n">
        <v>45648</v>
      </c>
      <c r="F1658" s="21" t="s">
        <v>1175</v>
      </c>
      <c r="G1658" s="32"/>
      <c r="H1658" s="21"/>
      <c r="I1658" s="33"/>
      <c r="J1658" s="21" t="str">
        <f aca="false">INDEX(Students!$C$2:$C$601,MATCH(B1658,Students!$A$2:$A$601,0))</f>
        <v>Batch 2025</v>
      </c>
      <c r="K1658" s="21" t="str">
        <f aca="false">INDEX(Students!$D$2:$D$601,MATCH(B1658,Students!$A$2:$A$601,0))</f>
        <v>Data Analytics</v>
      </c>
      <c r="L1658" s="21" t="str">
        <f aca="false">INDEX(Companies!$C$2:$C$31,MATCH(C1658,Companies!$A$2:$A$31,0))</f>
        <v>Analytics &amp; Consulting</v>
      </c>
      <c r="M1658" s="21" t="str">
        <f aca="false">INDEX(Companies!$D$2:$D$31,MATCH(C1658,Companies!$A$2:$A$31,0))</f>
        <v>Tier 3</v>
      </c>
      <c r="N1658" s="34" t="n">
        <f aca="false">MATCH(F1658,Assumptions!$K$4:$K$8,0)</f>
        <v>1</v>
      </c>
      <c r="O1658" s="21" t="str">
        <f aca="false">IF(H1658="Yes",MONTH(I1658),"")</f>
        <v/>
      </c>
      <c r="P1658" s="21" t="str">
        <f aca="false">IF(H1658="Yes",B1658,"")</f>
        <v/>
      </c>
    </row>
    <row r="1659" customFormat="false" ht="15" hidden="false" customHeight="false" outlineLevel="0" collapsed="false">
      <c r="A1659" s="21" t="s">
        <v>2874</v>
      </c>
      <c r="B1659" s="21" t="s">
        <v>509</v>
      </c>
      <c r="C1659" s="21" t="s">
        <v>1190</v>
      </c>
      <c r="D1659" s="21" t="s">
        <v>1209</v>
      </c>
      <c r="E1659" s="33" t="n">
        <v>45648</v>
      </c>
      <c r="F1659" s="21" t="s">
        <v>1178</v>
      </c>
      <c r="G1659" s="32"/>
      <c r="H1659" s="21"/>
      <c r="I1659" s="33"/>
      <c r="J1659" s="21" t="str">
        <f aca="false">INDEX(Students!$C$2:$C$601,MATCH(B1659,Students!$A$2:$A$601,0))</f>
        <v>Batch 2025</v>
      </c>
      <c r="K1659" s="21" t="str">
        <f aca="false">INDEX(Students!$D$2:$D$601,MATCH(B1659,Students!$A$2:$A$601,0))</f>
        <v>Data Analytics</v>
      </c>
      <c r="L1659" s="21" t="str">
        <f aca="false">INDEX(Companies!$C$2:$C$31,MATCH(C1659,Companies!$A$2:$A$31,0))</f>
        <v>Analytics &amp; Consulting</v>
      </c>
      <c r="M1659" s="21" t="str">
        <f aca="false">INDEX(Companies!$D$2:$D$31,MATCH(C1659,Companies!$A$2:$A$31,0))</f>
        <v>Tier 1</v>
      </c>
      <c r="N1659" s="34" t="n">
        <f aca="false">MATCH(F1659,Assumptions!$K$4:$K$8,0)</f>
        <v>2</v>
      </c>
      <c r="O1659" s="21" t="str">
        <f aca="false">IF(H1659="Yes",MONTH(I1659),"")</f>
        <v/>
      </c>
      <c r="P1659" s="21" t="str">
        <f aca="false">IF(H1659="Yes",B1659,"")</f>
        <v/>
      </c>
    </row>
    <row r="1660" customFormat="false" ht="15" hidden="false" customHeight="false" outlineLevel="0" collapsed="false">
      <c r="A1660" s="21" t="s">
        <v>2875</v>
      </c>
      <c r="B1660" s="21" t="s">
        <v>620</v>
      </c>
      <c r="C1660" s="21" t="s">
        <v>1201</v>
      </c>
      <c r="D1660" s="21" t="s">
        <v>1240</v>
      </c>
      <c r="E1660" s="33" t="n">
        <v>45648</v>
      </c>
      <c r="F1660" s="21" t="s">
        <v>1175</v>
      </c>
      <c r="G1660" s="32"/>
      <c r="H1660" s="21"/>
      <c r="I1660" s="33"/>
      <c r="J1660" s="21" t="str">
        <f aca="false">INDEX(Students!$C$2:$C$601,MATCH(B1660,Students!$A$2:$A$601,0))</f>
        <v>Batch 2025</v>
      </c>
      <c r="K1660" s="21" t="str">
        <f aca="false">INDEX(Students!$D$2:$D$601,MATCH(B1660,Students!$A$2:$A$601,0))</f>
        <v>Cybersecurity</v>
      </c>
      <c r="L1660" s="21" t="str">
        <f aca="false">INDEX(Companies!$C$2:$C$31,MATCH(C1660,Companies!$A$2:$A$31,0))</f>
        <v>IT Services</v>
      </c>
      <c r="M1660" s="21" t="str">
        <f aca="false">INDEX(Companies!$D$2:$D$31,MATCH(C1660,Companies!$A$2:$A$31,0))</f>
        <v>Tier 3</v>
      </c>
      <c r="N1660" s="34" t="n">
        <f aca="false">MATCH(F1660,Assumptions!$K$4:$K$8,0)</f>
        <v>1</v>
      </c>
      <c r="O1660" s="21" t="str">
        <f aca="false">IF(H1660="Yes",MONTH(I1660),"")</f>
        <v/>
      </c>
      <c r="P1660" s="21" t="str">
        <f aca="false">IF(H1660="Yes",B1660,"")</f>
        <v/>
      </c>
    </row>
    <row r="1661" customFormat="false" ht="15" hidden="false" customHeight="false" outlineLevel="0" collapsed="false">
      <c r="A1661" s="21" t="s">
        <v>2876</v>
      </c>
      <c r="B1661" s="21" t="s">
        <v>720</v>
      </c>
      <c r="C1661" s="21" t="s">
        <v>1193</v>
      </c>
      <c r="D1661" s="21" t="s">
        <v>1191</v>
      </c>
      <c r="E1661" s="33" t="n">
        <v>45648</v>
      </c>
      <c r="F1661" s="21" t="s">
        <v>1178</v>
      </c>
      <c r="G1661" s="32"/>
      <c r="H1661" s="21"/>
      <c r="I1661" s="33"/>
      <c r="J1661" s="21" t="str">
        <f aca="false">INDEX(Students!$C$2:$C$601,MATCH(B1661,Students!$A$2:$A$601,0))</f>
        <v>Batch 2025</v>
      </c>
      <c r="K1661" s="21" t="str">
        <f aca="false">INDEX(Students!$D$2:$D$601,MATCH(B1661,Students!$A$2:$A$601,0))</f>
        <v>DSA with Java</v>
      </c>
      <c r="L1661" s="21" t="str">
        <f aca="false">INDEX(Companies!$C$2:$C$31,MATCH(C1661,Companies!$A$2:$A$31,0))</f>
        <v>Analytics &amp; Consulting</v>
      </c>
      <c r="M1661" s="21" t="str">
        <f aca="false">INDEX(Companies!$D$2:$D$31,MATCH(C1661,Companies!$A$2:$A$31,0))</f>
        <v>Tier 2</v>
      </c>
      <c r="N1661" s="34" t="n">
        <f aca="false">MATCH(F1661,Assumptions!$K$4:$K$8,0)</f>
        <v>2</v>
      </c>
      <c r="O1661" s="21" t="str">
        <f aca="false">IF(H1661="Yes",MONTH(I1661),"")</f>
        <v/>
      </c>
      <c r="P1661" s="21" t="str">
        <f aca="false">IF(H1661="Yes",B1661,"")</f>
        <v/>
      </c>
    </row>
    <row r="1662" customFormat="false" ht="15" hidden="false" customHeight="false" outlineLevel="0" collapsed="false">
      <c r="A1662" s="21" t="s">
        <v>2877</v>
      </c>
      <c r="B1662" s="21" t="s">
        <v>693</v>
      </c>
      <c r="C1662" s="21" t="s">
        <v>1203</v>
      </c>
      <c r="D1662" s="21" t="s">
        <v>1240</v>
      </c>
      <c r="E1662" s="33" t="n">
        <v>45649</v>
      </c>
      <c r="F1662" s="21" t="s">
        <v>1197</v>
      </c>
      <c r="G1662" s="32"/>
      <c r="H1662" s="21"/>
      <c r="I1662" s="33"/>
      <c r="J1662" s="21" t="str">
        <f aca="false">INDEX(Students!$C$2:$C$601,MATCH(B1662,Students!$A$2:$A$601,0))</f>
        <v>Batch 2025</v>
      </c>
      <c r="K1662" s="21" t="str">
        <f aca="false">INDEX(Students!$D$2:$D$601,MATCH(B1662,Students!$A$2:$A$601,0))</f>
        <v>Cybersecurity</v>
      </c>
      <c r="L1662" s="21" t="str">
        <f aca="false">INDEX(Companies!$C$2:$C$31,MATCH(C1662,Companies!$A$2:$A$31,0))</f>
        <v>Healthtech</v>
      </c>
      <c r="M1662" s="21" t="str">
        <f aca="false">INDEX(Companies!$D$2:$D$31,MATCH(C1662,Companies!$A$2:$A$31,0))</f>
        <v>Tier 2</v>
      </c>
      <c r="N1662" s="34" t="n">
        <f aca="false">MATCH(F1662,Assumptions!$K$4:$K$8,0)</f>
        <v>3</v>
      </c>
      <c r="O1662" s="21" t="str">
        <f aca="false">IF(H1662="Yes",MONTH(I1662),"")</f>
        <v/>
      </c>
      <c r="P1662" s="21" t="str">
        <f aca="false">IF(H1662="Yes",B1662,"")</f>
        <v/>
      </c>
    </row>
    <row r="1663" customFormat="false" ht="15" hidden="false" customHeight="false" outlineLevel="0" collapsed="false">
      <c r="A1663" s="21" t="s">
        <v>2878</v>
      </c>
      <c r="B1663" s="21" t="s">
        <v>775</v>
      </c>
      <c r="C1663" s="21" t="s">
        <v>1173</v>
      </c>
      <c r="D1663" s="21" t="s">
        <v>1243</v>
      </c>
      <c r="E1663" s="33" t="n">
        <v>45649</v>
      </c>
      <c r="F1663" s="21" t="s">
        <v>1175</v>
      </c>
      <c r="G1663" s="32"/>
      <c r="H1663" s="21"/>
      <c r="I1663" s="33"/>
      <c r="J1663" s="21" t="str">
        <f aca="false">INDEX(Students!$C$2:$C$601,MATCH(B1663,Students!$A$2:$A$601,0))</f>
        <v>Batch 2025</v>
      </c>
      <c r="K1663" s="21" t="str">
        <f aca="false">INDEX(Students!$D$2:$D$601,MATCH(B1663,Students!$A$2:$A$601,0))</f>
        <v>Data Science &amp; ML</v>
      </c>
      <c r="L1663" s="21" t="str">
        <f aca="false">INDEX(Companies!$C$2:$C$31,MATCH(C1663,Companies!$A$2:$A$31,0))</f>
        <v>Cybersecurity</v>
      </c>
      <c r="M1663" s="21" t="str">
        <f aca="false">INDEX(Companies!$D$2:$D$31,MATCH(C1663,Companies!$A$2:$A$31,0))</f>
        <v>Tier 1</v>
      </c>
      <c r="N1663" s="34" t="n">
        <f aca="false">MATCH(F1663,Assumptions!$K$4:$K$8,0)</f>
        <v>1</v>
      </c>
      <c r="O1663" s="21" t="str">
        <f aca="false">IF(H1663="Yes",MONTH(I1663),"")</f>
        <v/>
      </c>
      <c r="P1663" s="21" t="str">
        <f aca="false">IF(H1663="Yes",B1663,"")</f>
        <v/>
      </c>
    </row>
    <row r="1664" customFormat="false" ht="15" hidden="false" customHeight="false" outlineLevel="0" collapsed="false">
      <c r="A1664" s="21" t="s">
        <v>2879</v>
      </c>
      <c r="B1664" s="21" t="s">
        <v>767</v>
      </c>
      <c r="C1664" s="21" t="s">
        <v>1255</v>
      </c>
      <c r="D1664" s="21" t="s">
        <v>1226</v>
      </c>
      <c r="E1664" s="33" t="n">
        <v>45649</v>
      </c>
      <c r="F1664" s="21" t="s">
        <v>1175</v>
      </c>
      <c r="G1664" s="32"/>
      <c r="H1664" s="21"/>
      <c r="I1664" s="33"/>
      <c r="J1664" s="21" t="str">
        <f aca="false">INDEX(Students!$C$2:$C$601,MATCH(B1664,Students!$A$2:$A$601,0))</f>
        <v>Batch 2025</v>
      </c>
      <c r="K1664" s="21" t="str">
        <f aca="false">INDEX(Students!$D$2:$D$601,MATCH(B1664,Students!$A$2:$A$601,0))</f>
        <v>Cybersecurity</v>
      </c>
      <c r="L1664" s="21" t="str">
        <f aca="false">INDEX(Companies!$C$2:$C$31,MATCH(C1664,Companies!$A$2:$A$31,0))</f>
        <v>IT Services</v>
      </c>
      <c r="M1664" s="21" t="str">
        <f aca="false">INDEX(Companies!$D$2:$D$31,MATCH(C1664,Companies!$A$2:$A$31,0))</f>
        <v>Tier 3</v>
      </c>
      <c r="N1664" s="34" t="n">
        <f aca="false">MATCH(F1664,Assumptions!$K$4:$K$8,0)</f>
        <v>1</v>
      </c>
      <c r="O1664" s="21" t="str">
        <f aca="false">IF(H1664="Yes",MONTH(I1664),"")</f>
        <v/>
      </c>
      <c r="P1664" s="21" t="str">
        <f aca="false">IF(H1664="Yes",B1664,"")</f>
        <v/>
      </c>
    </row>
    <row r="1665" customFormat="false" ht="15" hidden="false" customHeight="false" outlineLevel="0" collapsed="false">
      <c r="A1665" s="21" t="s">
        <v>2880</v>
      </c>
      <c r="B1665" s="21" t="s">
        <v>687</v>
      </c>
      <c r="C1665" s="21" t="s">
        <v>1228</v>
      </c>
      <c r="D1665" s="21" t="s">
        <v>1226</v>
      </c>
      <c r="E1665" s="33" t="n">
        <v>45649</v>
      </c>
      <c r="F1665" s="21" t="s">
        <v>1175</v>
      </c>
      <c r="G1665" s="32"/>
      <c r="H1665" s="21"/>
      <c r="I1665" s="33"/>
      <c r="J1665" s="21" t="str">
        <f aca="false">INDEX(Students!$C$2:$C$601,MATCH(B1665,Students!$A$2:$A$601,0))</f>
        <v>Batch 2025</v>
      </c>
      <c r="K1665" s="21" t="str">
        <f aca="false">INDEX(Students!$D$2:$D$601,MATCH(B1665,Students!$A$2:$A$601,0))</f>
        <v>Cybersecurity</v>
      </c>
      <c r="L1665" s="21" t="str">
        <f aca="false">INDEX(Companies!$C$2:$C$31,MATCH(C1665,Companies!$A$2:$A$31,0))</f>
        <v>Fintech</v>
      </c>
      <c r="M1665" s="21" t="str">
        <f aca="false">INDEX(Companies!$D$2:$D$31,MATCH(C1665,Companies!$A$2:$A$31,0))</f>
        <v>Tier 1</v>
      </c>
      <c r="N1665" s="34" t="n">
        <f aca="false">MATCH(F1665,Assumptions!$K$4:$K$8,0)</f>
        <v>1</v>
      </c>
      <c r="O1665" s="21" t="str">
        <f aca="false">IF(H1665="Yes",MONTH(I1665),"")</f>
        <v/>
      </c>
      <c r="P1665" s="21" t="str">
        <f aca="false">IF(H1665="Yes",B1665,"")</f>
        <v/>
      </c>
    </row>
    <row r="1666" customFormat="false" ht="15" hidden="false" customHeight="false" outlineLevel="0" collapsed="false">
      <c r="A1666" s="21" t="s">
        <v>2881</v>
      </c>
      <c r="B1666" s="21" t="s">
        <v>567</v>
      </c>
      <c r="C1666" s="21" t="s">
        <v>1255</v>
      </c>
      <c r="D1666" s="21" t="s">
        <v>1191</v>
      </c>
      <c r="E1666" s="33" t="n">
        <v>45650</v>
      </c>
      <c r="F1666" s="21" t="s">
        <v>1185</v>
      </c>
      <c r="G1666" s="32" t="n">
        <v>4.9</v>
      </c>
      <c r="H1666" s="21" t="s">
        <v>113</v>
      </c>
      <c r="I1666" s="33" t="n">
        <v>45676</v>
      </c>
      <c r="J1666" s="21" t="str">
        <f aca="false">INDEX(Students!$C$2:$C$601,MATCH(B1666,Students!$A$2:$A$601,0))</f>
        <v>Batch 2025</v>
      </c>
      <c r="K1666" s="21" t="str">
        <f aca="false">INDEX(Students!$D$2:$D$601,MATCH(B1666,Students!$A$2:$A$601,0))</f>
        <v>DSA with Java</v>
      </c>
      <c r="L1666" s="21" t="str">
        <f aca="false">INDEX(Companies!$C$2:$C$31,MATCH(C1666,Companies!$A$2:$A$31,0))</f>
        <v>IT Services</v>
      </c>
      <c r="M1666" s="21" t="str">
        <f aca="false">INDEX(Companies!$D$2:$D$31,MATCH(C1666,Companies!$A$2:$A$31,0))</f>
        <v>Tier 3</v>
      </c>
      <c r="N1666" s="34" t="n">
        <f aca="false">MATCH(F1666,Assumptions!$K$4:$K$8,0)</f>
        <v>5</v>
      </c>
      <c r="O1666" s="21" t="str">
        <f aca="false">IF(H1666="Yes",MONTH(I1666),"")</f>
        <v/>
      </c>
      <c r="P1666" s="21" t="str">
        <f aca="false">IF(H1666="Yes",B1666,"")</f>
        <v/>
      </c>
    </row>
    <row r="1667" customFormat="false" ht="15" hidden="false" customHeight="false" outlineLevel="0" collapsed="false">
      <c r="A1667" s="21" t="s">
        <v>2882</v>
      </c>
      <c r="B1667" s="21" t="s">
        <v>751</v>
      </c>
      <c r="C1667" s="21" t="s">
        <v>1309</v>
      </c>
      <c r="D1667" s="21" t="s">
        <v>1188</v>
      </c>
      <c r="E1667" s="33" t="n">
        <v>45650</v>
      </c>
      <c r="F1667" s="21" t="s">
        <v>1175</v>
      </c>
      <c r="G1667" s="32"/>
      <c r="H1667" s="21"/>
      <c r="I1667" s="33"/>
      <c r="J1667" s="21" t="str">
        <f aca="false">INDEX(Students!$C$2:$C$601,MATCH(B1667,Students!$A$2:$A$601,0))</f>
        <v>Batch 2025</v>
      </c>
      <c r="K1667" s="21" t="str">
        <f aca="false">INDEX(Students!$D$2:$D$601,MATCH(B1667,Students!$A$2:$A$601,0))</f>
        <v>Data Analytics</v>
      </c>
      <c r="L1667" s="21" t="str">
        <f aca="false">INDEX(Companies!$C$2:$C$31,MATCH(C1667,Companies!$A$2:$A$31,0))</f>
        <v>EdTech</v>
      </c>
      <c r="M1667" s="21" t="str">
        <f aca="false">INDEX(Companies!$D$2:$D$31,MATCH(C1667,Companies!$A$2:$A$31,0))</f>
        <v>Tier 2</v>
      </c>
      <c r="N1667" s="34" t="n">
        <f aca="false">MATCH(F1667,Assumptions!$K$4:$K$8,0)</f>
        <v>1</v>
      </c>
      <c r="O1667" s="21" t="str">
        <f aca="false">IF(H1667="Yes",MONTH(I1667),"")</f>
        <v/>
      </c>
      <c r="P1667" s="21" t="str">
        <f aca="false">IF(H1667="Yes",B1667,"")</f>
        <v/>
      </c>
    </row>
    <row r="1668" customFormat="false" ht="15" hidden="false" customHeight="false" outlineLevel="0" collapsed="false">
      <c r="A1668" s="21" t="s">
        <v>2883</v>
      </c>
      <c r="B1668" s="21" t="s">
        <v>582</v>
      </c>
      <c r="C1668" s="21" t="s">
        <v>1196</v>
      </c>
      <c r="D1668" s="21" t="s">
        <v>1194</v>
      </c>
      <c r="E1668" s="33" t="n">
        <v>45650</v>
      </c>
      <c r="F1668" s="21" t="s">
        <v>1185</v>
      </c>
      <c r="G1668" s="32" t="n">
        <v>5.5</v>
      </c>
      <c r="H1668" s="21" t="s">
        <v>113</v>
      </c>
      <c r="I1668" s="33" t="n">
        <v>45705</v>
      </c>
      <c r="J1668" s="21" t="str">
        <f aca="false">INDEX(Students!$C$2:$C$601,MATCH(B1668,Students!$A$2:$A$601,0))</f>
        <v>Batch 2025</v>
      </c>
      <c r="K1668" s="21" t="str">
        <f aca="false">INDEX(Students!$D$2:$D$601,MATCH(B1668,Students!$A$2:$A$601,0))</f>
        <v>Data Science &amp; ML</v>
      </c>
      <c r="L1668" s="21" t="str">
        <f aca="false">INDEX(Companies!$C$2:$C$31,MATCH(C1668,Companies!$A$2:$A$31,0))</f>
        <v>IT Services</v>
      </c>
      <c r="M1668" s="21" t="str">
        <f aca="false">INDEX(Companies!$D$2:$D$31,MATCH(C1668,Companies!$A$2:$A$31,0))</f>
        <v>Tier 3</v>
      </c>
      <c r="N1668" s="34" t="n">
        <f aca="false">MATCH(F1668,Assumptions!$K$4:$K$8,0)</f>
        <v>5</v>
      </c>
      <c r="O1668" s="21" t="str">
        <f aca="false">IF(H1668="Yes",MONTH(I1668),"")</f>
        <v/>
      </c>
      <c r="P1668" s="21" t="str">
        <f aca="false">IF(H1668="Yes",B1668,"")</f>
        <v/>
      </c>
    </row>
    <row r="1669" customFormat="false" ht="15" hidden="false" customHeight="false" outlineLevel="0" collapsed="false">
      <c r="A1669" s="21" t="s">
        <v>2884</v>
      </c>
      <c r="B1669" s="21" t="s">
        <v>542</v>
      </c>
      <c r="C1669" s="21" t="s">
        <v>1203</v>
      </c>
      <c r="D1669" s="21" t="s">
        <v>1191</v>
      </c>
      <c r="E1669" s="33" t="n">
        <v>45651</v>
      </c>
      <c r="F1669" s="21" t="s">
        <v>1185</v>
      </c>
      <c r="G1669" s="32" t="n">
        <v>10</v>
      </c>
      <c r="H1669" s="21" t="s">
        <v>120</v>
      </c>
      <c r="I1669" s="33" t="n">
        <v>45683</v>
      </c>
      <c r="J1669" s="21" t="str">
        <f aca="false">INDEX(Students!$C$2:$C$601,MATCH(B1669,Students!$A$2:$A$601,0))</f>
        <v>Batch 2025</v>
      </c>
      <c r="K1669" s="21" t="str">
        <f aca="false">INDEX(Students!$D$2:$D$601,MATCH(B1669,Students!$A$2:$A$601,0))</f>
        <v>DSA with Java</v>
      </c>
      <c r="L1669" s="21" t="str">
        <f aca="false">INDEX(Companies!$C$2:$C$31,MATCH(C1669,Companies!$A$2:$A$31,0))</f>
        <v>Healthtech</v>
      </c>
      <c r="M1669" s="21" t="str">
        <f aca="false">INDEX(Companies!$D$2:$D$31,MATCH(C1669,Companies!$A$2:$A$31,0))</f>
        <v>Tier 2</v>
      </c>
      <c r="N1669" s="34" t="n">
        <f aca="false">MATCH(F1669,Assumptions!$K$4:$K$8,0)</f>
        <v>5</v>
      </c>
      <c r="O1669" s="21" t="n">
        <f aca="false">IF(H1669="Yes",MONTH(I1669),"")</f>
        <v>1</v>
      </c>
      <c r="P1669" s="21" t="str">
        <f aca="false">IF(H1669="Yes",B1669,"")</f>
        <v>S0229</v>
      </c>
    </row>
    <row r="1670" customFormat="false" ht="15" hidden="false" customHeight="false" outlineLevel="0" collapsed="false">
      <c r="A1670" s="21" t="s">
        <v>2885</v>
      </c>
      <c r="B1670" s="21" t="s">
        <v>747</v>
      </c>
      <c r="C1670" s="21" t="s">
        <v>1203</v>
      </c>
      <c r="D1670" s="21" t="s">
        <v>1184</v>
      </c>
      <c r="E1670" s="33" t="n">
        <v>45651</v>
      </c>
      <c r="F1670" s="21" t="s">
        <v>1175</v>
      </c>
      <c r="G1670" s="32"/>
      <c r="H1670" s="21"/>
      <c r="I1670" s="33"/>
      <c r="J1670" s="21" t="str">
        <f aca="false">INDEX(Students!$C$2:$C$601,MATCH(B1670,Students!$A$2:$A$601,0))</f>
        <v>Batch 2025</v>
      </c>
      <c r="K1670" s="21" t="str">
        <f aca="false">INDEX(Students!$D$2:$D$601,MATCH(B1670,Students!$A$2:$A$601,0))</f>
        <v>DSA with Java</v>
      </c>
      <c r="L1670" s="21" t="str">
        <f aca="false">INDEX(Companies!$C$2:$C$31,MATCH(C1670,Companies!$A$2:$A$31,0))</f>
        <v>Healthtech</v>
      </c>
      <c r="M1670" s="21" t="str">
        <f aca="false">INDEX(Companies!$D$2:$D$31,MATCH(C1670,Companies!$A$2:$A$31,0))</f>
        <v>Tier 2</v>
      </c>
      <c r="N1670" s="34" t="n">
        <f aca="false">MATCH(F1670,Assumptions!$K$4:$K$8,0)</f>
        <v>1</v>
      </c>
      <c r="O1670" s="21" t="str">
        <f aca="false">IF(H1670="Yes",MONTH(I1670),"")</f>
        <v/>
      </c>
      <c r="P1670" s="21" t="str">
        <f aca="false">IF(H1670="Yes",B1670,"")</f>
        <v/>
      </c>
    </row>
    <row r="1671" customFormat="false" ht="15" hidden="false" customHeight="false" outlineLevel="0" collapsed="false">
      <c r="A1671" s="21" t="s">
        <v>2886</v>
      </c>
      <c r="B1671" s="21" t="s">
        <v>544</v>
      </c>
      <c r="C1671" s="21" t="s">
        <v>1225</v>
      </c>
      <c r="D1671" s="21" t="s">
        <v>1243</v>
      </c>
      <c r="E1671" s="33" t="n">
        <v>45651</v>
      </c>
      <c r="F1671" s="21" t="s">
        <v>1175</v>
      </c>
      <c r="G1671" s="32"/>
      <c r="H1671" s="21"/>
      <c r="I1671" s="33"/>
      <c r="J1671" s="21" t="str">
        <f aca="false">INDEX(Students!$C$2:$C$601,MATCH(B1671,Students!$A$2:$A$601,0))</f>
        <v>Batch 2025</v>
      </c>
      <c r="K1671" s="21" t="str">
        <f aca="false">INDEX(Students!$D$2:$D$601,MATCH(B1671,Students!$A$2:$A$601,0))</f>
        <v>Data Science &amp; ML</v>
      </c>
      <c r="L1671" s="21" t="str">
        <f aca="false">INDEX(Companies!$C$2:$C$31,MATCH(C1671,Companies!$A$2:$A$31,0))</f>
        <v>EdTech</v>
      </c>
      <c r="M1671" s="21" t="str">
        <f aca="false">INDEX(Companies!$D$2:$D$31,MATCH(C1671,Companies!$A$2:$A$31,0))</f>
        <v>Tier 2</v>
      </c>
      <c r="N1671" s="34" t="n">
        <f aca="false">MATCH(F1671,Assumptions!$K$4:$K$8,0)</f>
        <v>1</v>
      </c>
      <c r="O1671" s="21" t="str">
        <f aca="false">IF(H1671="Yes",MONTH(I1671),"")</f>
        <v/>
      </c>
      <c r="P1671" s="21" t="str">
        <f aca="false">IF(H1671="Yes",B1671,"")</f>
        <v/>
      </c>
    </row>
    <row r="1672" customFormat="false" ht="15" hidden="false" customHeight="false" outlineLevel="0" collapsed="false">
      <c r="A1672" s="21" t="s">
        <v>2887</v>
      </c>
      <c r="B1672" s="21" t="s">
        <v>752</v>
      </c>
      <c r="C1672" s="21" t="s">
        <v>1275</v>
      </c>
      <c r="D1672" s="21" t="s">
        <v>1191</v>
      </c>
      <c r="E1672" s="33" t="n">
        <v>45651</v>
      </c>
      <c r="F1672" s="21" t="s">
        <v>1197</v>
      </c>
      <c r="G1672" s="32"/>
      <c r="H1672" s="21"/>
      <c r="I1672" s="33"/>
      <c r="J1672" s="21" t="str">
        <f aca="false">INDEX(Students!$C$2:$C$601,MATCH(B1672,Students!$A$2:$A$601,0))</f>
        <v>Batch 2025</v>
      </c>
      <c r="K1672" s="21" t="str">
        <f aca="false">INDEX(Students!$D$2:$D$601,MATCH(B1672,Students!$A$2:$A$601,0))</f>
        <v>DSA with Java</v>
      </c>
      <c r="L1672" s="21" t="str">
        <f aca="false">INDEX(Companies!$C$2:$C$31,MATCH(C1672,Companies!$A$2:$A$31,0))</f>
        <v>Cybersecurity</v>
      </c>
      <c r="M1672" s="21" t="str">
        <f aca="false">INDEX(Companies!$D$2:$D$31,MATCH(C1672,Companies!$A$2:$A$31,0))</f>
        <v>Tier 2</v>
      </c>
      <c r="N1672" s="34" t="n">
        <f aca="false">MATCH(F1672,Assumptions!$K$4:$K$8,0)</f>
        <v>3</v>
      </c>
      <c r="O1672" s="21" t="str">
        <f aca="false">IF(H1672="Yes",MONTH(I1672),"")</f>
        <v/>
      </c>
      <c r="P1672" s="21" t="str">
        <f aca="false">IF(H1672="Yes",B1672,"")</f>
        <v/>
      </c>
    </row>
    <row r="1673" customFormat="false" ht="15" hidden="false" customHeight="false" outlineLevel="0" collapsed="false">
      <c r="A1673" s="21" t="s">
        <v>2888</v>
      </c>
      <c r="B1673" s="21" t="s">
        <v>590</v>
      </c>
      <c r="C1673" s="21" t="s">
        <v>1263</v>
      </c>
      <c r="D1673" s="21" t="s">
        <v>1209</v>
      </c>
      <c r="E1673" s="33" t="n">
        <v>45652</v>
      </c>
      <c r="F1673" s="21" t="s">
        <v>1175</v>
      </c>
      <c r="G1673" s="32"/>
      <c r="H1673" s="21"/>
      <c r="I1673" s="33"/>
      <c r="J1673" s="21" t="str">
        <f aca="false">INDEX(Students!$C$2:$C$601,MATCH(B1673,Students!$A$2:$A$601,0))</f>
        <v>Batch 2025</v>
      </c>
      <c r="K1673" s="21" t="str">
        <f aca="false">INDEX(Students!$D$2:$D$601,MATCH(B1673,Students!$A$2:$A$601,0))</f>
        <v>Data Analytics</v>
      </c>
      <c r="L1673" s="21" t="str">
        <f aca="false">INDEX(Companies!$C$2:$C$31,MATCH(C1673,Companies!$A$2:$A$31,0))</f>
        <v>Analytics &amp; Consulting</v>
      </c>
      <c r="M1673" s="21" t="str">
        <f aca="false">INDEX(Companies!$D$2:$D$31,MATCH(C1673,Companies!$A$2:$A$31,0))</f>
        <v>Tier 2</v>
      </c>
      <c r="N1673" s="34" t="n">
        <f aca="false">MATCH(F1673,Assumptions!$K$4:$K$8,0)</f>
        <v>1</v>
      </c>
      <c r="O1673" s="21" t="str">
        <f aca="false">IF(H1673="Yes",MONTH(I1673),"")</f>
        <v/>
      </c>
      <c r="P1673" s="21" t="str">
        <f aca="false">IF(H1673="Yes",B1673,"")</f>
        <v/>
      </c>
    </row>
    <row r="1674" customFormat="false" ht="15" hidden="false" customHeight="false" outlineLevel="0" collapsed="false">
      <c r="A1674" s="21" t="s">
        <v>2889</v>
      </c>
      <c r="B1674" s="21" t="s">
        <v>649</v>
      </c>
      <c r="C1674" s="21" t="s">
        <v>1211</v>
      </c>
      <c r="D1674" s="21" t="s">
        <v>1191</v>
      </c>
      <c r="E1674" s="33" t="n">
        <v>45652</v>
      </c>
      <c r="F1674" s="21" t="s">
        <v>1185</v>
      </c>
      <c r="G1674" s="32" t="n">
        <v>6</v>
      </c>
      <c r="H1674" s="21" t="s">
        <v>113</v>
      </c>
      <c r="I1674" s="33" t="n">
        <v>45703</v>
      </c>
      <c r="J1674" s="21" t="str">
        <f aca="false">INDEX(Students!$C$2:$C$601,MATCH(B1674,Students!$A$2:$A$601,0))</f>
        <v>Batch 2025</v>
      </c>
      <c r="K1674" s="21" t="str">
        <f aca="false">INDEX(Students!$D$2:$D$601,MATCH(B1674,Students!$A$2:$A$601,0))</f>
        <v>DSA with Java</v>
      </c>
      <c r="L1674" s="21" t="str">
        <f aca="false">INDEX(Companies!$C$2:$C$31,MATCH(C1674,Companies!$A$2:$A$31,0))</f>
        <v>Analytics &amp; Consulting</v>
      </c>
      <c r="M1674" s="21" t="str">
        <f aca="false">INDEX(Companies!$D$2:$D$31,MATCH(C1674,Companies!$A$2:$A$31,0))</f>
        <v>Tier 3</v>
      </c>
      <c r="N1674" s="34" t="n">
        <f aca="false">MATCH(F1674,Assumptions!$K$4:$K$8,0)</f>
        <v>5</v>
      </c>
      <c r="O1674" s="21" t="str">
        <f aca="false">IF(H1674="Yes",MONTH(I1674),"")</f>
        <v/>
      </c>
      <c r="P1674" s="21" t="str">
        <f aca="false">IF(H1674="Yes",B1674,"")</f>
        <v/>
      </c>
    </row>
    <row r="1675" customFormat="false" ht="15" hidden="false" customHeight="false" outlineLevel="0" collapsed="false">
      <c r="A1675" s="21" t="s">
        <v>2890</v>
      </c>
      <c r="B1675" s="21" t="s">
        <v>544</v>
      </c>
      <c r="C1675" s="21" t="s">
        <v>1216</v>
      </c>
      <c r="D1675" s="21" t="s">
        <v>1243</v>
      </c>
      <c r="E1675" s="33" t="n">
        <v>45652</v>
      </c>
      <c r="F1675" s="21" t="s">
        <v>1185</v>
      </c>
      <c r="G1675" s="32" t="n">
        <v>6.6</v>
      </c>
      <c r="H1675" s="21" t="s">
        <v>113</v>
      </c>
      <c r="I1675" s="33" t="n">
        <v>45684</v>
      </c>
      <c r="J1675" s="21" t="str">
        <f aca="false">INDEX(Students!$C$2:$C$601,MATCH(B1675,Students!$A$2:$A$601,0))</f>
        <v>Batch 2025</v>
      </c>
      <c r="K1675" s="21" t="str">
        <f aca="false">INDEX(Students!$D$2:$D$601,MATCH(B1675,Students!$A$2:$A$601,0))</f>
        <v>Data Science &amp; ML</v>
      </c>
      <c r="L1675" s="21" t="str">
        <f aca="false">INDEX(Companies!$C$2:$C$31,MATCH(C1675,Companies!$A$2:$A$31,0))</f>
        <v>IT Services</v>
      </c>
      <c r="M1675" s="21" t="str">
        <f aca="false">INDEX(Companies!$D$2:$D$31,MATCH(C1675,Companies!$A$2:$A$31,0))</f>
        <v>Tier 3</v>
      </c>
      <c r="N1675" s="34" t="n">
        <f aca="false">MATCH(F1675,Assumptions!$K$4:$K$8,0)</f>
        <v>5</v>
      </c>
      <c r="O1675" s="21" t="str">
        <f aca="false">IF(H1675="Yes",MONTH(I1675),"")</f>
        <v/>
      </c>
      <c r="P1675" s="21" t="str">
        <f aca="false">IF(H1675="Yes",B1675,"")</f>
        <v/>
      </c>
    </row>
    <row r="1676" customFormat="false" ht="15" hidden="false" customHeight="false" outlineLevel="0" collapsed="false">
      <c r="A1676" s="21" t="s">
        <v>2891</v>
      </c>
      <c r="B1676" s="21" t="s">
        <v>576</v>
      </c>
      <c r="C1676" s="21" t="s">
        <v>1173</v>
      </c>
      <c r="D1676" s="21" t="s">
        <v>1191</v>
      </c>
      <c r="E1676" s="33" t="n">
        <v>45652</v>
      </c>
      <c r="F1676" s="21" t="s">
        <v>1178</v>
      </c>
      <c r="G1676" s="32"/>
      <c r="H1676" s="21"/>
      <c r="I1676" s="33"/>
      <c r="J1676" s="21" t="str">
        <f aca="false">INDEX(Students!$C$2:$C$601,MATCH(B1676,Students!$A$2:$A$601,0))</f>
        <v>Batch 2025</v>
      </c>
      <c r="K1676" s="21" t="str">
        <f aca="false">INDEX(Students!$D$2:$D$601,MATCH(B1676,Students!$A$2:$A$601,0))</f>
        <v>DSA with Java</v>
      </c>
      <c r="L1676" s="21" t="str">
        <f aca="false">INDEX(Companies!$C$2:$C$31,MATCH(C1676,Companies!$A$2:$A$31,0))</f>
        <v>Cybersecurity</v>
      </c>
      <c r="M1676" s="21" t="str">
        <f aca="false">INDEX(Companies!$D$2:$D$31,MATCH(C1676,Companies!$A$2:$A$31,0))</f>
        <v>Tier 1</v>
      </c>
      <c r="N1676" s="34" t="n">
        <f aca="false">MATCH(F1676,Assumptions!$K$4:$K$8,0)</f>
        <v>2</v>
      </c>
      <c r="O1676" s="21" t="str">
        <f aca="false">IF(H1676="Yes",MONTH(I1676),"")</f>
        <v/>
      </c>
      <c r="P1676" s="21" t="str">
        <f aca="false">IF(H1676="Yes",B1676,"")</f>
        <v/>
      </c>
    </row>
    <row r="1677" customFormat="false" ht="15" hidden="false" customHeight="false" outlineLevel="0" collapsed="false">
      <c r="A1677" s="21" t="s">
        <v>2892</v>
      </c>
      <c r="B1677" s="21" t="s">
        <v>468</v>
      </c>
      <c r="C1677" s="21" t="s">
        <v>1208</v>
      </c>
      <c r="D1677" s="21" t="s">
        <v>1181</v>
      </c>
      <c r="E1677" s="33" t="n">
        <v>45653</v>
      </c>
      <c r="F1677" s="21" t="s">
        <v>1175</v>
      </c>
      <c r="G1677" s="32"/>
      <c r="H1677" s="21"/>
      <c r="I1677" s="33"/>
      <c r="J1677" s="21" t="str">
        <f aca="false">INDEX(Students!$C$2:$C$601,MATCH(B1677,Students!$A$2:$A$601,0))</f>
        <v>Batch 2025</v>
      </c>
      <c r="K1677" s="21" t="str">
        <f aca="false">INDEX(Students!$D$2:$D$601,MATCH(B1677,Students!$A$2:$A$601,0))</f>
        <v>Full Stack Development</v>
      </c>
      <c r="L1677" s="21" t="str">
        <f aca="false">INDEX(Companies!$C$2:$C$31,MATCH(C1677,Companies!$A$2:$A$31,0))</f>
        <v>E-commerce</v>
      </c>
      <c r="M1677" s="21" t="str">
        <f aca="false">INDEX(Companies!$D$2:$D$31,MATCH(C1677,Companies!$A$2:$A$31,0))</f>
        <v>Tier 1</v>
      </c>
      <c r="N1677" s="34" t="n">
        <f aca="false">MATCH(F1677,Assumptions!$K$4:$K$8,0)</f>
        <v>1</v>
      </c>
      <c r="O1677" s="21" t="str">
        <f aca="false">IF(H1677="Yes",MONTH(I1677),"")</f>
        <v/>
      </c>
      <c r="P1677" s="21" t="str">
        <f aca="false">IF(H1677="Yes",B1677,"")</f>
        <v/>
      </c>
    </row>
    <row r="1678" customFormat="false" ht="15" hidden="false" customHeight="false" outlineLevel="0" collapsed="false">
      <c r="A1678" s="21" t="s">
        <v>2893</v>
      </c>
      <c r="B1678" s="21" t="s">
        <v>556</v>
      </c>
      <c r="C1678" s="21" t="s">
        <v>1190</v>
      </c>
      <c r="D1678" s="21" t="s">
        <v>1243</v>
      </c>
      <c r="E1678" s="33" t="n">
        <v>45653</v>
      </c>
      <c r="F1678" s="21" t="s">
        <v>1178</v>
      </c>
      <c r="G1678" s="32"/>
      <c r="H1678" s="21"/>
      <c r="I1678" s="33"/>
      <c r="J1678" s="21" t="str">
        <f aca="false">INDEX(Students!$C$2:$C$601,MATCH(B1678,Students!$A$2:$A$601,0))</f>
        <v>Batch 2025</v>
      </c>
      <c r="K1678" s="21" t="str">
        <f aca="false">INDEX(Students!$D$2:$D$601,MATCH(B1678,Students!$A$2:$A$601,0))</f>
        <v>Data Science &amp; ML</v>
      </c>
      <c r="L1678" s="21" t="str">
        <f aca="false">INDEX(Companies!$C$2:$C$31,MATCH(C1678,Companies!$A$2:$A$31,0))</f>
        <v>Analytics &amp; Consulting</v>
      </c>
      <c r="M1678" s="21" t="str">
        <f aca="false">INDEX(Companies!$D$2:$D$31,MATCH(C1678,Companies!$A$2:$A$31,0))</f>
        <v>Tier 1</v>
      </c>
      <c r="N1678" s="34" t="n">
        <f aca="false">MATCH(F1678,Assumptions!$K$4:$K$8,0)</f>
        <v>2</v>
      </c>
      <c r="O1678" s="21" t="str">
        <f aca="false">IF(H1678="Yes",MONTH(I1678),"")</f>
        <v/>
      </c>
      <c r="P1678" s="21" t="str">
        <f aca="false">IF(H1678="Yes",B1678,"")</f>
        <v/>
      </c>
    </row>
    <row r="1679" customFormat="false" ht="15" hidden="false" customHeight="false" outlineLevel="0" collapsed="false">
      <c r="A1679" s="21" t="s">
        <v>2894</v>
      </c>
      <c r="B1679" s="21" t="s">
        <v>470</v>
      </c>
      <c r="C1679" s="21" t="s">
        <v>1263</v>
      </c>
      <c r="D1679" s="21" t="s">
        <v>1188</v>
      </c>
      <c r="E1679" s="33" t="n">
        <v>45653</v>
      </c>
      <c r="F1679" s="21" t="s">
        <v>1197</v>
      </c>
      <c r="G1679" s="32"/>
      <c r="H1679" s="21"/>
      <c r="I1679" s="33"/>
      <c r="J1679" s="21" t="str">
        <f aca="false">INDEX(Students!$C$2:$C$601,MATCH(B1679,Students!$A$2:$A$601,0))</f>
        <v>Batch 2025</v>
      </c>
      <c r="K1679" s="21" t="str">
        <f aca="false">INDEX(Students!$D$2:$D$601,MATCH(B1679,Students!$A$2:$A$601,0))</f>
        <v>Data Analytics</v>
      </c>
      <c r="L1679" s="21" t="str">
        <f aca="false">INDEX(Companies!$C$2:$C$31,MATCH(C1679,Companies!$A$2:$A$31,0))</f>
        <v>Analytics &amp; Consulting</v>
      </c>
      <c r="M1679" s="21" t="str">
        <f aca="false">INDEX(Companies!$D$2:$D$31,MATCH(C1679,Companies!$A$2:$A$31,0))</f>
        <v>Tier 2</v>
      </c>
      <c r="N1679" s="34" t="n">
        <f aca="false">MATCH(F1679,Assumptions!$K$4:$K$8,0)</f>
        <v>3</v>
      </c>
      <c r="O1679" s="21" t="str">
        <f aca="false">IF(H1679="Yes",MONTH(I1679),"")</f>
        <v/>
      </c>
      <c r="P1679" s="21" t="str">
        <f aca="false">IF(H1679="Yes",B1679,"")</f>
        <v/>
      </c>
    </row>
    <row r="1680" customFormat="false" ht="15" hidden="false" customHeight="false" outlineLevel="0" collapsed="false">
      <c r="A1680" s="21" t="s">
        <v>2895</v>
      </c>
      <c r="B1680" s="21" t="s">
        <v>491</v>
      </c>
      <c r="C1680" s="21" t="s">
        <v>1216</v>
      </c>
      <c r="D1680" s="21" t="s">
        <v>1191</v>
      </c>
      <c r="E1680" s="33" t="n">
        <v>45653</v>
      </c>
      <c r="F1680" s="21" t="s">
        <v>1185</v>
      </c>
      <c r="G1680" s="32" t="n">
        <v>5.2</v>
      </c>
      <c r="H1680" s="21" t="s">
        <v>120</v>
      </c>
      <c r="I1680" s="33" t="n">
        <v>45690</v>
      </c>
      <c r="J1680" s="21" t="str">
        <f aca="false">INDEX(Students!$C$2:$C$601,MATCH(B1680,Students!$A$2:$A$601,0))</f>
        <v>Batch 2025</v>
      </c>
      <c r="K1680" s="21" t="str">
        <f aca="false">INDEX(Students!$D$2:$D$601,MATCH(B1680,Students!$A$2:$A$601,0))</f>
        <v>DSA with Java</v>
      </c>
      <c r="L1680" s="21" t="str">
        <f aca="false">INDEX(Companies!$C$2:$C$31,MATCH(C1680,Companies!$A$2:$A$31,0))</f>
        <v>IT Services</v>
      </c>
      <c r="M1680" s="21" t="str">
        <f aca="false">INDEX(Companies!$D$2:$D$31,MATCH(C1680,Companies!$A$2:$A$31,0))</f>
        <v>Tier 3</v>
      </c>
      <c r="N1680" s="34" t="n">
        <f aca="false">MATCH(F1680,Assumptions!$K$4:$K$8,0)</f>
        <v>5</v>
      </c>
      <c r="O1680" s="21" t="n">
        <f aca="false">IF(H1680="Yes",MONTH(I1680),"")</f>
        <v>2</v>
      </c>
      <c r="P1680" s="21" t="str">
        <f aca="false">IF(H1680="Yes",B1680,"")</f>
        <v>S0201</v>
      </c>
    </row>
    <row r="1681" customFormat="false" ht="15" hidden="false" customHeight="false" outlineLevel="0" collapsed="false">
      <c r="A1681" s="21" t="s">
        <v>2896</v>
      </c>
      <c r="B1681" s="21" t="s">
        <v>484</v>
      </c>
      <c r="C1681" s="21" t="s">
        <v>1239</v>
      </c>
      <c r="D1681" s="21" t="s">
        <v>1191</v>
      </c>
      <c r="E1681" s="33" t="n">
        <v>45653</v>
      </c>
      <c r="F1681" s="21" t="s">
        <v>1185</v>
      </c>
      <c r="G1681" s="32" t="n">
        <v>5.5</v>
      </c>
      <c r="H1681" s="21" t="s">
        <v>113</v>
      </c>
      <c r="I1681" s="33" t="n">
        <v>45682</v>
      </c>
      <c r="J1681" s="21" t="str">
        <f aca="false">INDEX(Students!$C$2:$C$601,MATCH(B1681,Students!$A$2:$A$601,0))</f>
        <v>Batch 2025</v>
      </c>
      <c r="K1681" s="21" t="str">
        <f aca="false">INDEX(Students!$D$2:$D$601,MATCH(B1681,Students!$A$2:$A$601,0))</f>
        <v>DSA with Java</v>
      </c>
      <c r="L1681" s="21" t="str">
        <f aca="false">INDEX(Companies!$C$2:$C$31,MATCH(C1681,Companies!$A$2:$A$31,0))</f>
        <v>E-commerce</v>
      </c>
      <c r="M1681" s="21" t="str">
        <f aca="false">INDEX(Companies!$D$2:$D$31,MATCH(C1681,Companies!$A$2:$A$31,0))</f>
        <v>Tier 3</v>
      </c>
      <c r="N1681" s="34" t="n">
        <f aca="false">MATCH(F1681,Assumptions!$K$4:$K$8,0)</f>
        <v>5</v>
      </c>
      <c r="O1681" s="21" t="str">
        <f aca="false">IF(H1681="Yes",MONTH(I1681),"")</f>
        <v/>
      </c>
      <c r="P1681" s="21" t="str">
        <f aca="false">IF(H1681="Yes",B1681,"")</f>
        <v/>
      </c>
    </row>
    <row r="1682" customFormat="false" ht="15" hidden="false" customHeight="false" outlineLevel="0" collapsed="false">
      <c r="A1682" s="21" t="s">
        <v>2897</v>
      </c>
      <c r="B1682" s="21" t="s">
        <v>677</v>
      </c>
      <c r="C1682" s="21" t="s">
        <v>1196</v>
      </c>
      <c r="D1682" s="21" t="s">
        <v>1181</v>
      </c>
      <c r="E1682" s="33" t="n">
        <v>45654</v>
      </c>
      <c r="F1682" s="21" t="s">
        <v>1185</v>
      </c>
      <c r="G1682" s="32" t="n">
        <v>6.6</v>
      </c>
      <c r="H1682" s="21" t="s">
        <v>120</v>
      </c>
      <c r="I1682" s="33" t="n">
        <v>45700</v>
      </c>
      <c r="J1682" s="21" t="str">
        <f aca="false">INDEX(Students!$C$2:$C$601,MATCH(B1682,Students!$A$2:$A$601,0))</f>
        <v>Batch 2025</v>
      </c>
      <c r="K1682" s="21" t="str">
        <f aca="false">INDEX(Students!$D$2:$D$601,MATCH(B1682,Students!$A$2:$A$601,0))</f>
        <v>Full Stack Development</v>
      </c>
      <c r="L1682" s="21" t="str">
        <f aca="false">INDEX(Companies!$C$2:$C$31,MATCH(C1682,Companies!$A$2:$A$31,0))</f>
        <v>IT Services</v>
      </c>
      <c r="M1682" s="21" t="str">
        <f aca="false">INDEX(Companies!$D$2:$D$31,MATCH(C1682,Companies!$A$2:$A$31,0))</f>
        <v>Tier 3</v>
      </c>
      <c r="N1682" s="34" t="n">
        <f aca="false">MATCH(F1682,Assumptions!$K$4:$K$8,0)</f>
        <v>5</v>
      </c>
      <c r="O1682" s="21" t="n">
        <f aca="false">IF(H1682="Yes",MONTH(I1682),"")</f>
        <v>2</v>
      </c>
      <c r="P1682" s="21" t="str">
        <f aca="false">IF(H1682="Yes",B1682,"")</f>
        <v>S0305</v>
      </c>
    </row>
    <row r="1683" customFormat="false" ht="15" hidden="false" customHeight="false" outlineLevel="0" collapsed="false">
      <c r="A1683" s="21" t="s">
        <v>2898</v>
      </c>
      <c r="B1683" s="21" t="s">
        <v>489</v>
      </c>
      <c r="C1683" s="21" t="s">
        <v>1177</v>
      </c>
      <c r="D1683" s="21" t="s">
        <v>1240</v>
      </c>
      <c r="E1683" s="33" t="n">
        <v>45654</v>
      </c>
      <c r="F1683" s="21" t="s">
        <v>1185</v>
      </c>
      <c r="G1683" s="32" t="n">
        <v>7.6</v>
      </c>
      <c r="H1683" s="21" t="s">
        <v>120</v>
      </c>
      <c r="I1683" s="33" t="n">
        <v>45697</v>
      </c>
      <c r="J1683" s="21" t="str">
        <f aca="false">INDEX(Students!$C$2:$C$601,MATCH(B1683,Students!$A$2:$A$601,0))</f>
        <v>Batch 2025</v>
      </c>
      <c r="K1683" s="21" t="str">
        <f aca="false">INDEX(Students!$D$2:$D$601,MATCH(B1683,Students!$A$2:$A$601,0))</f>
        <v>Cybersecurity</v>
      </c>
      <c r="L1683" s="21" t="str">
        <f aca="false">INDEX(Companies!$C$2:$C$31,MATCH(C1683,Companies!$A$2:$A$31,0))</f>
        <v>IT Services</v>
      </c>
      <c r="M1683" s="21" t="str">
        <f aca="false">INDEX(Companies!$D$2:$D$31,MATCH(C1683,Companies!$A$2:$A$31,0))</f>
        <v>Tier 3</v>
      </c>
      <c r="N1683" s="34" t="n">
        <f aca="false">MATCH(F1683,Assumptions!$K$4:$K$8,0)</f>
        <v>5</v>
      </c>
      <c r="O1683" s="21" t="n">
        <f aca="false">IF(H1683="Yes",MONTH(I1683),"")</f>
        <v>2</v>
      </c>
      <c r="P1683" s="21" t="str">
        <f aca="false">IF(H1683="Yes",B1683,"")</f>
        <v>S0200</v>
      </c>
    </row>
    <row r="1684" customFormat="false" ht="15" hidden="false" customHeight="false" outlineLevel="0" collapsed="false">
      <c r="A1684" s="21" t="s">
        <v>2899</v>
      </c>
      <c r="B1684" s="21" t="s">
        <v>680</v>
      </c>
      <c r="C1684" s="21" t="s">
        <v>1230</v>
      </c>
      <c r="D1684" s="21" t="s">
        <v>1194</v>
      </c>
      <c r="E1684" s="33" t="n">
        <v>45654</v>
      </c>
      <c r="F1684" s="21" t="s">
        <v>1175</v>
      </c>
      <c r="G1684" s="32"/>
      <c r="H1684" s="21"/>
      <c r="I1684" s="33"/>
      <c r="J1684" s="21" t="str">
        <f aca="false">INDEX(Students!$C$2:$C$601,MATCH(B1684,Students!$A$2:$A$601,0))</f>
        <v>Batch 2025</v>
      </c>
      <c r="K1684" s="21" t="str">
        <f aca="false">INDEX(Students!$D$2:$D$601,MATCH(B1684,Students!$A$2:$A$601,0))</f>
        <v>Data Science &amp; ML</v>
      </c>
      <c r="L1684" s="21" t="str">
        <f aca="false">INDEX(Companies!$C$2:$C$31,MATCH(C1684,Companies!$A$2:$A$31,0))</f>
        <v>IT Services</v>
      </c>
      <c r="M1684" s="21" t="str">
        <f aca="false">INDEX(Companies!$D$2:$D$31,MATCH(C1684,Companies!$A$2:$A$31,0))</f>
        <v>Tier 3</v>
      </c>
      <c r="N1684" s="34" t="n">
        <f aca="false">MATCH(F1684,Assumptions!$K$4:$K$8,0)</f>
        <v>1</v>
      </c>
      <c r="O1684" s="21" t="str">
        <f aca="false">IF(H1684="Yes",MONTH(I1684),"")</f>
        <v/>
      </c>
      <c r="P1684" s="21" t="str">
        <f aca="false">IF(H1684="Yes",B1684,"")</f>
        <v/>
      </c>
    </row>
    <row r="1685" customFormat="false" ht="15" hidden="false" customHeight="false" outlineLevel="0" collapsed="false">
      <c r="A1685" s="21" t="s">
        <v>2900</v>
      </c>
      <c r="B1685" s="21" t="s">
        <v>687</v>
      </c>
      <c r="C1685" s="21" t="s">
        <v>1183</v>
      </c>
      <c r="D1685" s="21" t="s">
        <v>1240</v>
      </c>
      <c r="E1685" s="33" t="n">
        <v>45654</v>
      </c>
      <c r="F1685" s="21" t="s">
        <v>1178</v>
      </c>
      <c r="G1685" s="32"/>
      <c r="H1685" s="21"/>
      <c r="I1685" s="33"/>
      <c r="J1685" s="21" t="str">
        <f aca="false">INDEX(Students!$C$2:$C$601,MATCH(B1685,Students!$A$2:$A$601,0))</f>
        <v>Batch 2025</v>
      </c>
      <c r="K1685" s="21" t="str">
        <f aca="false">INDEX(Students!$D$2:$D$601,MATCH(B1685,Students!$A$2:$A$601,0))</f>
        <v>Cybersecurity</v>
      </c>
      <c r="L1685" s="21" t="str">
        <f aca="false">INDEX(Companies!$C$2:$C$31,MATCH(C1685,Companies!$A$2:$A$31,0))</f>
        <v>E-commerce</v>
      </c>
      <c r="M1685" s="21" t="str">
        <f aca="false">INDEX(Companies!$D$2:$D$31,MATCH(C1685,Companies!$A$2:$A$31,0))</f>
        <v>Tier 2</v>
      </c>
      <c r="N1685" s="34" t="n">
        <f aca="false">MATCH(F1685,Assumptions!$K$4:$K$8,0)</f>
        <v>2</v>
      </c>
      <c r="O1685" s="21" t="str">
        <f aca="false">IF(H1685="Yes",MONTH(I1685),"")</f>
        <v/>
      </c>
      <c r="P1685" s="21" t="str">
        <f aca="false">IF(H1685="Yes",B1685,"")</f>
        <v/>
      </c>
    </row>
    <row r="1686" customFormat="false" ht="15" hidden="false" customHeight="false" outlineLevel="0" collapsed="false">
      <c r="A1686" s="21" t="s">
        <v>2901</v>
      </c>
      <c r="B1686" s="21" t="s">
        <v>532</v>
      </c>
      <c r="C1686" s="21" t="s">
        <v>1255</v>
      </c>
      <c r="D1686" s="21" t="s">
        <v>1181</v>
      </c>
      <c r="E1686" s="33" t="n">
        <v>45654</v>
      </c>
      <c r="F1686" s="21" t="s">
        <v>1175</v>
      </c>
      <c r="G1686" s="32"/>
      <c r="H1686" s="21"/>
      <c r="I1686" s="33"/>
      <c r="J1686" s="21" t="str">
        <f aca="false">INDEX(Students!$C$2:$C$601,MATCH(B1686,Students!$A$2:$A$601,0))</f>
        <v>Batch 2025</v>
      </c>
      <c r="K1686" s="21" t="str">
        <f aca="false">INDEX(Students!$D$2:$D$601,MATCH(B1686,Students!$A$2:$A$601,0))</f>
        <v>Full Stack Development</v>
      </c>
      <c r="L1686" s="21" t="str">
        <f aca="false">INDEX(Companies!$C$2:$C$31,MATCH(C1686,Companies!$A$2:$A$31,0))</f>
        <v>IT Services</v>
      </c>
      <c r="M1686" s="21" t="str">
        <f aca="false">INDEX(Companies!$D$2:$D$31,MATCH(C1686,Companies!$A$2:$A$31,0))</f>
        <v>Tier 3</v>
      </c>
      <c r="N1686" s="34" t="n">
        <f aca="false">MATCH(F1686,Assumptions!$K$4:$K$8,0)</f>
        <v>1</v>
      </c>
      <c r="O1686" s="21" t="str">
        <f aca="false">IF(H1686="Yes",MONTH(I1686),"")</f>
        <v/>
      </c>
      <c r="P1686" s="21" t="str">
        <f aca="false">IF(H1686="Yes",B1686,"")</f>
        <v/>
      </c>
    </row>
    <row r="1687" customFormat="false" ht="15" hidden="false" customHeight="false" outlineLevel="0" collapsed="false">
      <c r="A1687" s="21" t="s">
        <v>2902</v>
      </c>
      <c r="B1687" s="21" t="s">
        <v>765</v>
      </c>
      <c r="C1687" s="21" t="s">
        <v>1230</v>
      </c>
      <c r="D1687" s="21" t="s">
        <v>1191</v>
      </c>
      <c r="E1687" s="33" t="n">
        <v>45655</v>
      </c>
      <c r="F1687" s="21" t="s">
        <v>1175</v>
      </c>
      <c r="G1687" s="32"/>
      <c r="H1687" s="21"/>
      <c r="I1687" s="33"/>
      <c r="J1687" s="21" t="str">
        <f aca="false">INDEX(Students!$C$2:$C$601,MATCH(B1687,Students!$A$2:$A$601,0))</f>
        <v>Batch 2025</v>
      </c>
      <c r="K1687" s="21" t="str">
        <f aca="false">INDEX(Students!$D$2:$D$601,MATCH(B1687,Students!$A$2:$A$601,0))</f>
        <v>DSA with Java</v>
      </c>
      <c r="L1687" s="21" t="str">
        <f aca="false">INDEX(Companies!$C$2:$C$31,MATCH(C1687,Companies!$A$2:$A$31,0))</f>
        <v>IT Services</v>
      </c>
      <c r="M1687" s="21" t="str">
        <f aca="false">INDEX(Companies!$D$2:$D$31,MATCH(C1687,Companies!$A$2:$A$31,0))</f>
        <v>Tier 3</v>
      </c>
      <c r="N1687" s="34" t="n">
        <f aca="false">MATCH(F1687,Assumptions!$K$4:$K$8,0)</f>
        <v>1</v>
      </c>
      <c r="O1687" s="21" t="str">
        <f aca="false">IF(H1687="Yes",MONTH(I1687),"")</f>
        <v/>
      </c>
      <c r="P1687" s="21" t="str">
        <f aca="false">IF(H1687="Yes",B1687,"")</f>
        <v/>
      </c>
    </row>
    <row r="1688" customFormat="false" ht="15" hidden="false" customHeight="false" outlineLevel="0" collapsed="false">
      <c r="A1688" s="21" t="s">
        <v>2903</v>
      </c>
      <c r="B1688" s="21" t="s">
        <v>672</v>
      </c>
      <c r="C1688" s="21" t="s">
        <v>1183</v>
      </c>
      <c r="D1688" s="21" t="s">
        <v>1191</v>
      </c>
      <c r="E1688" s="33" t="n">
        <v>45655</v>
      </c>
      <c r="F1688" s="21" t="s">
        <v>1185</v>
      </c>
      <c r="G1688" s="32" t="n">
        <v>14.1</v>
      </c>
      <c r="H1688" s="21" t="s">
        <v>120</v>
      </c>
      <c r="I1688" s="33" t="n">
        <v>45708</v>
      </c>
      <c r="J1688" s="21" t="str">
        <f aca="false">INDEX(Students!$C$2:$C$601,MATCH(B1688,Students!$A$2:$A$601,0))</f>
        <v>Batch 2025</v>
      </c>
      <c r="K1688" s="21" t="str">
        <f aca="false">INDEX(Students!$D$2:$D$601,MATCH(B1688,Students!$A$2:$A$601,0))</f>
        <v>DSA with Java</v>
      </c>
      <c r="L1688" s="21" t="str">
        <f aca="false">INDEX(Companies!$C$2:$C$31,MATCH(C1688,Companies!$A$2:$A$31,0))</f>
        <v>E-commerce</v>
      </c>
      <c r="M1688" s="21" t="str">
        <f aca="false">INDEX(Companies!$D$2:$D$31,MATCH(C1688,Companies!$A$2:$A$31,0))</f>
        <v>Tier 2</v>
      </c>
      <c r="N1688" s="34" t="n">
        <f aca="false">MATCH(F1688,Assumptions!$K$4:$K$8,0)</f>
        <v>5</v>
      </c>
      <c r="O1688" s="21" t="n">
        <f aca="false">IF(H1688="Yes",MONTH(I1688),"")</f>
        <v>2</v>
      </c>
      <c r="P1688" s="21" t="str">
        <f aca="false">IF(H1688="Yes",B1688,"")</f>
        <v>S0302</v>
      </c>
    </row>
    <row r="1689" customFormat="false" ht="15" hidden="false" customHeight="false" outlineLevel="0" collapsed="false">
      <c r="A1689" s="21" t="s">
        <v>2904</v>
      </c>
      <c r="B1689" s="21" t="s">
        <v>540</v>
      </c>
      <c r="C1689" s="21" t="s">
        <v>1290</v>
      </c>
      <c r="D1689" s="21" t="s">
        <v>1243</v>
      </c>
      <c r="E1689" s="33" t="n">
        <v>45656</v>
      </c>
      <c r="F1689" s="21" t="s">
        <v>1197</v>
      </c>
      <c r="G1689" s="32"/>
      <c r="H1689" s="21"/>
      <c r="I1689" s="33"/>
      <c r="J1689" s="21" t="str">
        <f aca="false">INDEX(Students!$C$2:$C$601,MATCH(B1689,Students!$A$2:$A$601,0))</f>
        <v>Batch 2025</v>
      </c>
      <c r="K1689" s="21" t="str">
        <f aca="false">INDEX(Students!$D$2:$D$601,MATCH(B1689,Students!$A$2:$A$601,0))</f>
        <v>Data Science &amp; ML</v>
      </c>
      <c r="L1689" s="21" t="str">
        <f aca="false">INDEX(Companies!$C$2:$C$31,MATCH(C1689,Companies!$A$2:$A$31,0))</f>
        <v>Fintech</v>
      </c>
      <c r="M1689" s="21" t="str">
        <f aca="false">INDEX(Companies!$D$2:$D$31,MATCH(C1689,Companies!$A$2:$A$31,0))</f>
        <v>Tier 2</v>
      </c>
      <c r="N1689" s="34" t="n">
        <f aca="false">MATCH(F1689,Assumptions!$K$4:$K$8,0)</f>
        <v>3</v>
      </c>
      <c r="O1689" s="21" t="str">
        <f aca="false">IF(H1689="Yes",MONTH(I1689),"")</f>
        <v/>
      </c>
      <c r="P1689" s="21" t="str">
        <f aca="false">IF(H1689="Yes",B1689,"")</f>
        <v/>
      </c>
    </row>
    <row r="1690" customFormat="false" ht="15" hidden="false" customHeight="false" outlineLevel="0" collapsed="false">
      <c r="A1690" s="21" t="s">
        <v>2905</v>
      </c>
      <c r="B1690" s="21" t="s">
        <v>633</v>
      </c>
      <c r="C1690" s="21" t="s">
        <v>1187</v>
      </c>
      <c r="D1690" s="21" t="s">
        <v>1226</v>
      </c>
      <c r="E1690" s="33" t="n">
        <v>45656</v>
      </c>
      <c r="F1690" s="21" t="s">
        <v>1175</v>
      </c>
      <c r="G1690" s="32"/>
      <c r="H1690" s="21"/>
      <c r="I1690" s="33"/>
      <c r="J1690" s="21" t="str">
        <f aca="false">INDEX(Students!$C$2:$C$601,MATCH(B1690,Students!$A$2:$A$601,0))</f>
        <v>Batch 2025</v>
      </c>
      <c r="K1690" s="21" t="str">
        <f aca="false">INDEX(Students!$D$2:$D$601,MATCH(B1690,Students!$A$2:$A$601,0))</f>
        <v>Cybersecurity</v>
      </c>
      <c r="L1690" s="21" t="str">
        <f aca="false">INDEX(Companies!$C$2:$C$31,MATCH(C1690,Companies!$A$2:$A$31,0))</f>
        <v>Product</v>
      </c>
      <c r="M1690" s="21" t="str">
        <f aca="false">INDEX(Companies!$D$2:$D$31,MATCH(C1690,Companies!$A$2:$A$31,0))</f>
        <v>Tier 1</v>
      </c>
      <c r="N1690" s="34" t="n">
        <f aca="false">MATCH(F1690,Assumptions!$K$4:$K$8,0)</f>
        <v>1</v>
      </c>
      <c r="O1690" s="21" t="str">
        <f aca="false">IF(H1690="Yes",MONTH(I1690),"")</f>
        <v/>
      </c>
      <c r="P1690" s="21" t="str">
        <f aca="false">IF(H1690="Yes",B1690,"")</f>
        <v/>
      </c>
    </row>
    <row r="1691" customFormat="false" ht="15" hidden="false" customHeight="false" outlineLevel="0" collapsed="false">
      <c r="A1691" s="21" t="s">
        <v>2906</v>
      </c>
      <c r="B1691" s="21" t="s">
        <v>732</v>
      </c>
      <c r="C1691" s="21" t="s">
        <v>1201</v>
      </c>
      <c r="D1691" s="21" t="s">
        <v>1243</v>
      </c>
      <c r="E1691" s="33" t="n">
        <v>45656</v>
      </c>
      <c r="F1691" s="21" t="s">
        <v>1185</v>
      </c>
      <c r="G1691" s="32" t="n">
        <v>7.5</v>
      </c>
      <c r="H1691" s="21" t="s">
        <v>113</v>
      </c>
      <c r="I1691" s="33" t="n">
        <v>45707</v>
      </c>
      <c r="J1691" s="21" t="str">
        <f aca="false">INDEX(Students!$C$2:$C$601,MATCH(B1691,Students!$A$2:$A$601,0))</f>
        <v>Batch 2025</v>
      </c>
      <c r="K1691" s="21" t="str">
        <f aca="false">INDEX(Students!$D$2:$D$601,MATCH(B1691,Students!$A$2:$A$601,0))</f>
        <v>Data Science &amp; ML</v>
      </c>
      <c r="L1691" s="21" t="str">
        <f aca="false">INDEX(Companies!$C$2:$C$31,MATCH(C1691,Companies!$A$2:$A$31,0))</f>
        <v>IT Services</v>
      </c>
      <c r="M1691" s="21" t="str">
        <f aca="false">INDEX(Companies!$D$2:$D$31,MATCH(C1691,Companies!$A$2:$A$31,0))</f>
        <v>Tier 3</v>
      </c>
      <c r="N1691" s="34" t="n">
        <f aca="false">MATCH(F1691,Assumptions!$K$4:$K$8,0)</f>
        <v>5</v>
      </c>
      <c r="O1691" s="21" t="str">
        <f aca="false">IF(H1691="Yes",MONTH(I1691),"")</f>
        <v/>
      </c>
      <c r="P1691" s="21" t="str">
        <f aca="false">IF(H1691="Yes",B1691,"")</f>
        <v/>
      </c>
    </row>
    <row r="1692" customFormat="false" ht="15" hidden="false" customHeight="false" outlineLevel="0" collapsed="false">
      <c r="A1692" s="21" t="s">
        <v>2907</v>
      </c>
      <c r="B1692" s="21" t="s">
        <v>530</v>
      </c>
      <c r="C1692" s="21" t="s">
        <v>1183</v>
      </c>
      <c r="D1692" s="21" t="s">
        <v>1226</v>
      </c>
      <c r="E1692" s="33" t="n">
        <v>45656</v>
      </c>
      <c r="F1692" s="21" t="s">
        <v>1185</v>
      </c>
      <c r="G1692" s="32" t="n">
        <v>13.5</v>
      </c>
      <c r="H1692" s="21" t="s">
        <v>113</v>
      </c>
      <c r="I1692" s="33" t="n">
        <v>45682</v>
      </c>
      <c r="J1692" s="21" t="str">
        <f aca="false">INDEX(Students!$C$2:$C$601,MATCH(B1692,Students!$A$2:$A$601,0))</f>
        <v>Batch 2025</v>
      </c>
      <c r="K1692" s="21" t="str">
        <f aca="false">INDEX(Students!$D$2:$D$601,MATCH(B1692,Students!$A$2:$A$601,0))</f>
        <v>Cybersecurity</v>
      </c>
      <c r="L1692" s="21" t="str">
        <f aca="false">INDEX(Companies!$C$2:$C$31,MATCH(C1692,Companies!$A$2:$A$31,0))</f>
        <v>E-commerce</v>
      </c>
      <c r="M1692" s="21" t="str">
        <f aca="false">INDEX(Companies!$D$2:$D$31,MATCH(C1692,Companies!$A$2:$A$31,0))</f>
        <v>Tier 2</v>
      </c>
      <c r="N1692" s="34" t="n">
        <f aca="false">MATCH(F1692,Assumptions!$K$4:$K$8,0)</f>
        <v>5</v>
      </c>
      <c r="O1692" s="21" t="str">
        <f aca="false">IF(H1692="Yes",MONTH(I1692),"")</f>
        <v/>
      </c>
      <c r="P1692" s="21" t="str">
        <f aca="false">IF(H1692="Yes",B1692,"")</f>
        <v/>
      </c>
    </row>
    <row r="1693" customFormat="false" ht="15" hidden="false" customHeight="false" outlineLevel="0" collapsed="false">
      <c r="A1693" s="21" t="s">
        <v>2908</v>
      </c>
      <c r="B1693" s="21" t="s">
        <v>549</v>
      </c>
      <c r="C1693" s="21" t="s">
        <v>1290</v>
      </c>
      <c r="D1693" s="21" t="s">
        <v>1209</v>
      </c>
      <c r="E1693" s="33" t="n">
        <v>45656</v>
      </c>
      <c r="F1693" s="21" t="s">
        <v>1218</v>
      </c>
      <c r="G1693" s="32"/>
      <c r="H1693" s="21"/>
      <c r="I1693" s="33"/>
      <c r="J1693" s="21" t="str">
        <f aca="false">INDEX(Students!$C$2:$C$601,MATCH(B1693,Students!$A$2:$A$601,0))</f>
        <v>Batch 2025</v>
      </c>
      <c r="K1693" s="21" t="str">
        <f aca="false">INDEX(Students!$D$2:$D$601,MATCH(B1693,Students!$A$2:$A$601,0))</f>
        <v>Data Analytics</v>
      </c>
      <c r="L1693" s="21" t="str">
        <f aca="false">INDEX(Companies!$C$2:$C$31,MATCH(C1693,Companies!$A$2:$A$31,0))</f>
        <v>Fintech</v>
      </c>
      <c r="M1693" s="21" t="str">
        <f aca="false">INDEX(Companies!$D$2:$D$31,MATCH(C1693,Companies!$A$2:$A$31,0))</f>
        <v>Tier 2</v>
      </c>
      <c r="N1693" s="34" t="n">
        <f aca="false">MATCH(F1693,Assumptions!$K$4:$K$8,0)</f>
        <v>4</v>
      </c>
      <c r="O1693" s="21" t="str">
        <f aca="false">IF(H1693="Yes",MONTH(I1693),"")</f>
        <v/>
      </c>
      <c r="P1693" s="21" t="str">
        <f aca="false">IF(H1693="Yes",B1693,"")</f>
        <v/>
      </c>
    </row>
    <row r="1694" customFormat="false" ht="15" hidden="false" customHeight="false" outlineLevel="0" collapsed="false">
      <c r="A1694" s="21" t="s">
        <v>2909</v>
      </c>
      <c r="B1694" s="21" t="s">
        <v>565</v>
      </c>
      <c r="C1694" s="21" t="s">
        <v>1263</v>
      </c>
      <c r="D1694" s="21" t="s">
        <v>1184</v>
      </c>
      <c r="E1694" s="33" t="n">
        <v>45656</v>
      </c>
      <c r="F1694" s="21" t="s">
        <v>1185</v>
      </c>
      <c r="G1694" s="32" t="n">
        <v>15.5</v>
      </c>
      <c r="H1694" s="21" t="s">
        <v>120</v>
      </c>
      <c r="I1694" s="33" t="n">
        <v>45679</v>
      </c>
      <c r="J1694" s="21" t="str">
        <f aca="false">INDEX(Students!$C$2:$C$601,MATCH(B1694,Students!$A$2:$A$601,0))</f>
        <v>Batch 2025</v>
      </c>
      <c r="K1694" s="21" t="str">
        <f aca="false">INDEX(Students!$D$2:$D$601,MATCH(B1694,Students!$A$2:$A$601,0))</f>
        <v>DSA with Java</v>
      </c>
      <c r="L1694" s="21" t="str">
        <f aca="false">INDEX(Companies!$C$2:$C$31,MATCH(C1694,Companies!$A$2:$A$31,0))</f>
        <v>Analytics &amp; Consulting</v>
      </c>
      <c r="M1694" s="21" t="str">
        <f aca="false">INDEX(Companies!$D$2:$D$31,MATCH(C1694,Companies!$A$2:$A$31,0))</f>
        <v>Tier 2</v>
      </c>
      <c r="N1694" s="34" t="n">
        <f aca="false">MATCH(F1694,Assumptions!$K$4:$K$8,0)</f>
        <v>5</v>
      </c>
      <c r="O1694" s="21" t="n">
        <f aca="false">IF(H1694="Yes",MONTH(I1694),"")</f>
        <v>1</v>
      </c>
      <c r="P1694" s="21" t="str">
        <f aca="false">IF(H1694="Yes",B1694,"")</f>
        <v>S0242</v>
      </c>
    </row>
    <row r="1695" customFormat="false" ht="15" hidden="false" customHeight="false" outlineLevel="0" collapsed="false">
      <c r="A1695" s="21" t="s">
        <v>2910</v>
      </c>
      <c r="B1695" s="21" t="s">
        <v>612</v>
      </c>
      <c r="C1695" s="21" t="s">
        <v>1201</v>
      </c>
      <c r="D1695" s="21" t="s">
        <v>1174</v>
      </c>
      <c r="E1695" s="33" t="n">
        <v>45657</v>
      </c>
      <c r="F1695" s="21" t="s">
        <v>1178</v>
      </c>
      <c r="G1695" s="32"/>
      <c r="H1695" s="21"/>
      <c r="I1695" s="33"/>
      <c r="J1695" s="21" t="str">
        <f aca="false">INDEX(Students!$C$2:$C$601,MATCH(B1695,Students!$A$2:$A$601,0))</f>
        <v>Batch 2025</v>
      </c>
      <c r="K1695" s="21" t="str">
        <f aca="false">INDEX(Students!$D$2:$D$601,MATCH(B1695,Students!$A$2:$A$601,0))</f>
        <v>Full Stack Development</v>
      </c>
      <c r="L1695" s="21" t="str">
        <f aca="false">INDEX(Companies!$C$2:$C$31,MATCH(C1695,Companies!$A$2:$A$31,0))</f>
        <v>IT Services</v>
      </c>
      <c r="M1695" s="21" t="str">
        <f aca="false">INDEX(Companies!$D$2:$D$31,MATCH(C1695,Companies!$A$2:$A$31,0))</f>
        <v>Tier 3</v>
      </c>
      <c r="N1695" s="34" t="n">
        <f aca="false">MATCH(F1695,Assumptions!$K$4:$K$8,0)</f>
        <v>2</v>
      </c>
      <c r="O1695" s="21" t="str">
        <f aca="false">IF(H1695="Yes",MONTH(I1695),"")</f>
        <v/>
      </c>
      <c r="P1695" s="21" t="str">
        <f aca="false">IF(H1695="Yes",B1695,"")</f>
        <v/>
      </c>
    </row>
    <row r="1696" customFormat="false" ht="15" hidden="false" customHeight="false" outlineLevel="0" collapsed="false">
      <c r="A1696" s="21" t="s">
        <v>2911</v>
      </c>
      <c r="B1696" s="21" t="s">
        <v>547</v>
      </c>
      <c r="C1696" s="21" t="s">
        <v>1234</v>
      </c>
      <c r="D1696" s="21" t="s">
        <v>1181</v>
      </c>
      <c r="E1696" s="33" t="n">
        <v>45657</v>
      </c>
      <c r="F1696" s="21" t="s">
        <v>1197</v>
      </c>
      <c r="G1696" s="32"/>
      <c r="H1696" s="21"/>
      <c r="I1696" s="33"/>
      <c r="J1696" s="21" t="str">
        <f aca="false">INDEX(Students!$C$2:$C$601,MATCH(B1696,Students!$A$2:$A$601,0))</f>
        <v>Batch 2025</v>
      </c>
      <c r="K1696" s="21" t="str">
        <f aca="false">INDEX(Students!$D$2:$D$601,MATCH(B1696,Students!$A$2:$A$601,0))</f>
        <v>Full Stack Development</v>
      </c>
      <c r="L1696" s="21" t="str">
        <f aca="false">INDEX(Companies!$C$2:$C$31,MATCH(C1696,Companies!$A$2:$A$31,0))</f>
        <v>EdTech</v>
      </c>
      <c r="M1696" s="21" t="str">
        <f aca="false">INDEX(Companies!$D$2:$D$31,MATCH(C1696,Companies!$A$2:$A$31,0))</f>
        <v>Tier 3</v>
      </c>
      <c r="N1696" s="34" t="n">
        <f aca="false">MATCH(F1696,Assumptions!$K$4:$K$8,0)</f>
        <v>3</v>
      </c>
      <c r="O1696" s="21" t="str">
        <f aca="false">IF(H1696="Yes",MONTH(I1696),"")</f>
        <v/>
      </c>
      <c r="P1696" s="21" t="str">
        <f aca="false">IF(H1696="Yes",B1696,"")</f>
        <v/>
      </c>
    </row>
    <row r="1697" customFormat="false" ht="15" hidden="false" customHeight="false" outlineLevel="0" collapsed="false">
      <c r="A1697" s="21" t="s">
        <v>2912</v>
      </c>
      <c r="B1697" s="21" t="s">
        <v>612</v>
      </c>
      <c r="C1697" s="21" t="s">
        <v>1275</v>
      </c>
      <c r="D1697" s="21" t="s">
        <v>1174</v>
      </c>
      <c r="E1697" s="33" t="n">
        <v>45657</v>
      </c>
      <c r="F1697" s="21" t="s">
        <v>1218</v>
      </c>
      <c r="G1697" s="32"/>
      <c r="H1697" s="21"/>
      <c r="I1697" s="33"/>
      <c r="J1697" s="21" t="str">
        <f aca="false">INDEX(Students!$C$2:$C$601,MATCH(B1697,Students!$A$2:$A$601,0))</f>
        <v>Batch 2025</v>
      </c>
      <c r="K1697" s="21" t="str">
        <f aca="false">INDEX(Students!$D$2:$D$601,MATCH(B1697,Students!$A$2:$A$601,0))</f>
        <v>Full Stack Development</v>
      </c>
      <c r="L1697" s="21" t="str">
        <f aca="false">INDEX(Companies!$C$2:$C$31,MATCH(C1697,Companies!$A$2:$A$31,0))</f>
        <v>Cybersecurity</v>
      </c>
      <c r="M1697" s="21" t="str">
        <f aca="false">INDEX(Companies!$D$2:$D$31,MATCH(C1697,Companies!$A$2:$A$31,0))</f>
        <v>Tier 2</v>
      </c>
      <c r="N1697" s="34" t="n">
        <f aca="false">MATCH(F1697,Assumptions!$K$4:$K$8,0)</f>
        <v>4</v>
      </c>
      <c r="O1697" s="21" t="str">
        <f aca="false">IF(H1697="Yes",MONTH(I1697),"")</f>
        <v/>
      </c>
      <c r="P1697" s="21" t="str">
        <f aca="false">IF(H1697="Yes",B1697,"")</f>
        <v/>
      </c>
    </row>
    <row r="1698" customFormat="false" ht="15" hidden="false" customHeight="false" outlineLevel="0" collapsed="false">
      <c r="A1698" s="21" t="s">
        <v>2913</v>
      </c>
      <c r="B1698" s="21" t="s">
        <v>468</v>
      </c>
      <c r="C1698" s="21" t="s">
        <v>1190</v>
      </c>
      <c r="D1698" s="21" t="s">
        <v>1181</v>
      </c>
      <c r="E1698" s="33" t="n">
        <v>45658</v>
      </c>
      <c r="F1698" s="21" t="s">
        <v>1175</v>
      </c>
      <c r="G1698" s="32"/>
      <c r="H1698" s="21"/>
      <c r="I1698" s="33"/>
      <c r="J1698" s="21" t="str">
        <f aca="false">INDEX(Students!$C$2:$C$601,MATCH(B1698,Students!$A$2:$A$601,0))</f>
        <v>Batch 2025</v>
      </c>
      <c r="K1698" s="21" t="str">
        <f aca="false">INDEX(Students!$D$2:$D$601,MATCH(B1698,Students!$A$2:$A$601,0))</f>
        <v>Full Stack Development</v>
      </c>
      <c r="L1698" s="21" t="str">
        <f aca="false">INDEX(Companies!$C$2:$C$31,MATCH(C1698,Companies!$A$2:$A$31,0))</f>
        <v>Analytics &amp; Consulting</v>
      </c>
      <c r="M1698" s="21" t="str">
        <f aca="false">INDEX(Companies!$D$2:$D$31,MATCH(C1698,Companies!$A$2:$A$31,0))</f>
        <v>Tier 1</v>
      </c>
      <c r="N1698" s="34" t="n">
        <f aca="false">MATCH(F1698,Assumptions!$K$4:$K$8,0)</f>
        <v>1</v>
      </c>
      <c r="O1698" s="21" t="str">
        <f aca="false">IF(H1698="Yes",MONTH(I1698),"")</f>
        <v/>
      </c>
      <c r="P1698" s="21" t="str">
        <f aca="false">IF(H1698="Yes",B1698,"")</f>
        <v/>
      </c>
    </row>
    <row r="1699" customFormat="false" ht="15" hidden="false" customHeight="false" outlineLevel="0" collapsed="false">
      <c r="A1699" s="21" t="s">
        <v>2914</v>
      </c>
      <c r="B1699" s="21" t="s">
        <v>501</v>
      </c>
      <c r="C1699" s="21" t="s">
        <v>1290</v>
      </c>
      <c r="D1699" s="21" t="s">
        <v>1191</v>
      </c>
      <c r="E1699" s="33" t="n">
        <v>45658</v>
      </c>
      <c r="F1699" s="21" t="s">
        <v>1175</v>
      </c>
      <c r="G1699" s="32"/>
      <c r="H1699" s="21"/>
      <c r="I1699" s="33"/>
      <c r="J1699" s="21" t="str">
        <f aca="false">INDEX(Students!$C$2:$C$601,MATCH(B1699,Students!$A$2:$A$601,0))</f>
        <v>Batch 2025</v>
      </c>
      <c r="K1699" s="21" t="str">
        <f aca="false">INDEX(Students!$D$2:$D$601,MATCH(B1699,Students!$A$2:$A$601,0))</f>
        <v>DSA with Java</v>
      </c>
      <c r="L1699" s="21" t="str">
        <f aca="false">INDEX(Companies!$C$2:$C$31,MATCH(C1699,Companies!$A$2:$A$31,0))</f>
        <v>Fintech</v>
      </c>
      <c r="M1699" s="21" t="str">
        <f aca="false">INDEX(Companies!$D$2:$D$31,MATCH(C1699,Companies!$A$2:$A$31,0))</f>
        <v>Tier 2</v>
      </c>
      <c r="N1699" s="34" t="n">
        <f aca="false">MATCH(F1699,Assumptions!$K$4:$K$8,0)</f>
        <v>1</v>
      </c>
      <c r="O1699" s="21" t="str">
        <f aca="false">IF(H1699="Yes",MONTH(I1699),"")</f>
        <v/>
      </c>
      <c r="P1699" s="21" t="str">
        <f aca="false">IF(H1699="Yes",B1699,"")</f>
        <v/>
      </c>
    </row>
    <row r="1700" customFormat="false" ht="15" hidden="false" customHeight="false" outlineLevel="0" collapsed="false">
      <c r="A1700" s="21" t="s">
        <v>2915</v>
      </c>
      <c r="B1700" s="21" t="s">
        <v>603</v>
      </c>
      <c r="C1700" s="21" t="s">
        <v>1177</v>
      </c>
      <c r="D1700" s="21" t="s">
        <v>1243</v>
      </c>
      <c r="E1700" s="33" t="n">
        <v>45658</v>
      </c>
      <c r="F1700" s="21" t="s">
        <v>1175</v>
      </c>
      <c r="G1700" s="32"/>
      <c r="H1700" s="21"/>
      <c r="I1700" s="33"/>
      <c r="J1700" s="21" t="str">
        <f aca="false">INDEX(Students!$C$2:$C$601,MATCH(B1700,Students!$A$2:$A$601,0))</f>
        <v>Batch 2025</v>
      </c>
      <c r="K1700" s="21" t="str">
        <f aca="false">INDEX(Students!$D$2:$D$601,MATCH(B1700,Students!$A$2:$A$601,0))</f>
        <v>Data Science &amp; ML</v>
      </c>
      <c r="L1700" s="21" t="str">
        <f aca="false">INDEX(Companies!$C$2:$C$31,MATCH(C1700,Companies!$A$2:$A$31,0))</f>
        <v>IT Services</v>
      </c>
      <c r="M1700" s="21" t="str">
        <f aca="false">INDEX(Companies!$D$2:$D$31,MATCH(C1700,Companies!$A$2:$A$31,0))</f>
        <v>Tier 3</v>
      </c>
      <c r="N1700" s="34" t="n">
        <f aca="false">MATCH(F1700,Assumptions!$K$4:$K$8,0)</f>
        <v>1</v>
      </c>
      <c r="O1700" s="21" t="str">
        <f aca="false">IF(H1700="Yes",MONTH(I1700),"")</f>
        <v/>
      </c>
      <c r="P1700" s="21" t="str">
        <f aca="false">IF(H1700="Yes",B1700,"")</f>
        <v/>
      </c>
    </row>
    <row r="1701" customFormat="false" ht="15" hidden="false" customHeight="false" outlineLevel="0" collapsed="false">
      <c r="A1701" s="21" t="s">
        <v>2916</v>
      </c>
      <c r="B1701" s="21" t="s">
        <v>532</v>
      </c>
      <c r="C1701" s="21" t="s">
        <v>1205</v>
      </c>
      <c r="D1701" s="21" t="s">
        <v>1181</v>
      </c>
      <c r="E1701" s="33" t="n">
        <v>45659</v>
      </c>
      <c r="F1701" s="21" t="s">
        <v>1175</v>
      </c>
      <c r="G1701" s="32"/>
      <c r="H1701" s="21"/>
      <c r="I1701" s="33"/>
      <c r="J1701" s="21" t="str">
        <f aca="false">INDEX(Students!$C$2:$C$601,MATCH(B1701,Students!$A$2:$A$601,0))</f>
        <v>Batch 2025</v>
      </c>
      <c r="K1701" s="21" t="str">
        <f aca="false">INDEX(Students!$D$2:$D$601,MATCH(B1701,Students!$A$2:$A$601,0))</f>
        <v>Full Stack Development</v>
      </c>
      <c r="L1701" s="21" t="str">
        <f aca="false">INDEX(Companies!$C$2:$C$31,MATCH(C1701,Companies!$A$2:$A$31,0))</f>
        <v>Healthtech</v>
      </c>
      <c r="M1701" s="21" t="str">
        <f aca="false">INDEX(Companies!$D$2:$D$31,MATCH(C1701,Companies!$A$2:$A$31,0))</f>
        <v>Tier 3</v>
      </c>
      <c r="N1701" s="34" t="n">
        <f aca="false">MATCH(F1701,Assumptions!$K$4:$K$8,0)</f>
        <v>1</v>
      </c>
      <c r="O1701" s="21" t="str">
        <f aca="false">IF(H1701="Yes",MONTH(I1701),"")</f>
        <v/>
      </c>
      <c r="P1701" s="21" t="str">
        <f aca="false">IF(H1701="Yes",B1701,"")</f>
        <v/>
      </c>
    </row>
    <row r="1702" customFormat="false" ht="15" hidden="false" customHeight="false" outlineLevel="0" collapsed="false">
      <c r="A1702" s="21" t="s">
        <v>2917</v>
      </c>
      <c r="B1702" s="21" t="s">
        <v>586</v>
      </c>
      <c r="C1702" s="21" t="s">
        <v>1203</v>
      </c>
      <c r="D1702" s="21" t="s">
        <v>1184</v>
      </c>
      <c r="E1702" s="33" t="n">
        <v>45659</v>
      </c>
      <c r="F1702" s="21" t="s">
        <v>1178</v>
      </c>
      <c r="G1702" s="32"/>
      <c r="H1702" s="21"/>
      <c r="I1702" s="33"/>
      <c r="J1702" s="21" t="str">
        <f aca="false">INDEX(Students!$C$2:$C$601,MATCH(B1702,Students!$A$2:$A$601,0))</f>
        <v>Batch 2025</v>
      </c>
      <c r="K1702" s="21" t="str">
        <f aca="false">INDEX(Students!$D$2:$D$601,MATCH(B1702,Students!$A$2:$A$601,0))</f>
        <v>DSA with Java</v>
      </c>
      <c r="L1702" s="21" t="str">
        <f aca="false">INDEX(Companies!$C$2:$C$31,MATCH(C1702,Companies!$A$2:$A$31,0))</f>
        <v>Healthtech</v>
      </c>
      <c r="M1702" s="21" t="str">
        <f aca="false">INDEX(Companies!$D$2:$D$31,MATCH(C1702,Companies!$A$2:$A$31,0))</f>
        <v>Tier 2</v>
      </c>
      <c r="N1702" s="34" t="n">
        <f aca="false">MATCH(F1702,Assumptions!$K$4:$K$8,0)</f>
        <v>2</v>
      </c>
      <c r="O1702" s="21" t="str">
        <f aca="false">IF(H1702="Yes",MONTH(I1702),"")</f>
        <v/>
      </c>
      <c r="P1702" s="21" t="str">
        <f aca="false">IF(H1702="Yes",B1702,"")</f>
        <v/>
      </c>
    </row>
    <row r="1703" customFormat="false" ht="15" hidden="false" customHeight="false" outlineLevel="0" collapsed="false">
      <c r="A1703" s="21" t="s">
        <v>2918</v>
      </c>
      <c r="B1703" s="21" t="s">
        <v>511</v>
      </c>
      <c r="C1703" s="21" t="s">
        <v>1208</v>
      </c>
      <c r="D1703" s="21" t="s">
        <v>1209</v>
      </c>
      <c r="E1703" s="33" t="n">
        <v>45659</v>
      </c>
      <c r="F1703" s="21" t="s">
        <v>1218</v>
      </c>
      <c r="G1703" s="32"/>
      <c r="H1703" s="21"/>
      <c r="I1703" s="33"/>
      <c r="J1703" s="21" t="str">
        <f aca="false">INDEX(Students!$C$2:$C$601,MATCH(B1703,Students!$A$2:$A$601,0))</f>
        <v>Batch 2025</v>
      </c>
      <c r="K1703" s="21" t="str">
        <f aca="false">INDEX(Students!$D$2:$D$601,MATCH(B1703,Students!$A$2:$A$601,0))</f>
        <v>Data Analytics</v>
      </c>
      <c r="L1703" s="21" t="str">
        <f aca="false">INDEX(Companies!$C$2:$C$31,MATCH(C1703,Companies!$A$2:$A$31,0))</f>
        <v>E-commerce</v>
      </c>
      <c r="M1703" s="21" t="str">
        <f aca="false">INDEX(Companies!$D$2:$D$31,MATCH(C1703,Companies!$A$2:$A$31,0))</f>
        <v>Tier 1</v>
      </c>
      <c r="N1703" s="34" t="n">
        <f aca="false">MATCH(F1703,Assumptions!$K$4:$K$8,0)</f>
        <v>4</v>
      </c>
      <c r="O1703" s="21" t="str">
        <f aca="false">IF(H1703="Yes",MONTH(I1703),"")</f>
        <v/>
      </c>
      <c r="P1703" s="21" t="str">
        <f aca="false">IF(H1703="Yes",B1703,"")</f>
        <v/>
      </c>
    </row>
    <row r="1704" customFormat="false" ht="15" hidden="false" customHeight="false" outlineLevel="0" collapsed="false">
      <c r="A1704" s="21" t="s">
        <v>2919</v>
      </c>
      <c r="B1704" s="21" t="s">
        <v>798</v>
      </c>
      <c r="C1704" s="21" t="s">
        <v>1255</v>
      </c>
      <c r="D1704" s="21" t="s">
        <v>1174</v>
      </c>
      <c r="E1704" s="33" t="n">
        <v>45660</v>
      </c>
      <c r="F1704" s="21" t="s">
        <v>1185</v>
      </c>
      <c r="G1704" s="32" t="n">
        <v>5.4</v>
      </c>
      <c r="H1704" s="21" t="s">
        <v>113</v>
      </c>
      <c r="I1704" s="33" t="n">
        <v>45688</v>
      </c>
      <c r="J1704" s="21" t="str">
        <f aca="false">INDEX(Students!$C$2:$C$601,MATCH(B1704,Students!$A$2:$A$601,0))</f>
        <v>Batch 2025</v>
      </c>
      <c r="K1704" s="21" t="str">
        <f aca="false">INDEX(Students!$D$2:$D$601,MATCH(B1704,Students!$A$2:$A$601,0))</f>
        <v>Full Stack Development</v>
      </c>
      <c r="L1704" s="21" t="str">
        <f aca="false">INDEX(Companies!$C$2:$C$31,MATCH(C1704,Companies!$A$2:$A$31,0))</f>
        <v>IT Services</v>
      </c>
      <c r="M1704" s="21" t="str">
        <f aca="false">INDEX(Companies!$D$2:$D$31,MATCH(C1704,Companies!$A$2:$A$31,0))</f>
        <v>Tier 3</v>
      </c>
      <c r="N1704" s="34" t="n">
        <f aca="false">MATCH(F1704,Assumptions!$K$4:$K$8,0)</f>
        <v>5</v>
      </c>
      <c r="O1704" s="21" t="str">
        <f aca="false">IF(H1704="Yes",MONTH(I1704),"")</f>
        <v/>
      </c>
      <c r="P1704" s="21" t="str">
        <f aca="false">IF(H1704="Yes",B1704,"")</f>
        <v/>
      </c>
    </row>
    <row r="1705" customFormat="false" ht="15" hidden="false" customHeight="false" outlineLevel="0" collapsed="false">
      <c r="A1705" s="21" t="s">
        <v>2920</v>
      </c>
      <c r="B1705" s="21" t="s">
        <v>716</v>
      </c>
      <c r="C1705" s="21" t="s">
        <v>1211</v>
      </c>
      <c r="D1705" s="21" t="s">
        <v>1184</v>
      </c>
      <c r="E1705" s="33" t="n">
        <v>45660</v>
      </c>
      <c r="F1705" s="21" t="s">
        <v>1185</v>
      </c>
      <c r="G1705" s="32" t="n">
        <v>6.3</v>
      </c>
      <c r="H1705" s="21" t="s">
        <v>113</v>
      </c>
      <c r="I1705" s="33" t="n">
        <v>45706</v>
      </c>
      <c r="J1705" s="21" t="str">
        <f aca="false">INDEX(Students!$C$2:$C$601,MATCH(B1705,Students!$A$2:$A$601,0))</f>
        <v>Batch 2025</v>
      </c>
      <c r="K1705" s="21" t="str">
        <f aca="false">INDEX(Students!$D$2:$D$601,MATCH(B1705,Students!$A$2:$A$601,0))</f>
        <v>DSA with Java</v>
      </c>
      <c r="L1705" s="21" t="str">
        <f aca="false">INDEX(Companies!$C$2:$C$31,MATCH(C1705,Companies!$A$2:$A$31,0))</f>
        <v>Analytics &amp; Consulting</v>
      </c>
      <c r="M1705" s="21" t="str">
        <f aca="false">INDEX(Companies!$D$2:$D$31,MATCH(C1705,Companies!$A$2:$A$31,0))</f>
        <v>Tier 3</v>
      </c>
      <c r="N1705" s="34" t="n">
        <f aca="false">MATCH(F1705,Assumptions!$K$4:$K$8,0)</f>
        <v>5</v>
      </c>
      <c r="O1705" s="21" t="str">
        <f aca="false">IF(H1705="Yes",MONTH(I1705),"")</f>
        <v/>
      </c>
      <c r="P1705" s="21" t="str">
        <f aca="false">IF(H1705="Yes",B1705,"")</f>
        <v/>
      </c>
    </row>
    <row r="1706" customFormat="false" ht="15" hidden="false" customHeight="false" outlineLevel="0" collapsed="false">
      <c r="A1706" s="21" t="s">
        <v>2921</v>
      </c>
      <c r="B1706" s="21" t="s">
        <v>474</v>
      </c>
      <c r="C1706" s="21" t="s">
        <v>1187</v>
      </c>
      <c r="D1706" s="21" t="s">
        <v>1184</v>
      </c>
      <c r="E1706" s="33" t="n">
        <v>45660</v>
      </c>
      <c r="F1706" s="21" t="s">
        <v>1175</v>
      </c>
      <c r="G1706" s="32"/>
      <c r="H1706" s="21"/>
      <c r="I1706" s="33"/>
      <c r="J1706" s="21" t="str">
        <f aca="false">INDEX(Students!$C$2:$C$601,MATCH(B1706,Students!$A$2:$A$601,0))</f>
        <v>Batch 2025</v>
      </c>
      <c r="K1706" s="21" t="str">
        <f aca="false">INDEX(Students!$D$2:$D$601,MATCH(B1706,Students!$A$2:$A$601,0))</f>
        <v>DSA with Java</v>
      </c>
      <c r="L1706" s="21" t="str">
        <f aca="false">INDEX(Companies!$C$2:$C$31,MATCH(C1706,Companies!$A$2:$A$31,0))</f>
        <v>Product</v>
      </c>
      <c r="M1706" s="21" t="str">
        <f aca="false">INDEX(Companies!$D$2:$D$31,MATCH(C1706,Companies!$A$2:$A$31,0))</f>
        <v>Tier 1</v>
      </c>
      <c r="N1706" s="34" t="n">
        <f aca="false">MATCH(F1706,Assumptions!$K$4:$K$8,0)</f>
        <v>1</v>
      </c>
      <c r="O1706" s="21" t="str">
        <f aca="false">IF(H1706="Yes",MONTH(I1706),"")</f>
        <v/>
      </c>
      <c r="P1706" s="21" t="str">
        <f aca="false">IF(H1706="Yes",B1706,"")</f>
        <v/>
      </c>
    </row>
    <row r="1707" customFormat="false" ht="15" hidden="false" customHeight="false" outlineLevel="0" collapsed="false">
      <c r="A1707" s="21" t="s">
        <v>2922</v>
      </c>
      <c r="B1707" s="21" t="s">
        <v>582</v>
      </c>
      <c r="C1707" s="21" t="s">
        <v>1266</v>
      </c>
      <c r="D1707" s="21" t="s">
        <v>1194</v>
      </c>
      <c r="E1707" s="33" t="n">
        <v>45660</v>
      </c>
      <c r="F1707" s="21" t="s">
        <v>1185</v>
      </c>
      <c r="G1707" s="32" t="n">
        <v>4.7</v>
      </c>
      <c r="H1707" s="21" t="s">
        <v>113</v>
      </c>
      <c r="I1707" s="33" t="n">
        <v>45695</v>
      </c>
      <c r="J1707" s="21" t="str">
        <f aca="false">INDEX(Students!$C$2:$C$601,MATCH(B1707,Students!$A$2:$A$601,0))</f>
        <v>Batch 2025</v>
      </c>
      <c r="K1707" s="21" t="str">
        <f aca="false">INDEX(Students!$D$2:$D$601,MATCH(B1707,Students!$A$2:$A$601,0))</f>
        <v>Data Science &amp; ML</v>
      </c>
      <c r="L1707" s="21" t="str">
        <f aca="false">INDEX(Companies!$C$2:$C$31,MATCH(C1707,Companies!$A$2:$A$31,0))</f>
        <v>IT Services</v>
      </c>
      <c r="M1707" s="21" t="str">
        <f aca="false">INDEX(Companies!$D$2:$D$31,MATCH(C1707,Companies!$A$2:$A$31,0))</f>
        <v>Tier 3</v>
      </c>
      <c r="N1707" s="34" t="n">
        <f aca="false">MATCH(F1707,Assumptions!$K$4:$K$8,0)</f>
        <v>5</v>
      </c>
      <c r="O1707" s="21" t="str">
        <f aca="false">IF(H1707="Yes",MONTH(I1707),"")</f>
        <v/>
      </c>
      <c r="P1707" s="21" t="str">
        <f aca="false">IF(H1707="Yes",B1707,"")</f>
        <v/>
      </c>
    </row>
    <row r="1708" customFormat="false" ht="15" hidden="false" customHeight="false" outlineLevel="0" collapsed="false">
      <c r="A1708" s="21" t="s">
        <v>2923</v>
      </c>
      <c r="B1708" s="21" t="s">
        <v>550</v>
      </c>
      <c r="C1708" s="21" t="s">
        <v>1230</v>
      </c>
      <c r="D1708" s="21" t="s">
        <v>1184</v>
      </c>
      <c r="E1708" s="33" t="n">
        <v>45660</v>
      </c>
      <c r="F1708" s="21" t="s">
        <v>1197</v>
      </c>
      <c r="G1708" s="32"/>
      <c r="H1708" s="21"/>
      <c r="I1708" s="33"/>
      <c r="J1708" s="21" t="str">
        <f aca="false">INDEX(Students!$C$2:$C$601,MATCH(B1708,Students!$A$2:$A$601,0))</f>
        <v>Batch 2025</v>
      </c>
      <c r="K1708" s="21" t="str">
        <f aca="false">INDEX(Students!$D$2:$D$601,MATCH(B1708,Students!$A$2:$A$601,0))</f>
        <v>DSA with Java</v>
      </c>
      <c r="L1708" s="21" t="str">
        <f aca="false">INDEX(Companies!$C$2:$C$31,MATCH(C1708,Companies!$A$2:$A$31,0))</f>
        <v>IT Services</v>
      </c>
      <c r="M1708" s="21" t="str">
        <f aca="false">INDEX(Companies!$D$2:$D$31,MATCH(C1708,Companies!$A$2:$A$31,0))</f>
        <v>Tier 3</v>
      </c>
      <c r="N1708" s="34" t="n">
        <f aca="false">MATCH(F1708,Assumptions!$K$4:$K$8,0)</f>
        <v>3</v>
      </c>
      <c r="O1708" s="21" t="str">
        <f aca="false">IF(H1708="Yes",MONTH(I1708),"")</f>
        <v/>
      </c>
      <c r="P1708" s="21" t="str">
        <f aca="false">IF(H1708="Yes",B1708,"")</f>
        <v/>
      </c>
    </row>
    <row r="1709" customFormat="false" ht="15" hidden="false" customHeight="false" outlineLevel="0" collapsed="false">
      <c r="A1709" s="21" t="s">
        <v>2924</v>
      </c>
      <c r="B1709" s="21" t="s">
        <v>536</v>
      </c>
      <c r="C1709" s="21" t="s">
        <v>1205</v>
      </c>
      <c r="D1709" s="21" t="s">
        <v>1194</v>
      </c>
      <c r="E1709" s="33" t="n">
        <v>45661</v>
      </c>
      <c r="F1709" s="21" t="s">
        <v>1197</v>
      </c>
      <c r="G1709" s="32"/>
      <c r="H1709" s="21"/>
      <c r="I1709" s="33"/>
      <c r="J1709" s="21" t="str">
        <f aca="false">INDEX(Students!$C$2:$C$601,MATCH(B1709,Students!$A$2:$A$601,0))</f>
        <v>Batch 2025</v>
      </c>
      <c r="K1709" s="21" t="str">
        <f aca="false">INDEX(Students!$D$2:$D$601,MATCH(B1709,Students!$A$2:$A$601,0))</f>
        <v>Data Science &amp; ML</v>
      </c>
      <c r="L1709" s="21" t="str">
        <f aca="false">INDEX(Companies!$C$2:$C$31,MATCH(C1709,Companies!$A$2:$A$31,0))</f>
        <v>Healthtech</v>
      </c>
      <c r="M1709" s="21" t="str">
        <f aca="false">INDEX(Companies!$D$2:$D$31,MATCH(C1709,Companies!$A$2:$A$31,0))</f>
        <v>Tier 3</v>
      </c>
      <c r="N1709" s="34" t="n">
        <f aca="false">MATCH(F1709,Assumptions!$K$4:$K$8,0)</f>
        <v>3</v>
      </c>
      <c r="O1709" s="21" t="str">
        <f aca="false">IF(H1709="Yes",MONTH(I1709),"")</f>
        <v/>
      </c>
      <c r="P1709" s="21" t="str">
        <f aca="false">IF(H1709="Yes",B1709,"")</f>
        <v/>
      </c>
    </row>
    <row r="1710" customFormat="false" ht="15" hidden="false" customHeight="false" outlineLevel="0" collapsed="false">
      <c r="A1710" s="21" t="s">
        <v>2925</v>
      </c>
      <c r="B1710" s="21" t="s">
        <v>576</v>
      </c>
      <c r="C1710" s="21" t="s">
        <v>1187</v>
      </c>
      <c r="D1710" s="21" t="s">
        <v>1191</v>
      </c>
      <c r="E1710" s="33" t="n">
        <v>45661</v>
      </c>
      <c r="F1710" s="21" t="s">
        <v>1185</v>
      </c>
      <c r="G1710" s="32" t="n">
        <v>29.6</v>
      </c>
      <c r="H1710" s="21" t="s">
        <v>120</v>
      </c>
      <c r="I1710" s="33" t="n">
        <v>45716</v>
      </c>
      <c r="J1710" s="21" t="str">
        <f aca="false">INDEX(Students!$C$2:$C$601,MATCH(B1710,Students!$A$2:$A$601,0))</f>
        <v>Batch 2025</v>
      </c>
      <c r="K1710" s="21" t="str">
        <f aca="false">INDEX(Students!$D$2:$D$601,MATCH(B1710,Students!$A$2:$A$601,0))</f>
        <v>DSA with Java</v>
      </c>
      <c r="L1710" s="21" t="str">
        <f aca="false">INDEX(Companies!$C$2:$C$31,MATCH(C1710,Companies!$A$2:$A$31,0))</f>
        <v>Product</v>
      </c>
      <c r="M1710" s="21" t="str">
        <f aca="false">INDEX(Companies!$D$2:$D$31,MATCH(C1710,Companies!$A$2:$A$31,0))</f>
        <v>Tier 1</v>
      </c>
      <c r="N1710" s="34" t="n">
        <f aca="false">MATCH(F1710,Assumptions!$K$4:$K$8,0)</f>
        <v>5</v>
      </c>
      <c r="O1710" s="21" t="n">
        <f aca="false">IF(H1710="Yes",MONTH(I1710),"")</f>
        <v>2</v>
      </c>
      <c r="P1710" s="21" t="str">
        <f aca="false">IF(H1710="Yes",B1710,"")</f>
        <v>S0248</v>
      </c>
    </row>
    <row r="1711" customFormat="false" ht="15" hidden="false" customHeight="false" outlineLevel="0" collapsed="false">
      <c r="A1711" s="21" t="s">
        <v>2926</v>
      </c>
      <c r="B1711" s="21" t="s">
        <v>622</v>
      </c>
      <c r="C1711" s="21" t="s">
        <v>1183</v>
      </c>
      <c r="D1711" s="21" t="s">
        <v>1174</v>
      </c>
      <c r="E1711" s="33" t="n">
        <v>45661</v>
      </c>
      <c r="F1711" s="21" t="s">
        <v>1175</v>
      </c>
      <c r="G1711" s="32"/>
      <c r="H1711" s="21"/>
      <c r="I1711" s="33"/>
      <c r="J1711" s="21" t="str">
        <f aca="false">INDEX(Students!$C$2:$C$601,MATCH(B1711,Students!$A$2:$A$601,0))</f>
        <v>Batch 2025</v>
      </c>
      <c r="K1711" s="21" t="str">
        <f aca="false">INDEX(Students!$D$2:$D$601,MATCH(B1711,Students!$A$2:$A$601,0))</f>
        <v>Full Stack Development</v>
      </c>
      <c r="L1711" s="21" t="str">
        <f aca="false">INDEX(Companies!$C$2:$C$31,MATCH(C1711,Companies!$A$2:$A$31,0))</f>
        <v>E-commerce</v>
      </c>
      <c r="M1711" s="21" t="str">
        <f aca="false">INDEX(Companies!$D$2:$D$31,MATCH(C1711,Companies!$A$2:$A$31,0))</f>
        <v>Tier 2</v>
      </c>
      <c r="N1711" s="34" t="n">
        <f aca="false">MATCH(F1711,Assumptions!$K$4:$K$8,0)</f>
        <v>1</v>
      </c>
      <c r="O1711" s="21" t="str">
        <f aca="false">IF(H1711="Yes",MONTH(I1711),"")</f>
        <v/>
      </c>
      <c r="P1711" s="21" t="str">
        <f aca="false">IF(H1711="Yes",B1711,"")</f>
        <v/>
      </c>
    </row>
    <row r="1712" customFormat="false" ht="15" hidden="false" customHeight="false" outlineLevel="0" collapsed="false">
      <c r="A1712" s="21" t="s">
        <v>2927</v>
      </c>
      <c r="B1712" s="21" t="s">
        <v>773</v>
      </c>
      <c r="C1712" s="21" t="s">
        <v>1183</v>
      </c>
      <c r="D1712" s="21" t="s">
        <v>1194</v>
      </c>
      <c r="E1712" s="33" t="n">
        <v>45662</v>
      </c>
      <c r="F1712" s="21" t="s">
        <v>1185</v>
      </c>
      <c r="G1712" s="32" t="n">
        <v>11.9</v>
      </c>
      <c r="H1712" s="21" t="s">
        <v>113</v>
      </c>
      <c r="I1712" s="33" t="n">
        <v>45684</v>
      </c>
      <c r="J1712" s="21" t="str">
        <f aca="false">INDEX(Students!$C$2:$C$601,MATCH(B1712,Students!$A$2:$A$601,0))</f>
        <v>Batch 2025</v>
      </c>
      <c r="K1712" s="21" t="str">
        <f aca="false">INDEX(Students!$D$2:$D$601,MATCH(B1712,Students!$A$2:$A$601,0))</f>
        <v>Data Science &amp; ML</v>
      </c>
      <c r="L1712" s="21" t="str">
        <f aca="false">INDEX(Companies!$C$2:$C$31,MATCH(C1712,Companies!$A$2:$A$31,0))</f>
        <v>E-commerce</v>
      </c>
      <c r="M1712" s="21" t="str">
        <f aca="false">INDEX(Companies!$D$2:$D$31,MATCH(C1712,Companies!$A$2:$A$31,0))</f>
        <v>Tier 2</v>
      </c>
      <c r="N1712" s="34" t="n">
        <f aca="false">MATCH(F1712,Assumptions!$K$4:$K$8,0)</f>
        <v>5</v>
      </c>
      <c r="O1712" s="21" t="str">
        <f aca="false">IF(H1712="Yes",MONTH(I1712),"")</f>
        <v/>
      </c>
      <c r="P1712" s="21" t="str">
        <f aca="false">IF(H1712="Yes",B1712,"")</f>
        <v/>
      </c>
    </row>
    <row r="1713" customFormat="false" ht="15" hidden="false" customHeight="false" outlineLevel="0" collapsed="false">
      <c r="A1713" s="21" t="s">
        <v>2928</v>
      </c>
      <c r="B1713" s="21" t="s">
        <v>552</v>
      </c>
      <c r="C1713" s="21" t="s">
        <v>1199</v>
      </c>
      <c r="D1713" s="21" t="s">
        <v>1181</v>
      </c>
      <c r="E1713" s="33" t="n">
        <v>45662</v>
      </c>
      <c r="F1713" s="21" t="s">
        <v>1175</v>
      </c>
      <c r="G1713" s="32"/>
      <c r="H1713" s="21"/>
      <c r="I1713" s="33"/>
      <c r="J1713" s="21" t="str">
        <f aca="false">INDEX(Students!$C$2:$C$601,MATCH(B1713,Students!$A$2:$A$601,0))</f>
        <v>Batch 2025</v>
      </c>
      <c r="K1713" s="21" t="str">
        <f aca="false">INDEX(Students!$D$2:$D$601,MATCH(B1713,Students!$A$2:$A$601,0))</f>
        <v>Full Stack Development</v>
      </c>
      <c r="L1713" s="21" t="str">
        <f aca="false">INDEX(Companies!$C$2:$C$31,MATCH(C1713,Companies!$A$2:$A$31,0))</f>
        <v>E-commerce</v>
      </c>
      <c r="M1713" s="21" t="str">
        <f aca="false">INDEX(Companies!$D$2:$D$31,MATCH(C1713,Companies!$A$2:$A$31,0))</f>
        <v>Tier 2</v>
      </c>
      <c r="N1713" s="34" t="n">
        <f aca="false">MATCH(F1713,Assumptions!$K$4:$K$8,0)</f>
        <v>1</v>
      </c>
      <c r="O1713" s="21" t="str">
        <f aca="false">IF(H1713="Yes",MONTH(I1713),"")</f>
        <v/>
      </c>
      <c r="P1713" s="21" t="str">
        <f aca="false">IF(H1713="Yes",B1713,"")</f>
        <v/>
      </c>
    </row>
    <row r="1714" customFormat="false" ht="15" hidden="false" customHeight="false" outlineLevel="0" collapsed="false">
      <c r="A1714" s="21" t="s">
        <v>2929</v>
      </c>
      <c r="B1714" s="21" t="s">
        <v>591</v>
      </c>
      <c r="C1714" s="21" t="s">
        <v>1230</v>
      </c>
      <c r="D1714" s="21" t="s">
        <v>1209</v>
      </c>
      <c r="E1714" s="33" t="n">
        <v>45662</v>
      </c>
      <c r="F1714" s="21" t="s">
        <v>1175</v>
      </c>
      <c r="G1714" s="32"/>
      <c r="H1714" s="21"/>
      <c r="I1714" s="33"/>
      <c r="J1714" s="21" t="str">
        <f aca="false">INDEX(Students!$C$2:$C$601,MATCH(B1714,Students!$A$2:$A$601,0))</f>
        <v>Batch 2025</v>
      </c>
      <c r="K1714" s="21" t="str">
        <f aca="false">INDEX(Students!$D$2:$D$601,MATCH(B1714,Students!$A$2:$A$601,0))</f>
        <v>Data Analytics</v>
      </c>
      <c r="L1714" s="21" t="str">
        <f aca="false">INDEX(Companies!$C$2:$C$31,MATCH(C1714,Companies!$A$2:$A$31,0))</f>
        <v>IT Services</v>
      </c>
      <c r="M1714" s="21" t="str">
        <f aca="false">INDEX(Companies!$D$2:$D$31,MATCH(C1714,Companies!$A$2:$A$31,0))</f>
        <v>Tier 3</v>
      </c>
      <c r="N1714" s="34" t="n">
        <f aca="false">MATCH(F1714,Assumptions!$K$4:$K$8,0)</f>
        <v>1</v>
      </c>
      <c r="O1714" s="21" t="str">
        <f aca="false">IF(H1714="Yes",MONTH(I1714),"")</f>
        <v/>
      </c>
      <c r="P1714" s="21" t="str">
        <f aca="false">IF(H1714="Yes",B1714,"")</f>
        <v/>
      </c>
    </row>
    <row r="1715" customFormat="false" ht="15" hidden="false" customHeight="false" outlineLevel="0" collapsed="false">
      <c r="A1715" s="21" t="s">
        <v>2930</v>
      </c>
      <c r="B1715" s="21" t="s">
        <v>657</v>
      </c>
      <c r="C1715" s="21" t="s">
        <v>1211</v>
      </c>
      <c r="D1715" s="21" t="s">
        <v>1181</v>
      </c>
      <c r="E1715" s="33" t="n">
        <v>45662</v>
      </c>
      <c r="F1715" s="21" t="s">
        <v>1185</v>
      </c>
      <c r="G1715" s="32" t="n">
        <v>5.4</v>
      </c>
      <c r="H1715" s="21" t="s">
        <v>113</v>
      </c>
      <c r="I1715" s="33" t="n">
        <v>45712</v>
      </c>
      <c r="J1715" s="21" t="str">
        <f aca="false">INDEX(Students!$C$2:$C$601,MATCH(B1715,Students!$A$2:$A$601,0))</f>
        <v>Batch 2025</v>
      </c>
      <c r="K1715" s="21" t="str">
        <f aca="false">INDEX(Students!$D$2:$D$601,MATCH(B1715,Students!$A$2:$A$601,0))</f>
        <v>Full Stack Development</v>
      </c>
      <c r="L1715" s="21" t="str">
        <f aca="false">INDEX(Companies!$C$2:$C$31,MATCH(C1715,Companies!$A$2:$A$31,0))</f>
        <v>Analytics &amp; Consulting</v>
      </c>
      <c r="M1715" s="21" t="str">
        <f aca="false">INDEX(Companies!$D$2:$D$31,MATCH(C1715,Companies!$A$2:$A$31,0))</f>
        <v>Tier 3</v>
      </c>
      <c r="N1715" s="34" t="n">
        <f aca="false">MATCH(F1715,Assumptions!$K$4:$K$8,0)</f>
        <v>5</v>
      </c>
      <c r="O1715" s="21" t="str">
        <f aca="false">IF(H1715="Yes",MONTH(I1715),"")</f>
        <v/>
      </c>
      <c r="P1715" s="21" t="str">
        <f aca="false">IF(H1715="Yes",B1715,"")</f>
        <v/>
      </c>
    </row>
    <row r="1716" customFormat="false" ht="15" hidden="false" customHeight="false" outlineLevel="0" collapsed="false">
      <c r="A1716" s="21" t="s">
        <v>2931</v>
      </c>
      <c r="B1716" s="21" t="s">
        <v>806</v>
      </c>
      <c r="C1716" s="21" t="s">
        <v>1216</v>
      </c>
      <c r="D1716" s="21" t="s">
        <v>1243</v>
      </c>
      <c r="E1716" s="33" t="n">
        <v>45662</v>
      </c>
      <c r="F1716" s="21" t="s">
        <v>1178</v>
      </c>
      <c r="G1716" s="32"/>
      <c r="H1716" s="21"/>
      <c r="I1716" s="33"/>
      <c r="J1716" s="21" t="str">
        <f aca="false">INDEX(Students!$C$2:$C$601,MATCH(B1716,Students!$A$2:$A$601,0))</f>
        <v>Batch 2025</v>
      </c>
      <c r="K1716" s="21" t="str">
        <f aca="false">INDEX(Students!$D$2:$D$601,MATCH(B1716,Students!$A$2:$A$601,0))</f>
        <v>Data Science &amp; ML</v>
      </c>
      <c r="L1716" s="21" t="str">
        <f aca="false">INDEX(Companies!$C$2:$C$31,MATCH(C1716,Companies!$A$2:$A$31,0))</f>
        <v>IT Services</v>
      </c>
      <c r="M1716" s="21" t="str">
        <f aca="false">INDEX(Companies!$D$2:$D$31,MATCH(C1716,Companies!$A$2:$A$31,0))</f>
        <v>Tier 3</v>
      </c>
      <c r="N1716" s="34" t="n">
        <f aca="false">MATCH(F1716,Assumptions!$K$4:$K$8,0)</f>
        <v>2</v>
      </c>
      <c r="O1716" s="21" t="str">
        <f aca="false">IF(H1716="Yes",MONTH(I1716),"")</f>
        <v/>
      </c>
      <c r="P1716" s="21" t="str">
        <f aca="false">IF(H1716="Yes",B1716,"")</f>
        <v/>
      </c>
    </row>
    <row r="1717" customFormat="false" ht="15" hidden="false" customHeight="false" outlineLevel="0" collapsed="false">
      <c r="A1717" s="21" t="s">
        <v>2932</v>
      </c>
      <c r="B1717" s="21" t="s">
        <v>493</v>
      </c>
      <c r="C1717" s="21" t="s">
        <v>1230</v>
      </c>
      <c r="D1717" s="21" t="s">
        <v>1184</v>
      </c>
      <c r="E1717" s="33" t="n">
        <v>45662</v>
      </c>
      <c r="F1717" s="21" t="s">
        <v>1197</v>
      </c>
      <c r="G1717" s="32"/>
      <c r="H1717" s="21"/>
      <c r="I1717" s="33"/>
      <c r="J1717" s="21" t="str">
        <f aca="false">INDEX(Students!$C$2:$C$601,MATCH(B1717,Students!$A$2:$A$601,0))</f>
        <v>Batch 2025</v>
      </c>
      <c r="K1717" s="21" t="str">
        <f aca="false">INDEX(Students!$D$2:$D$601,MATCH(B1717,Students!$A$2:$A$601,0))</f>
        <v>DSA with Java</v>
      </c>
      <c r="L1717" s="21" t="str">
        <f aca="false">INDEX(Companies!$C$2:$C$31,MATCH(C1717,Companies!$A$2:$A$31,0))</f>
        <v>IT Services</v>
      </c>
      <c r="M1717" s="21" t="str">
        <f aca="false">INDEX(Companies!$D$2:$D$31,MATCH(C1717,Companies!$A$2:$A$31,0))</f>
        <v>Tier 3</v>
      </c>
      <c r="N1717" s="34" t="n">
        <f aca="false">MATCH(F1717,Assumptions!$K$4:$K$8,0)</f>
        <v>3</v>
      </c>
      <c r="O1717" s="21" t="str">
        <f aca="false">IF(H1717="Yes",MONTH(I1717),"")</f>
        <v/>
      </c>
      <c r="P1717" s="21" t="str">
        <f aca="false">IF(H1717="Yes",B1717,"")</f>
        <v/>
      </c>
    </row>
    <row r="1718" customFormat="false" ht="15" hidden="false" customHeight="false" outlineLevel="0" collapsed="false">
      <c r="A1718" s="21" t="s">
        <v>2933</v>
      </c>
      <c r="B1718" s="21" t="s">
        <v>493</v>
      </c>
      <c r="C1718" s="21" t="s">
        <v>1183</v>
      </c>
      <c r="D1718" s="21" t="s">
        <v>1184</v>
      </c>
      <c r="E1718" s="33" t="n">
        <v>45662</v>
      </c>
      <c r="F1718" s="21" t="s">
        <v>1178</v>
      </c>
      <c r="G1718" s="32"/>
      <c r="H1718" s="21"/>
      <c r="I1718" s="33"/>
      <c r="J1718" s="21" t="str">
        <f aca="false">INDEX(Students!$C$2:$C$601,MATCH(B1718,Students!$A$2:$A$601,0))</f>
        <v>Batch 2025</v>
      </c>
      <c r="K1718" s="21" t="str">
        <f aca="false">INDEX(Students!$D$2:$D$601,MATCH(B1718,Students!$A$2:$A$601,0))</f>
        <v>DSA with Java</v>
      </c>
      <c r="L1718" s="21" t="str">
        <f aca="false">INDEX(Companies!$C$2:$C$31,MATCH(C1718,Companies!$A$2:$A$31,0))</f>
        <v>E-commerce</v>
      </c>
      <c r="M1718" s="21" t="str">
        <f aca="false">INDEX(Companies!$D$2:$D$31,MATCH(C1718,Companies!$A$2:$A$31,0))</f>
        <v>Tier 2</v>
      </c>
      <c r="N1718" s="34" t="n">
        <f aca="false">MATCH(F1718,Assumptions!$K$4:$K$8,0)</f>
        <v>2</v>
      </c>
      <c r="O1718" s="21" t="str">
        <f aca="false">IF(H1718="Yes",MONTH(I1718),"")</f>
        <v/>
      </c>
      <c r="P1718" s="21" t="str">
        <f aca="false">IF(H1718="Yes",B1718,"")</f>
        <v/>
      </c>
    </row>
    <row r="1719" customFormat="false" ht="15" hidden="false" customHeight="false" outlineLevel="0" collapsed="false">
      <c r="A1719" s="21" t="s">
        <v>2934</v>
      </c>
      <c r="B1719" s="21" t="s">
        <v>515</v>
      </c>
      <c r="C1719" s="21" t="s">
        <v>1183</v>
      </c>
      <c r="D1719" s="21" t="s">
        <v>1243</v>
      </c>
      <c r="E1719" s="33" t="n">
        <v>45662</v>
      </c>
      <c r="F1719" s="21" t="s">
        <v>1197</v>
      </c>
      <c r="G1719" s="32"/>
      <c r="H1719" s="21"/>
      <c r="I1719" s="33"/>
      <c r="J1719" s="21" t="str">
        <f aca="false">INDEX(Students!$C$2:$C$601,MATCH(B1719,Students!$A$2:$A$601,0))</f>
        <v>Batch 2025</v>
      </c>
      <c r="K1719" s="21" t="str">
        <f aca="false">INDEX(Students!$D$2:$D$601,MATCH(B1719,Students!$A$2:$A$601,0))</f>
        <v>Data Science &amp; ML</v>
      </c>
      <c r="L1719" s="21" t="str">
        <f aca="false">INDEX(Companies!$C$2:$C$31,MATCH(C1719,Companies!$A$2:$A$31,0))</f>
        <v>E-commerce</v>
      </c>
      <c r="M1719" s="21" t="str">
        <f aca="false">INDEX(Companies!$D$2:$D$31,MATCH(C1719,Companies!$A$2:$A$31,0))</f>
        <v>Tier 2</v>
      </c>
      <c r="N1719" s="34" t="n">
        <f aca="false">MATCH(F1719,Assumptions!$K$4:$K$8,0)</f>
        <v>3</v>
      </c>
      <c r="O1719" s="21" t="str">
        <f aca="false">IF(H1719="Yes",MONTH(I1719),"")</f>
        <v/>
      </c>
      <c r="P1719" s="21" t="str">
        <f aca="false">IF(H1719="Yes",B1719,"")</f>
        <v/>
      </c>
    </row>
    <row r="1720" customFormat="false" ht="15" hidden="false" customHeight="false" outlineLevel="0" collapsed="false">
      <c r="A1720" s="21" t="s">
        <v>2935</v>
      </c>
      <c r="B1720" s="21" t="s">
        <v>578</v>
      </c>
      <c r="C1720" s="21" t="s">
        <v>1263</v>
      </c>
      <c r="D1720" s="21" t="s">
        <v>1181</v>
      </c>
      <c r="E1720" s="33" t="n">
        <v>45662</v>
      </c>
      <c r="F1720" s="21" t="s">
        <v>1175</v>
      </c>
      <c r="G1720" s="32"/>
      <c r="H1720" s="21"/>
      <c r="I1720" s="33"/>
      <c r="J1720" s="21" t="str">
        <f aca="false">INDEX(Students!$C$2:$C$601,MATCH(B1720,Students!$A$2:$A$601,0))</f>
        <v>Batch 2025</v>
      </c>
      <c r="K1720" s="21" t="str">
        <f aca="false">INDEX(Students!$D$2:$D$601,MATCH(B1720,Students!$A$2:$A$601,0))</f>
        <v>Full Stack Development</v>
      </c>
      <c r="L1720" s="21" t="str">
        <f aca="false">INDEX(Companies!$C$2:$C$31,MATCH(C1720,Companies!$A$2:$A$31,0))</f>
        <v>Analytics &amp; Consulting</v>
      </c>
      <c r="M1720" s="21" t="str">
        <f aca="false">INDEX(Companies!$D$2:$D$31,MATCH(C1720,Companies!$A$2:$A$31,0))</f>
        <v>Tier 2</v>
      </c>
      <c r="N1720" s="34" t="n">
        <f aca="false">MATCH(F1720,Assumptions!$K$4:$K$8,0)</f>
        <v>1</v>
      </c>
      <c r="O1720" s="21" t="str">
        <f aca="false">IF(H1720="Yes",MONTH(I1720),"")</f>
        <v/>
      </c>
      <c r="P1720" s="21" t="str">
        <f aca="false">IF(H1720="Yes",B1720,"")</f>
        <v/>
      </c>
    </row>
    <row r="1721" customFormat="false" ht="15" hidden="false" customHeight="false" outlineLevel="0" collapsed="false">
      <c r="A1721" s="21" t="s">
        <v>2936</v>
      </c>
      <c r="B1721" s="21" t="s">
        <v>612</v>
      </c>
      <c r="C1721" s="21" t="s">
        <v>1180</v>
      </c>
      <c r="D1721" s="21" t="s">
        <v>1174</v>
      </c>
      <c r="E1721" s="33" t="n">
        <v>45663</v>
      </c>
      <c r="F1721" s="21" t="s">
        <v>1185</v>
      </c>
      <c r="G1721" s="32" t="n">
        <v>7.2</v>
      </c>
      <c r="H1721" s="21" t="s">
        <v>113</v>
      </c>
      <c r="I1721" s="33" t="n">
        <v>45701</v>
      </c>
      <c r="J1721" s="21" t="str">
        <f aca="false">INDEX(Students!$C$2:$C$601,MATCH(B1721,Students!$A$2:$A$601,0))</f>
        <v>Batch 2025</v>
      </c>
      <c r="K1721" s="21" t="str">
        <f aca="false">INDEX(Students!$D$2:$D$601,MATCH(B1721,Students!$A$2:$A$601,0))</f>
        <v>Full Stack Development</v>
      </c>
      <c r="L1721" s="21" t="str">
        <f aca="false">INDEX(Companies!$C$2:$C$31,MATCH(C1721,Companies!$A$2:$A$31,0))</f>
        <v>IT Services</v>
      </c>
      <c r="M1721" s="21" t="str">
        <f aca="false">INDEX(Companies!$D$2:$D$31,MATCH(C1721,Companies!$A$2:$A$31,0))</f>
        <v>Tier 3</v>
      </c>
      <c r="N1721" s="34" t="n">
        <f aca="false">MATCH(F1721,Assumptions!$K$4:$K$8,0)</f>
        <v>5</v>
      </c>
      <c r="O1721" s="21" t="str">
        <f aca="false">IF(H1721="Yes",MONTH(I1721),"")</f>
        <v/>
      </c>
      <c r="P1721" s="21" t="str">
        <f aca="false">IF(H1721="Yes",B1721,"")</f>
        <v/>
      </c>
    </row>
    <row r="1722" customFormat="false" ht="15" hidden="false" customHeight="false" outlineLevel="0" collapsed="false">
      <c r="A1722" s="21" t="s">
        <v>2937</v>
      </c>
      <c r="B1722" s="21" t="s">
        <v>597</v>
      </c>
      <c r="C1722" s="21" t="s">
        <v>1234</v>
      </c>
      <c r="D1722" s="21" t="s">
        <v>1191</v>
      </c>
      <c r="E1722" s="33" t="n">
        <v>45663</v>
      </c>
      <c r="F1722" s="21" t="s">
        <v>1185</v>
      </c>
      <c r="G1722" s="32" t="n">
        <v>5.4</v>
      </c>
      <c r="H1722" s="21" t="s">
        <v>120</v>
      </c>
      <c r="I1722" s="33" t="n">
        <v>45705</v>
      </c>
      <c r="J1722" s="21" t="str">
        <f aca="false">INDEX(Students!$C$2:$C$601,MATCH(B1722,Students!$A$2:$A$601,0))</f>
        <v>Batch 2025</v>
      </c>
      <c r="K1722" s="21" t="str">
        <f aca="false">INDEX(Students!$D$2:$D$601,MATCH(B1722,Students!$A$2:$A$601,0))</f>
        <v>DSA with Java</v>
      </c>
      <c r="L1722" s="21" t="str">
        <f aca="false">INDEX(Companies!$C$2:$C$31,MATCH(C1722,Companies!$A$2:$A$31,0))</f>
        <v>EdTech</v>
      </c>
      <c r="M1722" s="21" t="str">
        <f aca="false">INDEX(Companies!$D$2:$D$31,MATCH(C1722,Companies!$A$2:$A$31,0))</f>
        <v>Tier 3</v>
      </c>
      <c r="N1722" s="34" t="n">
        <f aca="false">MATCH(F1722,Assumptions!$K$4:$K$8,0)</f>
        <v>5</v>
      </c>
      <c r="O1722" s="21" t="n">
        <f aca="false">IF(H1722="Yes",MONTH(I1722),"")</f>
        <v>2</v>
      </c>
      <c r="P1722" s="21" t="str">
        <f aca="false">IF(H1722="Yes",B1722,"")</f>
        <v>S0260</v>
      </c>
    </row>
    <row r="1723" customFormat="false" ht="15" hidden="false" customHeight="false" outlineLevel="0" collapsed="false">
      <c r="A1723" s="21" t="s">
        <v>2938</v>
      </c>
      <c r="B1723" s="21" t="s">
        <v>804</v>
      </c>
      <c r="C1723" s="21" t="s">
        <v>1298</v>
      </c>
      <c r="D1723" s="21" t="s">
        <v>1181</v>
      </c>
      <c r="E1723" s="33" t="n">
        <v>45663</v>
      </c>
      <c r="F1723" s="21" t="s">
        <v>1178</v>
      </c>
      <c r="G1723" s="32"/>
      <c r="H1723" s="21"/>
      <c r="I1723" s="33"/>
      <c r="J1723" s="21" t="str">
        <f aca="false">INDEX(Students!$C$2:$C$601,MATCH(B1723,Students!$A$2:$A$601,0))</f>
        <v>Batch 2025</v>
      </c>
      <c r="K1723" s="21" t="str">
        <f aca="false">INDEX(Students!$D$2:$D$601,MATCH(B1723,Students!$A$2:$A$601,0))</f>
        <v>Full Stack Development</v>
      </c>
      <c r="L1723" s="21" t="str">
        <f aca="false">INDEX(Companies!$C$2:$C$31,MATCH(C1723,Companies!$A$2:$A$31,0))</f>
        <v>Fintech</v>
      </c>
      <c r="M1723" s="21" t="str">
        <f aca="false">INDEX(Companies!$D$2:$D$31,MATCH(C1723,Companies!$A$2:$A$31,0))</f>
        <v>Tier 2</v>
      </c>
      <c r="N1723" s="34" t="n">
        <f aca="false">MATCH(F1723,Assumptions!$K$4:$K$8,0)</f>
        <v>2</v>
      </c>
      <c r="O1723" s="21" t="str">
        <f aca="false">IF(H1723="Yes",MONTH(I1723),"")</f>
        <v/>
      </c>
      <c r="P1723" s="21" t="str">
        <f aca="false">IF(H1723="Yes",B1723,"")</f>
        <v/>
      </c>
    </row>
    <row r="1724" customFormat="false" ht="15" hidden="false" customHeight="false" outlineLevel="0" collapsed="false">
      <c r="A1724" s="21" t="s">
        <v>2939</v>
      </c>
      <c r="B1724" s="21" t="s">
        <v>716</v>
      </c>
      <c r="C1724" s="21" t="s">
        <v>1203</v>
      </c>
      <c r="D1724" s="21" t="s">
        <v>1184</v>
      </c>
      <c r="E1724" s="33" t="n">
        <v>45663</v>
      </c>
      <c r="F1724" s="21" t="s">
        <v>1218</v>
      </c>
      <c r="G1724" s="32"/>
      <c r="H1724" s="21"/>
      <c r="I1724" s="33"/>
      <c r="J1724" s="21" t="str">
        <f aca="false">INDEX(Students!$C$2:$C$601,MATCH(B1724,Students!$A$2:$A$601,0))</f>
        <v>Batch 2025</v>
      </c>
      <c r="K1724" s="21" t="str">
        <f aca="false">INDEX(Students!$D$2:$D$601,MATCH(B1724,Students!$A$2:$A$601,0))</f>
        <v>DSA with Java</v>
      </c>
      <c r="L1724" s="21" t="str">
        <f aca="false">INDEX(Companies!$C$2:$C$31,MATCH(C1724,Companies!$A$2:$A$31,0))</f>
        <v>Healthtech</v>
      </c>
      <c r="M1724" s="21" t="str">
        <f aca="false">INDEX(Companies!$D$2:$D$31,MATCH(C1724,Companies!$A$2:$A$31,0))</f>
        <v>Tier 2</v>
      </c>
      <c r="N1724" s="34" t="n">
        <f aca="false">MATCH(F1724,Assumptions!$K$4:$K$8,0)</f>
        <v>4</v>
      </c>
      <c r="O1724" s="21" t="str">
        <f aca="false">IF(H1724="Yes",MONTH(I1724),"")</f>
        <v/>
      </c>
      <c r="P1724" s="21" t="str">
        <f aca="false">IF(H1724="Yes",B1724,"")</f>
        <v/>
      </c>
    </row>
    <row r="1725" customFormat="false" ht="15" hidden="false" customHeight="false" outlineLevel="0" collapsed="false">
      <c r="A1725" s="21" t="s">
        <v>2940</v>
      </c>
      <c r="B1725" s="21" t="s">
        <v>674</v>
      </c>
      <c r="C1725" s="21" t="s">
        <v>1298</v>
      </c>
      <c r="D1725" s="21" t="s">
        <v>1181</v>
      </c>
      <c r="E1725" s="33" t="n">
        <v>45663</v>
      </c>
      <c r="F1725" s="21" t="s">
        <v>1175</v>
      </c>
      <c r="G1725" s="32"/>
      <c r="H1725" s="21"/>
      <c r="I1725" s="33"/>
      <c r="J1725" s="21" t="str">
        <f aca="false">INDEX(Students!$C$2:$C$601,MATCH(B1725,Students!$A$2:$A$601,0))</f>
        <v>Batch 2025</v>
      </c>
      <c r="K1725" s="21" t="str">
        <f aca="false">INDEX(Students!$D$2:$D$601,MATCH(B1725,Students!$A$2:$A$601,0))</f>
        <v>Full Stack Development</v>
      </c>
      <c r="L1725" s="21" t="str">
        <f aca="false">INDEX(Companies!$C$2:$C$31,MATCH(C1725,Companies!$A$2:$A$31,0))</f>
        <v>Fintech</v>
      </c>
      <c r="M1725" s="21" t="str">
        <f aca="false">INDEX(Companies!$D$2:$D$31,MATCH(C1725,Companies!$A$2:$A$31,0))</f>
        <v>Tier 2</v>
      </c>
      <c r="N1725" s="34" t="n">
        <f aca="false">MATCH(F1725,Assumptions!$K$4:$K$8,0)</f>
        <v>1</v>
      </c>
      <c r="O1725" s="21" t="str">
        <f aca="false">IF(H1725="Yes",MONTH(I1725),"")</f>
        <v/>
      </c>
      <c r="P1725" s="21" t="str">
        <f aca="false">IF(H1725="Yes",B1725,"")</f>
        <v/>
      </c>
    </row>
    <row r="1726" customFormat="false" ht="15" hidden="false" customHeight="false" outlineLevel="0" collapsed="false">
      <c r="A1726" s="21" t="s">
        <v>2941</v>
      </c>
      <c r="B1726" s="21" t="s">
        <v>687</v>
      </c>
      <c r="C1726" s="21" t="s">
        <v>1199</v>
      </c>
      <c r="D1726" s="21" t="s">
        <v>1226</v>
      </c>
      <c r="E1726" s="33" t="n">
        <v>45663</v>
      </c>
      <c r="F1726" s="21" t="s">
        <v>1197</v>
      </c>
      <c r="G1726" s="32"/>
      <c r="H1726" s="21"/>
      <c r="I1726" s="33"/>
      <c r="J1726" s="21" t="str">
        <f aca="false">INDEX(Students!$C$2:$C$601,MATCH(B1726,Students!$A$2:$A$601,0))</f>
        <v>Batch 2025</v>
      </c>
      <c r="K1726" s="21" t="str">
        <f aca="false">INDEX(Students!$D$2:$D$601,MATCH(B1726,Students!$A$2:$A$601,0))</f>
        <v>Cybersecurity</v>
      </c>
      <c r="L1726" s="21" t="str">
        <f aca="false">INDEX(Companies!$C$2:$C$31,MATCH(C1726,Companies!$A$2:$A$31,0))</f>
        <v>E-commerce</v>
      </c>
      <c r="M1726" s="21" t="str">
        <f aca="false">INDEX(Companies!$D$2:$D$31,MATCH(C1726,Companies!$A$2:$A$31,0))</f>
        <v>Tier 2</v>
      </c>
      <c r="N1726" s="34" t="n">
        <f aca="false">MATCH(F1726,Assumptions!$K$4:$K$8,0)</f>
        <v>3</v>
      </c>
      <c r="O1726" s="21" t="str">
        <f aca="false">IF(H1726="Yes",MONTH(I1726),"")</f>
        <v/>
      </c>
      <c r="P1726" s="21" t="str">
        <f aca="false">IF(H1726="Yes",B1726,"")</f>
        <v/>
      </c>
    </row>
    <row r="1727" customFormat="false" ht="15" hidden="false" customHeight="false" outlineLevel="0" collapsed="false">
      <c r="A1727" s="21" t="s">
        <v>2942</v>
      </c>
      <c r="B1727" s="21" t="s">
        <v>526</v>
      </c>
      <c r="C1727" s="21" t="s">
        <v>1187</v>
      </c>
      <c r="D1727" s="21" t="s">
        <v>1191</v>
      </c>
      <c r="E1727" s="33" t="n">
        <v>45663</v>
      </c>
      <c r="F1727" s="21" t="s">
        <v>1178</v>
      </c>
      <c r="G1727" s="32"/>
      <c r="H1727" s="21"/>
      <c r="I1727" s="33"/>
      <c r="J1727" s="21" t="str">
        <f aca="false">INDEX(Students!$C$2:$C$601,MATCH(B1727,Students!$A$2:$A$601,0))</f>
        <v>Batch 2025</v>
      </c>
      <c r="K1727" s="21" t="str">
        <f aca="false">INDEX(Students!$D$2:$D$601,MATCH(B1727,Students!$A$2:$A$601,0))</f>
        <v>DSA with Java</v>
      </c>
      <c r="L1727" s="21" t="str">
        <f aca="false">INDEX(Companies!$C$2:$C$31,MATCH(C1727,Companies!$A$2:$A$31,0))</f>
        <v>Product</v>
      </c>
      <c r="M1727" s="21" t="str">
        <f aca="false">INDEX(Companies!$D$2:$D$31,MATCH(C1727,Companies!$A$2:$A$31,0))</f>
        <v>Tier 1</v>
      </c>
      <c r="N1727" s="34" t="n">
        <f aca="false">MATCH(F1727,Assumptions!$K$4:$K$8,0)</f>
        <v>2</v>
      </c>
      <c r="O1727" s="21" t="str">
        <f aca="false">IF(H1727="Yes",MONTH(I1727),"")</f>
        <v/>
      </c>
      <c r="P1727" s="21" t="str">
        <f aca="false">IF(H1727="Yes",B1727,"")</f>
        <v/>
      </c>
    </row>
    <row r="1728" customFormat="false" ht="15" hidden="false" customHeight="false" outlineLevel="0" collapsed="false">
      <c r="A1728" s="21" t="s">
        <v>2943</v>
      </c>
      <c r="B1728" s="21" t="s">
        <v>780</v>
      </c>
      <c r="C1728" s="21" t="s">
        <v>1234</v>
      </c>
      <c r="D1728" s="21" t="s">
        <v>1174</v>
      </c>
      <c r="E1728" s="33" t="n">
        <v>45664</v>
      </c>
      <c r="F1728" s="21" t="s">
        <v>1218</v>
      </c>
      <c r="G1728" s="32"/>
      <c r="H1728" s="21"/>
      <c r="I1728" s="33"/>
      <c r="J1728" s="21" t="str">
        <f aca="false">INDEX(Students!$C$2:$C$601,MATCH(B1728,Students!$A$2:$A$601,0))</f>
        <v>Batch 2025</v>
      </c>
      <c r="K1728" s="21" t="str">
        <f aca="false">INDEX(Students!$D$2:$D$601,MATCH(B1728,Students!$A$2:$A$601,0))</f>
        <v>Full Stack Development</v>
      </c>
      <c r="L1728" s="21" t="str">
        <f aca="false">INDEX(Companies!$C$2:$C$31,MATCH(C1728,Companies!$A$2:$A$31,0))</f>
        <v>EdTech</v>
      </c>
      <c r="M1728" s="21" t="str">
        <f aca="false">INDEX(Companies!$D$2:$D$31,MATCH(C1728,Companies!$A$2:$A$31,0))</f>
        <v>Tier 3</v>
      </c>
      <c r="N1728" s="34" t="n">
        <f aca="false">MATCH(F1728,Assumptions!$K$4:$K$8,0)</f>
        <v>4</v>
      </c>
      <c r="O1728" s="21" t="str">
        <f aca="false">IF(H1728="Yes",MONTH(I1728),"")</f>
        <v/>
      </c>
      <c r="P1728" s="21" t="str">
        <f aca="false">IF(H1728="Yes",B1728,"")</f>
        <v/>
      </c>
    </row>
    <row r="1729" customFormat="false" ht="15" hidden="false" customHeight="false" outlineLevel="0" collapsed="false">
      <c r="A1729" s="21" t="s">
        <v>2944</v>
      </c>
      <c r="B1729" s="21" t="s">
        <v>612</v>
      </c>
      <c r="C1729" s="21" t="s">
        <v>1290</v>
      </c>
      <c r="D1729" s="21" t="s">
        <v>1181</v>
      </c>
      <c r="E1729" s="33" t="n">
        <v>45664</v>
      </c>
      <c r="F1729" s="21" t="s">
        <v>1175</v>
      </c>
      <c r="G1729" s="32"/>
      <c r="H1729" s="21"/>
      <c r="I1729" s="33"/>
      <c r="J1729" s="21" t="str">
        <f aca="false">INDEX(Students!$C$2:$C$601,MATCH(B1729,Students!$A$2:$A$601,0))</f>
        <v>Batch 2025</v>
      </c>
      <c r="K1729" s="21" t="str">
        <f aca="false">INDEX(Students!$D$2:$D$601,MATCH(B1729,Students!$A$2:$A$601,0))</f>
        <v>Full Stack Development</v>
      </c>
      <c r="L1729" s="21" t="str">
        <f aca="false">INDEX(Companies!$C$2:$C$31,MATCH(C1729,Companies!$A$2:$A$31,0))</f>
        <v>Fintech</v>
      </c>
      <c r="M1729" s="21" t="str">
        <f aca="false">INDEX(Companies!$D$2:$D$31,MATCH(C1729,Companies!$A$2:$A$31,0))</f>
        <v>Tier 2</v>
      </c>
      <c r="N1729" s="34" t="n">
        <f aca="false">MATCH(F1729,Assumptions!$K$4:$K$8,0)</f>
        <v>1</v>
      </c>
      <c r="O1729" s="21" t="str">
        <f aca="false">IF(H1729="Yes",MONTH(I1729),"")</f>
        <v/>
      </c>
      <c r="P1729" s="21" t="str">
        <f aca="false">IF(H1729="Yes",B1729,"")</f>
        <v/>
      </c>
    </row>
    <row r="1730" customFormat="false" ht="15" hidden="false" customHeight="false" outlineLevel="0" collapsed="false">
      <c r="A1730" s="21" t="s">
        <v>2945</v>
      </c>
      <c r="B1730" s="21" t="s">
        <v>499</v>
      </c>
      <c r="C1730" s="21" t="s">
        <v>1225</v>
      </c>
      <c r="D1730" s="21" t="s">
        <v>1191</v>
      </c>
      <c r="E1730" s="33" t="n">
        <v>45664</v>
      </c>
      <c r="F1730" s="21" t="s">
        <v>1175</v>
      </c>
      <c r="G1730" s="32"/>
      <c r="H1730" s="21"/>
      <c r="I1730" s="33"/>
      <c r="J1730" s="21" t="str">
        <f aca="false">INDEX(Students!$C$2:$C$601,MATCH(B1730,Students!$A$2:$A$601,0))</f>
        <v>Batch 2025</v>
      </c>
      <c r="K1730" s="21" t="str">
        <f aca="false">INDEX(Students!$D$2:$D$601,MATCH(B1730,Students!$A$2:$A$601,0))</f>
        <v>DSA with Java</v>
      </c>
      <c r="L1730" s="21" t="str">
        <f aca="false">INDEX(Companies!$C$2:$C$31,MATCH(C1730,Companies!$A$2:$A$31,0))</f>
        <v>EdTech</v>
      </c>
      <c r="M1730" s="21" t="str">
        <f aca="false">INDEX(Companies!$D$2:$D$31,MATCH(C1730,Companies!$A$2:$A$31,0))</f>
        <v>Tier 2</v>
      </c>
      <c r="N1730" s="34" t="n">
        <f aca="false">MATCH(F1730,Assumptions!$K$4:$K$8,0)</f>
        <v>1</v>
      </c>
      <c r="O1730" s="21" t="str">
        <f aca="false">IF(H1730="Yes",MONTH(I1730),"")</f>
        <v/>
      </c>
      <c r="P1730" s="21" t="str">
        <f aca="false">IF(H1730="Yes",B1730,"")</f>
        <v/>
      </c>
    </row>
    <row r="1731" customFormat="false" ht="15" hidden="false" customHeight="false" outlineLevel="0" collapsed="false">
      <c r="A1731" s="21" t="s">
        <v>2946</v>
      </c>
      <c r="B1731" s="21" t="s">
        <v>694</v>
      </c>
      <c r="C1731" s="21" t="s">
        <v>1190</v>
      </c>
      <c r="D1731" s="21" t="s">
        <v>1181</v>
      </c>
      <c r="E1731" s="33" t="n">
        <v>45664</v>
      </c>
      <c r="F1731" s="21" t="s">
        <v>1178</v>
      </c>
      <c r="G1731" s="32"/>
      <c r="H1731" s="21"/>
      <c r="I1731" s="33"/>
      <c r="J1731" s="21" t="str">
        <f aca="false">INDEX(Students!$C$2:$C$601,MATCH(B1731,Students!$A$2:$A$601,0))</f>
        <v>Batch 2025</v>
      </c>
      <c r="K1731" s="21" t="str">
        <f aca="false">INDEX(Students!$D$2:$D$601,MATCH(B1731,Students!$A$2:$A$601,0))</f>
        <v>Full Stack Development</v>
      </c>
      <c r="L1731" s="21" t="str">
        <f aca="false">INDEX(Companies!$C$2:$C$31,MATCH(C1731,Companies!$A$2:$A$31,0))</f>
        <v>Analytics &amp; Consulting</v>
      </c>
      <c r="M1731" s="21" t="str">
        <f aca="false">INDEX(Companies!$D$2:$D$31,MATCH(C1731,Companies!$A$2:$A$31,0))</f>
        <v>Tier 1</v>
      </c>
      <c r="N1731" s="34" t="n">
        <f aca="false">MATCH(F1731,Assumptions!$K$4:$K$8,0)</f>
        <v>2</v>
      </c>
      <c r="O1731" s="21" t="str">
        <f aca="false">IF(H1731="Yes",MONTH(I1731),"")</f>
        <v/>
      </c>
      <c r="P1731" s="21" t="str">
        <f aca="false">IF(H1731="Yes",B1731,"")</f>
        <v/>
      </c>
    </row>
    <row r="1732" customFormat="false" ht="15" hidden="false" customHeight="false" outlineLevel="0" collapsed="false">
      <c r="A1732" s="21" t="s">
        <v>2947</v>
      </c>
      <c r="B1732" s="21" t="s">
        <v>743</v>
      </c>
      <c r="C1732" s="21" t="s">
        <v>1180</v>
      </c>
      <c r="D1732" s="21" t="s">
        <v>1226</v>
      </c>
      <c r="E1732" s="33" t="n">
        <v>45665</v>
      </c>
      <c r="F1732" s="21" t="s">
        <v>1175</v>
      </c>
      <c r="G1732" s="32"/>
      <c r="H1732" s="21"/>
      <c r="I1732" s="33"/>
      <c r="J1732" s="21" t="str">
        <f aca="false">INDEX(Students!$C$2:$C$601,MATCH(B1732,Students!$A$2:$A$601,0))</f>
        <v>Batch 2025</v>
      </c>
      <c r="K1732" s="21" t="str">
        <f aca="false">INDEX(Students!$D$2:$D$601,MATCH(B1732,Students!$A$2:$A$601,0))</f>
        <v>Cybersecurity</v>
      </c>
      <c r="L1732" s="21" t="str">
        <f aca="false">INDEX(Companies!$C$2:$C$31,MATCH(C1732,Companies!$A$2:$A$31,0))</f>
        <v>IT Services</v>
      </c>
      <c r="M1732" s="21" t="str">
        <f aca="false">INDEX(Companies!$D$2:$D$31,MATCH(C1732,Companies!$A$2:$A$31,0))</f>
        <v>Tier 3</v>
      </c>
      <c r="N1732" s="34" t="n">
        <f aca="false">MATCH(F1732,Assumptions!$K$4:$K$8,0)</f>
        <v>1</v>
      </c>
      <c r="O1732" s="21" t="str">
        <f aca="false">IF(H1732="Yes",MONTH(I1732),"")</f>
        <v/>
      </c>
      <c r="P1732" s="21" t="str">
        <f aca="false">IF(H1732="Yes",B1732,"")</f>
        <v/>
      </c>
    </row>
    <row r="1733" customFormat="false" ht="15" hidden="false" customHeight="false" outlineLevel="0" collapsed="false">
      <c r="A1733" s="21" t="s">
        <v>2948</v>
      </c>
      <c r="B1733" s="21" t="s">
        <v>567</v>
      </c>
      <c r="C1733" s="21" t="s">
        <v>1263</v>
      </c>
      <c r="D1733" s="21" t="s">
        <v>1191</v>
      </c>
      <c r="E1733" s="33" t="n">
        <v>45665</v>
      </c>
      <c r="F1733" s="21" t="s">
        <v>1175</v>
      </c>
      <c r="G1733" s="32"/>
      <c r="H1733" s="21"/>
      <c r="I1733" s="33"/>
      <c r="J1733" s="21" t="str">
        <f aca="false">INDEX(Students!$C$2:$C$601,MATCH(B1733,Students!$A$2:$A$601,0))</f>
        <v>Batch 2025</v>
      </c>
      <c r="K1733" s="21" t="str">
        <f aca="false">INDEX(Students!$D$2:$D$601,MATCH(B1733,Students!$A$2:$A$601,0))</f>
        <v>DSA with Java</v>
      </c>
      <c r="L1733" s="21" t="str">
        <f aca="false">INDEX(Companies!$C$2:$C$31,MATCH(C1733,Companies!$A$2:$A$31,0))</f>
        <v>Analytics &amp; Consulting</v>
      </c>
      <c r="M1733" s="21" t="str">
        <f aca="false">INDEX(Companies!$D$2:$D$31,MATCH(C1733,Companies!$A$2:$A$31,0))</f>
        <v>Tier 2</v>
      </c>
      <c r="N1733" s="34" t="n">
        <f aca="false">MATCH(F1733,Assumptions!$K$4:$K$8,0)</f>
        <v>1</v>
      </c>
      <c r="O1733" s="21" t="str">
        <f aca="false">IF(H1733="Yes",MONTH(I1733),"")</f>
        <v/>
      </c>
      <c r="P1733" s="21" t="str">
        <f aca="false">IF(H1733="Yes",B1733,"")</f>
        <v/>
      </c>
    </row>
    <row r="1734" customFormat="false" ht="15" hidden="false" customHeight="false" outlineLevel="0" collapsed="false">
      <c r="A1734" s="21" t="s">
        <v>2949</v>
      </c>
      <c r="B1734" s="21" t="s">
        <v>690</v>
      </c>
      <c r="C1734" s="21" t="s">
        <v>1173</v>
      </c>
      <c r="D1734" s="21" t="s">
        <v>1184</v>
      </c>
      <c r="E1734" s="33" t="n">
        <v>45665</v>
      </c>
      <c r="F1734" s="21" t="s">
        <v>1175</v>
      </c>
      <c r="G1734" s="32"/>
      <c r="H1734" s="21"/>
      <c r="I1734" s="33"/>
      <c r="J1734" s="21" t="str">
        <f aca="false">INDEX(Students!$C$2:$C$601,MATCH(B1734,Students!$A$2:$A$601,0))</f>
        <v>Batch 2025</v>
      </c>
      <c r="K1734" s="21" t="str">
        <f aca="false">INDEX(Students!$D$2:$D$601,MATCH(B1734,Students!$A$2:$A$601,0))</f>
        <v>DSA with Java</v>
      </c>
      <c r="L1734" s="21" t="str">
        <f aca="false">INDEX(Companies!$C$2:$C$31,MATCH(C1734,Companies!$A$2:$A$31,0))</f>
        <v>Cybersecurity</v>
      </c>
      <c r="M1734" s="21" t="str">
        <f aca="false">INDEX(Companies!$D$2:$D$31,MATCH(C1734,Companies!$A$2:$A$31,0))</f>
        <v>Tier 1</v>
      </c>
      <c r="N1734" s="34" t="n">
        <f aca="false">MATCH(F1734,Assumptions!$K$4:$K$8,0)</f>
        <v>1</v>
      </c>
      <c r="O1734" s="21" t="str">
        <f aca="false">IF(H1734="Yes",MONTH(I1734),"")</f>
        <v/>
      </c>
      <c r="P1734" s="21" t="str">
        <f aca="false">IF(H1734="Yes",B1734,"")</f>
        <v/>
      </c>
    </row>
    <row r="1735" customFormat="false" ht="15" hidden="false" customHeight="false" outlineLevel="0" collapsed="false">
      <c r="A1735" s="21" t="s">
        <v>2950</v>
      </c>
      <c r="B1735" s="21" t="s">
        <v>704</v>
      </c>
      <c r="C1735" s="21" t="s">
        <v>1222</v>
      </c>
      <c r="D1735" s="21" t="s">
        <v>1174</v>
      </c>
      <c r="E1735" s="33" t="n">
        <v>45665</v>
      </c>
      <c r="F1735" s="21" t="s">
        <v>1175</v>
      </c>
      <c r="G1735" s="32"/>
      <c r="H1735" s="21"/>
      <c r="I1735" s="33"/>
      <c r="J1735" s="21" t="str">
        <f aca="false">INDEX(Students!$C$2:$C$601,MATCH(B1735,Students!$A$2:$A$601,0))</f>
        <v>Batch 2025</v>
      </c>
      <c r="K1735" s="21" t="str">
        <f aca="false">INDEX(Students!$D$2:$D$601,MATCH(B1735,Students!$A$2:$A$601,0))</f>
        <v>Full Stack Development</v>
      </c>
      <c r="L1735" s="21" t="str">
        <f aca="false">INDEX(Companies!$C$2:$C$31,MATCH(C1735,Companies!$A$2:$A$31,0))</f>
        <v>Product</v>
      </c>
      <c r="M1735" s="21" t="str">
        <f aca="false">INDEX(Companies!$D$2:$D$31,MATCH(C1735,Companies!$A$2:$A$31,0))</f>
        <v>Tier 2</v>
      </c>
      <c r="N1735" s="34" t="n">
        <f aca="false">MATCH(F1735,Assumptions!$K$4:$K$8,0)</f>
        <v>1</v>
      </c>
      <c r="O1735" s="21" t="str">
        <f aca="false">IF(H1735="Yes",MONTH(I1735),"")</f>
        <v/>
      </c>
      <c r="P1735" s="21" t="str">
        <f aca="false">IF(H1735="Yes",B1735,"")</f>
        <v/>
      </c>
    </row>
    <row r="1736" customFormat="false" ht="15" hidden="false" customHeight="false" outlineLevel="0" collapsed="false">
      <c r="A1736" s="21" t="s">
        <v>2951</v>
      </c>
      <c r="B1736" s="21" t="s">
        <v>718</v>
      </c>
      <c r="C1736" s="21" t="s">
        <v>1222</v>
      </c>
      <c r="D1736" s="21" t="s">
        <v>1191</v>
      </c>
      <c r="E1736" s="33" t="n">
        <v>45665</v>
      </c>
      <c r="F1736" s="21" t="s">
        <v>1185</v>
      </c>
      <c r="G1736" s="32" t="n">
        <v>11.8</v>
      </c>
      <c r="H1736" s="21" t="s">
        <v>113</v>
      </c>
      <c r="I1736" s="33" t="n">
        <v>45716</v>
      </c>
      <c r="J1736" s="21" t="str">
        <f aca="false">INDEX(Students!$C$2:$C$601,MATCH(B1736,Students!$A$2:$A$601,0))</f>
        <v>Batch 2025</v>
      </c>
      <c r="K1736" s="21" t="str">
        <f aca="false">INDEX(Students!$D$2:$D$601,MATCH(B1736,Students!$A$2:$A$601,0))</f>
        <v>DSA with Java</v>
      </c>
      <c r="L1736" s="21" t="str">
        <f aca="false">INDEX(Companies!$C$2:$C$31,MATCH(C1736,Companies!$A$2:$A$31,0))</f>
        <v>Product</v>
      </c>
      <c r="M1736" s="21" t="str">
        <f aca="false">INDEX(Companies!$D$2:$D$31,MATCH(C1736,Companies!$A$2:$A$31,0))</f>
        <v>Tier 2</v>
      </c>
      <c r="N1736" s="34" t="n">
        <f aca="false">MATCH(F1736,Assumptions!$K$4:$K$8,0)</f>
        <v>5</v>
      </c>
      <c r="O1736" s="21" t="str">
        <f aca="false">IF(H1736="Yes",MONTH(I1736),"")</f>
        <v/>
      </c>
      <c r="P1736" s="21" t="str">
        <f aca="false">IF(H1736="Yes",B1736,"")</f>
        <v/>
      </c>
    </row>
    <row r="1737" customFormat="false" ht="15" hidden="false" customHeight="false" outlineLevel="0" collapsed="false">
      <c r="A1737" s="21" t="s">
        <v>2952</v>
      </c>
      <c r="B1737" s="21" t="s">
        <v>795</v>
      </c>
      <c r="C1737" s="21" t="s">
        <v>1180</v>
      </c>
      <c r="D1737" s="21" t="s">
        <v>1181</v>
      </c>
      <c r="E1737" s="33" t="n">
        <v>45666</v>
      </c>
      <c r="F1737" s="21" t="s">
        <v>1178</v>
      </c>
      <c r="G1737" s="32"/>
      <c r="H1737" s="21"/>
      <c r="I1737" s="33"/>
      <c r="J1737" s="21" t="str">
        <f aca="false">INDEX(Students!$C$2:$C$601,MATCH(B1737,Students!$A$2:$A$601,0))</f>
        <v>Batch 2025</v>
      </c>
      <c r="K1737" s="21" t="str">
        <f aca="false">INDEX(Students!$D$2:$D$601,MATCH(B1737,Students!$A$2:$A$601,0))</f>
        <v>Full Stack Development</v>
      </c>
      <c r="L1737" s="21" t="str">
        <f aca="false">INDEX(Companies!$C$2:$C$31,MATCH(C1737,Companies!$A$2:$A$31,0))</f>
        <v>IT Services</v>
      </c>
      <c r="M1737" s="21" t="str">
        <f aca="false">INDEX(Companies!$D$2:$D$31,MATCH(C1737,Companies!$A$2:$A$31,0))</f>
        <v>Tier 3</v>
      </c>
      <c r="N1737" s="34" t="n">
        <f aca="false">MATCH(F1737,Assumptions!$K$4:$K$8,0)</f>
        <v>2</v>
      </c>
      <c r="O1737" s="21" t="str">
        <f aca="false">IF(H1737="Yes",MONTH(I1737),"")</f>
        <v/>
      </c>
      <c r="P1737" s="21" t="str">
        <f aca="false">IF(H1737="Yes",B1737,"")</f>
        <v/>
      </c>
    </row>
    <row r="1738" customFormat="false" ht="15" hidden="false" customHeight="false" outlineLevel="0" collapsed="false">
      <c r="A1738" s="21" t="s">
        <v>2953</v>
      </c>
      <c r="B1738" s="21" t="s">
        <v>696</v>
      </c>
      <c r="C1738" s="21" t="s">
        <v>1205</v>
      </c>
      <c r="D1738" s="21" t="s">
        <v>1240</v>
      </c>
      <c r="E1738" s="33" t="n">
        <v>45666</v>
      </c>
      <c r="F1738" s="21" t="s">
        <v>1197</v>
      </c>
      <c r="G1738" s="32"/>
      <c r="H1738" s="21"/>
      <c r="I1738" s="33"/>
      <c r="J1738" s="21" t="str">
        <f aca="false">INDEX(Students!$C$2:$C$601,MATCH(B1738,Students!$A$2:$A$601,0))</f>
        <v>Batch 2025</v>
      </c>
      <c r="K1738" s="21" t="str">
        <f aca="false">INDEX(Students!$D$2:$D$601,MATCH(B1738,Students!$A$2:$A$601,0))</f>
        <v>Cybersecurity</v>
      </c>
      <c r="L1738" s="21" t="str">
        <f aca="false">INDEX(Companies!$C$2:$C$31,MATCH(C1738,Companies!$A$2:$A$31,0))</f>
        <v>Healthtech</v>
      </c>
      <c r="M1738" s="21" t="str">
        <f aca="false">INDEX(Companies!$D$2:$D$31,MATCH(C1738,Companies!$A$2:$A$31,0))</f>
        <v>Tier 3</v>
      </c>
      <c r="N1738" s="34" t="n">
        <f aca="false">MATCH(F1738,Assumptions!$K$4:$K$8,0)</f>
        <v>3</v>
      </c>
      <c r="O1738" s="21" t="str">
        <f aca="false">IF(H1738="Yes",MONTH(I1738),"")</f>
        <v/>
      </c>
      <c r="P1738" s="21" t="str">
        <f aca="false">IF(H1738="Yes",B1738,"")</f>
        <v/>
      </c>
    </row>
    <row r="1739" customFormat="false" ht="15" hidden="false" customHeight="false" outlineLevel="0" collapsed="false">
      <c r="A1739" s="21" t="s">
        <v>2954</v>
      </c>
      <c r="B1739" s="21" t="s">
        <v>798</v>
      </c>
      <c r="C1739" s="21" t="s">
        <v>1211</v>
      </c>
      <c r="D1739" s="21" t="s">
        <v>1181</v>
      </c>
      <c r="E1739" s="33" t="n">
        <v>45666</v>
      </c>
      <c r="F1739" s="21" t="s">
        <v>1185</v>
      </c>
      <c r="G1739" s="32" t="n">
        <v>5.7</v>
      </c>
      <c r="H1739" s="21" t="s">
        <v>113</v>
      </c>
      <c r="I1739" s="33" t="n">
        <v>45686</v>
      </c>
      <c r="J1739" s="21" t="str">
        <f aca="false">INDEX(Students!$C$2:$C$601,MATCH(B1739,Students!$A$2:$A$601,0))</f>
        <v>Batch 2025</v>
      </c>
      <c r="K1739" s="21" t="str">
        <f aca="false">INDEX(Students!$D$2:$D$601,MATCH(B1739,Students!$A$2:$A$601,0))</f>
        <v>Full Stack Development</v>
      </c>
      <c r="L1739" s="21" t="str">
        <f aca="false">INDEX(Companies!$C$2:$C$31,MATCH(C1739,Companies!$A$2:$A$31,0))</f>
        <v>Analytics &amp; Consulting</v>
      </c>
      <c r="M1739" s="21" t="str">
        <f aca="false">INDEX(Companies!$D$2:$D$31,MATCH(C1739,Companies!$A$2:$A$31,0))</f>
        <v>Tier 3</v>
      </c>
      <c r="N1739" s="34" t="n">
        <f aca="false">MATCH(F1739,Assumptions!$K$4:$K$8,0)</f>
        <v>5</v>
      </c>
      <c r="O1739" s="21" t="str">
        <f aca="false">IF(H1739="Yes",MONTH(I1739),"")</f>
        <v/>
      </c>
      <c r="P1739" s="21" t="str">
        <f aca="false">IF(H1739="Yes",B1739,"")</f>
        <v/>
      </c>
    </row>
    <row r="1740" customFormat="false" ht="15" hidden="false" customHeight="false" outlineLevel="0" collapsed="false">
      <c r="A1740" s="21" t="s">
        <v>2955</v>
      </c>
      <c r="B1740" s="21" t="s">
        <v>795</v>
      </c>
      <c r="C1740" s="21" t="s">
        <v>1239</v>
      </c>
      <c r="D1740" s="21" t="s">
        <v>1181</v>
      </c>
      <c r="E1740" s="33" t="n">
        <v>45666</v>
      </c>
      <c r="F1740" s="21" t="s">
        <v>1197</v>
      </c>
      <c r="G1740" s="32"/>
      <c r="H1740" s="21"/>
      <c r="I1740" s="33"/>
      <c r="J1740" s="21" t="str">
        <f aca="false">INDEX(Students!$C$2:$C$601,MATCH(B1740,Students!$A$2:$A$601,0))</f>
        <v>Batch 2025</v>
      </c>
      <c r="K1740" s="21" t="str">
        <f aca="false">INDEX(Students!$D$2:$D$601,MATCH(B1740,Students!$A$2:$A$601,0))</f>
        <v>Full Stack Development</v>
      </c>
      <c r="L1740" s="21" t="str">
        <f aca="false">INDEX(Companies!$C$2:$C$31,MATCH(C1740,Companies!$A$2:$A$31,0))</f>
        <v>E-commerce</v>
      </c>
      <c r="M1740" s="21" t="str">
        <f aca="false">INDEX(Companies!$D$2:$D$31,MATCH(C1740,Companies!$A$2:$A$31,0))</f>
        <v>Tier 3</v>
      </c>
      <c r="N1740" s="34" t="n">
        <f aca="false">MATCH(F1740,Assumptions!$K$4:$K$8,0)</f>
        <v>3</v>
      </c>
      <c r="O1740" s="21" t="str">
        <f aca="false">IF(H1740="Yes",MONTH(I1740),"")</f>
        <v/>
      </c>
      <c r="P1740" s="21" t="str">
        <f aca="false">IF(H1740="Yes",B1740,"")</f>
        <v/>
      </c>
    </row>
    <row r="1741" customFormat="false" ht="15" hidden="false" customHeight="false" outlineLevel="0" collapsed="false">
      <c r="A1741" s="21" t="s">
        <v>2956</v>
      </c>
      <c r="B1741" s="21" t="s">
        <v>718</v>
      </c>
      <c r="C1741" s="21" t="s">
        <v>1290</v>
      </c>
      <c r="D1741" s="21" t="s">
        <v>1191</v>
      </c>
      <c r="E1741" s="33" t="n">
        <v>45666</v>
      </c>
      <c r="F1741" s="21" t="s">
        <v>1175</v>
      </c>
      <c r="G1741" s="32"/>
      <c r="H1741" s="21"/>
      <c r="I1741" s="33"/>
      <c r="J1741" s="21" t="str">
        <f aca="false">INDEX(Students!$C$2:$C$601,MATCH(B1741,Students!$A$2:$A$601,0))</f>
        <v>Batch 2025</v>
      </c>
      <c r="K1741" s="21" t="str">
        <f aca="false">INDEX(Students!$D$2:$D$601,MATCH(B1741,Students!$A$2:$A$601,0))</f>
        <v>DSA with Java</v>
      </c>
      <c r="L1741" s="21" t="str">
        <f aca="false">INDEX(Companies!$C$2:$C$31,MATCH(C1741,Companies!$A$2:$A$31,0))</f>
        <v>Fintech</v>
      </c>
      <c r="M1741" s="21" t="str">
        <f aca="false">INDEX(Companies!$D$2:$D$31,MATCH(C1741,Companies!$A$2:$A$31,0))</f>
        <v>Tier 2</v>
      </c>
      <c r="N1741" s="34" t="n">
        <f aca="false">MATCH(F1741,Assumptions!$K$4:$K$8,0)</f>
        <v>1</v>
      </c>
      <c r="O1741" s="21" t="str">
        <f aca="false">IF(H1741="Yes",MONTH(I1741),"")</f>
        <v/>
      </c>
      <c r="P1741" s="21" t="str">
        <f aca="false">IF(H1741="Yes",B1741,"")</f>
        <v/>
      </c>
    </row>
    <row r="1742" customFormat="false" ht="15" hidden="false" customHeight="false" outlineLevel="0" collapsed="false">
      <c r="A1742" s="21" t="s">
        <v>2957</v>
      </c>
      <c r="B1742" s="21" t="s">
        <v>544</v>
      </c>
      <c r="C1742" s="21" t="s">
        <v>1263</v>
      </c>
      <c r="D1742" s="21" t="s">
        <v>1194</v>
      </c>
      <c r="E1742" s="33" t="n">
        <v>45667</v>
      </c>
      <c r="F1742" s="21" t="s">
        <v>1178</v>
      </c>
      <c r="G1742" s="32"/>
      <c r="H1742" s="21"/>
      <c r="I1742" s="33"/>
      <c r="J1742" s="21" t="str">
        <f aca="false">INDEX(Students!$C$2:$C$601,MATCH(B1742,Students!$A$2:$A$601,0))</f>
        <v>Batch 2025</v>
      </c>
      <c r="K1742" s="21" t="str">
        <f aca="false">INDEX(Students!$D$2:$D$601,MATCH(B1742,Students!$A$2:$A$601,0))</f>
        <v>Data Science &amp; ML</v>
      </c>
      <c r="L1742" s="21" t="str">
        <f aca="false">INDEX(Companies!$C$2:$C$31,MATCH(C1742,Companies!$A$2:$A$31,0))</f>
        <v>Analytics &amp; Consulting</v>
      </c>
      <c r="M1742" s="21" t="str">
        <f aca="false">INDEX(Companies!$D$2:$D$31,MATCH(C1742,Companies!$A$2:$A$31,0))</f>
        <v>Tier 2</v>
      </c>
      <c r="N1742" s="34" t="n">
        <f aca="false">MATCH(F1742,Assumptions!$K$4:$K$8,0)</f>
        <v>2</v>
      </c>
      <c r="O1742" s="21" t="str">
        <f aca="false">IF(H1742="Yes",MONTH(I1742),"")</f>
        <v/>
      </c>
      <c r="P1742" s="21" t="str">
        <f aca="false">IF(H1742="Yes",B1742,"")</f>
        <v/>
      </c>
    </row>
    <row r="1743" customFormat="false" ht="15" hidden="false" customHeight="false" outlineLevel="0" collapsed="false">
      <c r="A1743" s="21" t="s">
        <v>2958</v>
      </c>
      <c r="B1743" s="21" t="s">
        <v>798</v>
      </c>
      <c r="C1743" s="21" t="s">
        <v>1177</v>
      </c>
      <c r="D1743" s="21" t="s">
        <v>1174</v>
      </c>
      <c r="E1743" s="33" t="n">
        <v>45667</v>
      </c>
      <c r="F1743" s="21" t="s">
        <v>1197</v>
      </c>
      <c r="G1743" s="32"/>
      <c r="H1743" s="21"/>
      <c r="I1743" s="33"/>
      <c r="J1743" s="21" t="str">
        <f aca="false">INDEX(Students!$C$2:$C$601,MATCH(B1743,Students!$A$2:$A$601,0))</f>
        <v>Batch 2025</v>
      </c>
      <c r="K1743" s="21" t="str">
        <f aca="false">INDEX(Students!$D$2:$D$601,MATCH(B1743,Students!$A$2:$A$601,0))</f>
        <v>Full Stack Development</v>
      </c>
      <c r="L1743" s="21" t="str">
        <f aca="false">INDEX(Companies!$C$2:$C$31,MATCH(C1743,Companies!$A$2:$A$31,0))</f>
        <v>IT Services</v>
      </c>
      <c r="M1743" s="21" t="str">
        <f aca="false">INDEX(Companies!$D$2:$D$31,MATCH(C1743,Companies!$A$2:$A$31,0))</f>
        <v>Tier 3</v>
      </c>
      <c r="N1743" s="34" t="n">
        <f aca="false">MATCH(F1743,Assumptions!$K$4:$K$8,0)</f>
        <v>3</v>
      </c>
      <c r="O1743" s="21" t="str">
        <f aca="false">IF(H1743="Yes",MONTH(I1743),"")</f>
        <v/>
      </c>
      <c r="P1743" s="21" t="str">
        <f aca="false">IF(H1743="Yes",B1743,"")</f>
        <v/>
      </c>
    </row>
    <row r="1744" customFormat="false" ht="15" hidden="false" customHeight="false" outlineLevel="0" collapsed="false">
      <c r="A1744" s="21" t="s">
        <v>2959</v>
      </c>
      <c r="B1744" s="21" t="s">
        <v>691</v>
      </c>
      <c r="C1744" s="21" t="s">
        <v>1180</v>
      </c>
      <c r="D1744" s="21" t="s">
        <v>1209</v>
      </c>
      <c r="E1744" s="33" t="n">
        <v>45667</v>
      </c>
      <c r="F1744" s="21" t="s">
        <v>1178</v>
      </c>
      <c r="G1744" s="32"/>
      <c r="H1744" s="21"/>
      <c r="I1744" s="33"/>
      <c r="J1744" s="21" t="str">
        <f aca="false">INDEX(Students!$C$2:$C$601,MATCH(B1744,Students!$A$2:$A$601,0))</f>
        <v>Batch 2025</v>
      </c>
      <c r="K1744" s="21" t="str">
        <f aca="false">INDEX(Students!$D$2:$D$601,MATCH(B1744,Students!$A$2:$A$601,0))</f>
        <v>Data Analytics</v>
      </c>
      <c r="L1744" s="21" t="str">
        <f aca="false">INDEX(Companies!$C$2:$C$31,MATCH(C1744,Companies!$A$2:$A$31,0))</f>
        <v>IT Services</v>
      </c>
      <c r="M1744" s="21" t="str">
        <f aca="false">INDEX(Companies!$D$2:$D$31,MATCH(C1744,Companies!$A$2:$A$31,0))</f>
        <v>Tier 3</v>
      </c>
      <c r="N1744" s="34" t="n">
        <f aca="false">MATCH(F1744,Assumptions!$K$4:$K$8,0)</f>
        <v>2</v>
      </c>
      <c r="O1744" s="21" t="str">
        <f aca="false">IF(H1744="Yes",MONTH(I1744),"")</f>
        <v/>
      </c>
      <c r="P1744" s="21" t="str">
        <f aca="false">IF(H1744="Yes",B1744,"")</f>
        <v/>
      </c>
    </row>
    <row r="1745" customFormat="false" ht="15" hidden="false" customHeight="false" outlineLevel="0" collapsed="false">
      <c r="A1745" s="21" t="s">
        <v>2960</v>
      </c>
      <c r="B1745" s="21" t="s">
        <v>667</v>
      </c>
      <c r="C1745" s="21" t="s">
        <v>1266</v>
      </c>
      <c r="D1745" s="21" t="s">
        <v>1240</v>
      </c>
      <c r="E1745" s="33" t="n">
        <v>45667</v>
      </c>
      <c r="F1745" s="21" t="s">
        <v>1175</v>
      </c>
      <c r="G1745" s="32"/>
      <c r="H1745" s="21"/>
      <c r="I1745" s="33"/>
      <c r="J1745" s="21" t="str">
        <f aca="false">INDEX(Students!$C$2:$C$601,MATCH(B1745,Students!$A$2:$A$601,0))</f>
        <v>Batch 2025</v>
      </c>
      <c r="K1745" s="21" t="str">
        <f aca="false">INDEX(Students!$D$2:$D$601,MATCH(B1745,Students!$A$2:$A$601,0))</f>
        <v>Cybersecurity</v>
      </c>
      <c r="L1745" s="21" t="str">
        <f aca="false">INDEX(Companies!$C$2:$C$31,MATCH(C1745,Companies!$A$2:$A$31,0))</f>
        <v>IT Services</v>
      </c>
      <c r="M1745" s="21" t="str">
        <f aca="false">INDEX(Companies!$D$2:$D$31,MATCH(C1745,Companies!$A$2:$A$31,0))</f>
        <v>Tier 3</v>
      </c>
      <c r="N1745" s="34" t="n">
        <f aca="false">MATCH(F1745,Assumptions!$K$4:$K$8,0)</f>
        <v>1</v>
      </c>
      <c r="O1745" s="21" t="str">
        <f aca="false">IF(H1745="Yes",MONTH(I1745),"")</f>
        <v/>
      </c>
      <c r="P1745" s="21" t="str">
        <f aca="false">IF(H1745="Yes",B1745,"")</f>
        <v/>
      </c>
    </row>
    <row r="1746" customFormat="false" ht="15" hidden="false" customHeight="false" outlineLevel="0" collapsed="false">
      <c r="A1746" s="21" t="s">
        <v>2961</v>
      </c>
      <c r="B1746" s="21" t="s">
        <v>781</v>
      </c>
      <c r="C1746" s="21" t="s">
        <v>1211</v>
      </c>
      <c r="D1746" s="21" t="s">
        <v>1184</v>
      </c>
      <c r="E1746" s="33" t="n">
        <v>45668</v>
      </c>
      <c r="F1746" s="21" t="s">
        <v>1185</v>
      </c>
      <c r="G1746" s="32" t="n">
        <v>6.2</v>
      </c>
      <c r="H1746" s="21" t="s">
        <v>113</v>
      </c>
      <c r="I1746" s="33" t="n">
        <v>45702</v>
      </c>
      <c r="J1746" s="21" t="str">
        <f aca="false">INDEX(Students!$C$2:$C$601,MATCH(B1746,Students!$A$2:$A$601,0))</f>
        <v>Batch 2025</v>
      </c>
      <c r="K1746" s="21" t="str">
        <f aca="false">INDEX(Students!$D$2:$D$601,MATCH(B1746,Students!$A$2:$A$601,0))</f>
        <v>DSA with Java</v>
      </c>
      <c r="L1746" s="21" t="str">
        <f aca="false">INDEX(Companies!$C$2:$C$31,MATCH(C1746,Companies!$A$2:$A$31,0))</f>
        <v>Analytics &amp; Consulting</v>
      </c>
      <c r="M1746" s="21" t="str">
        <f aca="false">INDEX(Companies!$D$2:$D$31,MATCH(C1746,Companies!$A$2:$A$31,0))</f>
        <v>Tier 3</v>
      </c>
      <c r="N1746" s="34" t="n">
        <f aca="false">MATCH(F1746,Assumptions!$K$4:$K$8,0)</f>
        <v>5</v>
      </c>
      <c r="O1746" s="21" t="str">
        <f aca="false">IF(H1746="Yes",MONTH(I1746),"")</f>
        <v/>
      </c>
      <c r="P1746" s="21" t="str">
        <f aca="false">IF(H1746="Yes",B1746,"")</f>
        <v/>
      </c>
    </row>
    <row r="1747" customFormat="false" ht="15" hidden="false" customHeight="false" outlineLevel="0" collapsed="false">
      <c r="A1747" s="21" t="s">
        <v>2962</v>
      </c>
      <c r="B1747" s="21" t="s">
        <v>714</v>
      </c>
      <c r="C1747" s="21" t="s">
        <v>1290</v>
      </c>
      <c r="D1747" s="21" t="s">
        <v>1209</v>
      </c>
      <c r="E1747" s="33" t="n">
        <v>45669</v>
      </c>
      <c r="F1747" s="21" t="s">
        <v>1175</v>
      </c>
      <c r="G1747" s="32"/>
      <c r="H1747" s="21"/>
      <c r="I1747" s="33"/>
      <c r="J1747" s="21" t="str">
        <f aca="false">INDEX(Students!$C$2:$C$601,MATCH(B1747,Students!$A$2:$A$601,0))</f>
        <v>Batch 2025</v>
      </c>
      <c r="K1747" s="21" t="str">
        <f aca="false">INDEX(Students!$D$2:$D$601,MATCH(B1747,Students!$A$2:$A$601,0))</f>
        <v>Data Analytics</v>
      </c>
      <c r="L1747" s="21" t="str">
        <f aca="false">INDEX(Companies!$C$2:$C$31,MATCH(C1747,Companies!$A$2:$A$31,0))</f>
        <v>Fintech</v>
      </c>
      <c r="M1747" s="21" t="str">
        <f aca="false">INDEX(Companies!$D$2:$D$31,MATCH(C1747,Companies!$A$2:$A$31,0))</f>
        <v>Tier 2</v>
      </c>
      <c r="N1747" s="34" t="n">
        <f aca="false">MATCH(F1747,Assumptions!$K$4:$K$8,0)</f>
        <v>1</v>
      </c>
      <c r="O1747" s="21" t="str">
        <f aca="false">IF(H1747="Yes",MONTH(I1747),"")</f>
        <v/>
      </c>
      <c r="P1747" s="21" t="str">
        <f aca="false">IF(H1747="Yes",B1747,"")</f>
        <v/>
      </c>
    </row>
    <row r="1748" customFormat="false" ht="15" hidden="false" customHeight="false" outlineLevel="0" collapsed="false">
      <c r="A1748" s="21" t="s">
        <v>2963</v>
      </c>
      <c r="B1748" s="21" t="s">
        <v>653</v>
      </c>
      <c r="C1748" s="21" t="s">
        <v>1201</v>
      </c>
      <c r="D1748" s="21" t="s">
        <v>1240</v>
      </c>
      <c r="E1748" s="33" t="n">
        <v>45669</v>
      </c>
      <c r="F1748" s="21" t="s">
        <v>1185</v>
      </c>
      <c r="G1748" s="32" t="n">
        <v>6.4</v>
      </c>
      <c r="H1748" s="21" t="s">
        <v>120</v>
      </c>
      <c r="I1748" s="33" t="n">
        <v>45724</v>
      </c>
      <c r="J1748" s="21" t="str">
        <f aca="false">INDEX(Students!$C$2:$C$601,MATCH(B1748,Students!$A$2:$A$601,0))</f>
        <v>Batch 2025</v>
      </c>
      <c r="K1748" s="21" t="str">
        <f aca="false">INDEX(Students!$D$2:$D$601,MATCH(B1748,Students!$A$2:$A$601,0))</f>
        <v>Cybersecurity</v>
      </c>
      <c r="L1748" s="21" t="str">
        <f aca="false">INDEX(Companies!$C$2:$C$31,MATCH(C1748,Companies!$A$2:$A$31,0))</f>
        <v>IT Services</v>
      </c>
      <c r="M1748" s="21" t="str">
        <f aca="false">INDEX(Companies!$D$2:$D$31,MATCH(C1748,Companies!$A$2:$A$31,0))</f>
        <v>Tier 3</v>
      </c>
      <c r="N1748" s="34" t="n">
        <f aca="false">MATCH(F1748,Assumptions!$K$4:$K$8,0)</f>
        <v>5</v>
      </c>
      <c r="O1748" s="21" t="n">
        <f aca="false">IF(H1748="Yes",MONTH(I1748),"")</f>
        <v>3</v>
      </c>
      <c r="P1748" s="21" t="str">
        <f aca="false">IF(H1748="Yes",B1748,"")</f>
        <v>S0291</v>
      </c>
    </row>
    <row r="1749" customFormat="false" ht="15" hidden="false" customHeight="false" outlineLevel="0" collapsed="false">
      <c r="A1749" s="21" t="s">
        <v>2964</v>
      </c>
      <c r="B1749" s="21" t="s">
        <v>605</v>
      </c>
      <c r="C1749" s="21" t="s">
        <v>1263</v>
      </c>
      <c r="D1749" s="21" t="s">
        <v>1226</v>
      </c>
      <c r="E1749" s="33" t="n">
        <v>45669</v>
      </c>
      <c r="F1749" s="21" t="s">
        <v>1175</v>
      </c>
      <c r="G1749" s="32"/>
      <c r="H1749" s="21"/>
      <c r="I1749" s="33"/>
      <c r="J1749" s="21" t="str">
        <f aca="false">INDEX(Students!$C$2:$C$601,MATCH(B1749,Students!$A$2:$A$601,0))</f>
        <v>Batch 2025</v>
      </c>
      <c r="K1749" s="21" t="str">
        <f aca="false">INDEX(Students!$D$2:$D$601,MATCH(B1749,Students!$A$2:$A$601,0))</f>
        <v>Cybersecurity</v>
      </c>
      <c r="L1749" s="21" t="str">
        <f aca="false">INDEX(Companies!$C$2:$C$31,MATCH(C1749,Companies!$A$2:$A$31,0))</f>
        <v>Analytics &amp; Consulting</v>
      </c>
      <c r="M1749" s="21" t="str">
        <f aca="false">INDEX(Companies!$D$2:$D$31,MATCH(C1749,Companies!$A$2:$A$31,0))</f>
        <v>Tier 2</v>
      </c>
      <c r="N1749" s="34" t="n">
        <f aca="false">MATCH(F1749,Assumptions!$K$4:$K$8,0)</f>
        <v>1</v>
      </c>
      <c r="O1749" s="21" t="str">
        <f aca="false">IF(H1749="Yes",MONTH(I1749),"")</f>
        <v/>
      </c>
      <c r="P1749" s="21" t="str">
        <f aca="false">IF(H1749="Yes",B1749,"")</f>
        <v/>
      </c>
    </row>
    <row r="1750" customFormat="false" ht="15" hidden="false" customHeight="false" outlineLevel="0" collapsed="false">
      <c r="A1750" s="21" t="s">
        <v>2965</v>
      </c>
      <c r="B1750" s="21" t="s">
        <v>481</v>
      </c>
      <c r="C1750" s="21" t="s">
        <v>1322</v>
      </c>
      <c r="D1750" s="21" t="s">
        <v>1191</v>
      </c>
      <c r="E1750" s="33" t="n">
        <v>45670</v>
      </c>
      <c r="F1750" s="21" t="s">
        <v>1178</v>
      </c>
      <c r="G1750" s="32"/>
      <c r="H1750" s="21"/>
      <c r="I1750" s="33"/>
      <c r="J1750" s="21" t="str">
        <f aca="false">INDEX(Students!$C$2:$C$601,MATCH(B1750,Students!$A$2:$A$601,0))</f>
        <v>Batch 2025</v>
      </c>
      <c r="K1750" s="21" t="str">
        <f aca="false">INDEX(Students!$D$2:$D$601,MATCH(B1750,Students!$A$2:$A$601,0))</f>
        <v>DSA with Java</v>
      </c>
      <c r="L1750" s="21" t="str">
        <f aca="false">INDEX(Companies!$C$2:$C$31,MATCH(C1750,Companies!$A$2:$A$31,0))</f>
        <v>Healthtech</v>
      </c>
      <c r="M1750" s="21" t="str">
        <f aca="false">INDEX(Companies!$D$2:$D$31,MATCH(C1750,Companies!$A$2:$A$31,0))</f>
        <v>Tier 2</v>
      </c>
      <c r="N1750" s="34" t="n">
        <f aca="false">MATCH(F1750,Assumptions!$K$4:$K$8,0)</f>
        <v>2</v>
      </c>
      <c r="O1750" s="21" t="str">
        <f aca="false">IF(H1750="Yes",MONTH(I1750),"")</f>
        <v/>
      </c>
      <c r="P1750" s="21" t="str">
        <f aca="false">IF(H1750="Yes",B1750,"")</f>
        <v/>
      </c>
    </row>
    <row r="1751" customFormat="false" ht="15" hidden="false" customHeight="false" outlineLevel="0" collapsed="false">
      <c r="A1751" s="21" t="s">
        <v>2966</v>
      </c>
      <c r="B1751" s="21" t="s">
        <v>542</v>
      </c>
      <c r="C1751" s="21" t="s">
        <v>1199</v>
      </c>
      <c r="D1751" s="21" t="s">
        <v>1191</v>
      </c>
      <c r="E1751" s="33" t="n">
        <v>45670</v>
      </c>
      <c r="F1751" s="21" t="s">
        <v>1178</v>
      </c>
      <c r="G1751" s="32"/>
      <c r="H1751" s="21"/>
      <c r="I1751" s="33"/>
      <c r="J1751" s="21" t="str">
        <f aca="false">INDEX(Students!$C$2:$C$601,MATCH(B1751,Students!$A$2:$A$601,0))</f>
        <v>Batch 2025</v>
      </c>
      <c r="K1751" s="21" t="str">
        <f aca="false">INDEX(Students!$D$2:$D$601,MATCH(B1751,Students!$A$2:$A$601,0))</f>
        <v>DSA with Java</v>
      </c>
      <c r="L1751" s="21" t="str">
        <f aca="false">INDEX(Companies!$C$2:$C$31,MATCH(C1751,Companies!$A$2:$A$31,0))</f>
        <v>E-commerce</v>
      </c>
      <c r="M1751" s="21" t="str">
        <f aca="false">INDEX(Companies!$D$2:$D$31,MATCH(C1751,Companies!$A$2:$A$31,0))</f>
        <v>Tier 2</v>
      </c>
      <c r="N1751" s="34" t="n">
        <f aca="false">MATCH(F1751,Assumptions!$K$4:$K$8,0)</f>
        <v>2</v>
      </c>
      <c r="O1751" s="21" t="str">
        <f aca="false">IF(H1751="Yes",MONTH(I1751),"")</f>
        <v/>
      </c>
      <c r="P1751" s="21" t="str">
        <f aca="false">IF(H1751="Yes",B1751,"")</f>
        <v/>
      </c>
    </row>
    <row r="1752" customFormat="false" ht="15" hidden="false" customHeight="false" outlineLevel="0" collapsed="false">
      <c r="A1752" s="21" t="s">
        <v>2967</v>
      </c>
      <c r="B1752" s="21" t="s">
        <v>522</v>
      </c>
      <c r="C1752" s="21" t="s">
        <v>1239</v>
      </c>
      <c r="D1752" s="21" t="s">
        <v>1184</v>
      </c>
      <c r="E1752" s="33" t="n">
        <v>45670</v>
      </c>
      <c r="F1752" s="21" t="s">
        <v>1185</v>
      </c>
      <c r="G1752" s="32" t="n">
        <v>7.3</v>
      </c>
      <c r="H1752" s="21" t="s">
        <v>120</v>
      </c>
      <c r="I1752" s="33" t="n">
        <v>45691</v>
      </c>
      <c r="J1752" s="21" t="str">
        <f aca="false">INDEX(Students!$C$2:$C$601,MATCH(B1752,Students!$A$2:$A$601,0))</f>
        <v>Batch 2025</v>
      </c>
      <c r="K1752" s="21" t="str">
        <f aca="false">INDEX(Students!$D$2:$D$601,MATCH(B1752,Students!$A$2:$A$601,0))</f>
        <v>DSA with Java</v>
      </c>
      <c r="L1752" s="21" t="str">
        <f aca="false">INDEX(Companies!$C$2:$C$31,MATCH(C1752,Companies!$A$2:$A$31,0))</f>
        <v>E-commerce</v>
      </c>
      <c r="M1752" s="21" t="str">
        <f aca="false">INDEX(Companies!$D$2:$D$31,MATCH(C1752,Companies!$A$2:$A$31,0))</f>
        <v>Tier 3</v>
      </c>
      <c r="N1752" s="34" t="n">
        <f aca="false">MATCH(F1752,Assumptions!$K$4:$K$8,0)</f>
        <v>5</v>
      </c>
      <c r="O1752" s="21" t="n">
        <f aca="false">IF(H1752="Yes",MONTH(I1752),"")</f>
        <v>2</v>
      </c>
      <c r="P1752" s="21" t="str">
        <f aca="false">IF(H1752="Yes",B1752,"")</f>
        <v>S0218</v>
      </c>
    </row>
    <row r="1753" customFormat="false" ht="15" hidden="false" customHeight="false" outlineLevel="0" collapsed="false">
      <c r="A1753" s="21" t="s">
        <v>2968</v>
      </c>
      <c r="B1753" s="21" t="s">
        <v>522</v>
      </c>
      <c r="C1753" s="21" t="s">
        <v>1255</v>
      </c>
      <c r="D1753" s="21" t="s">
        <v>1191</v>
      </c>
      <c r="E1753" s="33" t="n">
        <v>45670</v>
      </c>
      <c r="F1753" s="21" t="s">
        <v>1218</v>
      </c>
      <c r="G1753" s="32"/>
      <c r="H1753" s="21"/>
      <c r="I1753" s="33"/>
      <c r="J1753" s="21" t="str">
        <f aca="false">INDEX(Students!$C$2:$C$601,MATCH(B1753,Students!$A$2:$A$601,0))</f>
        <v>Batch 2025</v>
      </c>
      <c r="K1753" s="21" t="str">
        <f aca="false">INDEX(Students!$D$2:$D$601,MATCH(B1753,Students!$A$2:$A$601,0))</f>
        <v>DSA with Java</v>
      </c>
      <c r="L1753" s="21" t="str">
        <f aca="false">INDEX(Companies!$C$2:$C$31,MATCH(C1753,Companies!$A$2:$A$31,0))</f>
        <v>IT Services</v>
      </c>
      <c r="M1753" s="21" t="str">
        <f aca="false">INDEX(Companies!$D$2:$D$31,MATCH(C1753,Companies!$A$2:$A$31,0))</f>
        <v>Tier 3</v>
      </c>
      <c r="N1753" s="34" t="n">
        <f aca="false">MATCH(F1753,Assumptions!$K$4:$K$8,0)</f>
        <v>4</v>
      </c>
      <c r="O1753" s="21" t="str">
        <f aca="false">IF(H1753="Yes",MONTH(I1753),"")</f>
        <v/>
      </c>
      <c r="P1753" s="21" t="str">
        <f aca="false">IF(H1753="Yes",B1753,"")</f>
        <v/>
      </c>
    </row>
    <row r="1754" customFormat="false" ht="15" hidden="false" customHeight="false" outlineLevel="0" collapsed="false">
      <c r="A1754" s="21" t="s">
        <v>2969</v>
      </c>
      <c r="B1754" s="21" t="s">
        <v>690</v>
      </c>
      <c r="C1754" s="21" t="s">
        <v>1255</v>
      </c>
      <c r="D1754" s="21" t="s">
        <v>1191</v>
      </c>
      <c r="E1754" s="33" t="n">
        <v>45670</v>
      </c>
      <c r="F1754" s="21" t="s">
        <v>1175</v>
      </c>
      <c r="G1754" s="32"/>
      <c r="H1754" s="21"/>
      <c r="I1754" s="33"/>
      <c r="J1754" s="21" t="str">
        <f aca="false">INDEX(Students!$C$2:$C$601,MATCH(B1754,Students!$A$2:$A$601,0))</f>
        <v>Batch 2025</v>
      </c>
      <c r="K1754" s="21" t="str">
        <f aca="false">INDEX(Students!$D$2:$D$601,MATCH(B1754,Students!$A$2:$A$601,0))</f>
        <v>DSA with Java</v>
      </c>
      <c r="L1754" s="21" t="str">
        <f aca="false">INDEX(Companies!$C$2:$C$31,MATCH(C1754,Companies!$A$2:$A$31,0))</f>
        <v>IT Services</v>
      </c>
      <c r="M1754" s="21" t="str">
        <f aca="false">INDEX(Companies!$D$2:$D$31,MATCH(C1754,Companies!$A$2:$A$31,0))</f>
        <v>Tier 3</v>
      </c>
      <c r="N1754" s="34" t="n">
        <f aca="false">MATCH(F1754,Assumptions!$K$4:$K$8,0)</f>
        <v>1</v>
      </c>
      <c r="O1754" s="21" t="str">
        <f aca="false">IF(H1754="Yes",MONTH(I1754),"")</f>
        <v/>
      </c>
      <c r="P1754" s="21" t="str">
        <f aca="false">IF(H1754="Yes",B1754,"")</f>
        <v/>
      </c>
    </row>
    <row r="1755" customFormat="false" ht="15" hidden="false" customHeight="false" outlineLevel="0" collapsed="false">
      <c r="A1755" s="21" t="s">
        <v>2970</v>
      </c>
      <c r="B1755" s="21" t="s">
        <v>554</v>
      </c>
      <c r="C1755" s="21" t="s">
        <v>1222</v>
      </c>
      <c r="D1755" s="21" t="s">
        <v>1184</v>
      </c>
      <c r="E1755" s="33" t="n">
        <v>45670</v>
      </c>
      <c r="F1755" s="21" t="s">
        <v>1197</v>
      </c>
      <c r="G1755" s="32"/>
      <c r="H1755" s="21"/>
      <c r="I1755" s="33"/>
      <c r="J1755" s="21" t="str">
        <f aca="false">INDEX(Students!$C$2:$C$601,MATCH(B1755,Students!$A$2:$A$601,0))</f>
        <v>Batch 2025</v>
      </c>
      <c r="K1755" s="21" t="str">
        <f aca="false">INDEX(Students!$D$2:$D$601,MATCH(B1755,Students!$A$2:$A$601,0))</f>
        <v>DSA with Java</v>
      </c>
      <c r="L1755" s="21" t="str">
        <f aca="false">INDEX(Companies!$C$2:$C$31,MATCH(C1755,Companies!$A$2:$A$31,0))</f>
        <v>Product</v>
      </c>
      <c r="M1755" s="21" t="str">
        <f aca="false">INDEX(Companies!$D$2:$D$31,MATCH(C1755,Companies!$A$2:$A$31,0))</f>
        <v>Tier 2</v>
      </c>
      <c r="N1755" s="34" t="n">
        <f aca="false">MATCH(F1755,Assumptions!$K$4:$K$8,0)</f>
        <v>3</v>
      </c>
      <c r="O1755" s="21" t="str">
        <f aca="false">IF(H1755="Yes",MONTH(I1755),"")</f>
        <v/>
      </c>
      <c r="P1755" s="21" t="str">
        <f aca="false">IF(H1755="Yes",B1755,"")</f>
        <v/>
      </c>
    </row>
    <row r="1756" customFormat="false" ht="15" hidden="false" customHeight="false" outlineLevel="0" collapsed="false">
      <c r="A1756" s="21" t="s">
        <v>2971</v>
      </c>
      <c r="B1756" s="21" t="s">
        <v>495</v>
      </c>
      <c r="C1756" s="21" t="s">
        <v>1190</v>
      </c>
      <c r="D1756" s="21" t="s">
        <v>1243</v>
      </c>
      <c r="E1756" s="33" t="n">
        <v>45670</v>
      </c>
      <c r="F1756" s="21" t="s">
        <v>1175</v>
      </c>
      <c r="G1756" s="32"/>
      <c r="H1756" s="21"/>
      <c r="I1756" s="33"/>
      <c r="J1756" s="21" t="str">
        <f aca="false">INDEX(Students!$C$2:$C$601,MATCH(B1756,Students!$A$2:$A$601,0))</f>
        <v>Batch 2025</v>
      </c>
      <c r="K1756" s="21" t="str">
        <f aca="false">INDEX(Students!$D$2:$D$601,MATCH(B1756,Students!$A$2:$A$601,0))</f>
        <v>Data Science &amp; ML</v>
      </c>
      <c r="L1756" s="21" t="str">
        <f aca="false">INDEX(Companies!$C$2:$C$31,MATCH(C1756,Companies!$A$2:$A$31,0))</f>
        <v>Analytics &amp; Consulting</v>
      </c>
      <c r="M1756" s="21" t="str">
        <f aca="false">INDEX(Companies!$D$2:$D$31,MATCH(C1756,Companies!$A$2:$A$31,0))</f>
        <v>Tier 1</v>
      </c>
      <c r="N1756" s="34" t="n">
        <f aca="false">MATCH(F1756,Assumptions!$K$4:$K$8,0)</f>
        <v>1</v>
      </c>
      <c r="O1756" s="21" t="str">
        <f aca="false">IF(H1756="Yes",MONTH(I1756),"")</f>
        <v/>
      </c>
      <c r="P1756" s="21" t="str">
        <f aca="false">IF(H1756="Yes",B1756,"")</f>
        <v/>
      </c>
    </row>
    <row r="1757" customFormat="false" ht="15" hidden="false" customHeight="false" outlineLevel="0" collapsed="false">
      <c r="A1757" s="21" t="s">
        <v>2972</v>
      </c>
      <c r="B1757" s="21" t="s">
        <v>790</v>
      </c>
      <c r="C1757" s="21" t="s">
        <v>1263</v>
      </c>
      <c r="D1757" s="21" t="s">
        <v>1194</v>
      </c>
      <c r="E1757" s="33" t="n">
        <v>45670</v>
      </c>
      <c r="F1757" s="21" t="s">
        <v>1185</v>
      </c>
      <c r="G1757" s="32" t="n">
        <v>11.4</v>
      </c>
      <c r="H1757" s="21" t="s">
        <v>113</v>
      </c>
      <c r="I1757" s="33" t="n">
        <v>45715</v>
      </c>
      <c r="J1757" s="21" t="str">
        <f aca="false">INDEX(Students!$C$2:$C$601,MATCH(B1757,Students!$A$2:$A$601,0))</f>
        <v>Batch 2025</v>
      </c>
      <c r="K1757" s="21" t="str">
        <f aca="false">INDEX(Students!$D$2:$D$601,MATCH(B1757,Students!$A$2:$A$601,0))</f>
        <v>Data Science &amp; ML</v>
      </c>
      <c r="L1757" s="21" t="str">
        <f aca="false">INDEX(Companies!$C$2:$C$31,MATCH(C1757,Companies!$A$2:$A$31,0))</f>
        <v>Analytics &amp; Consulting</v>
      </c>
      <c r="M1757" s="21" t="str">
        <f aca="false">INDEX(Companies!$D$2:$D$31,MATCH(C1757,Companies!$A$2:$A$31,0))</f>
        <v>Tier 2</v>
      </c>
      <c r="N1757" s="34" t="n">
        <f aca="false">MATCH(F1757,Assumptions!$K$4:$K$8,0)</f>
        <v>5</v>
      </c>
      <c r="O1757" s="21" t="str">
        <f aca="false">IF(H1757="Yes",MONTH(I1757),"")</f>
        <v/>
      </c>
      <c r="P1757" s="21" t="str">
        <f aca="false">IF(H1757="Yes",B1757,"")</f>
        <v/>
      </c>
    </row>
    <row r="1758" customFormat="false" ht="15" hidden="false" customHeight="false" outlineLevel="0" collapsed="false">
      <c r="A1758" s="21" t="s">
        <v>2973</v>
      </c>
      <c r="B1758" s="21" t="s">
        <v>599</v>
      </c>
      <c r="C1758" s="21" t="s">
        <v>1263</v>
      </c>
      <c r="D1758" s="21" t="s">
        <v>1174</v>
      </c>
      <c r="E1758" s="33" t="n">
        <v>45670</v>
      </c>
      <c r="F1758" s="21" t="s">
        <v>1178</v>
      </c>
      <c r="G1758" s="32"/>
      <c r="H1758" s="21"/>
      <c r="I1758" s="33"/>
      <c r="J1758" s="21" t="str">
        <f aca="false">INDEX(Students!$C$2:$C$601,MATCH(B1758,Students!$A$2:$A$601,0))</f>
        <v>Batch 2025</v>
      </c>
      <c r="K1758" s="21" t="str">
        <f aca="false">INDEX(Students!$D$2:$D$601,MATCH(B1758,Students!$A$2:$A$601,0))</f>
        <v>Full Stack Development</v>
      </c>
      <c r="L1758" s="21" t="str">
        <f aca="false">INDEX(Companies!$C$2:$C$31,MATCH(C1758,Companies!$A$2:$A$31,0))</f>
        <v>Analytics &amp; Consulting</v>
      </c>
      <c r="M1758" s="21" t="str">
        <f aca="false">INDEX(Companies!$D$2:$D$31,MATCH(C1758,Companies!$A$2:$A$31,0))</f>
        <v>Tier 2</v>
      </c>
      <c r="N1758" s="34" t="n">
        <f aca="false">MATCH(F1758,Assumptions!$K$4:$K$8,0)</f>
        <v>2</v>
      </c>
      <c r="O1758" s="21" t="str">
        <f aca="false">IF(H1758="Yes",MONTH(I1758),"")</f>
        <v/>
      </c>
      <c r="P1758" s="21" t="str">
        <f aca="false">IF(H1758="Yes",B1758,"")</f>
        <v/>
      </c>
    </row>
    <row r="1759" customFormat="false" ht="15" hidden="false" customHeight="false" outlineLevel="0" collapsed="false">
      <c r="A1759" s="21" t="s">
        <v>2974</v>
      </c>
      <c r="B1759" s="21" t="s">
        <v>657</v>
      </c>
      <c r="C1759" s="21" t="s">
        <v>1255</v>
      </c>
      <c r="D1759" s="21" t="s">
        <v>1174</v>
      </c>
      <c r="E1759" s="33" t="n">
        <v>45671</v>
      </c>
      <c r="F1759" s="21" t="s">
        <v>1178</v>
      </c>
      <c r="G1759" s="32"/>
      <c r="H1759" s="21"/>
      <c r="I1759" s="33"/>
      <c r="J1759" s="21" t="str">
        <f aca="false">INDEX(Students!$C$2:$C$601,MATCH(B1759,Students!$A$2:$A$601,0))</f>
        <v>Batch 2025</v>
      </c>
      <c r="K1759" s="21" t="str">
        <f aca="false">INDEX(Students!$D$2:$D$601,MATCH(B1759,Students!$A$2:$A$601,0))</f>
        <v>Full Stack Development</v>
      </c>
      <c r="L1759" s="21" t="str">
        <f aca="false">INDEX(Companies!$C$2:$C$31,MATCH(C1759,Companies!$A$2:$A$31,0))</f>
        <v>IT Services</v>
      </c>
      <c r="M1759" s="21" t="str">
        <f aca="false">INDEX(Companies!$D$2:$D$31,MATCH(C1759,Companies!$A$2:$A$31,0))</f>
        <v>Tier 3</v>
      </c>
      <c r="N1759" s="34" t="n">
        <f aca="false">MATCH(F1759,Assumptions!$K$4:$K$8,0)</f>
        <v>2</v>
      </c>
      <c r="O1759" s="21" t="str">
        <f aca="false">IF(H1759="Yes",MONTH(I1759),"")</f>
        <v/>
      </c>
      <c r="P1759" s="21" t="str">
        <f aca="false">IF(H1759="Yes",B1759,"")</f>
        <v/>
      </c>
    </row>
    <row r="1760" customFormat="false" ht="15" hidden="false" customHeight="false" outlineLevel="0" collapsed="false">
      <c r="A1760" s="21" t="s">
        <v>2975</v>
      </c>
      <c r="B1760" s="21" t="s">
        <v>672</v>
      </c>
      <c r="C1760" s="21" t="s">
        <v>1255</v>
      </c>
      <c r="D1760" s="21" t="s">
        <v>1191</v>
      </c>
      <c r="E1760" s="33" t="n">
        <v>45671</v>
      </c>
      <c r="F1760" s="21" t="s">
        <v>1175</v>
      </c>
      <c r="G1760" s="32"/>
      <c r="H1760" s="21"/>
      <c r="I1760" s="33"/>
      <c r="J1760" s="21" t="str">
        <f aca="false">INDEX(Students!$C$2:$C$601,MATCH(B1760,Students!$A$2:$A$601,0))</f>
        <v>Batch 2025</v>
      </c>
      <c r="K1760" s="21" t="str">
        <f aca="false">INDEX(Students!$D$2:$D$601,MATCH(B1760,Students!$A$2:$A$601,0))</f>
        <v>DSA with Java</v>
      </c>
      <c r="L1760" s="21" t="str">
        <f aca="false">INDEX(Companies!$C$2:$C$31,MATCH(C1760,Companies!$A$2:$A$31,0))</f>
        <v>IT Services</v>
      </c>
      <c r="M1760" s="21" t="str">
        <f aca="false">INDEX(Companies!$D$2:$D$31,MATCH(C1760,Companies!$A$2:$A$31,0))</f>
        <v>Tier 3</v>
      </c>
      <c r="N1760" s="34" t="n">
        <f aca="false">MATCH(F1760,Assumptions!$K$4:$K$8,0)</f>
        <v>1</v>
      </c>
      <c r="O1760" s="21" t="str">
        <f aca="false">IF(H1760="Yes",MONTH(I1760),"")</f>
        <v/>
      </c>
      <c r="P1760" s="21" t="str">
        <f aca="false">IF(H1760="Yes",B1760,"")</f>
        <v/>
      </c>
    </row>
    <row r="1761" customFormat="false" ht="15" hidden="false" customHeight="false" outlineLevel="0" collapsed="false">
      <c r="A1761" s="21" t="s">
        <v>2976</v>
      </c>
      <c r="B1761" s="21" t="s">
        <v>630</v>
      </c>
      <c r="C1761" s="21" t="s">
        <v>1225</v>
      </c>
      <c r="D1761" s="21" t="s">
        <v>1181</v>
      </c>
      <c r="E1761" s="33" t="n">
        <v>45671</v>
      </c>
      <c r="F1761" s="21" t="s">
        <v>1175</v>
      </c>
      <c r="G1761" s="32"/>
      <c r="H1761" s="21"/>
      <c r="I1761" s="33"/>
      <c r="J1761" s="21" t="str">
        <f aca="false">INDEX(Students!$C$2:$C$601,MATCH(B1761,Students!$A$2:$A$601,0))</f>
        <v>Batch 2025</v>
      </c>
      <c r="K1761" s="21" t="str">
        <f aca="false">INDEX(Students!$D$2:$D$601,MATCH(B1761,Students!$A$2:$A$601,0))</f>
        <v>Full Stack Development</v>
      </c>
      <c r="L1761" s="21" t="str">
        <f aca="false">INDEX(Companies!$C$2:$C$31,MATCH(C1761,Companies!$A$2:$A$31,0))</f>
        <v>EdTech</v>
      </c>
      <c r="M1761" s="21" t="str">
        <f aca="false">INDEX(Companies!$D$2:$D$31,MATCH(C1761,Companies!$A$2:$A$31,0))</f>
        <v>Tier 2</v>
      </c>
      <c r="N1761" s="34" t="n">
        <f aca="false">MATCH(F1761,Assumptions!$K$4:$K$8,0)</f>
        <v>1</v>
      </c>
      <c r="O1761" s="21" t="str">
        <f aca="false">IF(H1761="Yes",MONTH(I1761),"")</f>
        <v/>
      </c>
      <c r="P1761" s="21" t="str">
        <f aca="false">IF(H1761="Yes",B1761,"")</f>
        <v/>
      </c>
    </row>
    <row r="1762" customFormat="false" ht="15" hidden="false" customHeight="false" outlineLevel="0" collapsed="false">
      <c r="A1762" s="21" t="s">
        <v>2977</v>
      </c>
      <c r="B1762" s="21" t="s">
        <v>688</v>
      </c>
      <c r="C1762" s="21" t="s">
        <v>1216</v>
      </c>
      <c r="D1762" s="21" t="s">
        <v>1226</v>
      </c>
      <c r="E1762" s="33" t="n">
        <v>45671</v>
      </c>
      <c r="F1762" s="21" t="s">
        <v>1197</v>
      </c>
      <c r="G1762" s="32"/>
      <c r="H1762" s="21"/>
      <c r="I1762" s="33"/>
      <c r="J1762" s="21" t="str">
        <f aca="false">INDEX(Students!$C$2:$C$601,MATCH(B1762,Students!$A$2:$A$601,0))</f>
        <v>Batch 2025</v>
      </c>
      <c r="K1762" s="21" t="str">
        <f aca="false">INDEX(Students!$D$2:$D$601,MATCH(B1762,Students!$A$2:$A$601,0))</f>
        <v>Cybersecurity</v>
      </c>
      <c r="L1762" s="21" t="str">
        <f aca="false">INDEX(Companies!$C$2:$C$31,MATCH(C1762,Companies!$A$2:$A$31,0))</f>
        <v>IT Services</v>
      </c>
      <c r="M1762" s="21" t="str">
        <f aca="false">INDEX(Companies!$D$2:$D$31,MATCH(C1762,Companies!$A$2:$A$31,0))</f>
        <v>Tier 3</v>
      </c>
      <c r="N1762" s="34" t="n">
        <f aca="false">MATCH(F1762,Assumptions!$K$4:$K$8,0)</f>
        <v>3</v>
      </c>
      <c r="O1762" s="21" t="str">
        <f aca="false">IF(H1762="Yes",MONTH(I1762),"")</f>
        <v/>
      </c>
      <c r="P1762" s="21" t="str">
        <f aca="false">IF(H1762="Yes",B1762,"")</f>
        <v/>
      </c>
    </row>
    <row r="1763" customFormat="false" ht="15" hidden="false" customHeight="false" outlineLevel="0" collapsed="false">
      <c r="A1763" s="21" t="s">
        <v>2978</v>
      </c>
      <c r="B1763" s="21" t="s">
        <v>701</v>
      </c>
      <c r="C1763" s="21" t="s">
        <v>1263</v>
      </c>
      <c r="D1763" s="21" t="s">
        <v>1226</v>
      </c>
      <c r="E1763" s="33" t="n">
        <v>45671</v>
      </c>
      <c r="F1763" s="21" t="s">
        <v>1175</v>
      </c>
      <c r="G1763" s="32"/>
      <c r="H1763" s="21"/>
      <c r="I1763" s="33"/>
      <c r="J1763" s="21" t="str">
        <f aca="false">INDEX(Students!$C$2:$C$601,MATCH(B1763,Students!$A$2:$A$601,0))</f>
        <v>Batch 2025</v>
      </c>
      <c r="K1763" s="21" t="str">
        <f aca="false">INDEX(Students!$D$2:$D$601,MATCH(B1763,Students!$A$2:$A$601,0))</f>
        <v>Cybersecurity</v>
      </c>
      <c r="L1763" s="21" t="str">
        <f aca="false">INDEX(Companies!$C$2:$C$31,MATCH(C1763,Companies!$A$2:$A$31,0))</f>
        <v>Analytics &amp; Consulting</v>
      </c>
      <c r="M1763" s="21" t="str">
        <f aca="false">INDEX(Companies!$D$2:$D$31,MATCH(C1763,Companies!$A$2:$A$31,0))</f>
        <v>Tier 2</v>
      </c>
      <c r="N1763" s="34" t="n">
        <f aca="false">MATCH(F1763,Assumptions!$K$4:$K$8,0)</f>
        <v>1</v>
      </c>
      <c r="O1763" s="21" t="str">
        <f aca="false">IF(H1763="Yes",MONTH(I1763),"")</f>
        <v/>
      </c>
      <c r="P1763" s="21" t="str">
        <f aca="false">IF(H1763="Yes",B1763,"")</f>
        <v/>
      </c>
    </row>
    <row r="1764" customFormat="false" ht="15" hidden="false" customHeight="false" outlineLevel="0" collapsed="false">
      <c r="A1764" s="21" t="s">
        <v>2979</v>
      </c>
      <c r="B1764" s="21" t="s">
        <v>517</v>
      </c>
      <c r="C1764" s="21" t="s">
        <v>1239</v>
      </c>
      <c r="D1764" s="21" t="s">
        <v>1191</v>
      </c>
      <c r="E1764" s="33" t="n">
        <v>45671</v>
      </c>
      <c r="F1764" s="21" t="s">
        <v>1175</v>
      </c>
      <c r="G1764" s="32"/>
      <c r="H1764" s="21"/>
      <c r="I1764" s="33"/>
      <c r="J1764" s="21" t="str">
        <f aca="false">INDEX(Students!$C$2:$C$601,MATCH(B1764,Students!$A$2:$A$601,0))</f>
        <v>Batch 2025</v>
      </c>
      <c r="K1764" s="21" t="str">
        <f aca="false">INDEX(Students!$D$2:$D$601,MATCH(B1764,Students!$A$2:$A$601,0))</f>
        <v>DSA with Java</v>
      </c>
      <c r="L1764" s="21" t="str">
        <f aca="false">INDEX(Companies!$C$2:$C$31,MATCH(C1764,Companies!$A$2:$A$31,0))</f>
        <v>E-commerce</v>
      </c>
      <c r="M1764" s="21" t="str">
        <f aca="false">INDEX(Companies!$D$2:$D$31,MATCH(C1764,Companies!$A$2:$A$31,0))</f>
        <v>Tier 3</v>
      </c>
      <c r="N1764" s="34" t="n">
        <f aca="false">MATCH(F1764,Assumptions!$K$4:$K$8,0)</f>
        <v>1</v>
      </c>
      <c r="O1764" s="21" t="str">
        <f aca="false">IF(H1764="Yes",MONTH(I1764),"")</f>
        <v/>
      </c>
      <c r="P1764" s="21" t="str">
        <f aca="false">IF(H1764="Yes",B1764,"")</f>
        <v/>
      </c>
    </row>
    <row r="1765" customFormat="false" ht="15" hidden="false" customHeight="false" outlineLevel="0" collapsed="false">
      <c r="A1765" s="21" t="s">
        <v>2980</v>
      </c>
      <c r="B1765" s="21" t="s">
        <v>691</v>
      </c>
      <c r="C1765" s="21" t="s">
        <v>1225</v>
      </c>
      <c r="D1765" s="21" t="s">
        <v>1188</v>
      </c>
      <c r="E1765" s="33" t="n">
        <v>45671</v>
      </c>
      <c r="F1765" s="21" t="s">
        <v>1178</v>
      </c>
      <c r="G1765" s="32"/>
      <c r="H1765" s="21"/>
      <c r="I1765" s="33"/>
      <c r="J1765" s="21" t="str">
        <f aca="false">INDEX(Students!$C$2:$C$601,MATCH(B1765,Students!$A$2:$A$601,0))</f>
        <v>Batch 2025</v>
      </c>
      <c r="K1765" s="21" t="str">
        <f aca="false">INDEX(Students!$D$2:$D$601,MATCH(B1765,Students!$A$2:$A$601,0))</f>
        <v>Data Analytics</v>
      </c>
      <c r="L1765" s="21" t="str">
        <f aca="false">INDEX(Companies!$C$2:$C$31,MATCH(C1765,Companies!$A$2:$A$31,0))</f>
        <v>EdTech</v>
      </c>
      <c r="M1765" s="21" t="str">
        <f aca="false">INDEX(Companies!$D$2:$D$31,MATCH(C1765,Companies!$A$2:$A$31,0))</f>
        <v>Tier 2</v>
      </c>
      <c r="N1765" s="34" t="n">
        <f aca="false">MATCH(F1765,Assumptions!$K$4:$K$8,0)</f>
        <v>2</v>
      </c>
      <c r="O1765" s="21" t="str">
        <f aca="false">IF(H1765="Yes",MONTH(I1765),"")</f>
        <v/>
      </c>
      <c r="P1765" s="21" t="str">
        <f aca="false">IF(H1765="Yes",B1765,"")</f>
        <v/>
      </c>
    </row>
    <row r="1766" customFormat="false" ht="15" hidden="false" customHeight="false" outlineLevel="0" collapsed="false">
      <c r="A1766" s="21" t="s">
        <v>2981</v>
      </c>
      <c r="B1766" s="21" t="s">
        <v>630</v>
      </c>
      <c r="C1766" s="21" t="s">
        <v>1234</v>
      </c>
      <c r="D1766" s="21" t="s">
        <v>1181</v>
      </c>
      <c r="E1766" s="33" t="n">
        <v>45672</v>
      </c>
      <c r="F1766" s="21" t="s">
        <v>1197</v>
      </c>
      <c r="G1766" s="32"/>
      <c r="H1766" s="21"/>
      <c r="I1766" s="33"/>
      <c r="J1766" s="21" t="str">
        <f aca="false">INDEX(Students!$C$2:$C$601,MATCH(B1766,Students!$A$2:$A$601,0))</f>
        <v>Batch 2025</v>
      </c>
      <c r="K1766" s="21" t="str">
        <f aca="false">INDEX(Students!$D$2:$D$601,MATCH(B1766,Students!$A$2:$A$601,0))</f>
        <v>Full Stack Development</v>
      </c>
      <c r="L1766" s="21" t="str">
        <f aca="false">INDEX(Companies!$C$2:$C$31,MATCH(C1766,Companies!$A$2:$A$31,0))</f>
        <v>EdTech</v>
      </c>
      <c r="M1766" s="21" t="str">
        <f aca="false">INDEX(Companies!$D$2:$D$31,MATCH(C1766,Companies!$A$2:$A$31,0))</f>
        <v>Tier 3</v>
      </c>
      <c r="N1766" s="34" t="n">
        <f aca="false">MATCH(F1766,Assumptions!$K$4:$K$8,0)</f>
        <v>3</v>
      </c>
      <c r="O1766" s="21" t="str">
        <f aca="false">IF(H1766="Yes",MONTH(I1766),"")</f>
        <v/>
      </c>
      <c r="P1766" s="21" t="str">
        <f aca="false">IF(H1766="Yes",B1766,"")</f>
        <v/>
      </c>
    </row>
    <row r="1767" customFormat="false" ht="15" hidden="false" customHeight="false" outlineLevel="0" collapsed="false">
      <c r="A1767" s="21" t="s">
        <v>2982</v>
      </c>
      <c r="B1767" s="21" t="s">
        <v>687</v>
      </c>
      <c r="C1767" s="21" t="s">
        <v>1275</v>
      </c>
      <c r="D1767" s="21" t="s">
        <v>1226</v>
      </c>
      <c r="E1767" s="33" t="n">
        <v>45672</v>
      </c>
      <c r="F1767" s="21" t="s">
        <v>1175</v>
      </c>
      <c r="G1767" s="32"/>
      <c r="H1767" s="21"/>
      <c r="I1767" s="33"/>
      <c r="J1767" s="21" t="str">
        <f aca="false">INDEX(Students!$C$2:$C$601,MATCH(B1767,Students!$A$2:$A$601,0))</f>
        <v>Batch 2025</v>
      </c>
      <c r="K1767" s="21" t="str">
        <f aca="false">INDEX(Students!$D$2:$D$601,MATCH(B1767,Students!$A$2:$A$601,0))</f>
        <v>Cybersecurity</v>
      </c>
      <c r="L1767" s="21" t="str">
        <f aca="false">INDEX(Companies!$C$2:$C$31,MATCH(C1767,Companies!$A$2:$A$31,0))</f>
        <v>Cybersecurity</v>
      </c>
      <c r="M1767" s="21" t="str">
        <f aca="false">INDEX(Companies!$D$2:$D$31,MATCH(C1767,Companies!$A$2:$A$31,0))</f>
        <v>Tier 2</v>
      </c>
      <c r="N1767" s="34" t="n">
        <f aca="false">MATCH(F1767,Assumptions!$K$4:$K$8,0)</f>
        <v>1</v>
      </c>
      <c r="O1767" s="21" t="str">
        <f aca="false">IF(H1767="Yes",MONTH(I1767),"")</f>
        <v/>
      </c>
      <c r="P1767" s="21" t="str">
        <f aca="false">IF(H1767="Yes",B1767,"")</f>
        <v/>
      </c>
    </row>
    <row r="1768" customFormat="false" ht="15" hidden="false" customHeight="false" outlineLevel="0" collapsed="false">
      <c r="A1768" s="21" t="s">
        <v>2983</v>
      </c>
      <c r="B1768" s="21" t="s">
        <v>622</v>
      </c>
      <c r="C1768" s="21" t="s">
        <v>1199</v>
      </c>
      <c r="D1768" s="21" t="s">
        <v>1174</v>
      </c>
      <c r="E1768" s="33" t="n">
        <v>45672</v>
      </c>
      <c r="F1768" s="21" t="s">
        <v>1175</v>
      </c>
      <c r="G1768" s="32"/>
      <c r="H1768" s="21"/>
      <c r="I1768" s="33"/>
      <c r="J1768" s="21" t="str">
        <f aca="false">INDEX(Students!$C$2:$C$601,MATCH(B1768,Students!$A$2:$A$601,0))</f>
        <v>Batch 2025</v>
      </c>
      <c r="K1768" s="21" t="str">
        <f aca="false">INDEX(Students!$D$2:$D$601,MATCH(B1768,Students!$A$2:$A$601,0))</f>
        <v>Full Stack Development</v>
      </c>
      <c r="L1768" s="21" t="str">
        <f aca="false">INDEX(Companies!$C$2:$C$31,MATCH(C1768,Companies!$A$2:$A$31,0))</f>
        <v>E-commerce</v>
      </c>
      <c r="M1768" s="21" t="str">
        <f aca="false">INDEX(Companies!$D$2:$D$31,MATCH(C1768,Companies!$A$2:$A$31,0))</f>
        <v>Tier 2</v>
      </c>
      <c r="N1768" s="34" t="n">
        <f aca="false">MATCH(F1768,Assumptions!$K$4:$K$8,0)</f>
        <v>1</v>
      </c>
      <c r="O1768" s="21" t="str">
        <f aca="false">IF(H1768="Yes",MONTH(I1768),"")</f>
        <v/>
      </c>
      <c r="P1768" s="21" t="str">
        <f aca="false">IF(H1768="Yes",B1768,"")</f>
        <v/>
      </c>
    </row>
    <row r="1769" customFormat="false" ht="15" hidden="false" customHeight="false" outlineLevel="0" collapsed="false">
      <c r="A1769" s="21" t="s">
        <v>2984</v>
      </c>
      <c r="B1769" s="21" t="s">
        <v>459</v>
      </c>
      <c r="C1769" s="21" t="s">
        <v>1255</v>
      </c>
      <c r="D1769" s="21" t="s">
        <v>1191</v>
      </c>
      <c r="E1769" s="33" t="n">
        <v>45672</v>
      </c>
      <c r="F1769" s="21" t="s">
        <v>1175</v>
      </c>
      <c r="G1769" s="32"/>
      <c r="H1769" s="21"/>
      <c r="I1769" s="33"/>
      <c r="J1769" s="21" t="str">
        <f aca="false">INDEX(Students!$C$2:$C$601,MATCH(B1769,Students!$A$2:$A$601,0))</f>
        <v>Batch 2025</v>
      </c>
      <c r="K1769" s="21" t="str">
        <f aca="false">INDEX(Students!$D$2:$D$601,MATCH(B1769,Students!$A$2:$A$601,0))</f>
        <v>DSA with Java</v>
      </c>
      <c r="L1769" s="21" t="str">
        <f aca="false">INDEX(Companies!$C$2:$C$31,MATCH(C1769,Companies!$A$2:$A$31,0))</f>
        <v>IT Services</v>
      </c>
      <c r="M1769" s="21" t="str">
        <f aca="false">INDEX(Companies!$D$2:$D$31,MATCH(C1769,Companies!$A$2:$A$31,0))</f>
        <v>Tier 3</v>
      </c>
      <c r="N1769" s="34" t="n">
        <f aca="false">MATCH(F1769,Assumptions!$K$4:$K$8,0)</f>
        <v>1</v>
      </c>
      <c r="O1769" s="21" t="str">
        <f aca="false">IF(H1769="Yes",MONTH(I1769),"")</f>
        <v/>
      </c>
      <c r="P1769" s="21" t="str">
        <f aca="false">IF(H1769="Yes",B1769,"")</f>
        <v/>
      </c>
    </row>
    <row r="1770" customFormat="false" ht="15" hidden="false" customHeight="false" outlineLevel="0" collapsed="false">
      <c r="A1770" s="21" t="s">
        <v>2985</v>
      </c>
      <c r="B1770" s="21" t="s">
        <v>778</v>
      </c>
      <c r="C1770" s="21" t="s">
        <v>1298</v>
      </c>
      <c r="D1770" s="21" t="s">
        <v>1191</v>
      </c>
      <c r="E1770" s="33" t="n">
        <v>45672</v>
      </c>
      <c r="F1770" s="21" t="s">
        <v>1197</v>
      </c>
      <c r="G1770" s="32"/>
      <c r="H1770" s="21"/>
      <c r="I1770" s="33"/>
      <c r="J1770" s="21" t="str">
        <f aca="false">INDEX(Students!$C$2:$C$601,MATCH(B1770,Students!$A$2:$A$601,0))</f>
        <v>Batch 2025</v>
      </c>
      <c r="K1770" s="21" t="str">
        <f aca="false">INDEX(Students!$D$2:$D$601,MATCH(B1770,Students!$A$2:$A$601,0))</f>
        <v>DSA with Java</v>
      </c>
      <c r="L1770" s="21" t="str">
        <f aca="false">INDEX(Companies!$C$2:$C$31,MATCH(C1770,Companies!$A$2:$A$31,0))</f>
        <v>Fintech</v>
      </c>
      <c r="M1770" s="21" t="str">
        <f aca="false">INDEX(Companies!$D$2:$D$31,MATCH(C1770,Companies!$A$2:$A$31,0))</f>
        <v>Tier 2</v>
      </c>
      <c r="N1770" s="34" t="n">
        <f aca="false">MATCH(F1770,Assumptions!$K$4:$K$8,0)</f>
        <v>3</v>
      </c>
      <c r="O1770" s="21" t="str">
        <f aca="false">IF(H1770="Yes",MONTH(I1770),"")</f>
        <v/>
      </c>
      <c r="P1770" s="21" t="str">
        <f aca="false">IF(H1770="Yes",B1770,"")</f>
        <v/>
      </c>
    </row>
    <row r="1771" customFormat="false" ht="15" hidden="false" customHeight="false" outlineLevel="0" collapsed="false">
      <c r="A1771" s="21" t="s">
        <v>2986</v>
      </c>
      <c r="B1771" s="21" t="s">
        <v>797</v>
      </c>
      <c r="C1771" s="21" t="s">
        <v>1275</v>
      </c>
      <c r="D1771" s="21" t="s">
        <v>1184</v>
      </c>
      <c r="E1771" s="33" t="n">
        <v>45672</v>
      </c>
      <c r="F1771" s="21" t="s">
        <v>1218</v>
      </c>
      <c r="G1771" s="32"/>
      <c r="H1771" s="21"/>
      <c r="I1771" s="33"/>
      <c r="J1771" s="21" t="str">
        <f aca="false">INDEX(Students!$C$2:$C$601,MATCH(B1771,Students!$A$2:$A$601,0))</f>
        <v>Batch 2025</v>
      </c>
      <c r="K1771" s="21" t="str">
        <f aca="false">INDEX(Students!$D$2:$D$601,MATCH(B1771,Students!$A$2:$A$601,0))</f>
        <v>DSA with Java</v>
      </c>
      <c r="L1771" s="21" t="str">
        <f aca="false">INDEX(Companies!$C$2:$C$31,MATCH(C1771,Companies!$A$2:$A$31,0))</f>
        <v>Cybersecurity</v>
      </c>
      <c r="M1771" s="21" t="str">
        <f aca="false">INDEX(Companies!$D$2:$D$31,MATCH(C1771,Companies!$A$2:$A$31,0))</f>
        <v>Tier 2</v>
      </c>
      <c r="N1771" s="34" t="n">
        <f aca="false">MATCH(F1771,Assumptions!$K$4:$K$8,0)</f>
        <v>4</v>
      </c>
      <c r="O1771" s="21" t="str">
        <f aca="false">IF(H1771="Yes",MONTH(I1771),"")</f>
        <v/>
      </c>
      <c r="P1771" s="21" t="str">
        <f aca="false">IF(H1771="Yes",B1771,"")</f>
        <v/>
      </c>
    </row>
    <row r="1772" customFormat="false" ht="15" hidden="false" customHeight="false" outlineLevel="0" collapsed="false">
      <c r="A1772" s="21" t="s">
        <v>2987</v>
      </c>
      <c r="B1772" s="21" t="s">
        <v>616</v>
      </c>
      <c r="C1772" s="21" t="s">
        <v>1199</v>
      </c>
      <c r="D1772" s="21" t="s">
        <v>1194</v>
      </c>
      <c r="E1772" s="33" t="n">
        <v>45673</v>
      </c>
      <c r="F1772" s="21" t="s">
        <v>1175</v>
      </c>
      <c r="G1772" s="32"/>
      <c r="H1772" s="21"/>
      <c r="I1772" s="33"/>
      <c r="J1772" s="21" t="str">
        <f aca="false">INDEX(Students!$C$2:$C$601,MATCH(B1772,Students!$A$2:$A$601,0))</f>
        <v>Batch 2025</v>
      </c>
      <c r="K1772" s="21" t="str">
        <f aca="false">INDEX(Students!$D$2:$D$601,MATCH(B1772,Students!$A$2:$A$601,0))</f>
        <v>Data Science &amp; ML</v>
      </c>
      <c r="L1772" s="21" t="str">
        <f aca="false">INDEX(Companies!$C$2:$C$31,MATCH(C1772,Companies!$A$2:$A$31,0))</f>
        <v>E-commerce</v>
      </c>
      <c r="M1772" s="21" t="str">
        <f aca="false">INDEX(Companies!$D$2:$D$31,MATCH(C1772,Companies!$A$2:$A$31,0))</f>
        <v>Tier 2</v>
      </c>
      <c r="N1772" s="34" t="n">
        <f aca="false">MATCH(F1772,Assumptions!$K$4:$K$8,0)</f>
        <v>1</v>
      </c>
      <c r="O1772" s="21" t="str">
        <f aca="false">IF(H1772="Yes",MONTH(I1772),"")</f>
        <v/>
      </c>
      <c r="P1772" s="21" t="str">
        <f aca="false">IF(H1772="Yes",B1772,"")</f>
        <v/>
      </c>
    </row>
    <row r="1773" customFormat="false" ht="15" hidden="false" customHeight="false" outlineLevel="0" collapsed="false">
      <c r="A1773" s="21" t="s">
        <v>2988</v>
      </c>
      <c r="B1773" s="21" t="s">
        <v>741</v>
      </c>
      <c r="C1773" s="21" t="s">
        <v>1309</v>
      </c>
      <c r="D1773" s="21" t="s">
        <v>1243</v>
      </c>
      <c r="E1773" s="33" t="n">
        <v>45673</v>
      </c>
      <c r="F1773" s="21" t="s">
        <v>1175</v>
      </c>
      <c r="G1773" s="32"/>
      <c r="H1773" s="21"/>
      <c r="I1773" s="33"/>
      <c r="J1773" s="21" t="str">
        <f aca="false">INDEX(Students!$C$2:$C$601,MATCH(B1773,Students!$A$2:$A$601,0))</f>
        <v>Batch 2025</v>
      </c>
      <c r="K1773" s="21" t="str">
        <f aca="false">INDEX(Students!$D$2:$D$601,MATCH(B1773,Students!$A$2:$A$601,0))</f>
        <v>Data Science &amp; ML</v>
      </c>
      <c r="L1773" s="21" t="str">
        <f aca="false">INDEX(Companies!$C$2:$C$31,MATCH(C1773,Companies!$A$2:$A$31,0))</f>
        <v>EdTech</v>
      </c>
      <c r="M1773" s="21" t="str">
        <f aca="false">INDEX(Companies!$D$2:$D$31,MATCH(C1773,Companies!$A$2:$A$31,0))</f>
        <v>Tier 2</v>
      </c>
      <c r="N1773" s="34" t="n">
        <f aca="false">MATCH(F1773,Assumptions!$K$4:$K$8,0)</f>
        <v>1</v>
      </c>
      <c r="O1773" s="21" t="str">
        <f aca="false">IF(H1773="Yes",MONTH(I1773),"")</f>
        <v/>
      </c>
      <c r="P1773" s="21" t="str">
        <f aca="false">IF(H1773="Yes",B1773,"")</f>
        <v/>
      </c>
    </row>
    <row r="1774" customFormat="false" ht="15" hidden="false" customHeight="false" outlineLevel="0" collapsed="false">
      <c r="A1774" s="21" t="s">
        <v>2989</v>
      </c>
      <c r="B1774" s="21" t="s">
        <v>594</v>
      </c>
      <c r="C1774" s="21" t="s">
        <v>1177</v>
      </c>
      <c r="D1774" s="21" t="s">
        <v>1226</v>
      </c>
      <c r="E1774" s="33" t="n">
        <v>45673</v>
      </c>
      <c r="F1774" s="21" t="s">
        <v>1185</v>
      </c>
      <c r="G1774" s="32" t="n">
        <v>5.7</v>
      </c>
      <c r="H1774" s="21" t="s">
        <v>120</v>
      </c>
      <c r="I1774" s="33" t="n">
        <v>45702</v>
      </c>
      <c r="J1774" s="21" t="str">
        <f aca="false">INDEX(Students!$C$2:$C$601,MATCH(B1774,Students!$A$2:$A$601,0))</f>
        <v>Batch 2025</v>
      </c>
      <c r="K1774" s="21" t="str">
        <f aca="false">INDEX(Students!$D$2:$D$601,MATCH(B1774,Students!$A$2:$A$601,0))</f>
        <v>Cybersecurity</v>
      </c>
      <c r="L1774" s="21" t="str">
        <f aca="false">INDEX(Companies!$C$2:$C$31,MATCH(C1774,Companies!$A$2:$A$31,0))</f>
        <v>IT Services</v>
      </c>
      <c r="M1774" s="21" t="str">
        <f aca="false">INDEX(Companies!$D$2:$D$31,MATCH(C1774,Companies!$A$2:$A$31,0))</f>
        <v>Tier 3</v>
      </c>
      <c r="N1774" s="34" t="n">
        <f aca="false">MATCH(F1774,Assumptions!$K$4:$K$8,0)</f>
        <v>5</v>
      </c>
      <c r="O1774" s="21" t="n">
        <f aca="false">IF(H1774="Yes",MONTH(I1774),"")</f>
        <v>2</v>
      </c>
      <c r="P1774" s="21" t="str">
        <f aca="false">IF(H1774="Yes",B1774,"")</f>
        <v>S0258</v>
      </c>
    </row>
    <row r="1775" customFormat="false" ht="15" hidden="false" customHeight="false" outlineLevel="0" collapsed="false">
      <c r="A1775" s="21" t="s">
        <v>2990</v>
      </c>
      <c r="B1775" s="21" t="s">
        <v>594</v>
      </c>
      <c r="C1775" s="21" t="s">
        <v>1322</v>
      </c>
      <c r="D1775" s="21" t="s">
        <v>1240</v>
      </c>
      <c r="E1775" s="33" t="n">
        <v>45673</v>
      </c>
      <c r="F1775" s="21" t="s">
        <v>1178</v>
      </c>
      <c r="G1775" s="32"/>
      <c r="H1775" s="21"/>
      <c r="I1775" s="33"/>
      <c r="J1775" s="21" t="str">
        <f aca="false">INDEX(Students!$C$2:$C$601,MATCH(B1775,Students!$A$2:$A$601,0))</f>
        <v>Batch 2025</v>
      </c>
      <c r="K1775" s="21" t="str">
        <f aca="false">INDEX(Students!$D$2:$D$601,MATCH(B1775,Students!$A$2:$A$601,0))</f>
        <v>Cybersecurity</v>
      </c>
      <c r="L1775" s="21" t="str">
        <f aca="false">INDEX(Companies!$C$2:$C$31,MATCH(C1775,Companies!$A$2:$A$31,0))</f>
        <v>Healthtech</v>
      </c>
      <c r="M1775" s="21" t="str">
        <f aca="false">INDEX(Companies!$D$2:$D$31,MATCH(C1775,Companies!$A$2:$A$31,0))</f>
        <v>Tier 2</v>
      </c>
      <c r="N1775" s="34" t="n">
        <f aca="false">MATCH(F1775,Assumptions!$K$4:$K$8,0)</f>
        <v>2</v>
      </c>
      <c r="O1775" s="21" t="str">
        <f aca="false">IF(H1775="Yes",MONTH(I1775),"")</f>
        <v/>
      </c>
      <c r="P1775" s="21" t="str">
        <f aca="false">IF(H1775="Yes",B1775,"")</f>
        <v/>
      </c>
    </row>
    <row r="1776" customFormat="false" ht="15" hidden="false" customHeight="false" outlineLevel="0" collapsed="false">
      <c r="A1776" s="21" t="s">
        <v>2991</v>
      </c>
      <c r="B1776" s="21" t="s">
        <v>584</v>
      </c>
      <c r="C1776" s="21" t="s">
        <v>1173</v>
      </c>
      <c r="D1776" s="21" t="s">
        <v>1191</v>
      </c>
      <c r="E1776" s="33" t="n">
        <v>45673</v>
      </c>
      <c r="F1776" s="21" t="s">
        <v>1197</v>
      </c>
      <c r="G1776" s="32"/>
      <c r="H1776" s="21"/>
      <c r="I1776" s="33"/>
      <c r="J1776" s="21" t="str">
        <f aca="false">INDEX(Students!$C$2:$C$601,MATCH(B1776,Students!$A$2:$A$601,0))</f>
        <v>Batch 2025</v>
      </c>
      <c r="K1776" s="21" t="str">
        <f aca="false">INDEX(Students!$D$2:$D$601,MATCH(B1776,Students!$A$2:$A$601,0))</f>
        <v>DSA with Java</v>
      </c>
      <c r="L1776" s="21" t="str">
        <f aca="false">INDEX(Companies!$C$2:$C$31,MATCH(C1776,Companies!$A$2:$A$31,0))</f>
        <v>Cybersecurity</v>
      </c>
      <c r="M1776" s="21" t="str">
        <f aca="false">INDEX(Companies!$D$2:$D$31,MATCH(C1776,Companies!$A$2:$A$31,0))</f>
        <v>Tier 1</v>
      </c>
      <c r="N1776" s="34" t="n">
        <f aca="false">MATCH(F1776,Assumptions!$K$4:$K$8,0)</f>
        <v>3</v>
      </c>
      <c r="O1776" s="21" t="str">
        <f aca="false">IF(H1776="Yes",MONTH(I1776),"")</f>
        <v/>
      </c>
      <c r="P1776" s="21" t="str">
        <f aca="false">IF(H1776="Yes",B1776,"")</f>
        <v/>
      </c>
    </row>
    <row r="1777" customFormat="false" ht="15" hidden="false" customHeight="false" outlineLevel="0" collapsed="false">
      <c r="A1777" s="21" t="s">
        <v>2992</v>
      </c>
      <c r="B1777" s="21" t="s">
        <v>556</v>
      </c>
      <c r="C1777" s="21" t="s">
        <v>1193</v>
      </c>
      <c r="D1777" s="21" t="s">
        <v>1194</v>
      </c>
      <c r="E1777" s="33" t="n">
        <v>45674</v>
      </c>
      <c r="F1777" s="21" t="s">
        <v>1175</v>
      </c>
      <c r="G1777" s="32"/>
      <c r="H1777" s="21"/>
      <c r="I1777" s="33"/>
      <c r="J1777" s="21" t="str">
        <f aca="false">INDEX(Students!$C$2:$C$601,MATCH(B1777,Students!$A$2:$A$601,0))</f>
        <v>Batch 2025</v>
      </c>
      <c r="K1777" s="21" t="str">
        <f aca="false">INDEX(Students!$D$2:$D$601,MATCH(B1777,Students!$A$2:$A$601,0))</f>
        <v>Data Science &amp; ML</v>
      </c>
      <c r="L1777" s="21" t="str">
        <f aca="false">INDEX(Companies!$C$2:$C$31,MATCH(C1777,Companies!$A$2:$A$31,0))</f>
        <v>Analytics &amp; Consulting</v>
      </c>
      <c r="M1777" s="21" t="str">
        <f aca="false">INDEX(Companies!$D$2:$D$31,MATCH(C1777,Companies!$A$2:$A$31,0))</f>
        <v>Tier 2</v>
      </c>
      <c r="N1777" s="34" t="n">
        <f aca="false">MATCH(F1777,Assumptions!$K$4:$K$8,0)</f>
        <v>1</v>
      </c>
      <c r="O1777" s="21" t="str">
        <f aca="false">IF(H1777="Yes",MONTH(I1777),"")</f>
        <v/>
      </c>
      <c r="P1777" s="21" t="str">
        <f aca="false">IF(H1777="Yes",B1777,"")</f>
        <v/>
      </c>
    </row>
    <row r="1778" customFormat="false" ht="15" hidden="false" customHeight="false" outlineLevel="0" collapsed="false">
      <c r="A1778" s="21" t="s">
        <v>2993</v>
      </c>
      <c r="B1778" s="21" t="s">
        <v>468</v>
      </c>
      <c r="C1778" s="21" t="s">
        <v>1255</v>
      </c>
      <c r="D1778" s="21" t="s">
        <v>1181</v>
      </c>
      <c r="E1778" s="33" t="n">
        <v>45674</v>
      </c>
      <c r="F1778" s="21" t="s">
        <v>1178</v>
      </c>
      <c r="G1778" s="32"/>
      <c r="H1778" s="21"/>
      <c r="I1778" s="33"/>
      <c r="J1778" s="21" t="str">
        <f aca="false">INDEX(Students!$C$2:$C$601,MATCH(B1778,Students!$A$2:$A$601,0))</f>
        <v>Batch 2025</v>
      </c>
      <c r="K1778" s="21" t="str">
        <f aca="false">INDEX(Students!$D$2:$D$601,MATCH(B1778,Students!$A$2:$A$601,0))</f>
        <v>Full Stack Development</v>
      </c>
      <c r="L1778" s="21" t="str">
        <f aca="false">INDEX(Companies!$C$2:$C$31,MATCH(C1778,Companies!$A$2:$A$31,0))</f>
        <v>IT Services</v>
      </c>
      <c r="M1778" s="21" t="str">
        <f aca="false">INDEX(Companies!$D$2:$D$31,MATCH(C1778,Companies!$A$2:$A$31,0))</f>
        <v>Tier 3</v>
      </c>
      <c r="N1778" s="34" t="n">
        <f aca="false">MATCH(F1778,Assumptions!$K$4:$K$8,0)</f>
        <v>2</v>
      </c>
      <c r="O1778" s="21" t="str">
        <f aca="false">IF(H1778="Yes",MONTH(I1778),"")</f>
        <v/>
      </c>
      <c r="P1778" s="21" t="str">
        <f aca="false">IF(H1778="Yes",B1778,"")</f>
        <v/>
      </c>
    </row>
    <row r="1779" customFormat="false" ht="15" hidden="false" customHeight="false" outlineLevel="0" collapsed="false">
      <c r="A1779" s="21" t="s">
        <v>2994</v>
      </c>
      <c r="B1779" s="21" t="s">
        <v>668</v>
      </c>
      <c r="C1779" s="21" t="s">
        <v>1180</v>
      </c>
      <c r="D1779" s="21" t="s">
        <v>1194</v>
      </c>
      <c r="E1779" s="33" t="n">
        <v>45674</v>
      </c>
      <c r="F1779" s="21" t="s">
        <v>1185</v>
      </c>
      <c r="G1779" s="32" t="n">
        <v>5.6</v>
      </c>
      <c r="H1779" s="21" t="s">
        <v>113</v>
      </c>
      <c r="I1779" s="33" t="n">
        <v>45718</v>
      </c>
      <c r="J1779" s="21" t="str">
        <f aca="false">INDEX(Students!$C$2:$C$601,MATCH(B1779,Students!$A$2:$A$601,0))</f>
        <v>Batch 2025</v>
      </c>
      <c r="K1779" s="21" t="str">
        <f aca="false">INDEX(Students!$D$2:$D$601,MATCH(B1779,Students!$A$2:$A$601,0))</f>
        <v>Data Science &amp; ML</v>
      </c>
      <c r="L1779" s="21" t="str">
        <f aca="false">INDEX(Companies!$C$2:$C$31,MATCH(C1779,Companies!$A$2:$A$31,0))</f>
        <v>IT Services</v>
      </c>
      <c r="M1779" s="21" t="str">
        <f aca="false">INDEX(Companies!$D$2:$D$31,MATCH(C1779,Companies!$A$2:$A$31,0))</f>
        <v>Tier 3</v>
      </c>
      <c r="N1779" s="34" t="n">
        <f aca="false">MATCH(F1779,Assumptions!$K$4:$K$8,0)</f>
        <v>5</v>
      </c>
      <c r="O1779" s="21" t="str">
        <f aca="false">IF(H1779="Yes",MONTH(I1779),"")</f>
        <v/>
      </c>
      <c r="P1779" s="21" t="str">
        <f aca="false">IF(H1779="Yes",B1779,"")</f>
        <v/>
      </c>
    </row>
    <row r="1780" customFormat="false" ht="15" hidden="false" customHeight="false" outlineLevel="0" collapsed="false">
      <c r="A1780" s="21" t="s">
        <v>2995</v>
      </c>
      <c r="B1780" s="21" t="s">
        <v>582</v>
      </c>
      <c r="C1780" s="21" t="s">
        <v>1201</v>
      </c>
      <c r="D1780" s="21" t="s">
        <v>1243</v>
      </c>
      <c r="E1780" s="33" t="n">
        <v>45674</v>
      </c>
      <c r="F1780" s="21" t="s">
        <v>1185</v>
      </c>
      <c r="G1780" s="32" t="n">
        <v>5.1</v>
      </c>
      <c r="H1780" s="21" t="s">
        <v>113</v>
      </c>
      <c r="I1780" s="33" t="n">
        <v>45719</v>
      </c>
      <c r="J1780" s="21" t="str">
        <f aca="false">INDEX(Students!$C$2:$C$601,MATCH(B1780,Students!$A$2:$A$601,0))</f>
        <v>Batch 2025</v>
      </c>
      <c r="K1780" s="21" t="str">
        <f aca="false">INDEX(Students!$D$2:$D$601,MATCH(B1780,Students!$A$2:$A$601,0))</f>
        <v>Data Science &amp; ML</v>
      </c>
      <c r="L1780" s="21" t="str">
        <f aca="false">INDEX(Companies!$C$2:$C$31,MATCH(C1780,Companies!$A$2:$A$31,0))</f>
        <v>IT Services</v>
      </c>
      <c r="M1780" s="21" t="str">
        <f aca="false">INDEX(Companies!$D$2:$D$31,MATCH(C1780,Companies!$A$2:$A$31,0))</f>
        <v>Tier 3</v>
      </c>
      <c r="N1780" s="34" t="n">
        <f aca="false">MATCH(F1780,Assumptions!$K$4:$K$8,0)</f>
        <v>5</v>
      </c>
      <c r="O1780" s="21" t="str">
        <f aca="false">IF(H1780="Yes",MONTH(I1780),"")</f>
        <v/>
      </c>
      <c r="P1780" s="21" t="str">
        <f aca="false">IF(H1780="Yes",B1780,"")</f>
        <v/>
      </c>
    </row>
    <row r="1781" customFormat="false" ht="15" hidden="false" customHeight="false" outlineLevel="0" collapsed="false">
      <c r="A1781" s="21" t="s">
        <v>2996</v>
      </c>
      <c r="B1781" s="21" t="s">
        <v>610</v>
      </c>
      <c r="C1781" s="21" t="s">
        <v>1290</v>
      </c>
      <c r="D1781" s="21" t="s">
        <v>1174</v>
      </c>
      <c r="E1781" s="33" t="n">
        <v>45674</v>
      </c>
      <c r="F1781" s="21" t="s">
        <v>1175</v>
      </c>
      <c r="G1781" s="32"/>
      <c r="H1781" s="21"/>
      <c r="I1781" s="33"/>
      <c r="J1781" s="21" t="str">
        <f aca="false">INDEX(Students!$C$2:$C$601,MATCH(B1781,Students!$A$2:$A$601,0))</f>
        <v>Batch 2025</v>
      </c>
      <c r="K1781" s="21" t="str">
        <f aca="false">INDEX(Students!$D$2:$D$601,MATCH(B1781,Students!$A$2:$A$601,0))</f>
        <v>Full Stack Development</v>
      </c>
      <c r="L1781" s="21" t="str">
        <f aca="false">INDEX(Companies!$C$2:$C$31,MATCH(C1781,Companies!$A$2:$A$31,0))</f>
        <v>Fintech</v>
      </c>
      <c r="M1781" s="21" t="str">
        <f aca="false">INDEX(Companies!$D$2:$D$31,MATCH(C1781,Companies!$A$2:$A$31,0))</f>
        <v>Tier 2</v>
      </c>
      <c r="N1781" s="34" t="n">
        <f aca="false">MATCH(F1781,Assumptions!$K$4:$K$8,0)</f>
        <v>1</v>
      </c>
      <c r="O1781" s="21" t="str">
        <f aca="false">IF(H1781="Yes",MONTH(I1781),"")</f>
        <v/>
      </c>
      <c r="P1781" s="21" t="str">
        <f aca="false">IF(H1781="Yes",B1781,"")</f>
        <v/>
      </c>
    </row>
    <row r="1782" customFormat="false" ht="15" hidden="false" customHeight="false" outlineLevel="0" collapsed="false">
      <c r="A1782" s="21" t="s">
        <v>2997</v>
      </c>
      <c r="B1782" s="21" t="s">
        <v>558</v>
      </c>
      <c r="C1782" s="21" t="s">
        <v>1239</v>
      </c>
      <c r="D1782" s="21" t="s">
        <v>1174</v>
      </c>
      <c r="E1782" s="33" t="n">
        <v>45674</v>
      </c>
      <c r="F1782" s="21" t="s">
        <v>1178</v>
      </c>
      <c r="G1782" s="32"/>
      <c r="H1782" s="21"/>
      <c r="I1782" s="33"/>
      <c r="J1782" s="21" t="str">
        <f aca="false">INDEX(Students!$C$2:$C$601,MATCH(B1782,Students!$A$2:$A$601,0))</f>
        <v>Batch 2025</v>
      </c>
      <c r="K1782" s="21" t="str">
        <f aca="false">INDEX(Students!$D$2:$D$601,MATCH(B1782,Students!$A$2:$A$601,0))</f>
        <v>Full Stack Development</v>
      </c>
      <c r="L1782" s="21" t="str">
        <f aca="false">INDEX(Companies!$C$2:$C$31,MATCH(C1782,Companies!$A$2:$A$31,0))</f>
        <v>E-commerce</v>
      </c>
      <c r="M1782" s="21" t="str">
        <f aca="false">INDEX(Companies!$D$2:$D$31,MATCH(C1782,Companies!$A$2:$A$31,0))</f>
        <v>Tier 3</v>
      </c>
      <c r="N1782" s="34" t="n">
        <f aca="false">MATCH(F1782,Assumptions!$K$4:$K$8,0)</f>
        <v>2</v>
      </c>
      <c r="O1782" s="21" t="str">
        <f aca="false">IF(H1782="Yes",MONTH(I1782),"")</f>
        <v/>
      </c>
      <c r="P1782" s="21" t="str">
        <f aca="false">IF(H1782="Yes",B1782,"")</f>
        <v/>
      </c>
    </row>
    <row r="1783" customFormat="false" ht="15" hidden="false" customHeight="false" outlineLevel="0" collapsed="false">
      <c r="A1783" s="21" t="s">
        <v>2998</v>
      </c>
      <c r="B1783" s="21" t="s">
        <v>680</v>
      </c>
      <c r="C1783" s="21" t="s">
        <v>1187</v>
      </c>
      <c r="D1783" s="21" t="s">
        <v>1243</v>
      </c>
      <c r="E1783" s="33" t="n">
        <v>45674</v>
      </c>
      <c r="F1783" s="21" t="s">
        <v>1175</v>
      </c>
      <c r="G1783" s="32"/>
      <c r="H1783" s="21"/>
      <c r="I1783" s="33"/>
      <c r="J1783" s="21" t="str">
        <f aca="false">INDEX(Students!$C$2:$C$601,MATCH(B1783,Students!$A$2:$A$601,0))</f>
        <v>Batch 2025</v>
      </c>
      <c r="K1783" s="21" t="str">
        <f aca="false">INDEX(Students!$D$2:$D$601,MATCH(B1783,Students!$A$2:$A$601,0))</f>
        <v>Data Science &amp; ML</v>
      </c>
      <c r="L1783" s="21" t="str">
        <f aca="false">INDEX(Companies!$C$2:$C$31,MATCH(C1783,Companies!$A$2:$A$31,0))</f>
        <v>Product</v>
      </c>
      <c r="M1783" s="21" t="str">
        <f aca="false">INDEX(Companies!$D$2:$D$31,MATCH(C1783,Companies!$A$2:$A$31,0))</f>
        <v>Tier 1</v>
      </c>
      <c r="N1783" s="34" t="n">
        <f aca="false">MATCH(F1783,Assumptions!$K$4:$K$8,0)</f>
        <v>1</v>
      </c>
      <c r="O1783" s="21" t="str">
        <f aca="false">IF(H1783="Yes",MONTH(I1783),"")</f>
        <v/>
      </c>
      <c r="P1783" s="21" t="str">
        <f aca="false">IF(H1783="Yes",B1783,"")</f>
        <v/>
      </c>
    </row>
    <row r="1784" customFormat="false" ht="15" hidden="false" customHeight="false" outlineLevel="0" collapsed="false">
      <c r="A1784" s="21" t="s">
        <v>2999</v>
      </c>
      <c r="B1784" s="21" t="s">
        <v>743</v>
      </c>
      <c r="C1784" s="21" t="s">
        <v>1263</v>
      </c>
      <c r="D1784" s="21" t="s">
        <v>1226</v>
      </c>
      <c r="E1784" s="33" t="n">
        <v>45674</v>
      </c>
      <c r="F1784" s="21" t="s">
        <v>1175</v>
      </c>
      <c r="G1784" s="32"/>
      <c r="H1784" s="21"/>
      <c r="I1784" s="33"/>
      <c r="J1784" s="21" t="str">
        <f aca="false">INDEX(Students!$C$2:$C$601,MATCH(B1784,Students!$A$2:$A$601,0))</f>
        <v>Batch 2025</v>
      </c>
      <c r="K1784" s="21" t="str">
        <f aca="false">INDEX(Students!$D$2:$D$601,MATCH(B1784,Students!$A$2:$A$601,0))</f>
        <v>Cybersecurity</v>
      </c>
      <c r="L1784" s="21" t="str">
        <f aca="false">INDEX(Companies!$C$2:$C$31,MATCH(C1784,Companies!$A$2:$A$31,0))</f>
        <v>Analytics &amp; Consulting</v>
      </c>
      <c r="M1784" s="21" t="str">
        <f aca="false">INDEX(Companies!$D$2:$D$31,MATCH(C1784,Companies!$A$2:$A$31,0))</f>
        <v>Tier 2</v>
      </c>
      <c r="N1784" s="34" t="n">
        <f aca="false">MATCH(F1784,Assumptions!$K$4:$K$8,0)</f>
        <v>1</v>
      </c>
      <c r="O1784" s="21" t="str">
        <f aca="false">IF(H1784="Yes",MONTH(I1784),"")</f>
        <v/>
      </c>
      <c r="P1784" s="21" t="str">
        <f aca="false">IF(H1784="Yes",B1784,"")</f>
        <v/>
      </c>
    </row>
    <row r="1785" customFormat="false" ht="15" hidden="false" customHeight="false" outlineLevel="0" collapsed="false">
      <c r="A1785" s="21" t="s">
        <v>3000</v>
      </c>
      <c r="B1785" s="21" t="s">
        <v>509</v>
      </c>
      <c r="C1785" s="21" t="s">
        <v>1180</v>
      </c>
      <c r="D1785" s="21" t="s">
        <v>1209</v>
      </c>
      <c r="E1785" s="33" t="n">
        <v>45674</v>
      </c>
      <c r="F1785" s="21" t="s">
        <v>1175</v>
      </c>
      <c r="G1785" s="32"/>
      <c r="H1785" s="21"/>
      <c r="I1785" s="33"/>
      <c r="J1785" s="21" t="str">
        <f aca="false">INDEX(Students!$C$2:$C$601,MATCH(B1785,Students!$A$2:$A$601,0))</f>
        <v>Batch 2025</v>
      </c>
      <c r="K1785" s="21" t="str">
        <f aca="false">INDEX(Students!$D$2:$D$601,MATCH(B1785,Students!$A$2:$A$601,0))</f>
        <v>Data Analytics</v>
      </c>
      <c r="L1785" s="21" t="str">
        <f aca="false">INDEX(Companies!$C$2:$C$31,MATCH(C1785,Companies!$A$2:$A$31,0))</f>
        <v>IT Services</v>
      </c>
      <c r="M1785" s="21" t="str">
        <f aca="false">INDEX(Companies!$D$2:$D$31,MATCH(C1785,Companies!$A$2:$A$31,0))</f>
        <v>Tier 3</v>
      </c>
      <c r="N1785" s="34" t="n">
        <f aca="false">MATCH(F1785,Assumptions!$K$4:$K$8,0)</f>
        <v>1</v>
      </c>
      <c r="O1785" s="21" t="str">
        <f aca="false">IF(H1785="Yes",MONTH(I1785),"")</f>
        <v/>
      </c>
      <c r="P1785" s="21" t="str">
        <f aca="false">IF(H1785="Yes",B1785,"")</f>
        <v/>
      </c>
    </row>
    <row r="1786" customFormat="false" ht="15" hidden="false" customHeight="false" outlineLevel="0" collapsed="false">
      <c r="A1786" s="21" t="s">
        <v>3001</v>
      </c>
      <c r="B1786" s="21" t="s">
        <v>576</v>
      </c>
      <c r="C1786" s="21" t="s">
        <v>1263</v>
      </c>
      <c r="D1786" s="21" t="s">
        <v>1191</v>
      </c>
      <c r="E1786" s="33" t="n">
        <v>45674</v>
      </c>
      <c r="F1786" s="21" t="s">
        <v>1185</v>
      </c>
      <c r="G1786" s="32" t="n">
        <v>12.1</v>
      </c>
      <c r="H1786" s="21" t="s">
        <v>113</v>
      </c>
      <c r="I1786" s="33" t="n">
        <v>45697</v>
      </c>
      <c r="J1786" s="21" t="str">
        <f aca="false">INDEX(Students!$C$2:$C$601,MATCH(B1786,Students!$A$2:$A$601,0))</f>
        <v>Batch 2025</v>
      </c>
      <c r="K1786" s="21" t="str">
        <f aca="false">INDEX(Students!$D$2:$D$601,MATCH(B1786,Students!$A$2:$A$601,0))</f>
        <v>DSA with Java</v>
      </c>
      <c r="L1786" s="21" t="str">
        <f aca="false">INDEX(Companies!$C$2:$C$31,MATCH(C1786,Companies!$A$2:$A$31,0))</f>
        <v>Analytics &amp; Consulting</v>
      </c>
      <c r="M1786" s="21" t="str">
        <f aca="false">INDEX(Companies!$D$2:$D$31,MATCH(C1786,Companies!$A$2:$A$31,0))</f>
        <v>Tier 2</v>
      </c>
      <c r="N1786" s="34" t="n">
        <f aca="false">MATCH(F1786,Assumptions!$K$4:$K$8,0)</f>
        <v>5</v>
      </c>
      <c r="O1786" s="21" t="str">
        <f aca="false">IF(H1786="Yes",MONTH(I1786),"")</f>
        <v/>
      </c>
      <c r="P1786" s="21" t="str">
        <f aca="false">IF(H1786="Yes",B1786,"")</f>
        <v/>
      </c>
    </row>
    <row r="1787" customFormat="false" ht="15" hidden="false" customHeight="false" outlineLevel="0" collapsed="false">
      <c r="A1787" s="21" t="s">
        <v>3002</v>
      </c>
      <c r="B1787" s="21" t="s">
        <v>567</v>
      </c>
      <c r="C1787" s="21" t="s">
        <v>1322</v>
      </c>
      <c r="D1787" s="21" t="s">
        <v>1184</v>
      </c>
      <c r="E1787" s="33" t="n">
        <v>45675</v>
      </c>
      <c r="F1787" s="21" t="s">
        <v>1197</v>
      </c>
      <c r="G1787" s="32"/>
      <c r="H1787" s="21"/>
      <c r="I1787" s="33"/>
      <c r="J1787" s="21" t="str">
        <f aca="false">INDEX(Students!$C$2:$C$601,MATCH(B1787,Students!$A$2:$A$601,0))</f>
        <v>Batch 2025</v>
      </c>
      <c r="K1787" s="21" t="str">
        <f aca="false">INDEX(Students!$D$2:$D$601,MATCH(B1787,Students!$A$2:$A$601,0))</f>
        <v>DSA with Java</v>
      </c>
      <c r="L1787" s="21" t="str">
        <f aca="false">INDEX(Companies!$C$2:$C$31,MATCH(C1787,Companies!$A$2:$A$31,0))</f>
        <v>Healthtech</v>
      </c>
      <c r="M1787" s="21" t="str">
        <f aca="false">INDEX(Companies!$D$2:$D$31,MATCH(C1787,Companies!$A$2:$A$31,0))</f>
        <v>Tier 2</v>
      </c>
      <c r="N1787" s="34" t="n">
        <f aca="false">MATCH(F1787,Assumptions!$K$4:$K$8,0)</f>
        <v>3</v>
      </c>
      <c r="O1787" s="21" t="str">
        <f aca="false">IF(H1787="Yes",MONTH(I1787),"")</f>
        <v/>
      </c>
      <c r="P1787" s="21" t="str">
        <f aca="false">IF(H1787="Yes",B1787,"")</f>
        <v/>
      </c>
    </row>
    <row r="1788" customFormat="false" ht="15" hidden="false" customHeight="false" outlineLevel="0" collapsed="false">
      <c r="A1788" s="21" t="s">
        <v>3003</v>
      </c>
      <c r="B1788" s="21" t="s">
        <v>590</v>
      </c>
      <c r="C1788" s="21" t="s">
        <v>1275</v>
      </c>
      <c r="D1788" s="21" t="s">
        <v>1188</v>
      </c>
      <c r="E1788" s="33" t="n">
        <v>45676</v>
      </c>
      <c r="F1788" s="21" t="s">
        <v>1175</v>
      </c>
      <c r="G1788" s="32"/>
      <c r="H1788" s="21"/>
      <c r="I1788" s="33"/>
      <c r="J1788" s="21" t="str">
        <f aca="false">INDEX(Students!$C$2:$C$601,MATCH(B1788,Students!$A$2:$A$601,0))</f>
        <v>Batch 2025</v>
      </c>
      <c r="K1788" s="21" t="str">
        <f aca="false">INDEX(Students!$D$2:$D$601,MATCH(B1788,Students!$A$2:$A$601,0))</f>
        <v>Data Analytics</v>
      </c>
      <c r="L1788" s="21" t="str">
        <f aca="false">INDEX(Companies!$C$2:$C$31,MATCH(C1788,Companies!$A$2:$A$31,0))</f>
        <v>Cybersecurity</v>
      </c>
      <c r="M1788" s="21" t="str">
        <f aca="false">INDEX(Companies!$D$2:$D$31,MATCH(C1788,Companies!$A$2:$A$31,0))</f>
        <v>Tier 2</v>
      </c>
      <c r="N1788" s="34" t="n">
        <f aca="false">MATCH(F1788,Assumptions!$K$4:$K$8,0)</f>
        <v>1</v>
      </c>
      <c r="O1788" s="21" t="str">
        <f aca="false">IF(H1788="Yes",MONTH(I1788),"")</f>
        <v/>
      </c>
      <c r="P1788" s="21" t="str">
        <f aca="false">IF(H1788="Yes",B1788,"")</f>
        <v/>
      </c>
    </row>
    <row r="1789" customFormat="false" ht="15" hidden="false" customHeight="false" outlineLevel="0" collapsed="false">
      <c r="A1789" s="21" t="s">
        <v>3004</v>
      </c>
      <c r="B1789" s="21" t="s">
        <v>605</v>
      </c>
      <c r="C1789" s="21" t="s">
        <v>1211</v>
      </c>
      <c r="D1789" s="21" t="s">
        <v>1240</v>
      </c>
      <c r="E1789" s="33" t="n">
        <v>45676</v>
      </c>
      <c r="F1789" s="21" t="s">
        <v>1175</v>
      </c>
      <c r="G1789" s="32"/>
      <c r="H1789" s="21"/>
      <c r="I1789" s="33"/>
      <c r="J1789" s="21" t="str">
        <f aca="false">INDEX(Students!$C$2:$C$601,MATCH(B1789,Students!$A$2:$A$601,0))</f>
        <v>Batch 2025</v>
      </c>
      <c r="K1789" s="21" t="str">
        <f aca="false">INDEX(Students!$D$2:$D$601,MATCH(B1789,Students!$A$2:$A$601,0))</f>
        <v>Cybersecurity</v>
      </c>
      <c r="L1789" s="21" t="str">
        <f aca="false">INDEX(Companies!$C$2:$C$31,MATCH(C1789,Companies!$A$2:$A$31,0))</f>
        <v>Analytics &amp; Consulting</v>
      </c>
      <c r="M1789" s="21" t="str">
        <f aca="false">INDEX(Companies!$D$2:$D$31,MATCH(C1789,Companies!$A$2:$A$31,0))</f>
        <v>Tier 3</v>
      </c>
      <c r="N1789" s="34" t="n">
        <f aca="false">MATCH(F1789,Assumptions!$K$4:$K$8,0)</f>
        <v>1</v>
      </c>
      <c r="O1789" s="21" t="str">
        <f aca="false">IF(H1789="Yes",MONTH(I1789),"")</f>
        <v/>
      </c>
      <c r="P1789" s="21" t="str">
        <f aca="false">IF(H1789="Yes",B1789,"")</f>
        <v/>
      </c>
    </row>
    <row r="1790" customFormat="false" ht="15" hidden="false" customHeight="false" outlineLevel="0" collapsed="false">
      <c r="A1790" s="21" t="s">
        <v>3005</v>
      </c>
      <c r="B1790" s="21" t="s">
        <v>665</v>
      </c>
      <c r="C1790" s="21" t="s">
        <v>1298</v>
      </c>
      <c r="D1790" s="21" t="s">
        <v>1191</v>
      </c>
      <c r="E1790" s="33" t="n">
        <v>45676</v>
      </c>
      <c r="F1790" s="21" t="s">
        <v>1175</v>
      </c>
      <c r="G1790" s="32"/>
      <c r="H1790" s="21"/>
      <c r="I1790" s="33"/>
      <c r="J1790" s="21" t="str">
        <f aca="false">INDEX(Students!$C$2:$C$601,MATCH(B1790,Students!$A$2:$A$601,0))</f>
        <v>Batch 2025</v>
      </c>
      <c r="K1790" s="21" t="str">
        <f aca="false">INDEX(Students!$D$2:$D$601,MATCH(B1790,Students!$A$2:$A$601,0))</f>
        <v>DSA with Java</v>
      </c>
      <c r="L1790" s="21" t="str">
        <f aca="false">INDEX(Companies!$C$2:$C$31,MATCH(C1790,Companies!$A$2:$A$31,0))</f>
        <v>Fintech</v>
      </c>
      <c r="M1790" s="21" t="str">
        <f aca="false">INDEX(Companies!$D$2:$D$31,MATCH(C1790,Companies!$A$2:$A$31,0))</f>
        <v>Tier 2</v>
      </c>
      <c r="N1790" s="34" t="n">
        <f aca="false">MATCH(F1790,Assumptions!$K$4:$K$8,0)</f>
        <v>1</v>
      </c>
      <c r="O1790" s="21" t="str">
        <f aca="false">IF(H1790="Yes",MONTH(I1790),"")</f>
        <v/>
      </c>
      <c r="P1790" s="21" t="str">
        <f aca="false">IF(H1790="Yes",B1790,"")</f>
        <v/>
      </c>
    </row>
    <row r="1791" customFormat="false" ht="15" hidden="false" customHeight="false" outlineLevel="0" collapsed="false">
      <c r="A1791" s="21" t="s">
        <v>3006</v>
      </c>
      <c r="B1791" s="21" t="s">
        <v>582</v>
      </c>
      <c r="C1791" s="21" t="s">
        <v>1177</v>
      </c>
      <c r="D1791" s="21" t="s">
        <v>1194</v>
      </c>
      <c r="E1791" s="33" t="n">
        <v>45676</v>
      </c>
      <c r="F1791" s="21" t="s">
        <v>1178</v>
      </c>
      <c r="G1791" s="32"/>
      <c r="H1791" s="21"/>
      <c r="I1791" s="33"/>
      <c r="J1791" s="21" t="str">
        <f aca="false">INDEX(Students!$C$2:$C$601,MATCH(B1791,Students!$A$2:$A$601,0))</f>
        <v>Batch 2025</v>
      </c>
      <c r="K1791" s="21" t="str">
        <f aca="false">INDEX(Students!$D$2:$D$601,MATCH(B1791,Students!$A$2:$A$601,0))</f>
        <v>Data Science &amp; ML</v>
      </c>
      <c r="L1791" s="21" t="str">
        <f aca="false">INDEX(Companies!$C$2:$C$31,MATCH(C1791,Companies!$A$2:$A$31,0))</f>
        <v>IT Services</v>
      </c>
      <c r="M1791" s="21" t="str">
        <f aca="false">INDEX(Companies!$D$2:$D$31,MATCH(C1791,Companies!$A$2:$A$31,0))</f>
        <v>Tier 3</v>
      </c>
      <c r="N1791" s="34" t="n">
        <f aca="false">MATCH(F1791,Assumptions!$K$4:$K$8,0)</f>
        <v>2</v>
      </c>
      <c r="O1791" s="21" t="str">
        <f aca="false">IF(H1791="Yes",MONTH(I1791),"")</f>
        <v/>
      </c>
      <c r="P1791" s="21" t="str">
        <f aca="false">IF(H1791="Yes",B1791,"")</f>
        <v/>
      </c>
    </row>
    <row r="1792" customFormat="false" ht="15" hidden="false" customHeight="false" outlineLevel="0" collapsed="false">
      <c r="A1792" s="21" t="s">
        <v>3007</v>
      </c>
      <c r="B1792" s="21" t="s">
        <v>697</v>
      </c>
      <c r="C1792" s="21" t="s">
        <v>1216</v>
      </c>
      <c r="D1792" s="21" t="s">
        <v>1243</v>
      </c>
      <c r="E1792" s="33" t="n">
        <v>45676</v>
      </c>
      <c r="F1792" s="21" t="s">
        <v>1185</v>
      </c>
      <c r="G1792" s="32" t="n">
        <v>5.5</v>
      </c>
      <c r="H1792" s="21" t="s">
        <v>113</v>
      </c>
      <c r="I1792" s="33" t="n">
        <v>45717</v>
      </c>
      <c r="J1792" s="21" t="str">
        <f aca="false">INDEX(Students!$C$2:$C$601,MATCH(B1792,Students!$A$2:$A$601,0))</f>
        <v>Batch 2025</v>
      </c>
      <c r="K1792" s="21" t="str">
        <f aca="false">INDEX(Students!$D$2:$D$601,MATCH(B1792,Students!$A$2:$A$601,0))</f>
        <v>Data Science &amp; ML</v>
      </c>
      <c r="L1792" s="21" t="str">
        <f aca="false">INDEX(Companies!$C$2:$C$31,MATCH(C1792,Companies!$A$2:$A$31,0))</f>
        <v>IT Services</v>
      </c>
      <c r="M1792" s="21" t="str">
        <f aca="false">INDEX(Companies!$D$2:$D$31,MATCH(C1792,Companies!$A$2:$A$31,0))</f>
        <v>Tier 3</v>
      </c>
      <c r="N1792" s="34" t="n">
        <f aca="false">MATCH(F1792,Assumptions!$K$4:$K$8,0)</f>
        <v>5</v>
      </c>
      <c r="O1792" s="21" t="str">
        <f aca="false">IF(H1792="Yes",MONTH(I1792),"")</f>
        <v/>
      </c>
      <c r="P1792" s="21" t="str">
        <f aca="false">IF(H1792="Yes",B1792,"")</f>
        <v/>
      </c>
    </row>
    <row r="1793" customFormat="false" ht="15" hidden="false" customHeight="false" outlineLevel="0" collapsed="false">
      <c r="A1793" s="21" t="s">
        <v>3008</v>
      </c>
      <c r="B1793" s="21" t="s">
        <v>763</v>
      </c>
      <c r="C1793" s="21" t="s">
        <v>1205</v>
      </c>
      <c r="D1793" s="21" t="s">
        <v>1194</v>
      </c>
      <c r="E1793" s="33" t="n">
        <v>45677</v>
      </c>
      <c r="F1793" s="21" t="s">
        <v>1175</v>
      </c>
      <c r="G1793" s="32"/>
      <c r="H1793" s="21"/>
      <c r="I1793" s="33"/>
      <c r="J1793" s="21" t="str">
        <f aca="false">INDEX(Students!$C$2:$C$601,MATCH(B1793,Students!$A$2:$A$601,0))</f>
        <v>Batch 2025</v>
      </c>
      <c r="K1793" s="21" t="str">
        <f aca="false">INDEX(Students!$D$2:$D$601,MATCH(B1793,Students!$A$2:$A$601,0))</f>
        <v>Data Science &amp; ML</v>
      </c>
      <c r="L1793" s="21" t="str">
        <f aca="false">INDEX(Companies!$C$2:$C$31,MATCH(C1793,Companies!$A$2:$A$31,0))</f>
        <v>Healthtech</v>
      </c>
      <c r="M1793" s="21" t="str">
        <f aca="false">INDEX(Companies!$D$2:$D$31,MATCH(C1793,Companies!$A$2:$A$31,0))</f>
        <v>Tier 3</v>
      </c>
      <c r="N1793" s="34" t="n">
        <f aca="false">MATCH(F1793,Assumptions!$K$4:$K$8,0)</f>
        <v>1</v>
      </c>
      <c r="O1793" s="21" t="str">
        <f aca="false">IF(H1793="Yes",MONTH(I1793),"")</f>
        <v/>
      </c>
      <c r="P1793" s="21" t="str">
        <f aca="false">IF(H1793="Yes",B1793,"")</f>
        <v/>
      </c>
    </row>
    <row r="1794" customFormat="false" ht="15" hidden="false" customHeight="false" outlineLevel="0" collapsed="false">
      <c r="A1794" s="21" t="s">
        <v>3009</v>
      </c>
      <c r="B1794" s="21" t="s">
        <v>786</v>
      </c>
      <c r="C1794" s="21" t="s">
        <v>1193</v>
      </c>
      <c r="D1794" s="21" t="s">
        <v>1226</v>
      </c>
      <c r="E1794" s="33" t="n">
        <v>45677</v>
      </c>
      <c r="F1794" s="21" t="s">
        <v>1175</v>
      </c>
      <c r="G1794" s="32"/>
      <c r="H1794" s="21"/>
      <c r="I1794" s="33"/>
      <c r="J1794" s="21" t="str">
        <f aca="false">INDEX(Students!$C$2:$C$601,MATCH(B1794,Students!$A$2:$A$601,0))</f>
        <v>Batch 2025</v>
      </c>
      <c r="K1794" s="21" t="str">
        <f aca="false">INDEX(Students!$D$2:$D$601,MATCH(B1794,Students!$A$2:$A$601,0))</f>
        <v>Cybersecurity</v>
      </c>
      <c r="L1794" s="21" t="str">
        <f aca="false">INDEX(Companies!$C$2:$C$31,MATCH(C1794,Companies!$A$2:$A$31,0))</f>
        <v>Analytics &amp; Consulting</v>
      </c>
      <c r="M1794" s="21" t="str">
        <f aca="false">INDEX(Companies!$D$2:$D$31,MATCH(C1794,Companies!$A$2:$A$31,0))</f>
        <v>Tier 2</v>
      </c>
      <c r="N1794" s="34" t="n">
        <f aca="false">MATCH(F1794,Assumptions!$K$4:$K$8,0)</f>
        <v>1</v>
      </c>
      <c r="O1794" s="21" t="str">
        <f aca="false">IF(H1794="Yes",MONTH(I1794),"")</f>
        <v/>
      </c>
      <c r="P1794" s="21" t="str">
        <f aca="false">IF(H1794="Yes",B1794,"")</f>
        <v/>
      </c>
    </row>
    <row r="1795" customFormat="false" ht="15" hidden="false" customHeight="false" outlineLevel="0" collapsed="false">
      <c r="A1795" s="21" t="s">
        <v>3010</v>
      </c>
      <c r="B1795" s="21" t="s">
        <v>524</v>
      </c>
      <c r="C1795" s="21" t="s">
        <v>1275</v>
      </c>
      <c r="D1795" s="21" t="s">
        <v>1243</v>
      </c>
      <c r="E1795" s="33" t="n">
        <v>45677</v>
      </c>
      <c r="F1795" s="21" t="s">
        <v>1175</v>
      </c>
      <c r="G1795" s="32"/>
      <c r="H1795" s="21"/>
      <c r="I1795" s="33"/>
      <c r="J1795" s="21" t="str">
        <f aca="false">INDEX(Students!$C$2:$C$601,MATCH(B1795,Students!$A$2:$A$601,0))</f>
        <v>Batch 2025</v>
      </c>
      <c r="K1795" s="21" t="str">
        <f aca="false">INDEX(Students!$D$2:$D$601,MATCH(B1795,Students!$A$2:$A$601,0))</f>
        <v>Data Science &amp; ML</v>
      </c>
      <c r="L1795" s="21" t="str">
        <f aca="false">INDEX(Companies!$C$2:$C$31,MATCH(C1795,Companies!$A$2:$A$31,0))</f>
        <v>Cybersecurity</v>
      </c>
      <c r="M1795" s="21" t="str">
        <f aca="false">INDEX(Companies!$D$2:$D$31,MATCH(C1795,Companies!$A$2:$A$31,0))</f>
        <v>Tier 2</v>
      </c>
      <c r="N1795" s="34" t="n">
        <f aca="false">MATCH(F1795,Assumptions!$K$4:$K$8,0)</f>
        <v>1</v>
      </c>
      <c r="O1795" s="21" t="str">
        <f aca="false">IF(H1795="Yes",MONTH(I1795),"")</f>
        <v/>
      </c>
      <c r="P1795" s="21" t="str">
        <f aca="false">IF(H1795="Yes",B1795,"")</f>
        <v/>
      </c>
    </row>
    <row r="1796" customFormat="false" ht="15" hidden="false" customHeight="false" outlineLevel="0" collapsed="false">
      <c r="A1796" s="21" t="s">
        <v>3011</v>
      </c>
      <c r="B1796" s="21" t="s">
        <v>756</v>
      </c>
      <c r="C1796" s="21" t="s">
        <v>1214</v>
      </c>
      <c r="D1796" s="21" t="s">
        <v>1243</v>
      </c>
      <c r="E1796" s="33" t="n">
        <v>45677</v>
      </c>
      <c r="F1796" s="21" t="s">
        <v>1218</v>
      </c>
      <c r="G1796" s="32"/>
      <c r="H1796" s="21"/>
      <c r="I1796" s="33"/>
      <c r="J1796" s="21" t="str">
        <f aca="false">INDEX(Students!$C$2:$C$601,MATCH(B1796,Students!$A$2:$A$601,0))</f>
        <v>Batch 2025</v>
      </c>
      <c r="K1796" s="21" t="str">
        <f aca="false">INDEX(Students!$D$2:$D$601,MATCH(B1796,Students!$A$2:$A$601,0))</f>
        <v>Data Science &amp; ML</v>
      </c>
      <c r="L1796" s="21" t="str">
        <f aca="false">INDEX(Companies!$C$2:$C$31,MATCH(C1796,Companies!$A$2:$A$31,0))</f>
        <v>Product</v>
      </c>
      <c r="M1796" s="21" t="str">
        <f aca="false">INDEX(Companies!$D$2:$D$31,MATCH(C1796,Companies!$A$2:$A$31,0))</f>
        <v>Tier 1</v>
      </c>
      <c r="N1796" s="34" t="n">
        <f aca="false">MATCH(F1796,Assumptions!$K$4:$K$8,0)</f>
        <v>4</v>
      </c>
      <c r="O1796" s="21" t="str">
        <f aca="false">IF(H1796="Yes",MONTH(I1796),"")</f>
        <v/>
      </c>
      <c r="P1796" s="21" t="str">
        <f aca="false">IF(H1796="Yes",B1796,"")</f>
        <v/>
      </c>
    </row>
    <row r="1797" customFormat="false" ht="15" hidden="false" customHeight="false" outlineLevel="0" collapsed="false">
      <c r="A1797" s="21" t="s">
        <v>3012</v>
      </c>
      <c r="B1797" s="21" t="s">
        <v>769</v>
      </c>
      <c r="C1797" s="21" t="s">
        <v>1183</v>
      </c>
      <c r="D1797" s="21" t="s">
        <v>1188</v>
      </c>
      <c r="E1797" s="33" t="n">
        <v>45677</v>
      </c>
      <c r="F1797" s="21" t="s">
        <v>1175</v>
      </c>
      <c r="G1797" s="32"/>
      <c r="H1797" s="21"/>
      <c r="I1797" s="33"/>
      <c r="J1797" s="21" t="str">
        <f aca="false">INDEX(Students!$C$2:$C$601,MATCH(B1797,Students!$A$2:$A$601,0))</f>
        <v>Batch 2025</v>
      </c>
      <c r="K1797" s="21" t="str">
        <f aca="false">INDEX(Students!$D$2:$D$601,MATCH(B1797,Students!$A$2:$A$601,0))</f>
        <v>Data Analytics</v>
      </c>
      <c r="L1797" s="21" t="str">
        <f aca="false">INDEX(Companies!$C$2:$C$31,MATCH(C1797,Companies!$A$2:$A$31,0))</f>
        <v>E-commerce</v>
      </c>
      <c r="M1797" s="21" t="str">
        <f aca="false">INDEX(Companies!$D$2:$D$31,MATCH(C1797,Companies!$A$2:$A$31,0))</f>
        <v>Tier 2</v>
      </c>
      <c r="N1797" s="34" t="n">
        <f aca="false">MATCH(F1797,Assumptions!$K$4:$K$8,0)</f>
        <v>1</v>
      </c>
      <c r="O1797" s="21" t="str">
        <f aca="false">IF(H1797="Yes",MONTH(I1797),"")</f>
        <v/>
      </c>
      <c r="P1797" s="21" t="str">
        <f aca="false">IF(H1797="Yes",B1797,"")</f>
        <v/>
      </c>
    </row>
    <row r="1798" customFormat="false" ht="15" hidden="false" customHeight="false" outlineLevel="0" collapsed="false">
      <c r="A1798" s="21" t="s">
        <v>3013</v>
      </c>
      <c r="B1798" s="21" t="s">
        <v>732</v>
      </c>
      <c r="C1798" s="21" t="s">
        <v>1234</v>
      </c>
      <c r="D1798" s="21" t="s">
        <v>1243</v>
      </c>
      <c r="E1798" s="33" t="n">
        <v>45677</v>
      </c>
      <c r="F1798" s="21" t="s">
        <v>1185</v>
      </c>
      <c r="G1798" s="32" t="n">
        <v>7</v>
      </c>
      <c r="H1798" s="21" t="s">
        <v>113</v>
      </c>
      <c r="I1798" s="33" t="n">
        <v>45704</v>
      </c>
      <c r="J1798" s="21" t="str">
        <f aca="false">INDEX(Students!$C$2:$C$601,MATCH(B1798,Students!$A$2:$A$601,0))</f>
        <v>Batch 2025</v>
      </c>
      <c r="K1798" s="21" t="str">
        <f aca="false">INDEX(Students!$D$2:$D$601,MATCH(B1798,Students!$A$2:$A$601,0))</f>
        <v>Data Science &amp; ML</v>
      </c>
      <c r="L1798" s="21" t="str">
        <f aca="false">INDEX(Companies!$C$2:$C$31,MATCH(C1798,Companies!$A$2:$A$31,0))</f>
        <v>EdTech</v>
      </c>
      <c r="M1798" s="21" t="str">
        <f aca="false">INDEX(Companies!$D$2:$D$31,MATCH(C1798,Companies!$A$2:$A$31,0))</f>
        <v>Tier 3</v>
      </c>
      <c r="N1798" s="34" t="n">
        <f aca="false">MATCH(F1798,Assumptions!$K$4:$K$8,0)</f>
        <v>5</v>
      </c>
      <c r="O1798" s="21" t="str">
        <f aca="false">IF(H1798="Yes",MONTH(I1798),"")</f>
        <v/>
      </c>
      <c r="P1798" s="21" t="str">
        <f aca="false">IF(H1798="Yes",B1798,"")</f>
        <v/>
      </c>
    </row>
    <row r="1799" customFormat="false" ht="15" hidden="false" customHeight="false" outlineLevel="0" collapsed="false">
      <c r="A1799" s="21" t="s">
        <v>3014</v>
      </c>
      <c r="B1799" s="21" t="s">
        <v>513</v>
      </c>
      <c r="C1799" s="21" t="s">
        <v>1234</v>
      </c>
      <c r="D1799" s="21" t="s">
        <v>1181</v>
      </c>
      <c r="E1799" s="33" t="n">
        <v>45677</v>
      </c>
      <c r="F1799" s="21" t="s">
        <v>1175</v>
      </c>
      <c r="G1799" s="32"/>
      <c r="H1799" s="21"/>
      <c r="I1799" s="33"/>
      <c r="J1799" s="21" t="str">
        <f aca="false">INDEX(Students!$C$2:$C$601,MATCH(B1799,Students!$A$2:$A$601,0))</f>
        <v>Batch 2025</v>
      </c>
      <c r="K1799" s="21" t="str">
        <f aca="false">INDEX(Students!$D$2:$D$601,MATCH(B1799,Students!$A$2:$A$601,0))</f>
        <v>Full Stack Development</v>
      </c>
      <c r="L1799" s="21" t="str">
        <f aca="false">INDEX(Companies!$C$2:$C$31,MATCH(C1799,Companies!$A$2:$A$31,0))</f>
        <v>EdTech</v>
      </c>
      <c r="M1799" s="21" t="str">
        <f aca="false">INDEX(Companies!$D$2:$D$31,MATCH(C1799,Companies!$A$2:$A$31,0))</f>
        <v>Tier 3</v>
      </c>
      <c r="N1799" s="34" t="n">
        <f aca="false">MATCH(F1799,Assumptions!$K$4:$K$8,0)</f>
        <v>1</v>
      </c>
      <c r="O1799" s="21" t="str">
        <f aca="false">IF(H1799="Yes",MONTH(I1799),"")</f>
        <v/>
      </c>
      <c r="P1799" s="21" t="str">
        <f aca="false">IF(H1799="Yes",B1799,"")</f>
        <v/>
      </c>
    </row>
    <row r="1800" customFormat="false" ht="15" hidden="false" customHeight="false" outlineLevel="0" collapsed="false">
      <c r="A1800" s="21" t="s">
        <v>3015</v>
      </c>
      <c r="B1800" s="21" t="s">
        <v>806</v>
      </c>
      <c r="C1800" s="21" t="s">
        <v>1187</v>
      </c>
      <c r="D1800" s="21" t="s">
        <v>1243</v>
      </c>
      <c r="E1800" s="33" t="n">
        <v>45678</v>
      </c>
      <c r="F1800" s="21" t="s">
        <v>1175</v>
      </c>
      <c r="G1800" s="32"/>
      <c r="H1800" s="21"/>
      <c r="I1800" s="33"/>
      <c r="J1800" s="21" t="str">
        <f aca="false">INDEX(Students!$C$2:$C$601,MATCH(B1800,Students!$A$2:$A$601,0))</f>
        <v>Batch 2025</v>
      </c>
      <c r="K1800" s="21" t="str">
        <f aca="false">INDEX(Students!$D$2:$D$601,MATCH(B1800,Students!$A$2:$A$601,0))</f>
        <v>Data Science &amp; ML</v>
      </c>
      <c r="L1800" s="21" t="str">
        <f aca="false">INDEX(Companies!$C$2:$C$31,MATCH(C1800,Companies!$A$2:$A$31,0))</f>
        <v>Product</v>
      </c>
      <c r="M1800" s="21" t="str">
        <f aca="false">INDEX(Companies!$D$2:$D$31,MATCH(C1800,Companies!$A$2:$A$31,0))</f>
        <v>Tier 1</v>
      </c>
      <c r="N1800" s="34" t="n">
        <f aca="false">MATCH(F1800,Assumptions!$K$4:$K$8,0)</f>
        <v>1</v>
      </c>
      <c r="O1800" s="21" t="str">
        <f aca="false">IF(H1800="Yes",MONTH(I1800),"")</f>
        <v/>
      </c>
      <c r="P1800" s="21" t="str">
        <f aca="false">IF(H1800="Yes",B1800,"")</f>
        <v/>
      </c>
    </row>
    <row r="1801" customFormat="false" ht="15" hidden="false" customHeight="false" outlineLevel="0" collapsed="false">
      <c r="A1801" s="21" t="s">
        <v>3016</v>
      </c>
      <c r="B1801" s="21" t="s">
        <v>526</v>
      </c>
      <c r="C1801" s="21" t="s">
        <v>1216</v>
      </c>
      <c r="D1801" s="21" t="s">
        <v>1191</v>
      </c>
      <c r="E1801" s="33" t="n">
        <v>45678</v>
      </c>
      <c r="F1801" s="21" t="s">
        <v>1175</v>
      </c>
      <c r="G1801" s="32"/>
      <c r="H1801" s="21"/>
      <c r="I1801" s="33"/>
      <c r="J1801" s="21" t="str">
        <f aca="false">INDEX(Students!$C$2:$C$601,MATCH(B1801,Students!$A$2:$A$601,0))</f>
        <v>Batch 2025</v>
      </c>
      <c r="K1801" s="21" t="str">
        <f aca="false">INDEX(Students!$D$2:$D$601,MATCH(B1801,Students!$A$2:$A$601,0))</f>
        <v>DSA with Java</v>
      </c>
      <c r="L1801" s="21" t="str">
        <f aca="false">INDEX(Companies!$C$2:$C$31,MATCH(C1801,Companies!$A$2:$A$31,0))</f>
        <v>IT Services</v>
      </c>
      <c r="M1801" s="21" t="str">
        <f aca="false">INDEX(Companies!$D$2:$D$31,MATCH(C1801,Companies!$A$2:$A$31,0))</f>
        <v>Tier 3</v>
      </c>
      <c r="N1801" s="34" t="n">
        <f aca="false">MATCH(F1801,Assumptions!$K$4:$K$8,0)</f>
        <v>1</v>
      </c>
      <c r="O1801" s="21" t="str">
        <f aca="false">IF(H1801="Yes",MONTH(I1801),"")</f>
        <v/>
      </c>
      <c r="P1801" s="21" t="str">
        <f aca="false">IF(H1801="Yes",B1801,"")</f>
        <v/>
      </c>
    </row>
    <row r="1802" customFormat="false" ht="15" hidden="false" customHeight="false" outlineLevel="0" collapsed="false">
      <c r="A1802" s="21" t="s">
        <v>3017</v>
      </c>
      <c r="B1802" s="21" t="s">
        <v>773</v>
      </c>
      <c r="C1802" s="21" t="s">
        <v>1180</v>
      </c>
      <c r="D1802" s="21" t="s">
        <v>1194</v>
      </c>
      <c r="E1802" s="33" t="n">
        <v>45678</v>
      </c>
      <c r="F1802" s="21" t="s">
        <v>1175</v>
      </c>
      <c r="G1802" s="32"/>
      <c r="H1802" s="21"/>
      <c r="I1802" s="33"/>
      <c r="J1802" s="21" t="str">
        <f aca="false">INDEX(Students!$C$2:$C$601,MATCH(B1802,Students!$A$2:$A$601,0))</f>
        <v>Batch 2025</v>
      </c>
      <c r="K1802" s="21" t="str">
        <f aca="false">INDEX(Students!$D$2:$D$601,MATCH(B1802,Students!$A$2:$A$601,0))</f>
        <v>Data Science &amp; ML</v>
      </c>
      <c r="L1802" s="21" t="str">
        <f aca="false">INDEX(Companies!$C$2:$C$31,MATCH(C1802,Companies!$A$2:$A$31,0))</f>
        <v>IT Services</v>
      </c>
      <c r="M1802" s="21" t="str">
        <f aca="false">INDEX(Companies!$D$2:$D$31,MATCH(C1802,Companies!$A$2:$A$31,0))</f>
        <v>Tier 3</v>
      </c>
      <c r="N1802" s="34" t="n">
        <f aca="false">MATCH(F1802,Assumptions!$K$4:$K$8,0)</f>
        <v>1</v>
      </c>
      <c r="O1802" s="21" t="str">
        <f aca="false">IF(H1802="Yes",MONTH(I1802),"")</f>
        <v/>
      </c>
      <c r="P1802" s="21" t="str">
        <f aca="false">IF(H1802="Yes",B1802,"")</f>
        <v/>
      </c>
    </row>
    <row r="1803" customFormat="false" ht="15" hidden="false" customHeight="false" outlineLevel="0" collapsed="false">
      <c r="A1803" s="21" t="s">
        <v>3018</v>
      </c>
      <c r="B1803" s="21" t="s">
        <v>674</v>
      </c>
      <c r="C1803" s="21" t="s">
        <v>1208</v>
      </c>
      <c r="D1803" s="21" t="s">
        <v>1174</v>
      </c>
      <c r="E1803" s="33" t="n">
        <v>45678</v>
      </c>
      <c r="F1803" s="21" t="s">
        <v>1175</v>
      </c>
      <c r="G1803" s="32"/>
      <c r="H1803" s="21"/>
      <c r="I1803" s="33"/>
      <c r="J1803" s="21" t="str">
        <f aca="false">INDEX(Students!$C$2:$C$601,MATCH(B1803,Students!$A$2:$A$601,0))</f>
        <v>Batch 2025</v>
      </c>
      <c r="K1803" s="21" t="str">
        <f aca="false">INDEX(Students!$D$2:$D$601,MATCH(B1803,Students!$A$2:$A$601,0))</f>
        <v>Full Stack Development</v>
      </c>
      <c r="L1803" s="21" t="str">
        <f aca="false">INDEX(Companies!$C$2:$C$31,MATCH(C1803,Companies!$A$2:$A$31,0))</f>
        <v>E-commerce</v>
      </c>
      <c r="M1803" s="21" t="str">
        <f aca="false">INDEX(Companies!$D$2:$D$31,MATCH(C1803,Companies!$A$2:$A$31,0))</f>
        <v>Tier 1</v>
      </c>
      <c r="N1803" s="34" t="n">
        <f aca="false">MATCH(F1803,Assumptions!$K$4:$K$8,0)</f>
        <v>1</v>
      </c>
      <c r="O1803" s="21" t="str">
        <f aca="false">IF(H1803="Yes",MONTH(I1803),"")</f>
        <v/>
      </c>
      <c r="P1803" s="21" t="str">
        <f aca="false">IF(H1803="Yes",B1803,"")</f>
        <v/>
      </c>
    </row>
    <row r="1804" customFormat="false" ht="15" hidden="false" customHeight="false" outlineLevel="0" collapsed="false">
      <c r="A1804" s="21" t="s">
        <v>3019</v>
      </c>
      <c r="B1804" s="21" t="s">
        <v>614</v>
      </c>
      <c r="C1804" s="21" t="s">
        <v>1201</v>
      </c>
      <c r="D1804" s="21" t="s">
        <v>1243</v>
      </c>
      <c r="E1804" s="33" t="n">
        <v>45678</v>
      </c>
      <c r="F1804" s="21" t="s">
        <v>1185</v>
      </c>
      <c r="G1804" s="32" t="n">
        <v>5.9</v>
      </c>
      <c r="H1804" s="21" t="s">
        <v>113</v>
      </c>
      <c r="I1804" s="33" t="n">
        <v>45712</v>
      </c>
      <c r="J1804" s="21" t="str">
        <f aca="false">INDEX(Students!$C$2:$C$601,MATCH(B1804,Students!$A$2:$A$601,0))</f>
        <v>Batch 2025</v>
      </c>
      <c r="K1804" s="21" t="str">
        <f aca="false">INDEX(Students!$D$2:$D$601,MATCH(B1804,Students!$A$2:$A$601,0))</f>
        <v>Data Science &amp; ML</v>
      </c>
      <c r="L1804" s="21" t="str">
        <f aca="false">INDEX(Companies!$C$2:$C$31,MATCH(C1804,Companies!$A$2:$A$31,0))</f>
        <v>IT Services</v>
      </c>
      <c r="M1804" s="21" t="str">
        <f aca="false">INDEX(Companies!$D$2:$D$31,MATCH(C1804,Companies!$A$2:$A$31,0))</f>
        <v>Tier 3</v>
      </c>
      <c r="N1804" s="34" t="n">
        <f aca="false">MATCH(F1804,Assumptions!$K$4:$K$8,0)</f>
        <v>5</v>
      </c>
      <c r="O1804" s="21" t="str">
        <f aca="false">IF(H1804="Yes",MONTH(I1804),"")</f>
        <v/>
      </c>
      <c r="P1804" s="21" t="str">
        <f aca="false">IF(H1804="Yes",B1804,"")</f>
        <v/>
      </c>
    </row>
    <row r="1805" customFormat="false" ht="15" hidden="false" customHeight="false" outlineLevel="0" collapsed="false">
      <c r="A1805" s="21" t="s">
        <v>3020</v>
      </c>
      <c r="B1805" s="21" t="s">
        <v>536</v>
      </c>
      <c r="C1805" s="21" t="s">
        <v>1228</v>
      </c>
      <c r="D1805" s="21" t="s">
        <v>1194</v>
      </c>
      <c r="E1805" s="33" t="n">
        <v>45678</v>
      </c>
      <c r="F1805" s="21" t="s">
        <v>1185</v>
      </c>
      <c r="G1805" s="32" t="n">
        <v>20.9</v>
      </c>
      <c r="H1805" s="21" t="s">
        <v>120</v>
      </c>
      <c r="I1805" s="33" t="n">
        <v>45725</v>
      </c>
      <c r="J1805" s="21" t="str">
        <f aca="false">INDEX(Students!$C$2:$C$601,MATCH(B1805,Students!$A$2:$A$601,0))</f>
        <v>Batch 2025</v>
      </c>
      <c r="K1805" s="21" t="str">
        <f aca="false">INDEX(Students!$D$2:$D$601,MATCH(B1805,Students!$A$2:$A$601,0))</f>
        <v>Data Science &amp; ML</v>
      </c>
      <c r="L1805" s="21" t="str">
        <f aca="false">INDEX(Companies!$C$2:$C$31,MATCH(C1805,Companies!$A$2:$A$31,0))</f>
        <v>Fintech</v>
      </c>
      <c r="M1805" s="21" t="str">
        <f aca="false">INDEX(Companies!$D$2:$D$31,MATCH(C1805,Companies!$A$2:$A$31,0))</f>
        <v>Tier 1</v>
      </c>
      <c r="N1805" s="34" t="n">
        <f aca="false">MATCH(F1805,Assumptions!$K$4:$K$8,0)</f>
        <v>5</v>
      </c>
      <c r="O1805" s="21" t="n">
        <f aca="false">IF(H1805="Yes",MONTH(I1805),"")</f>
        <v>3</v>
      </c>
      <c r="P1805" s="21" t="str">
        <f aca="false">IF(H1805="Yes",B1805,"")</f>
        <v>S0226</v>
      </c>
    </row>
    <row r="1806" customFormat="false" ht="15" hidden="false" customHeight="false" outlineLevel="0" collapsed="false">
      <c r="A1806" s="21" t="s">
        <v>3021</v>
      </c>
      <c r="B1806" s="21" t="s">
        <v>778</v>
      </c>
      <c r="C1806" s="21" t="s">
        <v>1196</v>
      </c>
      <c r="D1806" s="21" t="s">
        <v>1191</v>
      </c>
      <c r="E1806" s="33" t="n">
        <v>45679</v>
      </c>
      <c r="F1806" s="21" t="s">
        <v>1218</v>
      </c>
      <c r="G1806" s="32"/>
      <c r="H1806" s="21"/>
      <c r="I1806" s="33"/>
      <c r="J1806" s="21" t="str">
        <f aca="false">INDEX(Students!$C$2:$C$601,MATCH(B1806,Students!$A$2:$A$601,0))</f>
        <v>Batch 2025</v>
      </c>
      <c r="K1806" s="21" t="str">
        <f aca="false">INDEX(Students!$D$2:$D$601,MATCH(B1806,Students!$A$2:$A$601,0))</f>
        <v>DSA with Java</v>
      </c>
      <c r="L1806" s="21" t="str">
        <f aca="false">INDEX(Companies!$C$2:$C$31,MATCH(C1806,Companies!$A$2:$A$31,0))</f>
        <v>IT Services</v>
      </c>
      <c r="M1806" s="21" t="str">
        <f aca="false">INDEX(Companies!$D$2:$D$31,MATCH(C1806,Companies!$A$2:$A$31,0))</f>
        <v>Tier 3</v>
      </c>
      <c r="N1806" s="34" t="n">
        <f aca="false">MATCH(F1806,Assumptions!$K$4:$K$8,0)</f>
        <v>4</v>
      </c>
      <c r="O1806" s="21" t="str">
        <f aca="false">IF(H1806="Yes",MONTH(I1806),"")</f>
        <v/>
      </c>
      <c r="P1806" s="21" t="str">
        <f aca="false">IF(H1806="Yes",B1806,"")</f>
        <v/>
      </c>
    </row>
    <row r="1807" customFormat="false" ht="15" hidden="false" customHeight="false" outlineLevel="0" collapsed="false">
      <c r="A1807" s="21" t="s">
        <v>3022</v>
      </c>
      <c r="B1807" s="21" t="s">
        <v>670</v>
      </c>
      <c r="C1807" s="21" t="s">
        <v>1239</v>
      </c>
      <c r="D1807" s="21" t="s">
        <v>1243</v>
      </c>
      <c r="E1807" s="33" t="n">
        <v>45679</v>
      </c>
      <c r="F1807" s="21" t="s">
        <v>1197</v>
      </c>
      <c r="G1807" s="32"/>
      <c r="H1807" s="21"/>
      <c r="I1807" s="33"/>
      <c r="J1807" s="21" t="str">
        <f aca="false">INDEX(Students!$C$2:$C$601,MATCH(B1807,Students!$A$2:$A$601,0))</f>
        <v>Batch 2025</v>
      </c>
      <c r="K1807" s="21" t="str">
        <f aca="false">INDEX(Students!$D$2:$D$601,MATCH(B1807,Students!$A$2:$A$601,0))</f>
        <v>Data Science &amp; ML</v>
      </c>
      <c r="L1807" s="21" t="str">
        <f aca="false">INDEX(Companies!$C$2:$C$31,MATCH(C1807,Companies!$A$2:$A$31,0))</f>
        <v>E-commerce</v>
      </c>
      <c r="M1807" s="21" t="str">
        <f aca="false">INDEX(Companies!$D$2:$D$31,MATCH(C1807,Companies!$A$2:$A$31,0))</f>
        <v>Tier 3</v>
      </c>
      <c r="N1807" s="34" t="n">
        <f aca="false">MATCH(F1807,Assumptions!$K$4:$K$8,0)</f>
        <v>3</v>
      </c>
      <c r="O1807" s="21" t="str">
        <f aca="false">IF(H1807="Yes",MONTH(I1807),"")</f>
        <v/>
      </c>
      <c r="P1807" s="21" t="str">
        <f aca="false">IF(H1807="Yes",B1807,"")</f>
        <v/>
      </c>
    </row>
    <row r="1808" customFormat="false" ht="15" hidden="false" customHeight="false" outlineLevel="0" collapsed="false">
      <c r="A1808" s="21" t="s">
        <v>3023</v>
      </c>
      <c r="B1808" s="21" t="s">
        <v>470</v>
      </c>
      <c r="C1808" s="21" t="s">
        <v>1196</v>
      </c>
      <c r="D1808" s="21" t="s">
        <v>1209</v>
      </c>
      <c r="E1808" s="33" t="n">
        <v>45679</v>
      </c>
      <c r="F1808" s="21" t="s">
        <v>1175</v>
      </c>
      <c r="G1808" s="32"/>
      <c r="H1808" s="21"/>
      <c r="I1808" s="33"/>
      <c r="J1808" s="21" t="str">
        <f aca="false">INDEX(Students!$C$2:$C$601,MATCH(B1808,Students!$A$2:$A$601,0))</f>
        <v>Batch 2025</v>
      </c>
      <c r="K1808" s="21" t="str">
        <f aca="false">INDEX(Students!$D$2:$D$601,MATCH(B1808,Students!$A$2:$A$601,0))</f>
        <v>Data Analytics</v>
      </c>
      <c r="L1808" s="21" t="str">
        <f aca="false">INDEX(Companies!$C$2:$C$31,MATCH(C1808,Companies!$A$2:$A$31,0))</f>
        <v>IT Services</v>
      </c>
      <c r="M1808" s="21" t="str">
        <f aca="false">INDEX(Companies!$D$2:$D$31,MATCH(C1808,Companies!$A$2:$A$31,0))</f>
        <v>Tier 3</v>
      </c>
      <c r="N1808" s="34" t="n">
        <f aca="false">MATCH(F1808,Assumptions!$K$4:$K$8,0)</f>
        <v>1</v>
      </c>
      <c r="O1808" s="21" t="str">
        <f aca="false">IF(H1808="Yes",MONTH(I1808),"")</f>
        <v/>
      </c>
      <c r="P1808" s="21" t="str">
        <f aca="false">IF(H1808="Yes",B1808,"")</f>
        <v/>
      </c>
    </row>
    <row r="1809" customFormat="false" ht="15" hidden="false" customHeight="false" outlineLevel="0" collapsed="false">
      <c r="A1809" s="21" t="s">
        <v>3024</v>
      </c>
      <c r="B1809" s="21" t="s">
        <v>722</v>
      </c>
      <c r="C1809" s="21" t="s">
        <v>1208</v>
      </c>
      <c r="D1809" s="21" t="s">
        <v>1188</v>
      </c>
      <c r="E1809" s="33" t="n">
        <v>45679</v>
      </c>
      <c r="F1809" s="21" t="s">
        <v>1175</v>
      </c>
      <c r="G1809" s="32"/>
      <c r="H1809" s="21"/>
      <c r="I1809" s="33"/>
      <c r="J1809" s="21" t="str">
        <f aca="false">INDEX(Students!$C$2:$C$601,MATCH(B1809,Students!$A$2:$A$601,0))</f>
        <v>Batch 2025</v>
      </c>
      <c r="K1809" s="21" t="str">
        <f aca="false">INDEX(Students!$D$2:$D$601,MATCH(B1809,Students!$A$2:$A$601,0))</f>
        <v>Data Analytics</v>
      </c>
      <c r="L1809" s="21" t="str">
        <f aca="false">INDEX(Companies!$C$2:$C$31,MATCH(C1809,Companies!$A$2:$A$31,0))</f>
        <v>E-commerce</v>
      </c>
      <c r="M1809" s="21" t="str">
        <f aca="false">INDEX(Companies!$D$2:$D$31,MATCH(C1809,Companies!$A$2:$A$31,0))</f>
        <v>Tier 1</v>
      </c>
      <c r="N1809" s="34" t="n">
        <f aca="false">MATCH(F1809,Assumptions!$K$4:$K$8,0)</f>
        <v>1</v>
      </c>
      <c r="O1809" s="21" t="str">
        <f aca="false">IF(H1809="Yes",MONTH(I1809),"")</f>
        <v/>
      </c>
      <c r="P1809" s="21" t="str">
        <f aca="false">IF(H1809="Yes",B1809,"")</f>
        <v/>
      </c>
    </row>
    <row r="1810" customFormat="false" ht="15" hidden="false" customHeight="false" outlineLevel="0" collapsed="false">
      <c r="A1810" s="21" t="s">
        <v>3025</v>
      </c>
      <c r="B1810" s="21" t="s">
        <v>616</v>
      </c>
      <c r="C1810" s="21" t="s">
        <v>1193</v>
      </c>
      <c r="D1810" s="21" t="s">
        <v>1243</v>
      </c>
      <c r="E1810" s="33" t="n">
        <v>45679</v>
      </c>
      <c r="F1810" s="21" t="s">
        <v>1178</v>
      </c>
      <c r="G1810" s="32"/>
      <c r="H1810" s="21"/>
      <c r="I1810" s="33"/>
      <c r="J1810" s="21" t="str">
        <f aca="false">INDEX(Students!$C$2:$C$601,MATCH(B1810,Students!$A$2:$A$601,0))</f>
        <v>Batch 2025</v>
      </c>
      <c r="K1810" s="21" t="str">
        <f aca="false">INDEX(Students!$D$2:$D$601,MATCH(B1810,Students!$A$2:$A$601,0))</f>
        <v>Data Science &amp; ML</v>
      </c>
      <c r="L1810" s="21" t="str">
        <f aca="false">INDEX(Companies!$C$2:$C$31,MATCH(C1810,Companies!$A$2:$A$31,0))</f>
        <v>Analytics &amp; Consulting</v>
      </c>
      <c r="M1810" s="21" t="str">
        <f aca="false">INDEX(Companies!$D$2:$D$31,MATCH(C1810,Companies!$A$2:$A$31,0))</f>
        <v>Tier 2</v>
      </c>
      <c r="N1810" s="34" t="n">
        <f aca="false">MATCH(F1810,Assumptions!$K$4:$K$8,0)</f>
        <v>2</v>
      </c>
      <c r="O1810" s="21" t="str">
        <f aca="false">IF(H1810="Yes",MONTH(I1810),"")</f>
        <v/>
      </c>
      <c r="P1810" s="21" t="str">
        <f aca="false">IF(H1810="Yes",B1810,"")</f>
        <v/>
      </c>
    </row>
    <row r="1811" customFormat="false" ht="15" hidden="false" customHeight="false" outlineLevel="0" collapsed="false">
      <c r="A1811" s="21" t="s">
        <v>3026</v>
      </c>
      <c r="B1811" s="21" t="s">
        <v>607</v>
      </c>
      <c r="C1811" s="21" t="s">
        <v>1228</v>
      </c>
      <c r="D1811" s="21" t="s">
        <v>1243</v>
      </c>
      <c r="E1811" s="33" t="n">
        <v>45679</v>
      </c>
      <c r="F1811" s="21" t="s">
        <v>1197</v>
      </c>
      <c r="G1811" s="32"/>
      <c r="H1811" s="21"/>
      <c r="I1811" s="33"/>
      <c r="J1811" s="21" t="str">
        <f aca="false">INDEX(Students!$C$2:$C$601,MATCH(B1811,Students!$A$2:$A$601,0))</f>
        <v>Batch 2025</v>
      </c>
      <c r="K1811" s="21" t="str">
        <f aca="false">INDEX(Students!$D$2:$D$601,MATCH(B1811,Students!$A$2:$A$601,0))</f>
        <v>Data Science &amp; ML</v>
      </c>
      <c r="L1811" s="21" t="str">
        <f aca="false">INDEX(Companies!$C$2:$C$31,MATCH(C1811,Companies!$A$2:$A$31,0))</f>
        <v>Fintech</v>
      </c>
      <c r="M1811" s="21" t="str">
        <f aca="false">INDEX(Companies!$D$2:$D$31,MATCH(C1811,Companies!$A$2:$A$31,0))</f>
        <v>Tier 1</v>
      </c>
      <c r="N1811" s="34" t="n">
        <f aca="false">MATCH(F1811,Assumptions!$K$4:$K$8,0)</f>
        <v>3</v>
      </c>
      <c r="O1811" s="21" t="str">
        <f aca="false">IF(H1811="Yes",MONTH(I1811),"")</f>
        <v/>
      </c>
      <c r="P1811" s="21" t="str">
        <f aca="false">IF(H1811="Yes",B1811,"")</f>
        <v/>
      </c>
    </row>
    <row r="1812" customFormat="false" ht="15" hidden="false" customHeight="false" outlineLevel="0" collapsed="false">
      <c r="A1812" s="21" t="s">
        <v>3027</v>
      </c>
      <c r="B1812" s="21" t="s">
        <v>513</v>
      </c>
      <c r="C1812" s="21" t="s">
        <v>1239</v>
      </c>
      <c r="D1812" s="21" t="s">
        <v>1181</v>
      </c>
      <c r="E1812" s="33" t="n">
        <v>45679</v>
      </c>
      <c r="F1812" s="21" t="s">
        <v>1185</v>
      </c>
      <c r="G1812" s="32" t="n">
        <v>4.3</v>
      </c>
      <c r="H1812" s="21" t="s">
        <v>120</v>
      </c>
      <c r="I1812" s="33" t="n">
        <v>45722</v>
      </c>
      <c r="J1812" s="21" t="str">
        <f aca="false">INDEX(Students!$C$2:$C$601,MATCH(B1812,Students!$A$2:$A$601,0))</f>
        <v>Batch 2025</v>
      </c>
      <c r="K1812" s="21" t="str">
        <f aca="false">INDEX(Students!$D$2:$D$601,MATCH(B1812,Students!$A$2:$A$601,0))</f>
        <v>Full Stack Development</v>
      </c>
      <c r="L1812" s="21" t="str">
        <f aca="false">INDEX(Companies!$C$2:$C$31,MATCH(C1812,Companies!$A$2:$A$31,0))</f>
        <v>E-commerce</v>
      </c>
      <c r="M1812" s="21" t="str">
        <f aca="false">INDEX(Companies!$D$2:$D$31,MATCH(C1812,Companies!$A$2:$A$31,0))</f>
        <v>Tier 3</v>
      </c>
      <c r="N1812" s="34" t="n">
        <f aca="false">MATCH(F1812,Assumptions!$K$4:$K$8,0)</f>
        <v>5</v>
      </c>
      <c r="O1812" s="21" t="n">
        <f aca="false">IF(H1812="Yes",MONTH(I1812),"")</f>
        <v>3</v>
      </c>
      <c r="P1812" s="21" t="str">
        <f aca="false">IF(H1812="Yes",B1812,"")</f>
        <v>S0213</v>
      </c>
    </row>
    <row r="1813" customFormat="false" ht="15" hidden="false" customHeight="false" outlineLevel="0" collapsed="false">
      <c r="A1813" s="21" t="s">
        <v>3028</v>
      </c>
      <c r="B1813" s="21" t="s">
        <v>651</v>
      </c>
      <c r="C1813" s="21" t="s">
        <v>1205</v>
      </c>
      <c r="D1813" s="21" t="s">
        <v>1226</v>
      </c>
      <c r="E1813" s="33" t="n">
        <v>45680</v>
      </c>
      <c r="F1813" s="21" t="s">
        <v>1185</v>
      </c>
      <c r="G1813" s="32" t="n">
        <v>6.3</v>
      </c>
      <c r="H1813" s="21" t="s">
        <v>113</v>
      </c>
      <c r="I1813" s="33" t="n">
        <v>45715</v>
      </c>
      <c r="J1813" s="21" t="str">
        <f aca="false">INDEX(Students!$C$2:$C$601,MATCH(B1813,Students!$A$2:$A$601,0))</f>
        <v>Batch 2025</v>
      </c>
      <c r="K1813" s="21" t="str">
        <f aca="false">INDEX(Students!$D$2:$D$601,MATCH(B1813,Students!$A$2:$A$601,0))</f>
        <v>Cybersecurity</v>
      </c>
      <c r="L1813" s="21" t="str">
        <f aca="false">INDEX(Companies!$C$2:$C$31,MATCH(C1813,Companies!$A$2:$A$31,0))</f>
        <v>Healthtech</v>
      </c>
      <c r="M1813" s="21" t="str">
        <f aca="false">INDEX(Companies!$D$2:$D$31,MATCH(C1813,Companies!$A$2:$A$31,0))</f>
        <v>Tier 3</v>
      </c>
      <c r="N1813" s="34" t="n">
        <f aca="false">MATCH(F1813,Assumptions!$K$4:$K$8,0)</f>
        <v>5</v>
      </c>
      <c r="O1813" s="21" t="str">
        <f aca="false">IF(H1813="Yes",MONTH(I1813),"")</f>
        <v/>
      </c>
      <c r="P1813" s="21" t="str">
        <f aca="false">IF(H1813="Yes",B1813,"")</f>
        <v/>
      </c>
    </row>
    <row r="1814" customFormat="false" ht="15" hidden="false" customHeight="false" outlineLevel="0" collapsed="false">
      <c r="A1814" s="21" t="s">
        <v>3029</v>
      </c>
      <c r="B1814" s="21" t="s">
        <v>609</v>
      </c>
      <c r="C1814" s="21" t="s">
        <v>1173</v>
      </c>
      <c r="D1814" s="21" t="s">
        <v>1209</v>
      </c>
      <c r="E1814" s="33" t="n">
        <v>45681</v>
      </c>
      <c r="F1814" s="21" t="s">
        <v>1178</v>
      </c>
      <c r="G1814" s="32"/>
      <c r="H1814" s="21"/>
      <c r="I1814" s="33"/>
      <c r="J1814" s="21" t="str">
        <f aca="false">INDEX(Students!$C$2:$C$601,MATCH(B1814,Students!$A$2:$A$601,0))</f>
        <v>Batch 2025</v>
      </c>
      <c r="K1814" s="21" t="str">
        <f aca="false">INDEX(Students!$D$2:$D$601,MATCH(B1814,Students!$A$2:$A$601,0))</f>
        <v>Data Analytics</v>
      </c>
      <c r="L1814" s="21" t="str">
        <f aca="false">INDEX(Companies!$C$2:$C$31,MATCH(C1814,Companies!$A$2:$A$31,0))</f>
        <v>Cybersecurity</v>
      </c>
      <c r="M1814" s="21" t="str">
        <f aca="false">INDEX(Companies!$D$2:$D$31,MATCH(C1814,Companies!$A$2:$A$31,0))</f>
        <v>Tier 1</v>
      </c>
      <c r="N1814" s="34" t="n">
        <f aca="false">MATCH(F1814,Assumptions!$K$4:$K$8,0)</f>
        <v>2</v>
      </c>
      <c r="O1814" s="21" t="str">
        <f aca="false">IF(H1814="Yes",MONTH(I1814),"")</f>
        <v/>
      </c>
      <c r="P1814" s="21" t="str">
        <f aca="false">IF(H1814="Yes",B1814,"")</f>
        <v/>
      </c>
    </row>
    <row r="1815" customFormat="false" ht="15" hidden="false" customHeight="false" outlineLevel="0" collapsed="false">
      <c r="A1815" s="21" t="s">
        <v>3030</v>
      </c>
      <c r="B1815" s="21" t="s">
        <v>645</v>
      </c>
      <c r="C1815" s="21" t="s">
        <v>1275</v>
      </c>
      <c r="D1815" s="21" t="s">
        <v>1188</v>
      </c>
      <c r="E1815" s="33" t="n">
        <v>45681</v>
      </c>
      <c r="F1815" s="21" t="s">
        <v>1175</v>
      </c>
      <c r="G1815" s="32"/>
      <c r="H1815" s="21"/>
      <c r="I1815" s="33"/>
      <c r="J1815" s="21" t="str">
        <f aca="false">INDEX(Students!$C$2:$C$601,MATCH(B1815,Students!$A$2:$A$601,0))</f>
        <v>Batch 2025</v>
      </c>
      <c r="K1815" s="21" t="str">
        <f aca="false">INDEX(Students!$D$2:$D$601,MATCH(B1815,Students!$A$2:$A$601,0))</f>
        <v>Data Analytics</v>
      </c>
      <c r="L1815" s="21" t="str">
        <f aca="false">INDEX(Companies!$C$2:$C$31,MATCH(C1815,Companies!$A$2:$A$31,0))</f>
        <v>Cybersecurity</v>
      </c>
      <c r="M1815" s="21" t="str">
        <f aca="false">INDEX(Companies!$D$2:$D$31,MATCH(C1815,Companies!$A$2:$A$31,0))</f>
        <v>Tier 2</v>
      </c>
      <c r="N1815" s="34" t="n">
        <f aca="false">MATCH(F1815,Assumptions!$K$4:$K$8,0)</f>
        <v>1</v>
      </c>
      <c r="O1815" s="21" t="str">
        <f aca="false">IF(H1815="Yes",MONTH(I1815),"")</f>
        <v/>
      </c>
      <c r="P1815" s="21" t="str">
        <f aca="false">IF(H1815="Yes",B1815,"")</f>
        <v/>
      </c>
    </row>
    <row r="1816" customFormat="false" ht="15" hidden="false" customHeight="false" outlineLevel="0" collapsed="false">
      <c r="A1816" s="21" t="s">
        <v>3031</v>
      </c>
      <c r="B1816" s="21" t="s">
        <v>536</v>
      </c>
      <c r="C1816" s="21" t="s">
        <v>1203</v>
      </c>
      <c r="D1816" s="21" t="s">
        <v>1243</v>
      </c>
      <c r="E1816" s="33" t="n">
        <v>45681</v>
      </c>
      <c r="F1816" s="21" t="s">
        <v>1175</v>
      </c>
      <c r="G1816" s="32"/>
      <c r="H1816" s="21"/>
      <c r="I1816" s="33"/>
      <c r="J1816" s="21" t="str">
        <f aca="false">INDEX(Students!$C$2:$C$601,MATCH(B1816,Students!$A$2:$A$601,0))</f>
        <v>Batch 2025</v>
      </c>
      <c r="K1816" s="21" t="str">
        <f aca="false">INDEX(Students!$D$2:$D$601,MATCH(B1816,Students!$A$2:$A$601,0))</f>
        <v>Data Science &amp; ML</v>
      </c>
      <c r="L1816" s="21" t="str">
        <f aca="false">INDEX(Companies!$C$2:$C$31,MATCH(C1816,Companies!$A$2:$A$31,0))</f>
        <v>Healthtech</v>
      </c>
      <c r="M1816" s="21" t="str">
        <f aca="false">INDEX(Companies!$D$2:$D$31,MATCH(C1816,Companies!$A$2:$A$31,0))</f>
        <v>Tier 2</v>
      </c>
      <c r="N1816" s="34" t="n">
        <f aca="false">MATCH(F1816,Assumptions!$K$4:$K$8,0)</f>
        <v>1</v>
      </c>
      <c r="O1816" s="21" t="str">
        <f aca="false">IF(H1816="Yes",MONTH(I1816),"")</f>
        <v/>
      </c>
      <c r="P1816" s="21" t="str">
        <f aca="false">IF(H1816="Yes",B1816,"")</f>
        <v/>
      </c>
    </row>
    <row r="1817" customFormat="false" ht="15" hidden="false" customHeight="false" outlineLevel="0" collapsed="false">
      <c r="A1817" s="21" t="s">
        <v>3032</v>
      </c>
      <c r="B1817" s="21" t="s">
        <v>628</v>
      </c>
      <c r="C1817" s="21" t="s">
        <v>1216</v>
      </c>
      <c r="D1817" s="21" t="s">
        <v>1240</v>
      </c>
      <c r="E1817" s="33" t="n">
        <v>45681</v>
      </c>
      <c r="F1817" s="21" t="s">
        <v>1175</v>
      </c>
      <c r="G1817" s="32"/>
      <c r="H1817" s="21"/>
      <c r="I1817" s="33"/>
      <c r="J1817" s="21" t="str">
        <f aca="false">INDEX(Students!$C$2:$C$601,MATCH(B1817,Students!$A$2:$A$601,0))</f>
        <v>Batch 2025</v>
      </c>
      <c r="K1817" s="21" t="str">
        <f aca="false">INDEX(Students!$D$2:$D$601,MATCH(B1817,Students!$A$2:$A$601,0))</f>
        <v>Cybersecurity</v>
      </c>
      <c r="L1817" s="21" t="str">
        <f aca="false">INDEX(Companies!$C$2:$C$31,MATCH(C1817,Companies!$A$2:$A$31,0))</f>
        <v>IT Services</v>
      </c>
      <c r="M1817" s="21" t="str">
        <f aca="false">INDEX(Companies!$D$2:$D$31,MATCH(C1817,Companies!$A$2:$A$31,0))</f>
        <v>Tier 3</v>
      </c>
      <c r="N1817" s="34" t="n">
        <f aca="false">MATCH(F1817,Assumptions!$K$4:$K$8,0)</f>
        <v>1</v>
      </c>
      <c r="O1817" s="21" t="str">
        <f aca="false">IF(H1817="Yes",MONTH(I1817),"")</f>
        <v/>
      </c>
      <c r="P1817" s="21" t="str">
        <f aca="false">IF(H1817="Yes",B1817,"")</f>
        <v/>
      </c>
    </row>
    <row r="1818" customFormat="false" ht="15" hidden="false" customHeight="false" outlineLevel="0" collapsed="false">
      <c r="A1818" s="21" t="s">
        <v>3033</v>
      </c>
      <c r="B1818" s="21" t="s">
        <v>573</v>
      </c>
      <c r="C1818" s="21" t="s">
        <v>1203</v>
      </c>
      <c r="D1818" s="21" t="s">
        <v>1194</v>
      </c>
      <c r="E1818" s="33" t="n">
        <v>45681</v>
      </c>
      <c r="F1818" s="21" t="s">
        <v>1175</v>
      </c>
      <c r="G1818" s="32"/>
      <c r="H1818" s="21"/>
      <c r="I1818" s="33"/>
      <c r="J1818" s="21" t="str">
        <f aca="false">INDEX(Students!$C$2:$C$601,MATCH(B1818,Students!$A$2:$A$601,0))</f>
        <v>Batch 2025</v>
      </c>
      <c r="K1818" s="21" t="str">
        <f aca="false">INDEX(Students!$D$2:$D$601,MATCH(B1818,Students!$A$2:$A$601,0))</f>
        <v>Data Science &amp; ML</v>
      </c>
      <c r="L1818" s="21" t="str">
        <f aca="false">INDEX(Companies!$C$2:$C$31,MATCH(C1818,Companies!$A$2:$A$31,0))</f>
        <v>Healthtech</v>
      </c>
      <c r="M1818" s="21" t="str">
        <f aca="false">INDEX(Companies!$D$2:$D$31,MATCH(C1818,Companies!$A$2:$A$31,0))</f>
        <v>Tier 2</v>
      </c>
      <c r="N1818" s="34" t="n">
        <f aca="false">MATCH(F1818,Assumptions!$K$4:$K$8,0)</f>
        <v>1</v>
      </c>
      <c r="O1818" s="21" t="str">
        <f aca="false">IF(H1818="Yes",MONTH(I1818),"")</f>
        <v/>
      </c>
      <c r="P1818" s="21" t="str">
        <f aca="false">IF(H1818="Yes",B1818,"")</f>
        <v/>
      </c>
    </row>
    <row r="1819" customFormat="false" ht="15" hidden="false" customHeight="false" outlineLevel="0" collapsed="false">
      <c r="A1819" s="21" t="s">
        <v>3034</v>
      </c>
      <c r="B1819" s="21" t="s">
        <v>626</v>
      </c>
      <c r="C1819" s="21" t="s">
        <v>1230</v>
      </c>
      <c r="D1819" s="21" t="s">
        <v>1209</v>
      </c>
      <c r="E1819" s="33" t="n">
        <v>45682</v>
      </c>
      <c r="F1819" s="21" t="s">
        <v>1197</v>
      </c>
      <c r="G1819" s="32"/>
      <c r="H1819" s="21"/>
      <c r="I1819" s="33"/>
      <c r="J1819" s="21" t="str">
        <f aca="false">INDEX(Students!$C$2:$C$601,MATCH(B1819,Students!$A$2:$A$601,0))</f>
        <v>Batch 2025</v>
      </c>
      <c r="K1819" s="21" t="str">
        <f aca="false">INDEX(Students!$D$2:$D$601,MATCH(B1819,Students!$A$2:$A$601,0))</f>
        <v>Data Analytics</v>
      </c>
      <c r="L1819" s="21" t="str">
        <f aca="false">INDEX(Companies!$C$2:$C$31,MATCH(C1819,Companies!$A$2:$A$31,0))</f>
        <v>IT Services</v>
      </c>
      <c r="M1819" s="21" t="str">
        <f aca="false">INDEX(Companies!$D$2:$D$31,MATCH(C1819,Companies!$A$2:$A$31,0))</f>
        <v>Tier 3</v>
      </c>
      <c r="N1819" s="34" t="n">
        <f aca="false">MATCH(F1819,Assumptions!$K$4:$K$8,0)</f>
        <v>3</v>
      </c>
      <c r="O1819" s="21" t="str">
        <f aca="false">IF(H1819="Yes",MONTH(I1819),"")</f>
        <v/>
      </c>
      <c r="P1819" s="21" t="str">
        <f aca="false">IF(H1819="Yes",B1819,"")</f>
        <v/>
      </c>
    </row>
    <row r="1820" customFormat="false" ht="15" hidden="false" customHeight="false" outlineLevel="0" collapsed="false">
      <c r="A1820" s="21" t="s">
        <v>3035</v>
      </c>
      <c r="B1820" s="21" t="s">
        <v>463</v>
      </c>
      <c r="C1820" s="21" t="s">
        <v>1239</v>
      </c>
      <c r="D1820" s="21" t="s">
        <v>1240</v>
      </c>
      <c r="E1820" s="33" t="n">
        <v>45682</v>
      </c>
      <c r="F1820" s="21" t="s">
        <v>1185</v>
      </c>
      <c r="G1820" s="32" t="n">
        <v>5.3</v>
      </c>
      <c r="H1820" s="21" t="s">
        <v>113</v>
      </c>
      <c r="I1820" s="33" t="n">
        <v>45704</v>
      </c>
      <c r="J1820" s="21" t="str">
        <f aca="false">INDEX(Students!$C$2:$C$601,MATCH(B1820,Students!$A$2:$A$601,0))</f>
        <v>Batch 2025</v>
      </c>
      <c r="K1820" s="21" t="str">
        <f aca="false">INDEX(Students!$D$2:$D$601,MATCH(B1820,Students!$A$2:$A$601,0))</f>
        <v>Cybersecurity</v>
      </c>
      <c r="L1820" s="21" t="str">
        <f aca="false">INDEX(Companies!$C$2:$C$31,MATCH(C1820,Companies!$A$2:$A$31,0))</f>
        <v>E-commerce</v>
      </c>
      <c r="M1820" s="21" t="str">
        <f aca="false">INDEX(Companies!$D$2:$D$31,MATCH(C1820,Companies!$A$2:$A$31,0))</f>
        <v>Tier 3</v>
      </c>
      <c r="N1820" s="34" t="n">
        <f aca="false">MATCH(F1820,Assumptions!$K$4:$K$8,0)</f>
        <v>5</v>
      </c>
      <c r="O1820" s="21" t="str">
        <f aca="false">IF(H1820="Yes",MONTH(I1820),"")</f>
        <v/>
      </c>
      <c r="P1820" s="21" t="str">
        <f aca="false">IF(H1820="Yes",B1820,"")</f>
        <v/>
      </c>
    </row>
    <row r="1821" customFormat="false" ht="15" hidden="false" customHeight="false" outlineLevel="0" collapsed="false">
      <c r="A1821" s="21" t="s">
        <v>3036</v>
      </c>
      <c r="B1821" s="21" t="s">
        <v>773</v>
      </c>
      <c r="C1821" s="21" t="s">
        <v>1214</v>
      </c>
      <c r="D1821" s="21" t="s">
        <v>1243</v>
      </c>
      <c r="E1821" s="33" t="n">
        <v>45682</v>
      </c>
      <c r="F1821" s="21" t="s">
        <v>1175</v>
      </c>
      <c r="G1821" s="32"/>
      <c r="H1821" s="21"/>
      <c r="I1821" s="33"/>
      <c r="J1821" s="21" t="str">
        <f aca="false">INDEX(Students!$C$2:$C$601,MATCH(B1821,Students!$A$2:$A$601,0))</f>
        <v>Batch 2025</v>
      </c>
      <c r="K1821" s="21" t="str">
        <f aca="false">INDEX(Students!$D$2:$D$601,MATCH(B1821,Students!$A$2:$A$601,0))</f>
        <v>Data Science &amp; ML</v>
      </c>
      <c r="L1821" s="21" t="str">
        <f aca="false">INDEX(Companies!$C$2:$C$31,MATCH(C1821,Companies!$A$2:$A$31,0))</f>
        <v>Product</v>
      </c>
      <c r="M1821" s="21" t="str">
        <f aca="false">INDEX(Companies!$D$2:$D$31,MATCH(C1821,Companies!$A$2:$A$31,0))</f>
        <v>Tier 1</v>
      </c>
      <c r="N1821" s="34" t="n">
        <f aca="false">MATCH(F1821,Assumptions!$K$4:$K$8,0)</f>
        <v>1</v>
      </c>
      <c r="O1821" s="21" t="str">
        <f aca="false">IF(H1821="Yes",MONTH(I1821),"")</f>
        <v/>
      </c>
      <c r="P1821" s="21" t="str">
        <f aca="false">IF(H1821="Yes",B1821,"")</f>
        <v/>
      </c>
    </row>
    <row r="1822" customFormat="false" ht="15" hidden="false" customHeight="false" outlineLevel="0" collapsed="false">
      <c r="A1822" s="21" t="s">
        <v>3037</v>
      </c>
      <c r="B1822" s="21" t="s">
        <v>519</v>
      </c>
      <c r="C1822" s="21" t="s">
        <v>1222</v>
      </c>
      <c r="D1822" s="21" t="s">
        <v>1184</v>
      </c>
      <c r="E1822" s="33" t="n">
        <v>45682</v>
      </c>
      <c r="F1822" s="21" t="s">
        <v>1175</v>
      </c>
      <c r="G1822" s="32"/>
      <c r="H1822" s="21"/>
      <c r="I1822" s="33"/>
      <c r="J1822" s="21" t="str">
        <f aca="false">INDEX(Students!$C$2:$C$601,MATCH(B1822,Students!$A$2:$A$601,0))</f>
        <v>Batch 2025</v>
      </c>
      <c r="K1822" s="21" t="str">
        <f aca="false">INDEX(Students!$D$2:$D$601,MATCH(B1822,Students!$A$2:$A$601,0))</f>
        <v>DSA with Java</v>
      </c>
      <c r="L1822" s="21" t="str">
        <f aca="false">INDEX(Companies!$C$2:$C$31,MATCH(C1822,Companies!$A$2:$A$31,0))</f>
        <v>Product</v>
      </c>
      <c r="M1822" s="21" t="str">
        <f aca="false">INDEX(Companies!$D$2:$D$31,MATCH(C1822,Companies!$A$2:$A$31,0))</f>
        <v>Tier 2</v>
      </c>
      <c r="N1822" s="34" t="n">
        <f aca="false">MATCH(F1822,Assumptions!$K$4:$K$8,0)</f>
        <v>1</v>
      </c>
      <c r="O1822" s="21" t="str">
        <f aca="false">IF(H1822="Yes",MONTH(I1822),"")</f>
        <v/>
      </c>
      <c r="P1822" s="21" t="str">
        <f aca="false">IF(H1822="Yes",B1822,"")</f>
        <v/>
      </c>
    </row>
    <row r="1823" customFormat="false" ht="15" hidden="false" customHeight="false" outlineLevel="0" collapsed="false">
      <c r="A1823" s="21" t="s">
        <v>3038</v>
      </c>
      <c r="B1823" s="21" t="s">
        <v>687</v>
      </c>
      <c r="C1823" s="21" t="s">
        <v>1216</v>
      </c>
      <c r="D1823" s="21" t="s">
        <v>1240</v>
      </c>
      <c r="E1823" s="33" t="n">
        <v>45683</v>
      </c>
      <c r="F1823" s="21" t="s">
        <v>1185</v>
      </c>
      <c r="G1823" s="32" t="n">
        <v>4.9</v>
      </c>
      <c r="H1823" s="21" t="s">
        <v>120</v>
      </c>
      <c r="I1823" s="33" t="n">
        <v>45717</v>
      </c>
      <c r="J1823" s="21" t="str">
        <f aca="false">INDEX(Students!$C$2:$C$601,MATCH(B1823,Students!$A$2:$A$601,0))</f>
        <v>Batch 2025</v>
      </c>
      <c r="K1823" s="21" t="str">
        <f aca="false">INDEX(Students!$D$2:$D$601,MATCH(B1823,Students!$A$2:$A$601,0))</f>
        <v>Cybersecurity</v>
      </c>
      <c r="L1823" s="21" t="str">
        <f aca="false">INDEX(Companies!$C$2:$C$31,MATCH(C1823,Companies!$A$2:$A$31,0))</f>
        <v>IT Services</v>
      </c>
      <c r="M1823" s="21" t="str">
        <f aca="false">INDEX(Companies!$D$2:$D$31,MATCH(C1823,Companies!$A$2:$A$31,0))</f>
        <v>Tier 3</v>
      </c>
      <c r="N1823" s="34" t="n">
        <f aca="false">MATCH(F1823,Assumptions!$K$4:$K$8,0)</f>
        <v>5</v>
      </c>
      <c r="O1823" s="21" t="n">
        <f aca="false">IF(H1823="Yes",MONTH(I1823),"")</f>
        <v>3</v>
      </c>
      <c r="P1823" s="21" t="str">
        <f aca="false">IF(H1823="Yes",B1823,"")</f>
        <v>S0311</v>
      </c>
    </row>
    <row r="1824" customFormat="false" ht="15" hidden="false" customHeight="false" outlineLevel="0" collapsed="false">
      <c r="A1824" s="21" t="s">
        <v>3039</v>
      </c>
      <c r="B1824" s="21" t="s">
        <v>773</v>
      </c>
      <c r="C1824" s="21" t="s">
        <v>1222</v>
      </c>
      <c r="D1824" s="21" t="s">
        <v>1194</v>
      </c>
      <c r="E1824" s="33" t="n">
        <v>45683</v>
      </c>
      <c r="F1824" s="21" t="s">
        <v>1185</v>
      </c>
      <c r="G1824" s="32" t="n">
        <v>12.3</v>
      </c>
      <c r="H1824" s="21" t="s">
        <v>120</v>
      </c>
      <c r="I1824" s="33" t="n">
        <v>45735</v>
      </c>
      <c r="J1824" s="21" t="str">
        <f aca="false">INDEX(Students!$C$2:$C$601,MATCH(B1824,Students!$A$2:$A$601,0))</f>
        <v>Batch 2025</v>
      </c>
      <c r="K1824" s="21" t="str">
        <f aca="false">INDEX(Students!$D$2:$D$601,MATCH(B1824,Students!$A$2:$A$601,0))</f>
        <v>Data Science &amp; ML</v>
      </c>
      <c r="L1824" s="21" t="str">
        <f aca="false">INDEX(Companies!$C$2:$C$31,MATCH(C1824,Companies!$A$2:$A$31,0))</f>
        <v>Product</v>
      </c>
      <c r="M1824" s="21" t="str">
        <f aca="false">INDEX(Companies!$D$2:$D$31,MATCH(C1824,Companies!$A$2:$A$31,0))</f>
        <v>Tier 2</v>
      </c>
      <c r="N1824" s="34" t="n">
        <f aca="false">MATCH(F1824,Assumptions!$K$4:$K$8,0)</f>
        <v>5</v>
      </c>
      <c r="O1824" s="21" t="n">
        <f aca="false">IF(H1824="Yes",MONTH(I1824),"")</f>
        <v>3</v>
      </c>
      <c r="P1824" s="21" t="str">
        <f aca="false">IF(H1824="Yes",B1824,"")</f>
        <v>S0361</v>
      </c>
    </row>
    <row r="1825" customFormat="false" ht="15" hidden="false" customHeight="false" outlineLevel="0" collapsed="false">
      <c r="A1825" s="21" t="s">
        <v>3040</v>
      </c>
      <c r="B1825" s="21" t="s">
        <v>489</v>
      </c>
      <c r="C1825" s="21" t="s">
        <v>1205</v>
      </c>
      <c r="D1825" s="21" t="s">
        <v>1240</v>
      </c>
      <c r="E1825" s="33" t="n">
        <v>45683</v>
      </c>
      <c r="F1825" s="21" t="s">
        <v>1185</v>
      </c>
      <c r="G1825" s="32" t="n">
        <v>5.7</v>
      </c>
      <c r="H1825" s="21" t="s">
        <v>113</v>
      </c>
      <c r="I1825" s="33" t="n">
        <v>45720</v>
      </c>
      <c r="J1825" s="21" t="str">
        <f aca="false">INDEX(Students!$C$2:$C$601,MATCH(B1825,Students!$A$2:$A$601,0))</f>
        <v>Batch 2025</v>
      </c>
      <c r="K1825" s="21" t="str">
        <f aca="false">INDEX(Students!$D$2:$D$601,MATCH(B1825,Students!$A$2:$A$601,0))</f>
        <v>Cybersecurity</v>
      </c>
      <c r="L1825" s="21" t="str">
        <f aca="false">INDEX(Companies!$C$2:$C$31,MATCH(C1825,Companies!$A$2:$A$31,0))</f>
        <v>Healthtech</v>
      </c>
      <c r="M1825" s="21" t="str">
        <f aca="false">INDEX(Companies!$D$2:$D$31,MATCH(C1825,Companies!$A$2:$A$31,0))</f>
        <v>Tier 3</v>
      </c>
      <c r="N1825" s="34" t="n">
        <f aca="false">MATCH(F1825,Assumptions!$K$4:$K$8,0)</f>
        <v>5</v>
      </c>
      <c r="O1825" s="21" t="str">
        <f aca="false">IF(H1825="Yes",MONTH(I1825),"")</f>
        <v/>
      </c>
      <c r="P1825" s="21" t="str">
        <f aca="false">IF(H1825="Yes",B1825,"")</f>
        <v/>
      </c>
    </row>
    <row r="1826" customFormat="false" ht="15" hidden="false" customHeight="false" outlineLevel="0" collapsed="false">
      <c r="A1826" s="21" t="s">
        <v>3041</v>
      </c>
      <c r="B1826" s="21" t="s">
        <v>804</v>
      </c>
      <c r="C1826" s="21" t="s">
        <v>1275</v>
      </c>
      <c r="D1826" s="21" t="s">
        <v>1181</v>
      </c>
      <c r="E1826" s="33" t="n">
        <v>45683</v>
      </c>
      <c r="F1826" s="21" t="s">
        <v>1175</v>
      </c>
      <c r="G1826" s="32"/>
      <c r="H1826" s="21"/>
      <c r="I1826" s="33"/>
      <c r="J1826" s="21" t="str">
        <f aca="false">INDEX(Students!$C$2:$C$601,MATCH(B1826,Students!$A$2:$A$601,0))</f>
        <v>Batch 2025</v>
      </c>
      <c r="K1826" s="21" t="str">
        <f aca="false">INDEX(Students!$D$2:$D$601,MATCH(B1826,Students!$A$2:$A$601,0))</f>
        <v>Full Stack Development</v>
      </c>
      <c r="L1826" s="21" t="str">
        <f aca="false">INDEX(Companies!$C$2:$C$31,MATCH(C1826,Companies!$A$2:$A$31,0))</f>
        <v>Cybersecurity</v>
      </c>
      <c r="M1826" s="21" t="str">
        <f aca="false">INDEX(Companies!$D$2:$D$31,MATCH(C1826,Companies!$A$2:$A$31,0))</f>
        <v>Tier 2</v>
      </c>
      <c r="N1826" s="34" t="n">
        <f aca="false">MATCH(F1826,Assumptions!$K$4:$K$8,0)</f>
        <v>1</v>
      </c>
      <c r="O1826" s="21" t="str">
        <f aca="false">IF(H1826="Yes",MONTH(I1826),"")</f>
        <v/>
      </c>
      <c r="P1826" s="21" t="str">
        <f aca="false">IF(H1826="Yes",B1826,"")</f>
        <v/>
      </c>
    </row>
    <row r="1827" customFormat="false" ht="15" hidden="false" customHeight="false" outlineLevel="0" collapsed="false">
      <c r="A1827" s="21" t="s">
        <v>3042</v>
      </c>
      <c r="B1827" s="21" t="s">
        <v>706</v>
      </c>
      <c r="C1827" s="21" t="s">
        <v>1216</v>
      </c>
      <c r="D1827" s="21" t="s">
        <v>1181</v>
      </c>
      <c r="E1827" s="33" t="n">
        <v>45683</v>
      </c>
      <c r="F1827" s="21" t="s">
        <v>1185</v>
      </c>
      <c r="G1827" s="32" t="n">
        <v>5.6</v>
      </c>
      <c r="H1827" s="21" t="s">
        <v>120</v>
      </c>
      <c r="I1827" s="33" t="n">
        <v>45703</v>
      </c>
      <c r="J1827" s="21" t="str">
        <f aca="false">INDEX(Students!$C$2:$C$601,MATCH(B1827,Students!$A$2:$A$601,0))</f>
        <v>Batch 2025</v>
      </c>
      <c r="K1827" s="21" t="str">
        <f aca="false">INDEX(Students!$D$2:$D$601,MATCH(B1827,Students!$A$2:$A$601,0))</f>
        <v>Full Stack Development</v>
      </c>
      <c r="L1827" s="21" t="str">
        <f aca="false">INDEX(Companies!$C$2:$C$31,MATCH(C1827,Companies!$A$2:$A$31,0))</f>
        <v>IT Services</v>
      </c>
      <c r="M1827" s="21" t="str">
        <f aca="false">INDEX(Companies!$D$2:$D$31,MATCH(C1827,Companies!$A$2:$A$31,0))</f>
        <v>Tier 3</v>
      </c>
      <c r="N1827" s="34" t="n">
        <f aca="false">MATCH(F1827,Assumptions!$K$4:$K$8,0)</f>
        <v>5</v>
      </c>
      <c r="O1827" s="21" t="n">
        <f aca="false">IF(H1827="Yes",MONTH(I1827),"")</f>
        <v>2</v>
      </c>
      <c r="P1827" s="21" t="str">
        <f aca="false">IF(H1827="Yes",B1827,"")</f>
        <v>S0323</v>
      </c>
    </row>
    <row r="1828" customFormat="false" ht="15" hidden="false" customHeight="false" outlineLevel="0" collapsed="false">
      <c r="A1828" s="21" t="s">
        <v>3043</v>
      </c>
      <c r="B1828" s="21" t="s">
        <v>626</v>
      </c>
      <c r="C1828" s="21" t="s">
        <v>1216</v>
      </c>
      <c r="D1828" s="21" t="s">
        <v>1209</v>
      </c>
      <c r="E1828" s="33" t="n">
        <v>45683</v>
      </c>
      <c r="F1828" s="21" t="s">
        <v>1218</v>
      </c>
      <c r="G1828" s="32"/>
      <c r="H1828" s="21"/>
      <c r="I1828" s="33"/>
      <c r="J1828" s="21" t="str">
        <f aca="false">INDEX(Students!$C$2:$C$601,MATCH(B1828,Students!$A$2:$A$601,0))</f>
        <v>Batch 2025</v>
      </c>
      <c r="K1828" s="21" t="str">
        <f aca="false">INDEX(Students!$D$2:$D$601,MATCH(B1828,Students!$A$2:$A$601,0))</f>
        <v>Data Analytics</v>
      </c>
      <c r="L1828" s="21" t="str">
        <f aca="false">INDEX(Companies!$C$2:$C$31,MATCH(C1828,Companies!$A$2:$A$31,0))</f>
        <v>IT Services</v>
      </c>
      <c r="M1828" s="21" t="str">
        <f aca="false">INDEX(Companies!$D$2:$D$31,MATCH(C1828,Companies!$A$2:$A$31,0))</f>
        <v>Tier 3</v>
      </c>
      <c r="N1828" s="34" t="n">
        <f aca="false">MATCH(F1828,Assumptions!$K$4:$K$8,0)</f>
        <v>4</v>
      </c>
      <c r="O1828" s="21" t="str">
        <f aca="false">IF(H1828="Yes",MONTH(I1828),"")</f>
        <v/>
      </c>
      <c r="P1828" s="21" t="str">
        <f aca="false">IF(H1828="Yes",B1828,"")</f>
        <v/>
      </c>
    </row>
    <row r="1829" customFormat="false" ht="15" hidden="false" customHeight="false" outlineLevel="0" collapsed="false">
      <c r="A1829" s="21" t="s">
        <v>3044</v>
      </c>
      <c r="B1829" s="21" t="s">
        <v>687</v>
      </c>
      <c r="C1829" s="21" t="s">
        <v>1203</v>
      </c>
      <c r="D1829" s="21" t="s">
        <v>1240</v>
      </c>
      <c r="E1829" s="33" t="n">
        <v>45684</v>
      </c>
      <c r="F1829" s="21" t="s">
        <v>1178</v>
      </c>
      <c r="G1829" s="32"/>
      <c r="H1829" s="21"/>
      <c r="I1829" s="33"/>
      <c r="J1829" s="21" t="str">
        <f aca="false">INDEX(Students!$C$2:$C$601,MATCH(B1829,Students!$A$2:$A$601,0))</f>
        <v>Batch 2025</v>
      </c>
      <c r="K1829" s="21" t="str">
        <f aca="false">INDEX(Students!$D$2:$D$601,MATCH(B1829,Students!$A$2:$A$601,0))</f>
        <v>Cybersecurity</v>
      </c>
      <c r="L1829" s="21" t="str">
        <f aca="false">INDEX(Companies!$C$2:$C$31,MATCH(C1829,Companies!$A$2:$A$31,0))</f>
        <v>Healthtech</v>
      </c>
      <c r="M1829" s="21" t="str">
        <f aca="false">INDEX(Companies!$D$2:$D$31,MATCH(C1829,Companies!$A$2:$A$31,0))</f>
        <v>Tier 2</v>
      </c>
      <c r="N1829" s="34" t="n">
        <f aca="false">MATCH(F1829,Assumptions!$K$4:$K$8,0)</f>
        <v>2</v>
      </c>
      <c r="O1829" s="21" t="str">
        <f aca="false">IF(H1829="Yes",MONTH(I1829),"")</f>
        <v/>
      </c>
      <c r="P1829" s="21" t="str">
        <f aca="false">IF(H1829="Yes",B1829,"")</f>
        <v/>
      </c>
    </row>
    <row r="1830" customFormat="false" ht="15" hidden="false" customHeight="false" outlineLevel="0" collapsed="false">
      <c r="A1830" s="21" t="s">
        <v>3045</v>
      </c>
      <c r="B1830" s="21" t="s">
        <v>626</v>
      </c>
      <c r="C1830" s="21" t="s">
        <v>1211</v>
      </c>
      <c r="D1830" s="21" t="s">
        <v>1188</v>
      </c>
      <c r="E1830" s="33" t="n">
        <v>45684</v>
      </c>
      <c r="F1830" s="21" t="s">
        <v>1185</v>
      </c>
      <c r="G1830" s="32" t="n">
        <v>4</v>
      </c>
      <c r="H1830" s="21" t="s">
        <v>113</v>
      </c>
      <c r="I1830" s="33" t="n">
        <v>45724</v>
      </c>
      <c r="J1830" s="21" t="str">
        <f aca="false">INDEX(Students!$C$2:$C$601,MATCH(B1830,Students!$A$2:$A$601,0))</f>
        <v>Batch 2025</v>
      </c>
      <c r="K1830" s="21" t="str">
        <f aca="false">INDEX(Students!$D$2:$D$601,MATCH(B1830,Students!$A$2:$A$601,0))</f>
        <v>Data Analytics</v>
      </c>
      <c r="L1830" s="21" t="str">
        <f aca="false">INDEX(Companies!$C$2:$C$31,MATCH(C1830,Companies!$A$2:$A$31,0))</f>
        <v>Analytics &amp; Consulting</v>
      </c>
      <c r="M1830" s="21" t="str">
        <f aca="false">INDEX(Companies!$D$2:$D$31,MATCH(C1830,Companies!$A$2:$A$31,0))</f>
        <v>Tier 3</v>
      </c>
      <c r="N1830" s="34" t="n">
        <f aca="false">MATCH(F1830,Assumptions!$K$4:$K$8,0)</f>
        <v>5</v>
      </c>
      <c r="O1830" s="21" t="str">
        <f aca="false">IF(H1830="Yes",MONTH(I1830),"")</f>
        <v/>
      </c>
      <c r="P1830" s="21" t="str">
        <f aca="false">IF(H1830="Yes",B1830,"")</f>
        <v/>
      </c>
    </row>
    <row r="1831" customFormat="false" ht="15" hidden="false" customHeight="false" outlineLevel="0" collapsed="false">
      <c r="A1831" s="21" t="s">
        <v>3046</v>
      </c>
      <c r="B1831" s="21" t="s">
        <v>521</v>
      </c>
      <c r="C1831" s="21" t="s">
        <v>1196</v>
      </c>
      <c r="D1831" s="21" t="s">
        <v>1181</v>
      </c>
      <c r="E1831" s="33" t="n">
        <v>45684</v>
      </c>
      <c r="F1831" s="21" t="s">
        <v>1218</v>
      </c>
      <c r="G1831" s="32"/>
      <c r="H1831" s="21"/>
      <c r="I1831" s="33"/>
      <c r="J1831" s="21" t="str">
        <f aca="false">INDEX(Students!$C$2:$C$601,MATCH(B1831,Students!$A$2:$A$601,0))</f>
        <v>Batch 2025</v>
      </c>
      <c r="K1831" s="21" t="str">
        <f aca="false">INDEX(Students!$D$2:$D$601,MATCH(B1831,Students!$A$2:$A$601,0))</f>
        <v>Full Stack Development</v>
      </c>
      <c r="L1831" s="21" t="str">
        <f aca="false">INDEX(Companies!$C$2:$C$31,MATCH(C1831,Companies!$A$2:$A$31,0))</f>
        <v>IT Services</v>
      </c>
      <c r="M1831" s="21" t="str">
        <f aca="false">INDEX(Companies!$D$2:$D$31,MATCH(C1831,Companies!$A$2:$A$31,0))</f>
        <v>Tier 3</v>
      </c>
      <c r="N1831" s="34" t="n">
        <f aca="false">MATCH(F1831,Assumptions!$K$4:$K$8,0)</f>
        <v>4</v>
      </c>
      <c r="O1831" s="21" t="str">
        <f aca="false">IF(H1831="Yes",MONTH(I1831),"")</f>
        <v/>
      </c>
      <c r="P1831" s="21" t="str">
        <f aca="false">IF(H1831="Yes",B1831,"")</f>
        <v/>
      </c>
    </row>
    <row r="1832" customFormat="false" ht="15" hidden="false" customHeight="false" outlineLevel="0" collapsed="false">
      <c r="A1832" s="21" t="s">
        <v>3047</v>
      </c>
      <c r="B1832" s="21" t="s">
        <v>547</v>
      </c>
      <c r="C1832" s="21" t="s">
        <v>1203</v>
      </c>
      <c r="D1832" s="21" t="s">
        <v>1181</v>
      </c>
      <c r="E1832" s="33" t="n">
        <v>45684</v>
      </c>
      <c r="F1832" s="21" t="s">
        <v>1197</v>
      </c>
      <c r="G1832" s="32"/>
      <c r="H1832" s="21"/>
      <c r="I1832" s="33"/>
      <c r="J1832" s="21" t="str">
        <f aca="false">INDEX(Students!$C$2:$C$601,MATCH(B1832,Students!$A$2:$A$601,0))</f>
        <v>Batch 2025</v>
      </c>
      <c r="K1832" s="21" t="str">
        <f aca="false">INDEX(Students!$D$2:$D$601,MATCH(B1832,Students!$A$2:$A$601,0))</f>
        <v>Full Stack Development</v>
      </c>
      <c r="L1832" s="21" t="str">
        <f aca="false">INDEX(Companies!$C$2:$C$31,MATCH(C1832,Companies!$A$2:$A$31,0))</f>
        <v>Healthtech</v>
      </c>
      <c r="M1832" s="21" t="str">
        <f aca="false">INDEX(Companies!$D$2:$D$31,MATCH(C1832,Companies!$A$2:$A$31,0))</f>
        <v>Tier 2</v>
      </c>
      <c r="N1832" s="34" t="n">
        <f aca="false">MATCH(F1832,Assumptions!$K$4:$K$8,0)</f>
        <v>3</v>
      </c>
      <c r="O1832" s="21" t="str">
        <f aca="false">IF(H1832="Yes",MONTH(I1832),"")</f>
        <v/>
      </c>
      <c r="P1832" s="21" t="str">
        <f aca="false">IF(H1832="Yes",B1832,"")</f>
        <v/>
      </c>
    </row>
    <row r="1833" customFormat="false" ht="15" hidden="false" customHeight="false" outlineLevel="0" collapsed="false">
      <c r="A1833" s="21" t="s">
        <v>3048</v>
      </c>
      <c r="B1833" s="21" t="s">
        <v>578</v>
      </c>
      <c r="C1833" s="21" t="s">
        <v>1205</v>
      </c>
      <c r="D1833" s="21" t="s">
        <v>1181</v>
      </c>
      <c r="E1833" s="33" t="n">
        <v>45684</v>
      </c>
      <c r="F1833" s="21" t="s">
        <v>1178</v>
      </c>
      <c r="G1833" s="32"/>
      <c r="H1833" s="21"/>
      <c r="I1833" s="33"/>
      <c r="J1833" s="21" t="str">
        <f aca="false">INDEX(Students!$C$2:$C$601,MATCH(B1833,Students!$A$2:$A$601,0))</f>
        <v>Batch 2025</v>
      </c>
      <c r="K1833" s="21" t="str">
        <f aca="false">INDEX(Students!$D$2:$D$601,MATCH(B1833,Students!$A$2:$A$601,0))</f>
        <v>Full Stack Development</v>
      </c>
      <c r="L1833" s="21" t="str">
        <f aca="false">INDEX(Companies!$C$2:$C$31,MATCH(C1833,Companies!$A$2:$A$31,0))</f>
        <v>Healthtech</v>
      </c>
      <c r="M1833" s="21" t="str">
        <f aca="false">INDEX(Companies!$D$2:$D$31,MATCH(C1833,Companies!$A$2:$A$31,0))</f>
        <v>Tier 3</v>
      </c>
      <c r="N1833" s="34" t="n">
        <f aca="false">MATCH(F1833,Assumptions!$K$4:$K$8,0)</f>
        <v>2</v>
      </c>
      <c r="O1833" s="21" t="str">
        <f aca="false">IF(H1833="Yes",MONTH(I1833),"")</f>
        <v/>
      </c>
      <c r="P1833" s="21" t="str">
        <f aca="false">IF(H1833="Yes",B1833,"")</f>
        <v/>
      </c>
    </row>
    <row r="1834" customFormat="false" ht="15" hidden="false" customHeight="false" outlineLevel="0" collapsed="false">
      <c r="A1834" s="21" t="s">
        <v>3049</v>
      </c>
      <c r="B1834" s="21" t="s">
        <v>773</v>
      </c>
      <c r="C1834" s="21" t="s">
        <v>1309</v>
      </c>
      <c r="D1834" s="21" t="s">
        <v>1194</v>
      </c>
      <c r="E1834" s="33" t="n">
        <v>45684</v>
      </c>
      <c r="F1834" s="21" t="s">
        <v>1197</v>
      </c>
      <c r="G1834" s="32"/>
      <c r="H1834" s="21"/>
      <c r="I1834" s="33"/>
      <c r="J1834" s="21" t="str">
        <f aca="false">INDEX(Students!$C$2:$C$601,MATCH(B1834,Students!$A$2:$A$601,0))</f>
        <v>Batch 2025</v>
      </c>
      <c r="K1834" s="21" t="str">
        <f aca="false">INDEX(Students!$D$2:$D$601,MATCH(B1834,Students!$A$2:$A$601,0))</f>
        <v>Data Science &amp; ML</v>
      </c>
      <c r="L1834" s="21" t="str">
        <f aca="false">INDEX(Companies!$C$2:$C$31,MATCH(C1834,Companies!$A$2:$A$31,0))</f>
        <v>EdTech</v>
      </c>
      <c r="M1834" s="21" t="str">
        <f aca="false">INDEX(Companies!$D$2:$D$31,MATCH(C1834,Companies!$A$2:$A$31,0))</f>
        <v>Tier 2</v>
      </c>
      <c r="N1834" s="34" t="n">
        <f aca="false">MATCH(F1834,Assumptions!$K$4:$K$8,0)</f>
        <v>3</v>
      </c>
      <c r="O1834" s="21" t="str">
        <f aca="false">IF(H1834="Yes",MONTH(I1834),"")</f>
        <v/>
      </c>
      <c r="P1834" s="21" t="str">
        <f aca="false">IF(H1834="Yes",B1834,"")</f>
        <v/>
      </c>
    </row>
    <row r="1835" customFormat="false" ht="15" hidden="false" customHeight="false" outlineLevel="0" collapsed="false">
      <c r="A1835" s="21" t="s">
        <v>3050</v>
      </c>
      <c r="B1835" s="21" t="s">
        <v>487</v>
      </c>
      <c r="C1835" s="21" t="s">
        <v>1187</v>
      </c>
      <c r="D1835" s="21" t="s">
        <v>1243</v>
      </c>
      <c r="E1835" s="33" t="n">
        <v>45684</v>
      </c>
      <c r="F1835" s="21" t="s">
        <v>1175</v>
      </c>
      <c r="G1835" s="32"/>
      <c r="H1835" s="21"/>
      <c r="I1835" s="33"/>
      <c r="J1835" s="21" t="str">
        <f aca="false">INDEX(Students!$C$2:$C$601,MATCH(B1835,Students!$A$2:$A$601,0))</f>
        <v>Batch 2025</v>
      </c>
      <c r="K1835" s="21" t="str">
        <f aca="false">INDEX(Students!$D$2:$D$601,MATCH(B1835,Students!$A$2:$A$601,0))</f>
        <v>Data Science &amp; ML</v>
      </c>
      <c r="L1835" s="21" t="str">
        <f aca="false">INDEX(Companies!$C$2:$C$31,MATCH(C1835,Companies!$A$2:$A$31,0))</f>
        <v>Product</v>
      </c>
      <c r="M1835" s="21" t="str">
        <f aca="false">INDEX(Companies!$D$2:$D$31,MATCH(C1835,Companies!$A$2:$A$31,0))</f>
        <v>Tier 1</v>
      </c>
      <c r="N1835" s="34" t="n">
        <f aca="false">MATCH(F1835,Assumptions!$K$4:$K$8,0)</f>
        <v>1</v>
      </c>
      <c r="O1835" s="21" t="str">
        <f aca="false">IF(H1835="Yes",MONTH(I1835),"")</f>
        <v/>
      </c>
      <c r="P1835" s="21" t="str">
        <f aca="false">IF(H1835="Yes",B1835,"")</f>
        <v/>
      </c>
    </row>
    <row r="1836" customFormat="false" ht="15" hidden="false" customHeight="false" outlineLevel="0" collapsed="false">
      <c r="A1836" s="21" t="s">
        <v>3051</v>
      </c>
      <c r="B1836" s="21" t="s">
        <v>773</v>
      </c>
      <c r="C1836" s="21" t="s">
        <v>1234</v>
      </c>
      <c r="D1836" s="21" t="s">
        <v>1194</v>
      </c>
      <c r="E1836" s="33" t="n">
        <v>45684</v>
      </c>
      <c r="F1836" s="21" t="s">
        <v>1175</v>
      </c>
      <c r="G1836" s="32"/>
      <c r="H1836" s="21"/>
      <c r="I1836" s="33"/>
      <c r="J1836" s="21" t="str">
        <f aca="false">INDEX(Students!$C$2:$C$601,MATCH(B1836,Students!$A$2:$A$601,0))</f>
        <v>Batch 2025</v>
      </c>
      <c r="K1836" s="21" t="str">
        <f aca="false">INDEX(Students!$D$2:$D$601,MATCH(B1836,Students!$A$2:$A$601,0))</f>
        <v>Data Science &amp; ML</v>
      </c>
      <c r="L1836" s="21" t="str">
        <f aca="false">INDEX(Companies!$C$2:$C$31,MATCH(C1836,Companies!$A$2:$A$31,0))</f>
        <v>EdTech</v>
      </c>
      <c r="M1836" s="21" t="str">
        <f aca="false">INDEX(Companies!$D$2:$D$31,MATCH(C1836,Companies!$A$2:$A$31,0))</f>
        <v>Tier 3</v>
      </c>
      <c r="N1836" s="34" t="n">
        <f aca="false">MATCH(F1836,Assumptions!$K$4:$K$8,0)</f>
        <v>1</v>
      </c>
      <c r="O1836" s="21" t="str">
        <f aca="false">IF(H1836="Yes",MONTH(I1836),"")</f>
        <v/>
      </c>
      <c r="P1836" s="21" t="str">
        <f aca="false">IF(H1836="Yes",B1836,"")</f>
        <v/>
      </c>
    </row>
    <row r="1837" customFormat="false" ht="15" hidden="false" customHeight="false" outlineLevel="0" collapsed="false">
      <c r="A1837" s="21" t="s">
        <v>3052</v>
      </c>
      <c r="B1837" s="21" t="s">
        <v>478</v>
      </c>
      <c r="C1837" s="21" t="s">
        <v>1234</v>
      </c>
      <c r="D1837" s="21" t="s">
        <v>1184</v>
      </c>
      <c r="E1837" s="33" t="n">
        <v>45685</v>
      </c>
      <c r="F1837" s="21" t="s">
        <v>1197</v>
      </c>
      <c r="G1837" s="32"/>
      <c r="H1837" s="21"/>
      <c r="I1837" s="33"/>
      <c r="J1837" s="21" t="str">
        <f aca="false">INDEX(Students!$C$2:$C$601,MATCH(B1837,Students!$A$2:$A$601,0))</f>
        <v>Batch 2025</v>
      </c>
      <c r="K1837" s="21" t="str">
        <f aca="false">INDEX(Students!$D$2:$D$601,MATCH(B1837,Students!$A$2:$A$601,0))</f>
        <v>DSA with Java</v>
      </c>
      <c r="L1837" s="21" t="str">
        <f aca="false">INDEX(Companies!$C$2:$C$31,MATCH(C1837,Companies!$A$2:$A$31,0))</f>
        <v>EdTech</v>
      </c>
      <c r="M1837" s="21" t="str">
        <f aca="false">INDEX(Companies!$D$2:$D$31,MATCH(C1837,Companies!$A$2:$A$31,0))</f>
        <v>Tier 3</v>
      </c>
      <c r="N1837" s="34" t="n">
        <f aca="false">MATCH(F1837,Assumptions!$K$4:$K$8,0)</f>
        <v>3</v>
      </c>
      <c r="O1837" s="21" t="str">
        <f aca="false">IF(H1837="Yes",MONTH(I1837),"")</f>
        <v/>
      </c>
      <c r="P1837" s="21" t="str">
        <f aca="false">IF(H1837="Yes",B1837,"")</f>
        <v/>
      </c>
    </row>
    <row r="1838" customFormat="false" ht="15" hidden="false" customHeight="false" outlineLevel="0" collapsed="false">
      <c r="A1838" s="21" t="s">
        <v>3053</v>
      </c>
      <c r="B1838" s="21" t="s">
        <v>739</v>
      </c>
      <c r="C1838" s="21" t="s">
        <v>1208</v>
      </c>
      <c r="D1838" s="21" t="s">
        <v>1194</v>
      </c>
      <c r="E1838" s="33" t="n">
        <v>45685</v>
      </c>
      <c r="F1838" s="21" t="s">
        <v>1185</v>
      </c>
      <c r="G1838" s="32" t="n">
        <v>24.1</v>
      </c>
      <c r="H1838" s="21" t="s">
        <v>120</v>
      </c>
      <c r="I1838" s="33" t="n">
        <v>45719</v>
      </c>
      <c r="J1838" s="21" t="str">
        <f aca="false">INDEX(Students!$C$2:$C$601,MATCH(B1838,Students!$A$2:$A$601,0))</f>
        <v>Batch 2025</v>
      </c>
      <c r="K1838" s="21" t="str">
        <f aca="false">INDEX(Students!$D$2:$D$601,MATCH(B1838,Students!$A$2:$A$601,0))</f>
        <v>Data Science &amp; ML</v>
      </c>
      <c r="L1838" s="21" t="str">
        <f aca="false">INDEX(Companies!$C$2:$C$31,MATCH(C1838,Companies!$A$2:$A$31,0))</f>
        <v>E-commerce</v>
      </c>
      <c r="M1838" s="21" t="str">
        <f aca="false">INDEX(Companies!$D$2:$D$31,MATCH(C1838,Companies!$A$2:$A$31,0))</f>
        <v>Tier 1</v>
      </c>
      <c r="N1838" s="34" t="n">
        <f aca="false">MATCH(F1838,Assumptions!$K$4:$K$8,0)</f>
        <v>5</v>
      </c>
      <c r="O1838" s="21" t="n">
        <f aca="false">IF(H1838="Yes",MONTH(I1838),"")</f>
        <v>3</v>
      </c>
      <c r="P1838" s="21" t="str">
        <f aca="false">IF(H1838="Yes",B1838,"")</f>
        <v>S0341</v>
      </c>
    </row>
    <row r="1839" customFormat="false" ht="15" hidden="false" customHeight="false" outlineLevel="0" collapsed="false">
      <c r="A1839" s="21" t="s">
        <v>3054</v>
      </c>
      <c r="B1839" s="21" t="s">
        <v>615</v>
      </c>
      <c r="C1839" s="21" t="s">
        <v>1211</v>
      </c>
      <c r="D1839" s="21" t="s">
        <v>1191</v>
      </c>
      <c r="E1839" s="33" t="n">
        <v>45685</v>
      </c>
      <c r="F1839" s="21" t="s">
        <v>1185</v>
      </c>
      <c r="G1839" s="32" t="n">
        <v>6.1</v>
      </c>
      <c r="H1839" s="21" t="s">
        <v>113</v>
      </c>
      <c r="I1839" s="33" t="n">
        <v>45705</v>
      </c>
      <c r="J1839" s="21" t="str">
        <f aca="false">INDEX(Students!$C$2:$C$601,MATCH(B1839,Students!$A$2:$A$601,0))</f>
        <v>Batch 2025</v>
      </c>
      <c r="K1839" s="21" t="str">
        <f aca="false">INDEX(Students!$D$2:$D$601,MATCH(B1839,Students!$A$2:$A$601,0))</f>
        <v>DSA with Java</v>
      </c>
      <c r="L1839" s="21" t="str">
        <f aca="false">INDEX(Companies!$C$2:$C$31,MATCH(C1839,Companies!$A$2:$A$31,0))</f>
        <v>Analytics &amp; Consulting</v>
      </c>
      <c r="M1839" s="21" t="str">
        <f aca="false">INDEX(Companies!$D$2:$D$31,MATCH(C1839,Companies!$A$2:$A$31,0))</f>
        <v>Tier 3</v>
      </c>
      <c r="N1839" s="34" t="n">
        <f aca="false">MATCH(F1839,Assumptions!$K$4:$K$8,0)</f>
        <v>5</v>
      </c>
      <c r="O1839" s="21" t="str">
        <f aca="false">IF(H1839="Yes",MONTH(I1839),"")</f>
        <v/>
      </c>
      <c r="P1839" s="21" t="str">
        <f aca="false">IF(H1839="Yes",B1839,"")</f>
        <v/>
      </c>
    </row>
    <row r="1840" customFormat="false" ht="15" hidden="false" customHeight="false" outlineLevel="0" collapsed="false">
      <c r="A1840" s="21" t="s">
        <v>3055</v>
      </c>
      <c r="B1840" s="21" t="s">
        <v>497</v>
      </c>
      <c r="C1840" s="21" t="s">
        <v>1309</v>
      </c>
      <c r="D1840" s="21" t="s">
        <v>1188</v>
      </c>
      <c r="E1840" s="33" t="n">
        <v>45685</v>
      </c>
      <c r="F1840" s="21" t="s">
        <v>1175</v>
      </c>
      <c r="G1840" s="32"/>
      <c r="H1840" s="21"/>
      <c r="I1840" s="33"/>
      <c r="J1840" s="21" t="str">
        <f aca="false">INDEX(Students!$C$2:$C$601,MATCH(B1840,Students!$A$2:$A$601,0))</f>
        <v>Batch 2025</v>
      </c>
      <c r="K1840" s="21" t="str">
        <f aca="false">INDEX(Students!$D$2:$D$601,MATCH(B1840,Students!$A$2:$A$601,0))</f>
        <v>Data Analytics</v>
      </c>
      <c r="L1840" s="21" t="str">
        <f aca="false">INDEX(Companies!$C$2:$C$31,MATCH(C1840,Companies!$A$2:$A$31,0))</f>
        <v>EdTech</v>
      </c>
      <c r="M1840" s="21" t="str">
        <f aca="false">INDEX(Companies!$D$2:$D$31,MATCH(C1840,Companies!$A$2:$A$31,0))</f>
        <v>Tier 2</v>
      </c>
      <c r="N1840" s="34" t="n">
        <f aca="false">MATCH(F1840,Assumptions!$K$4:$K$8,0)</f>
        <v>1</v>
      </c>
      <c r="O1840" s="21" t="str">
        <f aca="false">IF(H1840="Yes",MONTH(I1840),"")</f>
        <v/>
      </c>
      <c r="P1840" s="21" t="str">
        <f aca="false">IF(H1840="Yes",B1840,"")</f>
        <v/>
      </c>
    </row>
    <row r="1841" customFormat="false" ht="15" hidden="false" customHeight="false" outlineLevel="0" collapsed="false">
      <c r="A1841" s="21" t="s">
        <v>3056</v>
      </c>
      <c r="B1841" s="21" t="s">
        <v>771</v>
      </c>
      <c r="C1841" s="21" t="s">
        <v>1234</v>
      </c>
      <c r="D1841" s="21" t="s">
        <v>1209</v>
      </c>
      <c r="E1841" s="33" t="n">
        <v>45686</v>
      </c>
      <c r="F1841" s="21" t="s">
        <v>1178</v>
      </c>
      <c r="G1841" s="32"/>
      <c r="H1841" s="21"/>
      <c r="I1841" s="33"/>
      <c r="J1841" s="21" t="str">
        <f aca="false">INDEX(Students!$C$2:$C$601,MATCH(B1841,Students!$A$2:$A$601,0))</f>
        <v>Batch 2025</v>
      </c>
      <c r="K1841" s="21" t="str">
        <f aca="false">INDEX(Students!$D$2:$D$601,MATCH(B1841,Students!$A$2:$A$601,0))</f>
        <v>Data Analytics</v>
      </c>
      <c r="L1841" s="21" t="str">
        <f aca="false">INDEX(Companies!$C$2:$C$31,MATCH(C1841,Companies!$A$2:$A$31,0))</f>
        <v>EdTech</v>
      </c>
      <c r="M1841" s="21" t="str">
        <f aca="false">INDEX(Companies!$D$2:$D$31,MATCH(C1841,Companies!$A$2:$A$31,0))</f>
        <v>Tier 3</v>
      </c>
      <c r="N1841" s="34" t="n">
        <f aca="false">MATCH(F1841,Assumptions!$K$4:$K$8,0)</f>
        <v>2</v>
      </c>
      <c r="O1841" s="21" t="str">
        <f aca="false">IF(H1841="Yes",MONTH(I1841),"")</f>
        <v/>
      </c>
      <c r="P1841" s="21" t="str">
        <f aca="false">IF(H1841="Yes",B1841,"")</f>
        <v/>
      </c>
    </row>
    <row r="1842" customFormat="false" ht="15" hidden="false" customHeight="false" outlineLevel="0" collapsed="false">
      <c r="A1842" s="21" t="s">
        <v>3057</v>
      </c>
      <c r="B1842" s="21" t="s">
        <v>781</v>
      </c>
      <c r="C1842" s="21" t="s">
        <v>1216</v>
      </c>
      <c r="D1842" s="21" t="s">
        <v>1191</v>
      </c>
      <c r="E1842" s="33" t="n">
        <v>45687</v>
      </c>
      <c r="F1842" s="21" t="s">
        <v>1178</v>
      </c>
      <c r="G1842" s="32"/>
      <c r="H1842" s="21"/>
      <c r="I1842" s="33"/>
      <c r="J1842" s="21" t="str">
        <f aca="false">INDEX(Students!$C$2:$C$601,MATCH(B1842,Students!$A$2:$A$601,0))</f>
        <v>Batch 2025</v>
      </c>
      <c r="K1842" s="21" t="str">
        <f aca="false">INDEX(Students!$D$2:$D$601,MATCH(B1842,Students!$A$2:$A$601,0))</f>
        <v>DSA with Java</v>
      </c>
      <c r="L1842" s="21" t="str">
        <f aca="false">INDEX(Companies!$C$2:$C$31,MATCH(C1842,Companies!$A$2:$A$31,0))</f>
        <v>IT Services</v>
      </c>
      <c r="M1842" s="21" t="str">
        <f aca="false">INDEX(Companies!$D$2:$D$31,MATCH(C1842,Companies!$A$2:$A$31,0))</f>
        <v>Tier 3</v>
      </c>
      <c r="N1842" s="34" t="n">
        <f aca="false">MATCH(F1842,Assumptions!$K$4:$K$8,0)</f>
        <v>2</v>
      </c>
      <c r="O1842" s="21" t="str">
        <f aca="false">IF(H1842="Yes",MONTH(I1842),"")</f>
        <v/>
      </c>
      <c r="P1842" s="21" t="str">
        <f aca="false">IF(H1842="Yes",B1842,"")</f>
        <v/>
      </c>
    </row>
    <row r="1843" customFormat="false" ht="15" hidden="false" customHeight="false" outlineLevel="0" collapsed="false">
      <c r="A1843" s="21" t="s">
        <v>3058</v>
      </c>
      <c r="B1843" s="21" t="s">
        <v>536</v>
      </c>
      <c r="C1843" s="21" t="s">
        <v>1239</v>
      </c>
      <c r="D1843" s="21" t="s">
        <v>1243</v>
      </c>
      <c r="E1843" s="33" t="n">
        <v>45687</v>
      </c>
      <c r="F1843" s="21" t="s">
        <v>1185</v>
      </c>
      <c r="G1843" s="32" t="n">
        <v>6.2</v>
      </c>
      <c r="H1843" s="21" t="s">
        <v>113</v>
      </c>
      <c r="I1843" s="33" t="n">
        <v>45740</v>
      </c>
      <c r="J1843" s="21" t="str">
        <f aca="false">INDEX(Students!$C$2:$C$601,MATCH(B1843,Students!$A$2:$A$601,0))</f>
        <v>Batch 2025</v>
      </c>
      <c r="K1843" s="21" t="str">
        <f aca="false">INDEX(Students!$D$2:$D$601,MATCH(B1843,Students!$A$2:$A$601,0))</f>
        <v>Data Science &amp; ML</v>
      </c>
      <c r="L1843" s="21" t="str">
        <f aca="false">INDEX(Companies!$C$2:$C$31,MATCH(C1843,Companies!$A$2:$A$31,0))</f>
        <v>E-commerce</v>
      </c>
      <c r="M1843" s="21" t="str">
        <f aca="false">INDEX(Companies!$D$2:$D$31,MATCH(C1843,Companies!$A$2:$A$31,0))</f>
        <v>Tier 3</v>
      </c>
      <c r="N1843" s="34" t="n">
        <f aca="false">MATCH(F1843,Assumptions!$K$4:$K$8,0)</f>
        <v>5</v>
      </c>
      <c r="O1843" s="21" t="str">
        <f aca="false">IF(H1843="Yes",MONTH(I1843),"")</f>
        <v/>
      </c>
      <c r="P1843" s="21" t="str">
        <f aca="false">IF(H1843="Yes",B1843,"")</f>
        <v/>
      </c>
    </row>
    <row r="1844" customFormat="false" ht="15" hidden="false" customHeight="false" outlineLevel="0" collapsed="false">
      <c r="A1844" s="21" t="s">
        <v>3059</v>
      </c>
      <c r="B1844" s="21" t="s">
        <v>663</v>
      </c>
      <c r="C1844" s="21" t="s">
        <v>1196</v>
      </c>
      <c r="D1844" s="21" t="s">
        <v>1191</v>
      </c>
      <c r="E1844" s="33" t="n">
        <v>45688</v>
      </c>
      <c r="F1844" s="21" t="s">
        <v>1185</v>
      </c>
      <c r="G1844" s="32" t="n">
        <v>6.5</v>
      </c>
      <c r="H1844" s="21" t="s">
        <v>113</v>
      </c>
      <c r="I1844" s="33" t="n">
        <v>45720</v>
      </c>
      <c r="J1844" s="21" t="str">
        <f aca="false">INDEX(Students!$C$2:$C$601,MATCH(B1844,Students!$A$2:$A$601,0))</f>
        <v>Batch 2025</v>
      </c>
      <c r="K1844" s="21" t="str">
        <f aca="false">INDEX(Students!$D$2:$D$601,MATCH(B1844,Students!$A$2:$A$601,0))</f>
        <v>DSA with Java</v>
      </c>
      <c r="L1844" s="21" t="str">
        <f aca="false">INDEX(Companies!$C$2:$C$31,MATCH(C1844,Companies!$A$2:$A$31,0))</f>
        <v>IT Services</v>
      </c>
      <c r="M1844" s="21" t="str">
        <f aca="false">INDEX(Companies!$D$2:$D$31,MATCH(C1844,Companies!$A$2:$A$31,0))</f>
        <v>Tier 3</v>
      </c>
      <c r="N1844" s="34" t="n">
        <f aca="false">MATCH(F1844,Assumptions!$K$4:$K$8,0)</f>
        <v>5</v>
      </c>
      <c r="O1844" s="21" t="str">
        <f aca="false">IF(H1844="Yes",MONTH(I1844),"")</f>
        <v/>
      </c>
      <c r="P1844" s="21" t="str">
        <f aca="false">IF(H1844="Yes",B1844,"")</f>
        <v/>
      </c>
    </row>
    <row r="1845" customFormat="false" ht="15" hidden="false" customHeight="false" outlineLevel="0" collapsed="false">
      <c r="A1845" s="21" t="s">
        <v>3060</v>
      </c>
      <c r="B1845" s="21" t="s">
        <v>522</v>
      </c>
      <c r="C1845" s="21" t="s">
        <v>1228</v>
      </c>
      <c r="D1845" s="21" t="s">
        <v>1184</v>
      </c>
      <c r="E1845" s="33" t="n">
        <v>45688</v>
      </c>
      <c r="F1845" s="21" t="s">
        <v>1197</v>
      </c>
      <c r="G1845" s="32"/>
      <c r="H1845" s="21"/>
      <c r="I1845" s="33"/>
      <c r="J1845" s="21" t="str">
        <f aca="false">INDEX(Students!$C$2:$C$601,MATCH(B1845,Students!$A$2:$A$601,0))</f>
        <v>Batch 2025</v>
      </c>
      <c r="K1845" s="21" t="str">
        <f aca="false">INDEX(Students!$D$2:$D$601,MATCH(B1845,Students!$A$2:$A$601,0))</f>
        <v>DSA with Java</v>
      </c>
      <c r="L1845" s="21" t="str">
        <f aca="false">INDEX(Companies!$C$2:$C$31,MATCH(C1845,Companies!$A$2:$A$31,0))</f>
        <v>Fintech</v>
      </c>
      <c r="M1845" s="21" t="str">
        <f aca="false">INDEX(Companies!$D$2:$D$31,MATCH(C1845,Companies!$A$2:$A$31,0))</f>
        <v>Tier 1</v>
      </c>
      <c r="N1845" s="34" t="n">
        <f aca="false">MATCH(F1845,Assumptions!$K$4:$K$8,0)</f>
        <v>3</v>
      </c>
      <c r="O1845" s="21" t="str">
        <f aca="false">IF(H1845="Yes",MONTH(I1845),"")</f>
        <v/>
      </c>
      <c r="P1845" s="21" t="str">
        <f aca="false">IF(H1845="Yes",B1845,"")</f>
        <v/>
      </c>
    </row>
    <row r="1846" customFormat="false" ht="15" hidden="false" customHeight="false" outlineLevel="0" collapsed="false">
      <c r="A1846" s="21" t="s">
        <v>3061</v>
      </c>
      <c r="B1846" s="21" t="s">
        <v>616</v>
      </c>
      <c r="C1846" s="21" t="s">
        <v>1230</v>
      </c>
      <c r="D1846" s="21" t="s">
        <v>1243</v>
      </c>
      <c r="E1846" s="33" t="n">
        <v>45688</v>
      </c>
      <c r="F1846" s="21" t="s">
        <v>1175</v>
      </c>
      <c r="G1846" s="32"/>
      <c r="H1846" s="21"/>
      <c r="I1846" s="33"/>
      <c r="J1846" s="21" t="str">
        <f aca="false">INDEX(Students!$C$2:$C$601,MATCH(B1846,Students!$A$2:$A$601,0))</f>
        <v>Batch 2025</v>
      </c>
      <c r="K1846" s="21" t="str">
        <f aca="false">INDEX(Students!$D$2:$D$601,MATCH(B1846,Students!$A$2:$A$601,0))</f>
        <v>Data Science &amp; ML</v>
      </c>
      <c r="L1846" s="21" t="str">
        <f aca="false">INDEX(Companies!$C$2:$C$31,MATCH(C1846,Companies!$A$2:$A$31,0))</f>
        <v>IT Services</v>
      </c>
      <c r="M1846" s="21" t="str">
        <f aca="false">INDEX(Companies!$D$2:$D$31,MATCH(C1846,Companies!$A$2:$A$31,0))</f>
        <v>Tier 3</v>
      </c>
      <c r="N1846" s="34" t="n">
        <f aca="false">MATCH(F1846,Assumptions!$K$4:$K$8,0)</f>
        <v>1</v>
      </c>
      <c r="O1846" s="21" t="str">
        <f aca="false">IF(H1846="Yes",MONTH(I1846),"")</f>
        <v/>
      </c>
      <c r="P1846" s="21" t="str">
        <f aca="false">IF(H1846="Yes",B1846,"")</f>
        <v/>
      </c>
    </row>
    <row r="1847" customFormat="false" ht="15" hidden="false" customHeight="false" outlineLevel="0" collapsed="false">
      <c r="A1847" s="21" t="s">
        <v>3062</v>
      </c>
      <c r="B1847" s="21" t="s">
        <v>464</v>
      </c>
      <c r="C1847" s="21" t="s">
        <v>1255</v>
      </c>
      <c r="D1847" s="21" t="s">
        <v>1174</v>
      </c>
      <c r="E1847" s="33" t="n">
        <v>45688</v>
      </c>
      <c r="F1847" s="21" t="s">
        <v>1175</v>
      </c>
      <c r="G1847" s="32"/>
      <c r="H1847" s="21"/>
      <c r="I1847" s="33"/>
      <c r="J1847" s="21" t="str">
        <f aca="false">INDEX(Students!$C$2:$C$601,MATCH(B1847,Students!$A$2:$A$601,0))</f>
        <v>Batch 2025</v>
      </c>
      <c r="K1847" s="21" t="str">
        <f aca="false">INDEX(Students!$D$2:$D$601,MATCH(B1847,Students!$A$2:$A$601,0))</f>
        <v>Full Stack Development</v>
      </c>
      <c r="L1847" s="21" t="str">
        <f aca="false">INDEX(Companies!$C$2:$C$31,MATCH(C1847,Companies!$A$2:$A$31,0))</f>
        <v>IT Services</v>
      </c>
      <c r="M1847" s="21" t="str">
        <f aca="false">INDEX(Companies!$D$2:$D$31,MATCH(C1847,Companies!$A$2:$A$31,0))</f>
        <v>Tier 3</v>
      </c>
      <c r="N1847" s="34" t="n">
        <f aca="false">MATCH(F1847,Assumptions!$K$4:$K$8,0)</f>
        <v>1</v>
      </c>
      <c r="O1847" s="21" t="str">
        <f aca="false">IF(H1847="Yes",MONTH(I1847),"")</f>
        <v/>
      </c>
      <c r="P1847" s="21" t="str">
        <f aca="false">IF(H1847="Yes",B1847,"")</f>
        <v/>
      </c>
    </row>
    <row r="1848" customFormat="false" ht="15" hidden="false" customHeight="false" outlineLevel="0" collapsed="false">
      <c r="A1848" s="21" t="s">
        <v>3063</v>
      </c>
      <c r="B1848" s="21" t="s">
        <v>626</v>
      </c>
      <c r="C1848" s="21" t="s">
        <v>1199</v>
      </c>
      <c r="D1848" s="21" t="s">
        <v>1209</v>
      </c>
      <c r="E1848" s="33" t="n">
        <v>45689</v>
      </c>
      <c r="F1848" s="21" t="s">
        <v>1185</v>
      </c>
      <c r="G1848" s="32" t="n">
        <v>11.9</v>
      </c>
      <c r="H1848" s="21" t="s">
        <v>120</v>
      </c>
      <c r="I1848" s="33" t="n">
        <v>45744</v>
      </c>
      <c r="J1848" s="21" t="str">
        <f aca="false">INDEX(Students!$C$2:$C$601,MATCH(B1848,Students!$A$2:$A$601,0))</f>
        <v>Batch 2025</v>
      </c>
      <c r="K1848" s="21" t="str">
        <f aca="false">INDEX(Students!$D$2:$D$601,MATCH(B1848,Students!$A$2:$A$601,0))</f>
        <v>Data Analytics</v>
      </c>
      <c r="L1848" s="21" t="str">
        <f aca="false">INDEX(Companies!$C$2:$C$31,MATCH(C1848,Companies!$A$2:$A$31,0))</f>
        <v>E-commerce</v>
      </c>
      <c r="M1848" s="21" t="str">
        <f aca="false">INDEX(Companies!$D$2:$D$31,MATCH(C1848,Companies!$A$2:$A$31,0))</f>
        <v>Tier 2</v>
      </c>
      <c r="N1848" s="34" t="n">
        <f aca="false">MATCH(F1848,Assumptions!$K$4:$K$8,0)</f>
        <v>5</v>
      </c>
      <c r="O1848" s="21" t="n">
        <f aca="false">IF(H1848="Yes",MONTH(I1848),"")</f>
        <v>3</v>
      </c>
      <c r="P1848" s="21" t="str">
        <f aca="false">IF(H1848="Yes",B1848,"")</f>
        <v>S0276</v>
      </c>
    </row>
    <row r="1849" customFormat="false" ht="15" hidden="false" customHeight="false" outlineLevel="0" collapsed="false">
      <c r="A1849" s="21" t="s">
        <v>3064</v>
      </c>
      <c r="B1849" s="21" t="s">
        <v>767</v>
      </c>
      <c r="C1849" s="21" t="s">
        <v>1180</v>
      </c>
      <c r="D1849" s="21" t="s">
        <v>1226</v>
      </c>
      <c r="E1849" s="33" t="n">
        <v>45689</v>
      </c>
      <c r="F1849" s="21" t="s">
        <v>1185</v>
      </c>
      <c r="G1849" s="32" t="n">
        <v>5</v>
      </c>
      <c r="H1849" s="21" t="s">
        <v>113</v>
      </c>
      <c r="I1849" s="33" t="n">
        <v>45742</v>
      </c>
      <c r="J1849" s="21" t="str">
        <f aca="false">INDEX(Students!$C$2:$C$601,MATCH(B1849,Students!$A$2:$A$601,0))</f>
        <v>Batch 2025</v>
      </c>
      <c r="K1849" s="21" t="str">
        <f aca="false">INDEX(Students!$D$2:$D$601,MATCH(B1849,Students!$A$2:$A$601,0))</f>
        <v>Cybersecurity</v>
      </c>
      <c r="L1849" s="21" t="str">
        <f aca="false">INDEX(Companies!$C$2:$C$31,MATCH(C1849,Companies!$A$2:$A$31,0))</f>
        <v>IT Services</v>
      </c>
      <c r="M1849" s="21" t="str">
        <f aca="false">INDEX(Companies!$D$2:$D$31,MATCH(C1849,Companies!$A$2:$A$31,0))</f>
        <v>Tier 3</v>
      </c>
      <c r="N1849" s="34" t="n">
        <f aca="false">MATCH(F1849,Assumptions!$K$4:$K$8,0)</f>
        <v>5</v>
      </c>
      <c r="O1849" s="21" t="str">
        <f aca="false">IF(H1849="Yes",MONTH(I1849),"")</f>
        <v/>
      </c>
      <c r="P1849" s="21" t="str">
        <f aca="false">IF(H1849="Yes",B1849,"")</f>
        <v/>
      </c>
    </row>
    <row r="1850" customFormat="false" ht="15" hidden="false" customHeight="false" outlineLevel="0" collapsed="false">
      <c r="A1850" s="21" t="s">
        <v>3065</v>
      </c>
      <c r="B1850" s="21" t="s">
        <v>482</v>
      </c>
      <c r="C1850" s="21" t="s">
        <v>1230</v>
      </c>
      <c r="D1850" s="21" t="s">
        <v>1209</v>
      </c>
      <c r="E1850" s="33" t="n">
        <v>45689</v>
      </c>
      <c r="F1850" s="21" t="s">
        <v>1175</v>
      </c>
      <c r="G1850" s="32"/>
      <c r="H1850" s="21"/>
      <c r="I1850" s="33"/>
      <c r="J1850" s="21" t="str">
        <f aca="false">INDEX(Students!$C$2:$C$601,MATCH(B1850,Students!$A$2:$A$601,0))</f>
        <v>Batch 2025</v>
      </c>
      <c r="K1850" s="21" t="str">
        <f aca="false">INDEX(Students!$D$2:$D$601,MATCH(B1850,Students!$A$2:$A$601,0))</f>
        <v>Data Analytics</v>
      </c>
      <c r="L1850" s="21" t="str">
        <f aca="false">INDEX(Companies!$C$2:$C$31,MATCH(C1850,Companies!$A$2:$A$31,0))</f>
        <v>IT Services</v>
      </c>
      <c r="M1850" s="21" t="str">
        <f aca="false">INDEX(Companies!$D$2:$D$31,MATCH(C1850,Companies!$A$2:$A$31,0))</f>
        <v>Tier 3</v>
      </c>
      <c r="N1850" s="34" t="n">
        <f aca="false">MATCH(F1850,Assumptions!$K$4:$K$8,0)</f>
        <v>1</v>
      </c>
      <c r="O1850" s="21" t="str">
        <f aca="false">IF(H1850="Yes",MONTH(I1850),"")</f>
        <v/>
      </c>
      <c r="P1850" s="21" t="str">
        <f aca="false">IF(H1850="Yes",B1850,"")</f>
        <v/>
      </c>
    </row>
    <row r="1851" customFormat="false" ht="15" hidden="false" customHeight="false" outlineLevel="0" collapsed="false">
      <c r="A1851" s="21" t="s">
        <v>3066</v>
      </c>
      <c r="B1851" s="21" t="s">
        <v>493</v>
      </c>
      <c r="C1851" s="21" t="s">
        <v>1180</v>
      </c>
      <c r="D1851" s="21" t="s">
        <v>1191</v>
      </c>
      <c r="E1851" s="33" t="n">
        <v>45689</v>
      </c>
      <c r="F1851" s="21" t="s">
        <v>1185</v>
      </c>
      <c r="G1851" s="32" t="n">
        <v>5.1</v>
      </c>
      <c r="H1851" s="21" t="s">
        <v>113</v>
      </c>
      <c r="I1851" s="33" t="n">
        <v>45724</v>
      </c>
      <c r="J1851" s="21" t="str">
        <f aca="false">INDEX(Students!$C$2:$C$601,MATCH(B1851,Students!$A$2:$A$601,0))</f>
        <v>Batch 2025</v>
      </c>
      <c r="K1851" s="21" t="str">
        <f aca="false">INDEX(Students!$D$2:$D$601,MATCH(B1851,Students!$A$2:$A$601,0))</f>
        <v>DSA with Java</v>
      </c>
      <c r="L1851" s="21" t="str">
        <f aca="false">INDEX(Companies!$C$2:$C$31,MATCH(C1851,Companies!$A$2:$A$31,0))</f>
        <v>IT Services</v>
      </c>
      <c r="M1851" s="21" t="str">
        <f aca="false">INDEX(Companies!$D$2:$D$31,MATCH(C1851,Companies!$A$2:$A$31,0))</f>
        <v>Tier 3</v>
      </c>
      <c r="N1851" s="34" t="n">
        <f aca="false">MATCH(F1851,Assumptions!$K$4:$K$8,0)</f>
        <v>5</v>
      </c>
      <c r="O1851" s="21" t="str">
        <f aca="false">IF(H1851="Yes",MONTH(I1851),"")</f>
        <v/>
      </c>
      <c r="P1851" s="21" t="str">
        <f aca="false">IF(H1851="Yes",B1851,"")</f>
        <v/>
      </c>
    </row>
    <row r="1852" customFormat="false" ht="15" hidden="false" customHeight="false" outlineLevel="0" collapsed="false">
      <c r="A1852" s="21" t="s">
        <v>3067</v>
      </c>
      <c r="B1852" s="21" t="s">
        <v>519</v>
      </c>
      <c r="C1852" s="21" t="s">
        <v>1199</v>
      </c>
      <c r="D1852" s="21" t="s">
        <v>1191</v>
      </c>
      <c r="E1852" s="33" t="n">
        <v>45689</v>
      </c>
      <c r="F1852" s="21" t="s">
        <v>1218</v>
      </c>
      <c r="G1852" s="32"/>
      <c r="H1852" s="21"/>
      <c r="I1852" s="33"/>
      <c r="J1852" s="21" t="str">
        <f aca="false">INDEX(Students!$C$2:$C$601,MATCH(B1852,Students!$A$2:$A$601,0))</f>
        <v>Batch 2025</v>
      </c>
      <c r="K1852" s="21" t="str">
        <f aca="false">INDEX(Students!$D$2:$D$601,MATCH(B1852,Students!$A$2:$A$601,0))</f>
        <v>DSA with Java</v>
      </c>
      <c r="L1852" s="21" t="str">
        <f aca="false">INDEX(Companies!$C$2:$C$31,MATCH(C1852,Companies!$A$2:$A$31,0))</f>
        <v>E-commerce</v>
      </c>
      <c r="M1852" s="21" t="str">
        <f aca="false">INDEX(Companies!$D$2:$D$31,MATCH(C1852,Companies!$A$2:$A$31,0))</f>
        <v>Tier 2</v>
      </c>
      <c r="N1852" s="34" t="n">
        <f aca="false">MATCH(F1852,Assumptions!$K$4:$K$8,0)</f>
        <v>4</v>
      </c>
      <c r="O1852" s="21" t="str">
        <f aca="false">IF(H1852="Yes",MONTH(I1852),"")</f>
        <v/>
      </c>
      <c r="P1852" s="21" t="str">
        <f aca="false">IF(H1852="Yes",B1852,"")</f>
        <v/>
      </c>
    </row>
    <row r="1853" customFormat="false" ht="15" hidden="false" customHeight="false" outlineLevel="0" collapsed="false">
      <c r="A1853" s="21" t="s">
        <v>3068</v>
      </c>
      <c r="B1853" s="21" t="s">
        <v>761</v>
      </c>
      <c r="C1853" s="21" t="s">
        <v>1309</v>
      </c>
      <c r="D1853" s="21" t="s">
        <v>1174</v>
      </c>
      <c r="E1853" s="33" t="n">
        <v>45689</v>
      </c>
      <c r="F1853" s="21" t="s">
        <v>1178</v>
      </c>
      <c r="G1853" s="32"/>
      <c r="H1853" s="21"/>
      <c r="I1853" s="33"/>
      <c r="J1853" s="21" t="str">
        <f aca="false">INDEX(Students!$C$2:$C$601,MATCH(B1853,Students!$A$2:$A$601,0))</f>
        <v>Batch 2025</v>
      </c>
      <c r="K1853" s="21" t="str">
        <f aca="false">INDEX(Students!$D$2:$D$601,MATCH(B1853,Students!$A$2:$A$601,0))</f>
        <v>Full Stack Development</v>
      </c>
      <c r="L1853" s="21" t="str">
        <f aca="false">INDEX(Companies!$C$2:$C$31,MATCH(C1853,Companies!$A$2:$A$31,0))</f>
        <v>EdTech</v>
      </c>
      <c r="M1853" s="21" t="str">
        <f aca="false">INDEX(Companies!$D$2:$D$31,MATCH(C1853,Companies!$A$2:$A$31,0))</f>
        <v>Tier 2</v>
      </c>
      <c r="N1853" s="34" t="n">
        <f aca="false">MATCH(F1853,Assumptions!$K$4:$K$8,0)</f>
        <v>2</v>
      </c>
      <c r="O1853" s="21" t="str">
        <f aca="false">IF(H1853="Yes",MONTH(I1853),"")</f>
        <v/>
      </c>
      <c r="P1853" s="21" t="str">
        <f aca="false">IF(H1853="Yes",B1853,"")</f>
        <v/>
      </c>
    </row>
    <row r="1854" customFormat="false" ht="15" hidden="false" customHeight="false" outlineLevel="0" collapsed="false">
      <c r="A1854" s="21" t="s">
        <v>3069</v>
      </c>
      <c r="B1854" s="21" t="s">
        <v>472</v>
      </c>
      <c r="C1854" s="21" t="s">
        <v>1208</v>
      </c>
      <c r="D1854" s="21" t="s">
        <v>1243</v>
      </c>
      <c r="E1854" s="33" t="n">
        <v>45690</v>
      </c>
      <c r="F1854" s="21" t="s">
        <v>1218</v>
      </c>
      <c r="G1854" s="32"/>
      <c r="H1854" s="21"/>
      <c r="I1854" s="33"/>
      <c r="J1854" s="21" t="str">
        <f aca="false">INDEX(Students!$C$2:$C$601,MATCH(B1854,Students!$A$2:$A$601,0))</f>
        <v>Batch 2025</v>
      </c>
      <c r="K1854" s="21" t="str">
        <f aca="false">INDEX(Students!$D$2:$D$601,MATCH(B1854,Students!$A$2:$A$601,0))</f>
        <v>Data Science &amp; ML</v>
      </c>
      <c r="L1854" s="21" t="str">
        <f aca="false">INDEX(Companies!$C$2:$C$31,MATCH(C1854,Companies!$A$2:$A$31,0))</f>
        <v>E-commerce</v>
      </c>
      <c r="M1854" s="21" t="str">
        <f aca="false">INDEX(Companies!$D$2:$D$31,MATCH(C1854,Companies!$A$2:$A$31,0))</f>
        <v>Tier 1</v>
      </c>
      <c r="N1854" s="34" t="n">
        <f aca="false">MATCH(F1854,Assumptions!$K$4:$K$8,0)</f>
        <v>4</v>
      </c>
      <c r="O1854" s="21" t="str">
        <f aca="false">IF(H1854="Yes",MONTH(I1854),"")</f>
        <v/>
      </c>
      <c r="P1854" s="21" t="str">
        <f aca="false">IF(H1854="Yes",B1854,"")</f>
        <v/>
      </c>
    </row>
    <row r="1855" customFormat="false" ht="15" hidden="false" customHeight="false" outlineLevel="0" collapsed="false">
      <c r="A1855" s="21" t="s">
        <v>3070</v>
      </c>
      <c r="B1855" s="21" t="s">
        <v>615</v>
      </c>
      <c r="C1855" s="21" t="s">
        <v>1309</v>
      </c>
      <c r="D1855" s="21" t="s">
        <v>1191</v>
      </c>
      <c r="E1855" s="33" t="n">
        <v>45691</v>
      </c>
      <c r="F1855" s="21" t="s">
        <v>1185</v>
      </c>
      <c r="G1855" s="32" t="n">
        <v>11.6</v>
      </c>
      <c r="H1855" s="21" t="s">
        <v>120</v>
      </c>
      <c r="I1855" s="33" t="n">
        <v>45719</v>
      </c>
      <c r="J1855" s="21" t="str">
        <f aca="false">INDEX(Students!$C$2:$C$601,MATCH(B1855,Students!$A$2:$A$601,0))</f>
        <v>Batch 2025</v>
      </c>
      <c r="K1855" s="21" t="str">
        <f aca="false">INDEX(Students!$D$2:$D$601,MATCH(B1855,Students!$A$2:$A$601,0))</f>
        <v>DSA with Java</v>
      </c>
      <c r="L1855" s="21" t="str">
        <f aca="false">INDEX(Companies!$C$2:$C$31,MATCH(C1855,Companies!$A$2:$A$31,0))</f>
        <v>EdTech</v>
      </c>
      <c r="M1855" s="21" t="str">
        <f aca="false">INDEX(Companies!$D$2:$D$31,MATCH(C1855,Companies!$A$2:$A$31,0))</f>
        <v>Tier 2</v>
      </c>
      <c r="N1855" s="34" t="n">
        <f aca="false">MATCH(F1855,Assumptions!$K$4:$K$8,0)</f>
        <v>5</v>
      </c>
      <c r="O1855" s="21" t="n">
        <f aca="false">IF(H1855="Yes",MONTH(I1855),"")</f>
        <v>3</v>
      </c>
      <c r="P1855" s="21" t="str">
        <f aca="false">IF(H1855="Yes",B1855,"")</f>
        <v>S0270</v>
      </c>
    </row>
    <row r="1856" customFormat="false" ht="15" hidden="false" customHeight="false" outlineLevel="0" collapsed="false">
      <c r="A1856" s="21" t="s">
        <v>3071</v>
      </c>
      <c r="B1856" s="21" t="s">
        <v>586</v>
      </c>
      <c r="C1856" s="21" t="s">
        <v>1222</v>
      </c>
      <c r="D1856" s="21" t="s">
        <v>1184</v>
      </c>
      <c r="E1856" s="33" t="n">
        <v>45691</v>
      </c>
      <c r="F1856" s="21" t="s">
        <v>1185</v>
      </c>
      <c r="G1856" s="32" t="n">
        <v>10.4</v>
      </c>
      <c r="H1856" s="21" t="s">
        <v>120</v>
      </c>
      <c r="I1856" s="33" t="n">
        <v>45720</v>
      </c>
      <c r="J1856" s="21" t="str">
        <f aca="false">INDEX(Students!$C$2:$C$601,MATCH(B1856,Students!$A$2:$A$601,0))</f>
        <v>Batch 2025</v>
      </c>
      <c r="K1856" s="21" t="str">
        <f aca="false">INDEX(Students!$D$2:$D$601,MATCH(B1856,Students!$A$2:$A$601,0))</f>
        <v>DSA with Java</v>
      </c>
      <c r="L1856" s="21" t="str">
        <f aca="false">INDEX(Companies!$C$2:$C$31,MATCH(C1856,Companies!$A$2:$A$31,0))</f>
        <v>Product</v>
      </c>
      <c r="M1856" s="21" t="str">
        <f aca="false">INDEX(Companies!$D$2:$D$31,MATCH(C1856,Companies!$A$2:$A$31,0))</f>
        <v>Tier 2</v>
      </c>
      <c r="N1856" s="34" t="n">
        <f aca="false">MATCH(F1856,Assumptions!$K$4:$K$8,0)</f>
        <v>5</v>
      </c>
      <c r="O1856" s="21" t="n">
        <f aca="false">IF(H1856="Yes",MONTH(I1856),"")</f>
        <v>3</v>
      </c>
      <c r="P1856" s="21" t="str">
        <f aca="false">IF(H1856="Yes",B1856,"")</f>
        <v>S0253</v>
      </c>
    </row>
    <row r="1857" customFormat="false" ht="15" hidden="false" customHeight="false" outlineLevel="0" collapsed="false">
      <c r="A1857" s="21" t="s">
        <v>3072</v>
      </c>
      <c r="B1857" s="21" t="s">
        <v>697</v>
      </c>
      <c r="C1857" s="21" t="s">
        <v>1230</v>
      </c>
      <c r="D1857" s="21" t="s">
        <v>1194</v>
      </c>
      <c r="E1857" s="33" t="n">
        <v>45691</v>
      </c>
      <c r="F1857" s="21" t="s">
        <v>1185</v>
      </c>
      <c r="G1857" s="32" t="n">
        <v>5</v>
      </c>
      <c r="H1857" s="21" t="s">
        <v>113</v>
      </c>
      <c r="I1857" s="33" t="n">
        <v>45722</v>
      </c>
      <c r="J1857" s="21" t="str">
        <f aca="false">INDEX(Students!$C$2:$C$601,MATCH(B1857,Students!$A$2:$A$601,0))</f>
        <v>Batch 2025</v>
      </c>
      <c r="K1857" s="21" t="str">
        <f aca="false">INDEX(Students!$D$2:$D$601,MATCH(B1857,Students!$A$2:$A$601,0))</f>
        <v>Data Science &amp; ML</v>
      </c>
      <c r="L1857" s="21" t="str">
        <f aca="false">INDEX(Companies!$C$2:$C$31,MATCH(C1857,Companies!$A$2:$A$31,0))</f>
        <v>IT Services</v>
      </c>
      <c r="M1857" s="21" t="str">
        <f aca="false">INDEX(Companies!$D$2:$D$31,MATCH(C1857,Companies!$A$2:$A$31,0))</f>
        <v>Tier 3</v>
      </c>
      <c r="N1857" s="34" t="n">
        <f aca="false">MATCH(F1857,Assumptions!$K$4:$K$8,0)</f>
        <v>5</v>
      </c>
      <c r="O1857" s="21" t="str">
        <f aca="false">IF(H1857="Yes",MONTH(I1857),"")</f>
        <v/>
      </c>
      <c r="P1857" s="21" t="str">
        <f aca="false">IF(H1857="Yes",B1857,"")</f>
        <v/>
      </c>
    </row>
    <row r="1858" customFormat="false" ht="15" hidden="false" customHeight="false" outlineLevel="0" collapsed="false">
      <c r="A1858" s="21" t="s">
        <v>3073</v>
      </c>
      <c r="B1858" s="21" t="s">
        <v>476</v>
      </c>
      <c r="C1858" s="21" t="s">
        <v>1190</v>
      </c>
      <c r="D1858" s="21" t="s">
        <v>1181</v>
      </c>
      <c r="E1858" s="33" t="n">
        <v>45691</v>
      </c>
      <c r="F1858" s="21" t="s">
        <v>1218</v>
      </c>
      <c r="G1858" s="32"/>
      <c r="H1858" s="21"/>
      <c r="I1858" s="33"/>
      <c r="J1858" s="21" t="str">
        <f aca="false">INDEX(Students!$C$2:$C$601,MATCH(B1858,Students!$A$2:$A$601,0))</f>
        <v>Batch 2025</v>
      </c>
      <c r="K1858" s="21" t="str">
        <f aca="false">INDEX(Students!$D$2:$D$601,MATCH(B1858,Students!$A$2:$A$601,0))</f>
        <v>Full Stack Development</v>
      </c>
      <c r="L1858" s="21" t="str">
        <f aca="false">INDEX(Companies!$C$2:$C$31,MATCH(C1858,Companies!$A$2:$A$31,0))</f>
        <v>Analytics &amp; Consulting</v>
      </c>
      <c r="M1858" s="21" t="str">
        <f aca="false">INDEX(Companies!$D$2:$D$31,MATCH(C1858,Companies!$A$2:$A$31,0))</f>
        <v>Tier 1</v>
      </c>
      <c r="N1858" s="34" t="n">
        <f aca="false">MATCH(F1858,Assumptions!$K$4:$K$8,0)</f>
        <v>4</v>
      </c>
      <c r="O1858" s="21" t="str">
        <f aca="false">IF(H1858="Yes",MONTH(I1858),"")</f>
        <v/>
      </c>
      <c r="P1858" s="21" t="str">
        <f aca="false">IF(H1858="Yes",B1858,"")</f>
        <v/>
      </c>
    </row>
    <row r="1859" customFormat="false" ht="15" hidden="false" customHeight="false" outlineLevel="0" collapsed="false">
      <c r="A1859" s="21" t="s">
        <v>3074</v>
      </c>
      <c r="B1859" s="21" t="s">
        <v>507</v>
      </c>
      <c r="C1859" s="21" t="s">
        <v>1255</v>
      </c>
      <c r="D1859" s="21" t="s">
        <v>1240</v>
      </c>
      <c r="E1859" s="33" t="n">
        <v>45692</v>
      </c>
      <c r="F1859" s="21" t="s">
        <v>1197</v>
      </c>
      <c r="G1859" s="32"/>
      <c r="H1859" s="21"/>
      <c r="I1859" s="33"/>
      <c r="J1859" s="21" t="str">
        <f aca="false">INDEX(Students!$C$2:$C$601,MATCH(B1859,Students!$A$2:$A$601,0))</f>
        <v>Batch 2025</v>
      </c>
      <c r="K1859" s="21" t="str">
        <f aca="false">INDEX(Students!$D$2:$D$601,MATCH(B1859,Students!$A$2:$A$601,0))</f>
        <v>Cybersecurity</v>
      </c>
      <c r="L1859" s="21" t="str">
        <f aca="false">INDEX(Companies!$C$2:$C$31,MATCH(C1859,Companies!$A$2:$A$31,0))</f>
        <v>IT Services</v>
      </c>
      <c r="M1859" s="21" t="str">
        <f aca="false">INDEX(Companies!$D$2:$D$31,MATCH(C1859,Companies!$A$2:$A$31,0))</f>
        <v>Tier 3</v>
      </c>
      <c r="N1859" s="34" t="n">
        <f aca="false">MATCH(F1859,Assumptions!$K$4:$K$8,0)</f>
        <v>3</v>
      </c>
      <c r="O1859" s="21" t="str">
        <f aca="false">IF(H1859="Yes",MONTH(I1859),"")</f>
        <v/>
      </c>
      <c r="P1859" s="21" t="str">
        <f aca="false">IF(H1859="Yes",B1859,"")</f>
        <v/>
      </c>
    </row>
    <row r="1860" customFormat="false" ht="15" hidden="false" customHeight="false" outlineLevel="0" collapsed="false">
      <c r="A1860" s="21" t="s">
        <v>3075</v>
      </c>
      <c r="B1860" s="21" t="s">
        <v>478</v>
      </c>
      <c r="C1860" s="21" t="s">
        <v>1196</v>
      </c>
      <c r="D1860" s="21" t="s">
        <v>1184</v>
      </c>
      <c r="E1860" s="33" t="n">
        <v>45692</v>
      </c>
      <c r="F1860" s="21" t="s">
        <v>1185</v>
      </c>
      <c r="G1860" s="32" t="n">
        <v>4.5</v>
      </c>
      <c r="H1860" s="21" t="s">
        <v>113</v>
      </c>
      <c r="I1860" s="33" t="n">
        <v>45713</v>
      </c>
      <c r="J1860" s="21" t="str">
        <f aca="false">INDEX(Students!$C$2:$C$601,MATCH(B1860,Students!$A$2:$A$601,0))</f>
        <v>Batch 2025</v>
      </c>
      <c r="K1860" s="21" t="str">
        <f aca="false">INDEX(Students!$D$2:$D$601,MATCH(B1860,Students!$A$2:$A$601,0))</f>
        <v>DSA with Java</v>
      </c>
      <c r="L1860" s="21" t="str">
        <f aca="false">INDEX(Companies!$C$2:$C$31,MATCH(C1860,Companies!$A$2:$A$31,0))</f>
        <v>IT Services</v>
      </c>
      <c r="M1860" s="21" t="str">
        <f aca="false">INDEX(Companies!$D$2:$D$31,MATCH(C1860,Companies!$A$2:$A$31,0))</f>
        <v>Tier 3</v>
      </c>
      <c r="N1860" s="34" t="n">
        <f aca="false">MATCH(F1860,Assumptions!$K$4:$K$8,0)</f>
        <v>5</v>
      </c>
      <c r="O1860" s="21" t="str">
        <f aca="false">IF(H1860="Yes",MONTH(I1860),"")</f>
        <v/>
      </c>
      <c r="P1860" s="21" t="str">
        <f aca="false">IF(H1860="Yes",B1860,"")</f>
        <v/>
      </c>
    </row>
    <row r="1861" customFormat="false" ht="15" hidden="false" customHeight="false" outlineLevel="0" collapsed="false">
      <c r="A1861" s="21" t="s">
        <v>3076</v>
      </c>
      <c r="B1861" s="21" t="s">
        <v>591</v>
      </c>
      <c r="C1861" s="21" t="s">
        <v>1275</v>
      </c>
      <c r="D1861" s="21" t="s">
        <v>1209</v>
      </c>
      <c r="E1861" s="33" t="n">
        <v>45692</v>
      </c>
      <c r="F1861" s="21" t="s">
        <v>1175</v>
      </c>
      <c r="G1861" s="32"/>
      <c r="H1861" s="21"/>
      <c r="I1861" s="33"/>
      <c r="J1861" s="21" t="str">
        <f aca="false">INDEX(Students!$C$2:$C$601,MATCH(B1861,Students!$A$2:$A$601,0))</f>
        <v>Batch 2025</v>
      </c>
      <c r="K1861" s="21" t="str">
        <f aca="false">INDEX(Students!$D$2:$D$601,MATCH(B1861,Students!$A$2:$A$601,0))</f>
        <v>Data Analytics</v>
      </c>
      <c r="L1861" s="21" t="str">
        <f aca="false">INDEX(Companies!$C$2:$C$31,MATCH(C1861,Companies!$A$2:$A$31,0))</f>
        <v>Cybersecurity</v>
      </c>
      <c r="M1861" s="21" t="str">
        <f aca="false">INDEX(Companies!$D$2:$D$31,MATCH(C1861,Companies!$A$2:$A$31,0))</f>
        <v>Tier 2</v>
      </c>
      <c r="N1861" s="34" t="n">
        <f aca="false">MATCH(F1861,Assumptions!$K$4:$K$8,0)</f>
        <v>1</v>
      </c>
      <c r="O1861" s="21" t="str">
        <f aca="false">IF(H1861="Yes",MONTH(I1861),"")</f>
        <v/>
      </c>
      <c r="P1861" s="21" t="str">
        <f aca="false">IF(H1861="Yes",B1861,"")</f>
        <v/>
      </c>
    </row>
    <row r="1862" customFormat="false" ht="15" hidden="false" customHeight="false" outlineLevel="0" collapsed="false">
      <c r="A1862" s="21" t="s">
        <v>3077</v>
      </c>
      <c r="B1862" s="21" t="s">
        <v>472</v>
      </c>
      <c r="C1862" s="21" t="s">
        <v>1266</v>
      </c>
      <c r="D1862" s="21" t="s">
        <v>1194</v>
      </c>
      <c r="E1862" s="33" t="n">
        <v>45692</v>
      </c>
      <c r="F1862" s="21" t="s">
        <v>1185</v>
      </c>
      <c r="G1862" s="32" t="n">
        <v>5.5</v>
      </c>
      <c r="H1862" s="21" t="s">
        <v>120</v>
      </c>
      <c r="I1862" s="33" t="n">
        <v>45734</v>
      </c>
      <c r="J1862" s="21" t="str">
        <f aca="false">INDEX(Students!$C$2:$C$601,MATCH(B1862,Students!$A$2:$A$601,0))</f>
        <v>Batch 2025</v>
      </c>
      <c r="K1862" s="21" t="str">
        <f aca="false">INDEX(Students!$D$2:$D$601,MATCH(B1862,Students!$A$2:$A$601,0))</f>
        <v>Data Science &amp; ML</v>
      </c>
      <c r="L1862" s="21" t="str">
        <f aca="false">INDEX(Companies!$C$2:$C$31,MATCH(C1862,Companies!$A$2:$A$31,0))</f>
        <v>IT Services</v>
      </c>
      <c r="M1862" s="21" t="str">
        <f aca="false">INDEX(Companies!$D$2:$D$31,MATCH(C1862,Companies!$A$2:$A$31,0))</f>
        <v>Tier 3</v>
      </c>
      <c r="N1862" s="34" t="n">
        <f aca="false">MATCH(F1862,Assumptions!$K$4:$K$8,0)</f>
        <v>5</v>
      </c>
      <c r="O1862" s="21" t="n">
        <f aca="false">IF(H1862="Yes",MONTH(I1862),"")</f>
        <v>3</v>
      </c>
      <c r="P1862" s="21" t="str">
        <f aca="false">IF(H1862="Yes",B1862,"")</f>
        <v>S0190</v>
      </c>
    </row>
    <row r="1863" customFormat="false" ht="15" hidden="false" customHeight="false" outlineLevel="0" collapsed="false">
      <c r="A1863" s="21" t="s">
        <v>3078</v>
      </c>
      <c r="B1863" s="21" t="s">
        <v>633</v>
      </c>
      <c r="C1863" s="21" t="s">
        <v>1263</v>
      </c>
      <c r="D1863" s="21" t="s">
        <v>1240</v>
      </c>
      <c r="E1863" s="33" t="n">
        <v>45692</v>
      </c>
      <c r="F1863" s="21" t="s">
        <v>1175</v>
      </c>
      <c r="G1863" s="32"/>
      <c r="H1863" s="21"/>
      <c r="I1863" s="33"/>
      <c r="J1863" s="21" t="str">
        <f aca="false">INDEX(Students!$C$2:$C$601,MATCH(B1863,Students!$A$2:$A$601,0))</f>
        <v>Batch 2025</v>
      </c>
      <c r="K1863" s="21" t="str">
        <f aca="false">INDEX(Students!$D$2:$D$601,MATCH(B1863,Students!$A$2:$A$601,0))</f>
        <v>Cybersecurity</v>
      </c>
      <c r="L1863" s="21" t="str">
        <f aca="false">INDEX(Companies!$C$2:$C$31,MATCH(C1863,Companies!$A$2:$A$31,0))</f>
        <v>Analytics &amp; Consulting</v>
      </c>
      <c r="M1863" s="21" t="str">
        <f aca="false">INDEX(Companies!$D$2:$D$31,MATCH(C1863,Companies!$A$2:$A$31,0))</f>
        <v>Tier 2</v>
      </c>
      <c r="N1863" s="34" t="n">
        <f aca="false">MATCH(F1863,Assumptions!$K$4:$K$8,0)</f>
        <v>1</v>
      </c>
      <c r="O1863" s="21" t="str">
        <f aca="false">IF(H1863="Yes",MONTH(I1863),"")</f>
        <v/>
      </c>
      <c r="P1863" s="21" t="str">
        <f aca="false">IF(H1863="Yes",B1863,"")</f>
        <v/>
      </c>
    </row>
    <row r="1864" customFormat="false" ht="15" hidden="false" customHeight="false" outlineLevel="0" collapsed="false">
      <c r="A1864" s="21" t="s">
        <v>3079</v>
      </c>
      <c r="B1864" s="21" t="s">
        <v>788</v>
      </c>
      <c r="C1864" s="21" t="s">
        <v>1201</v>
      </c>
      <c r="D1864" s="21" t="s">
        <v>1188</v>
      </c>
      <c r="E1864" s="33" t="n">
        <v>45692</v>
      </c>
      <c r="F1864" s="21" t="s">
        <v>1218</v>
      </c>
      <c r="G1864" s="32"/>
      <c r="H1864" s="21"/>
      <c r="I1864" s="33"/>
      <c r="J1864" s="21" t="str">
        <f aca="false">INDEX(Students!$C$2:$C$601,MATCH(B1864,Students!$A$2:$A$601,0))</f>
        <v>Batch 2025</v>
      </c>
      <c r="K1864" s="21" t="str">
        <f aca="false">INDEX(Students!$D$2:$D$601,MATCH(B1864,Students!$A$2:$A$601,0))</f>
        <v>Data Analytics</v>
      </c>
      <c r="L1864" s="21" t="str">
        <f aca="false">INDEX(Companies!$C$2:$C$31,MATCH(C1864,Companies!$A$2:$A$31,0))</f>
        <v>IT Services</v>
      </c>
      <c r="M1864" s="21" t="str">
        <f aca="false">INDEX(Companies!$D$2:$D$31,MATCH(C1864,Companies!$A$2:$A$31,0))</f>
        <v>Tier 3</v>
      </c>
      <c r="N1864" s="34" t="n">
        <f aca="false">MATCH(F1864,Assumptions!$K$4:$K$8,0)</f>
        <v>4</v>
      </c>
      <c r="O1864" s="21" t="str">
        <f aca="false">IF(H1864="Yes",MONTH(I1864),"")</f>
        <v/>
      </c>
      <c r="P1864" s="21" t="str">
        <f aca="false">IF(H1864="Yes",B1864,"")</f>
        <v/>
      </c>
    </row>
    <row r="1865" customFormat="false" ht="15" hidden="false" customHeight="false" outlineLevel="0" collapsed="false">
      <c r="A1865" s="21" t="s">
        <v>3080</v>
      </c>
      <c r="B1865" s="21" t="s">
        <v>790</v>
      </c>
      <c r="C1865" s="21" t="s">
        <v>1211</v>
      </c>
      <c r="D1865" s="21" t="s">
        <v>1194</v>
      </c>
      <c r="E1865" s="33" t="n">
        <v>45693</v>
      </c>
      <c r="F1865" s="21" t="s">
        <v>1185</v>
      </c>
      <c r="G1865" s="32" t="n">
        <v>5.5</v>
      </c>
      <c r="H1865" s="21" t="s">
        <v>113</v>
      </c>
      <c r="I1865" s="33" t="n">
        <v>45738</v>
      </c>
      <c r="J1865" s="21" t="str">
        <f aca="false">INDEX(Students!$C$2:$C$601,MATCH(B1865,Students!$A$2:$A$601,0))</f>
        <v>Batch 2025</v>
      </c>
      <c r="K1865" s="21" t="str">
        <f aca="false">INDEX(Students!$D$2:$D$601,MATCH(B1865,Students!$A$2:$A$601,0))</f>
        <v>Data Science &amp; ML</v>
      </c>
      <c r="L1865" s="21" t="str">
        <f aca="false">INDEX(Companies!$C$2:$C$31,MATCH(C1865,Companies!$A$2:$A$31,0))</f>
        <v>Analytics &amp; Consulting</v>
      </c>
      <c r="M1865" s="21" t="str">
        <f aca="false">INDEX(Companies!$D$2:$D$31,MATCH(C1865,Companies!$A$2:$A$31,0))</f>
        <v>Tier 3</v>
      </c>
      <c r="N1865" s="34" t="n">
        <f aca="false">MATCH(F1865,Assumptions!$K$4:$K$8,0)</f>
        <v>5</v>
      </c>
      <c r="O1865" s="21" t="str">
        <f aca="false">IF(H1865="Yes",MONTH(I1865),"")</f>
        <v/>
      </c>
      <c r="P1865" s="21" t="str">
        <f aca="false">IF(H1865="Yes",B1865,"")</f>
        <v/>
      </c>
    </row>
    <row r="1866" customFormat="false" ht="15" hidden="false" customHeight="false" outlineLevel="0" collapsed="false">
      <c r="A1866" s="21" t="s">
        <v>3081</v>
      </c>
      <c r="B1866" s="21" t="s">
        <v>712</v>
      </c>
      <c r="C1866" s="21" t="s">
        <v>1266</v>
      </c>
      <c r="D1866" s="21" t="s">
        <v>1184</v>
      </c>
      <c r="E1866" s="33" t="n">
        <v>45693</v>
      </c>
      <c r="F1866" s="21" t="s">
        <v>1175</v>
      </c>
      <c r="G1866" s="32"/>
      <c r="H1866" s="21"/>
      <c r="I1866" s="33"/>
      <c r="J1866" s="21" t="str">
        <f aca="false">INDEX(Students!$C$2:$C$601,MATCH(B1866,Students!$A$2:$A$601,0))</f>
        <v>Batch 2025</v>
      </c>
      <c r="K1866" s="21" t="str">
        <f aca="false">INDEX(Students!$D$2:$D$601,MATCH(B1866,Students!$A$2:$A$601,0))</f>
        <v>DSA with Java</v>
      </c>
      <c r="L1866" s="21" t="str">
        <f aca="false">INDEX(Companies!$C$2:$C$31,MATCH(C1866,Companies!$A$2:$A$31,0))</f>
        <v>IT Services</v>
      </c>
      <c r="M1866" s="21" t="str">
        <f aca="false">INDEX(Companies!$D$2:$D$31,MATCH(C1866,Companies!$A$2:$A$31,0))</f>
        <v>Tier 3</v>
      </c>
      <c r="N1866" s="34" t="n">
        <f aca="false">MATCH(F1866,Assumptions!$K$4:$K$8,0)</f>
        <v>1</v>
      </c>
      <c r="O1866" s="21" t="str">
        <f aca="false">IF(H1866="Yes",MONTH(I1866),"")</f>
        <v/>
      </c>
      <c r="P1866" s="21" t="str">
        <f aca="false">IF(H1866="Yes",B1866,"")</f>
        <v/>
      </c>
    </row>
    <row r="1867" customFormat="false" ht="15" hidden="false" customHeight="false" outlineLevel="0" collapsed="false">
      <c r="A1867" s="21" t="s">
        <v>3082</v>
      </c>
      <c r="B1867" s="21" t="s">
        <v>544</v>
      </c>
      <c r="C1867" s="21" t="s">
        <v>1290</v>
      </c>
      <c r="D1867" s="21" t="s">
        <v>1243</v>
      </c>
      <c r="E1867" s="33" t="n">
        <v>45693</v>
      </c>
      <c r="F1867" s="21" t="s">
        <v>1175</v>
      </c>
      <c r="G1867" s="32"/>
      <c r="H1867" s="21"/>
      <c r="I1867" s="33"/>
      <c r="J1867" s="21" t="str">
        <f aca="false">INDEX(Students!$C$2:$C$601,MATCH(B1867,Students!$A$2:$A$601,0))</f>
        <v>Batch 2025</v>
      </c>
      <c r="K1867" s="21" t="str">
        <f aca="false">INDEX(Students!$D$2:$D$601,MATCH(B1867,Students!$A$2:$A$601,0))</f>
        <v>Data Science &amp; ML</v>
      </c>
      <c r="L1867" s="21" t="str">
        <f aca="false">INDEX(Companies!$C$2:$C$31,MATCH(C1867,Companies!$A$2:$A$31,0))</f>
        <v>Fintech</v>
      </c>
      <c r="M1867" s="21" t="str">
        <f aca="false">INDEX(Companies!$D$2:$D$31,MATCH(C1867,Companies!$A$2:$A$31,0))</f>
        <v>Tier 2</v>
      </c>
      <c r="N1867" s="34" t="n">
        <f aca="false">MATCH(F1867,Assumptions!$K$4:$K$8,0)</f>
        <v>1</v>
      </c>
      <c r="O1867" s="21" t="str">
        <f aca="false">IF(H1867="Yes",MONTH(I1867),"")</f>
        <v/>
      </c>
      <c r="P1867" s="21" t="str">
        <f aca="false">IF(H1867="Yes",B1867,"")</f>
        <v/>
      </c>
    </row>
    <row r="1868" customFormat="false" ht="15" hidden="false" customHeight="false" outlineLevel="0" collapsed="false">
      <c r="A1868" s="21" t="s">
        <v>3083</v>
      </c>
      <c r="B1868" s="21" t="s">
        <v>571</v>
      </c>
      <c r="C1868" s="21" t="s">
        <v>1199</v>
      </c>
      <c r="D1868" s="21" t="s">
        <v>1191</v>
      </c>
      <c r="E1868" s="33" t="n">
        <v>45693</v>
      </c>
      <c r="F1868" s="21" t="s">
        <v>1197</v>
      </c>
      <c r="G1868" s="32"/>
      <c r="H1868" s="21"/>
      <c r="I1868" s="33"/>
      <c r="J1868" s="21" t="str">
        <f aca="false">INDEX(Students!$C$2:$C$601,MATCH(B1868,Students!$A$2:$A$601,0))</f>
        <v>Batch 2025</v>
      </c>
      <c r="K1868" s="21" t="str">
        <f aca="false">INDEX(Students!$D$2:$D$601,MATCH(B1868,Students!$A$2:$A$601,0))</f>
        <v>DSA with Java</v>
      </c>
      <c r="L1868" s="21" t="str">
        <f aca="false">INDEX(Companies!$C$2:$C$31,MATCH(C1868,Companies!$A$2:$A$31,0))</f>
        <v>E-commerce</v>
      </c>
      <c r="M1868" s="21" t="str">
        <f aca="false">INDEX(Companies!$D$2:$D$31,MATCH(C1868,Companies!$A$2:$A$31,0))</f>
        <v>Tier 2</v>
      </c>
      <c r="N1868" s="34" t="n">
        <f aca="false">MATCH(F1868,Assumptions!$K$4:$K$8,0)</f>
        <v>3</v>
      </c>
      <c r="O1868" s="21" t="str">
        <f aca="false">IF(H1868="Yes",MONTH(I1868),"")</f>
        <v/>
      </c>
      <c r="P1868" s="21" t="str">
        <f aca="false">IF(H1868="Yes",B1868,"")</f>
        <v/>
      </c>
    </row>
    <row r="1869" customFormat="false" ht="15" hidden="false" customHeight="false" outlineLevel="0" collapsed="false">
      <c r="A1869" s="21" t="s">
        <v>3084</v>
      </c>
      <c r="B1869" s="21" t="s">
        <v>559</v>
      </c>
      <c r="C1869" s="21" t="s">
        <v>1309</v>
      </c>
      <c r="D1869" s="21" t="s">
        <v>1194</v>
      </c>
      <c r="E1869" s="33" t="n">
        <v>45693</v>
      </c>
      <c r="F1869" s="21" t="s">
        <v>1178</v>
      </c>
      <c r="G1869" s="32"/>
      <c r="H1869" s="21"/>
      <c r="I1869" s="33"/>
      <c r="J1869" s="21" t="str">
        <f aca="false">INDEX(Students!$C$2:$C$601,MATCH(B1869,Students!$A$2:$A$601,0))</f>
        <v>Batch 2025</v>
      </c>
      <c r="K1869" s="21" t="str">
        <f aca="false">INDEX(Students!$D$2:$D$601,MATCH(B1869,Students!$A$2:$A$601,0))</f>
        <v>Data Science &amp; ML</v>
      </c>
      <c r="L1869" s="21" t="str">
        <f aca="false">INDEX(Companies!$C$2:$C$31,MATCH(C1869,Companies!$A$2:$A$31,0))</f>
        <v>EdTech</v>
      </c>
      <c r="M1869" s="21" t="str">
        <f aca="false">INDEX(Companies!$D$2:$D$31,MATCH(C1869,Companies!$A$2:$A$31,0))</f>
        <v>Tier 2</v>
      </c>
      <c r="N1869" s="34" t="n">
        <f aca="false">MATCH(F1869,Assumptions!$K$4:$K$8,0)</f>
        <v>2</v>
      </c>
      <c r="O1869" s="21" t="str">
        <f aca="false">IF(H1869="Yes",MONTH(I1869),"")</f>
        <v/>
      </c>
      <c r="P1869" s="21" t="str">
        <f aca="false">IF(H1869="Yes",B1869,"")</f>
        <v/>
      </c>
    </row>
    <row r="1870" customFormat="false" ht="15" hidden="false" customHeight="false" outlineLevel="0" collapsed="false">
      <c r="A1870" s="21" t="s">
        <v>3085</v>
      </c>
      <c r="B1870" s="21" t="s">
        <v>532</v>
      </c>
      <c r="C1870" s="21" t="s">
        <v>1187</v>
      </c>
      <c r="D1870" s="21" t="s">
        <v>1174</v>
      </c>
      <c r="E1870" s="33" t="n">
        <v>45693</v>
      </c>
      <c r="F1870" s="21" t="s">
        <v>1178</v>
      </c>
      <c r="G1870" s="32"/>
      <c r="H1870" s="21"/>
      <c r="I1870" s="33"/>
      <c r="J1870" s="21" t="str">
        <f aca="false">INDEX(Students!$C$2:$C$601,MATCH(B1870,Students!$A$2:$A$601,0))</f>
        <v>Batch 2025</v>
      </c>
      <c r="K1870" s="21" t="str">
        <f aca="false">INDEX(Students!$D$2:$D$601,MATCH(B1870,Students!$A$2:$A$601,0))</f>
        <v>Full Stack Development</v>
      </c>
      <c r="L1870" s="21" t="str">
        <f aca="false">INDEX(Companies!$C$2:$C$31,MATCH(C1870,Companies!$A$2:$A$31,0))</f>
        <v>Product</v>
      </c>
      <c r="M1870" s="21" t="str">
        <f aca="false">INDEX(Companies!$D$2:$D$31,MATCH(C1870,Companies!$A$2:$A$31,0))</f>
        <v>Tier 1</v>
      </c>
      <c r="N1870" s="34" t="n">
        <f aca="false">MATCH(F1870,Assumptions!$K$4:$K$8,0)</f>
        <v>2</v>
      </c>
      <c r="O1870" s="21" t="str">
        <f aca="false">IF(H1870="Yes",MONTH(I1870),"")</f>
        <v/>
      </c>
      <c r="P1870" s="21" t="str">
        <f aca="false">IF(H1870="Yes",B1870,"")</f>
        <v/>
      </c>
    </row>
    <row r="1871" customFormat="false" ht="15" hidden="false" customHeight="false" outlineLevel="0" collapsed="false">
      <c r="A1871" s="21" t="s">
        <v>3086</v>
      </c>
      <c r="B1871" s="21" t="s">
        <v>468</v>
      </c>
      <c r="C1871" s="21" t="s">
        <v>1309</v>
      </c>
      <c r="D1871" s="21" t="s">
        <v>1174</v>
      </c>
      <c r="E1871" s="33" t="n">
        <v>45694</v>
      </c>
      <c r="F1871" s="21" t="s">
        <v>1175</v>
      </c>
      <c r="G1871" s="32"/>
      <c r="H1871" s="21"/>
      <c r="I1871" s="33"/>
      <c r="J1871" s="21" t="str">
        <f aca="false">INDEX(Students!$C$2:$C$601,MATCH(B1871,Students!$A$2:$A$601,0))</f>
        <v>Batch 2025</v>
      </c>
      <c r="K1871" s="21" t="str">
        <f aca="false">INDEX(Students!$D$2:$D$601,MATCH(B1871,Students!$A$2:$A$601,0))</f>
        <v>Full Stack Development</v>
      </c>
      <c r="L1871" s="21" t="str">
        <f aca="false">INDEX(Companies!$C$2:$C$31,MATCH(C1871,Companies!$A$2:$A$31,0))</f>
        <v>EdTech</v>
      </c>
      <c r="M1871" s="21" t="str">
        <f aca="false">INDEX(Companies!$D$2:$D$31,MATCH(C1871,Companies!$A$2:$A$31,0))</f>
        <v>Tier 2</v>
      </c>
      <c r="N1871" s="34" t="n">
        <f aca="false">MATCH(F1871,Assumptions!$K$4:$K$8,0)</f>
        <v>1</v>
      </c>
      <c r="O1871" s="21" t="str">
        <f aca="false">IF(H1871="Yes",MONTH(I1871),"")</f>
        <v/>
      </c>
      <c r="P1871" s="21" t="str">
        <f aca="false">IF(H1871="Yes",B1871,"")</f>
        <v/>
      </c>
    </row>
    <row r="1872" customFormat="false" ht="15" hidden="false" customHeight="false" outlineLevel="0" collapsed="false">
      <c r="A1872" s="21" t="s">
        <v>3087</v>
      </c>
      <c r="B1872" s="21" t="s">
        <v>758</v>
      </c>
      <c r="C1872" s="21" t="s">
        <v>1234</v>
      </c>
      <c r="D1872" s="21" t="s">
        <v>1209</v>
      </c>
      <c r="E1872" s="33" t="n">
        <v>45694</v>
      </c>
      <c r="F1872" s="21" t="s">
        <v>1197</v>
      </c>
      <c r="G1872" s="32"/>
      <c r="H1872" s="21"/>
      <c r="I1872" s="33"/>
      <c r="J1872" s="21" t="str">
        <f aca="false">INDEX(Students!$C$2:$C$601,MATCH(B1872,Students!$A$2:$A$601,0))</f>
        <v>Batch 2025</v>
      </c>
      <c r="K1872" s="21" t="str">
        <f aca="false">INDEX(Students!$D$2:$D$601,MATCH(B1872,Students!$A$2:$A$601,0))</f>
        <v>Data Analytics</v>
      </c>
      <c r="L1872" s="21" t="str">
        <f aca="false">INDEX(Companies!$C$2:$C$31,MATCH(C1872,Companies!$A$2:$A$31,0))</f>
        <v>EdTech</v>
      </c>
      <c r="M1872" s="21" t="str">
        <f aca="false">INDEX(Companies!$D$2:$D$31,MATCH(C1872,Companies!$A$2:$A$31,0))</f>
        <v>Tier 3</v>
      </c>
      <c r="N1872" s="34" t="n">
        <f aca="false">MATCH(F1872,Assumptions!$K$4:$K$8,0)</f>
        <v>3</v>
      </c>
      <c r="O1872" s="21" t="str">
        <f aca="false">IF(H1872="Yes",MONTH(I1872),"")</f>
        <v/>
      </c>
      <c r="P1872" s="21" t="str">
        <f aca="false">IF(H1872="Yes",B1872,"")</f>
        <v/>
      </c>
    </row>
    <row r="1873" customFormat="false" ht="15" hidden="false" customHeight="false" outlineLevel="0" collapsed="false">
      <c r="A1873" s="21" t="s">
        <v>3088</v>
      </c>
      <c r="B1873" s="21" t="s">
        <v>769</v>
      </c>
      <c r="C1873" s="21" t="s">
        <v>1239</v>
      </c>
      <c r="D1873" s="21" t="s">
        <v>1209</v>
      </c>
      <c r="E1873" s="33" t="n">
        <v>45694</v>
      </c>
      <c r="F1873" s="21" t="s">
        <v>1175</v>
      </c>
      <c r="G1873" s="32"/>
      <c r="H1873" s="21"/>
      <c r="I1873" s="33"/>
      <c r="J1873" s="21" t="str">
        <f aca="false">INDEX(Students!$C$2:$C$601,MATCH(B1873,Students!$A$2:$A$601,0))</f>
        <v>Batch 2025</v>
      </c>
      <c r="K1873" s="21" t="str">
        <f aca="false">INDEX(Students!$D$2:$D$601,MATCH(B1873,Students!$A$2:$A$601,0))</f>
        <v>Data Analytics</v>
      </c>
      <c r="L1873" s="21" t="str">
        <f aca="false">INDEX(Companies!$C$2:$C$31,MATCH(C1873,Companies!$A$2:$A$31,0))</f>
        <v>E-commerce</v>
      </c>
      <c r="M1873" s="21" t="str">
        <f aca="false">INDEX(Companies!$D$2:$D$31,MATCH(C1873,Companies!$A$2:$A$31,0))</f>
        <v>Tier 3</v>
      </c>
      <c r="N1873" s="34" t="n">
        <f aca="false">MATCH(F1873,Assumptions!$K$4:$K$8,0)</f>
        <v>1</v>
      </c>
      <c r="O1873" s="21" t="str">
        <f aca="false">IF(H1873="Yes",MONTH(I1873),"")</f>
        <v/>
      </c>
      <c r="P1873" s="21" t="str">
        <f aca="false">IF(H1873="Yes",B1873,"")</f>
        <v/>
      </c>
    </row>
    <row r="1874" customFormat="false" ht="15" hidden="false" customHeight="false" outlineLevel="0" collapsed="false">
      <c r="A1874" s="21" t="s">
        <v>3089</v>
      </c>
      <c r="B1874" s="21" t="s">
        <v>775</v>
      </c>
      <c r="C1874" s="21" t="s">
        <v>1180</v>
      </c>
      <c r="D1874" s="21" t="s">
        <v>1243</v>
      </c>
      <c r="E1874" s="33" t="n">
        <v>45694</v>
      </c>
      <c r="F1874" s="21" t="s">
        <v>1185</v>
      </c>
      <c r="G1874" s="32" t="n">
        <v>5.3</v>
      </c>
      <c r="H1874" s="21" t="s">
        <v>120</v>
      </c>
      <c r="I1874" s="33" t="n">
        <v>45745</v>
      </c>
      <c r="J1874" s="21" t="str">
        <f aca="false">INDEX(Students!$C$2:$C$601,MATCH(B1874,Students!$A$2:$A$601,0))</f>
        <v>Batch 2025</v>
      </c>
      <c r="K1874" s="21" t="str">
        <f aca="false">INDEX(Students!$D$2:$D$601,MATCH(B1874,Students!$A$2:$A$601,0))</f>
        <v>Data Science &amp; ML</v>
      </c>
      <c r="L1874" s="21" t="str">
        <f aca="false">INDEX(Companies!$C$2:$C$31,MATCH(C1874,Companies!$A$2:$A$31,0))</f>
        <v>IT Services</v>
      </c>
      <c r="M1874" s="21" t="str">
        <f aca="false">INDEX(Companies!$D$2:$D$31,MATCH(C1874,Companies!$A$2:$A$31,0))</f>
        <v>Tier 3</v>
      </c>
      <c r="N1874" s="34" t="n">
        <f aca="false">MATCH(F1874,Assumptions!$K$4:$K$8,0)</f>
        <v>5</v>
      </c>
      <c r="O1874" s="21" t="n">
        <f aca="false">IF(H1874="Yes",MONTH(I1874),"")</f>
        <v>3</v>
      </c>
      <c r="P1874" s="21" t="str">
        <f aca="false">IF(H1874="Yes",B1874,"")</f>
        <v>S0362</v>
      </c>
    </row>
    <row r="1875" customFormat="false" ht="15" hidden="false" customHeight="false" outlineLevel="0" collapsed="false">
      <c r="A1875" s="21" t="s">
        <v>3090</v>
      </c>
      <c r="B1875" s="21" t="s">
        <v>482</v>
      </c>
      <c r="C1875" s="21" t="s">
        <v>1201</v>
      </c>
      <c r="D1875" s="21" t="s">
        <v>1209</v>
      </c>
      <c r="E1875" s="33" t="n">
        <v>45695</v>
      </c>
      <c r="F1875" s="21" t="s">
        <v>1218</v>
      </c>
      <c r="G1875" s="32"/>
      <c r="H1875" s="21"/>
      <c r="I1875" s="33"/>
      <c r="J1875" s="21" t="str">
        <f aca="false">INDEX(Students!$C$2:$C$601,MATCH(B1875,Students!$A$2:$A$601,0))</f>
        <v>Batch 2025</v>
      </c>
      <c r="K1875" s="21" t="str">
        <f aca="false">INDEX(Students!$D$2:$D$601,MATCH(B1875,Students!$A$2:$A$601,0))</f>
        <v>Data Analytics</v>
      </c>
      <c r="L1875" s="21" t="str">
        <f aca="false">INDEX(Companies!$C$2:$C$31,MATCH(C1875,Companies!$A$2:$A$31,0))</f>
        <v>IT Services</v>
      </c>
      <c r="M1875" s="21" t="str">
        <f aca="false">INDEX(Companies!$D$2:$D$31,MATCH(C1875,Companies!$A$2:$A$31,0))</f>
        <v>Tier 3</v>
      </c>
      <c r="N1875" s="34" t="n">
        <f aca="false">MATCH(F1875,Assumptions!$K$4:$K$8,0)</f>
        <v>4</v>
      </c>
      <c r="O1875" s="21" t="str">
        <f aca="false">IF(H1875="Yes",MONTH(I1875),"")</f>
        <v/>
      </c>
      <c r="P1875" s="21" t="str">
        <f aca="false">IF(H1875="Yes",B1875,"")</f>
        <v/>
      </c>
    </row>
    <row r="1876" customFormat="false" ht="15" hidden="false" customHeight="false" outlineLevel="0" collapsed="false">
      <c r="A1876" s="21" t="s">
        <v>3091</v>
      </c>
      <c r="B1876" s="21" t="s">
        <v>732</v>
      </c>
      <c r="C1876" s="21" t="s">
        <v>1183</v>
      </c>
      <c r="D1876" s="21" t="s">
        <v>1194</v>
      </c>
      <c r="E1876" s="33" t="n">
        <v>45695</v>
      </c>
      <c r="F1876" s="21" t="s">
        <v>1175</v>
      </c>
      <c r="G1876" s="32"/>
      <c r="H1876" s="21"/>
      <c r="I1876" s="33"/>
      <c r="J1876" s="21" t="str">
        <f aca="false">INDEX(Students!$C$2:$C$601,MATCH(B1876,Students!$A$2:$A$601,0))</f>
        <v>Batch 2025</v>
      </c>
      <c r="K1876" s="21" t="str">
        <f aca="false">INDEX(Students!$D$2:$D$601,MATCH(B1876,Students!$A$2:$A$601,0))</f>
        <v>Data Science &amp; ML</v>
      </c>
      <c r="L1876" s="21" t="str">
        <f aca="false">INDEX(Companies!$C$2:$C$31,MATCH(C1876,Companies!$A$2:$A$31,0))</f>
        <v>E-commerce</v>
      </c>
      <c r="M1876" s="21" t="str">
        <f aca="false">INDEX(Companies!$D$2:$D$31,MATCH(C1876,Companies!$A$2:$A$31,0))</f>
        <v>Tier 2</v>
      </c>
      <c r="N1876" s="34" t="n">
        <f aca="false">MATCH(F1876,Assumptions!$K$4:$K$8,0)</f>
        <v>1</v>
      </c>
      <c r="O1876" s="21" t="str">
        <f aca="false">IF(H1876="Yes",MONTH(I1876),"")</f>
        <v/>
      </c>
      <c r="P1876" s="21" t="str">
        <f aca="false">IF(H1876="Yes",B1876,"")</f>
        <v/>
      </c>
    </row>
    <row r="1877" customFormat="false" ht="15" hidden="false" customHeight="false" outlineLevel="0" collapsed="false">
      <c r="A1877" s="21" t="s">
        <v>3092</v>
      </c>
      <c r="B1877" s="21" t="s">
        <v>743</v>
      </c>
      <c r="C1877" s="21" t="s">
        <v>1193</v>
      </c>
      <c r="D1877" s="21" t="s">
        <v>1240</v>
      </c>
      <c r="E1877" s="33" t="n">
        <v>45695</v>
      </c>
      <c r="F1877" s="21" t="s">
        <v>1175</v>
      </c>
      <c r="G1877" s="32"/>
      <c r="H1877" s="21"/>
      <c r="I1877" s="33"/>
      <c r="J1877" s="21" t="str">
        <f aca="false">INDEX(Students!$C$2:$C$601,MATCH(B1877,Students!$A$2:$A$601,0))</f>
        <v>Batch 2025</v>
      </c>
      <c r="K1877" s="21" t="str">
        <f aca="false">INDEX(Students!$D$2:$D$601,MATCH(B1877,Students!$A$2:$A$601,0))</f>
        <v>Cybersecurity</v>
      </c>
      <c r="L1877" s="21" t="str">
        <f aca="false">INDEX(Companies!$C$2:$C$31,MATCH(C1877,Companies!$A$2:$A$31,0))</f>
        <v>Analytics &amp; Consulting</v>
      </c>
      <c r="M1877" s="21" t="str">
        <f aca="false">INDEX(Companies!$D$2:$D$31,MATCH(C1877,Companies!$A$2:$A$31,0))</f>
        <v>Tier 2</v>
      </c>
      <c r="N1877" s="34" t="n">
        <f aca="false">MATCH(F1877,Assumptions!$K$4:$K$8,0)</f>
        <v>1</v>
      </c>
      <c r="O1877" s="21" t="str">
        <f aca="false">IF(H1877="Yes",MONTH(I1877),"")</f>
        <v/>
      </c>
      <c r="P1877" s="21" t="str">
        <f aca="false">IF(H1877="Yes",B1877,"")</f>
        <v/>
      </c>
    </row>
    <row r="1878" customFormat="false" ht="15" hidden="false" customHeight="false" outlineLevel="0" collapsed="false">
      <c r="A1878" s="21" t="s">
        <v>3093</v>
      </c>
      <c r="B1878" s="21" t="s">
        <v>550</v>
      </c>
      <c r="C1878" s="21" t="s">
        <v>1266</v>
      </c>
      <c r="D1878" s="21" t="s">
        <v>1184</v>
      </c>
      <c r="E1878" s="33" t="n">
        <v>45695</v>
      </c>
      <c r="F1878" s="21" t="s">
        <v>1218</v>
      </c>
      <c r="G1878" s="32"/>
      <c r="H1878" s="21"/>
      <c r="I1878" s="33"/>
      <c r="J1878" s="21" t="str">
        <f aca="false">INDEX(Students!$C$2:$C$601,MATCH(B1878,Students!$A$2:$A$601,0))</f>
        <v>Batch 2025</v>
      </c>
      <c r="K1878" s="21" t="str">
        <f aca="false">INDEX(Students!$D$2:$D$601,MATCH(B1878,Students!$A$2:$A$601,0))</f>
        <v>DSA with Java</v>
      </c>
      <c r="L1878" s="21" t="str">
        <f aca="false">INDEX(Companies!$C$2:$C$31,MATCH(C1878,Companies!$A$2:$A$31,0))</f>
        <v>IT Services</v>
      </c>
      <c r="M1878" s="21" t="str">
        <f aca="false">INDEX(Companies!$D$2:$D$31,MATCH(C1878,Companies!$A$2:$A$31,0))</f>
        <v>Tier 3</v>
      </c>
      <c r="N1878" s="34" t="n">
        <f aca="false">MATCH(F1878,Assumptions!$K$4:$K$8,0)</f>
        <v>4</v>
      </c>
      <c r="O1878" s="21" t="str">
        <f aca="false">IF(H1878="Yes",MONTH(I1878),"")</f>
        <v/>
      </c>
      <c r="P1878" s="21" t="str">
        <f aca="false">IF(H1878="Yes",B1878,"")</f>
        <v/>
      </c>
    </row>
    <row r="1879" customFormat="false" ht="15" hidden="false" customHeight="false" outlineLevel="0" collapsed="false">
      <c r="A1879" s="21" t="s">
        <v>3094</v>
      </c>
      <c r="B1879" s="21" t="s">
        <v>550</v>
      </c>
      <c r="C1879" s="21" t="s">
        <v>1208</v>
      </c>
      <c r="D1879" s="21" t="s">
        <v>1184</v>
      </c>
      <c r="E1879" s="33" t="n">
        <v>45695</v>
      </c>
      <c r="F1879" s="21" t="s">
        <v>1178</v>
      </c>
      <c r="G1879" s="32"/>
      <c r="H1879" s="21"/>
      <c r="I1879" s="33"/>
      <c r="J1879" s="21" t="str">
        <f aca="false">INDEX(Students!$C$2:$C$601,MATCH(B1879,Students!$A$2:$A$601,0))</f>
        <v>Batch 2025</v>
      </c>
      <c r="K1879" s="21" t="str">
        <f aca="false">INDEX(Students!$D$2:$D$601,MATCH(B1879,Students!$A$2:$A$601,0))</f>
        <v>DSA with Java</v>
      </c>
      <c r="L1879" s="21" t="str">
        <f aca="false">INDEX(Companies!$C$2:$C$31,MATCH(C1879,Companies!$A$2:$A$31,0))</f>
        <v>E-commerce</v>
      </c>
      <c r="M1879" s="21" t="str">
        <f aca="false">INDEX(Companies!$D$2:$D$31,MATCH(C1879,Companies!$A$2:$A$31,0))</f>
        <v>Tier 1</v>
      </c>
      <c r="N1879" s="34" t="n">
        <f aca="false">MATCH(F1879,Assumptions!$K$4:$K$8,0)</f>
        <v>2</v>
      </c>
      <c r="O1879" s="21" t="str">
        <f aca="false">IF(H1879="Yes",MONTH(I1879),"")</f>
        <v/>
      </c>
      <c r="P1879" s="21" t="str">
        <f aca="false">IF(H1879="Yes",B1879,"")</f>
        <v/>
      </c>
    </row>
    <row r="1880" customFormat="false" ht="15" hidden="false" customHeight="false" outlineLevel="0" collapsed="false">
      <c r="A1880" s="21" t="s">
        <v>3095</v>
      </c>
      <c r="B1880" s="21" t="s">
        <v>783</v>
      </c>
      <c r="C1880" s="21" t="s">
        <v>1216</v>
      </c>
      <c r="D1880" s="21" t="s">
        <v>1174</v>
      </c>
      <c r="E1880" s="33" t="n">
        <v>45695</v>
      </c>
      <c r="F1880" s="21" t="s">
        <v>1178</v>
      </c>
      <c r="G1880" s="32"/>
      <c r="H1880" s="21"/>
      <c r="I1880" s="33"/>
      <c r="J1880" s="21" t="str">
        <f aca="false">INDEX(Students!$C$2:$C$601,MATCH(B1880,Students!$A$2:$A$601,0))</f>
        <v>Batch 2025</v>
      </c>
      <c r="K1880" s="21" t="str">
        <f aca="false">INDEX(Students!$D$2:$D$601,MATCH(B1880,Students!$A$2:$A$601,0))</f>
        <v>Full Stack Development</v>
      </c>
      <c r="L1880" s="21" t="str">
        <f aca="false">INDEX(Companies!$C$2:$C$31,MATCH(C1880,Companies!$A$2:$A$31,0))</f>
        <v>IT Services</v>
      </c>
      <c r="M1880" s="21" t="str">
        <f aca="false">INDEX(Companies!$D$2:$D$31,MATCH(C1880,Companies!$A$2:$A$31,0))</f>
        <v>Tier 3</v>
      </c>
      <c r="N1880" s="34" t="n">
        <f aca="false">MATCH(F1880,Assumptions!$K$4:$K$8,0)</f>
        <v>2</v>
      </c>
      <c r="O1880" s="21" t="str">
        <f aca="false">IF(H1880="Yes",MONTH(I1880),"")</f>
        <v/>
      </c>
      <c r="P1880" s="21" t="str">
        <f aca="false">IF(H1880="Yes",B1880,"")</f>
        <v/>
      </c>
    </row>
    <row r="1881" customFormat="false" ht="15" hidden="false" customHeight="false" outlineLevel="0" collapsed="false">
      <c r="A1881" s="21" t="s">
        <v>3096</v>
      </c>
      <c r="B1881" s="21" t="s">
        <v>679</v>
      </c>
      <c r="C1881" s="21" t="s">
        <v>1290</v>
      </c>
      <c r="D1881" s="21" t="s">
        <v>1194</v>
      </c>
      <c r="E1881" s="33" t="n">
        <v>45695</v>
      </c>
      <c r="F1881" s="21" t="s">
        <v>1185</v>
      </c>
      <c r="G1881" s="32" t="n">
        <v>12.8</v>
      </c>
      <c r="H1881" s="21" t="s">
        <v>120</v>
      </c>
      <c r="I1881" s="33" t="n">
        <v>45743</v>
      </c>
      <c r="J1881" s="21" t="str">
        <f aca="false">INDEX(Students!$C$2:$C$601,MATCH(B1881,Students!$A$2:$A$601,0))</f>
        <v>Batch 2025</v>
      </c>
      <c r="K1881" s="21" t="str">
        <f aca="false">INDEX(Students!$D$2:$D$601,MATCH(B1881,Students!$A$2:$A$601,0))</f>
        <v>Data Science &amp; ML</v>
      </c>
      <c r="L1881" s="21" t="str">
        <f aca="false">INDEX(Companies!$C$2:$C$31,MATCH(C1881,Companies!$A$2:$A$31,0))</f>
        <v>Fintech</v>
      </c>
      <c r="M1881" s="21" t="str">
        <f aca="false">INDEX(Companies!$D$2:$D$31,MATCH(C1881,Companies!$A$2:$A$31,0))</f>
        <v>Tier 2</v>
      </c>
      <c r="N1881" s="34" t="n">
        <f aca="false">MATCH(F1881,Assumptions!$K$4:$K$8,0)</f>
        <v>5</v>
      </c>
      <c r="O1881" s="21" t="n">
        <f aca="false">IF(H1881="Yes",MONTH(I1881),"")</f>
        <v>3</v>
      </c>
      <c r="P1881" s="21" t="str">
        <f aca="false">IF(H1881="Yes",B1881,"")</f>
        <v>S0306</v>
      </c>
    </row>
    <row r="1882" customFormat="false" ht="15" hidden="false" customHeight="false" outlineLevel="0" collapsed="false">
      <c r="A1882" s="21" t="s">
        <v>3097</v>
      </c>
      <c r="B1882" s="21" t="s">
        <v>637</v>
      </c>
      <c r="C1882" s="21" t="s">
        <v>1290</v>
      </c>
      <c r="D1882" s="21" t="s">
        <v>1209</v>
      </c>
      <c r="E1882" s="33" t="n">
        <v>45695</v>
      </c>
      <c r="F1882" s="21" t="s">
        <v>1175</v>
      </c>
      <c r="G1882" s="32"/>
      <c r="H1882" s="21"/>
      <c r="I1882" s="33"/>
      <c r="J1882" s="21" t="str">
        <f aca="false">INDEX(Students!$C$2:$C$601,MATCH(B1882,Students!$A$2:$A$601,0))</f>
        <v>Batch 2025</v>
      </c>
      <c r="K1882" s="21" t="str">
        <f aca="false">INDEX(Students!$D$2:$D$601,MATCH(B1882,Students!$A$2:$A$601,0))</f>
        <v>Data Analytics</v>
      </c>
      <c r="L1882" s="21" t="str">
        <f aca="false">INDEX(Companies!$C$2:$C$31,MATCH(C1882,Companies!$A$2:$A$31,0))</f>
        <v>Fintech</v>
      </c>
      <c r="M1882" s="21" t="str">
        <f aca="false">INDEX(Companies!$D$2:$D$31,MATCH(C1882,Companies!$A$2:$A$31,0))</f>
        <v>Tier 2</v>
      </c>
      <c r="N1882" s="34" t="n">
        <f aca="false">MATCH(F1882,Assumptions!$K$4:$K$8,0)</f>
        <v>1</v>
      </c>
      <c r="O1882" s="21" t="str">
        <f aca="false">IF(H1882="Yes",MONTH(I1882),"")</f>
        <v/>
      </c>
      <c r="P1882" s="21" t="str">
        <f aca="false">IF(H1882="Yes",B1882,"")</f>
        <v/>
      </c>
    </row>
    <row r="1883" customFormat="false" ht="15" hidden="false" customHeight="false" outlineLevel="0" collapsed="false">
      <c r="A1883" s="21" t="s">
        <v>3098</v>
      </c>
      <c r="B1883" s="21" t="s">
        <v>785</v>
      </c>
      <c r="C1883" s="21" t="s">
        <v>1193</v>
      </c>
      <c r="D1883" s="21" t="s">
        <v>1184</v>
      </c>
      <c r="E1883" s="33" t="n">
        <v>45695</v>
      </c>
      <c r="F1883" s="21" t="s">
        <v>1178</v>
      </c>
      <c r="G1883" s="32"/>
      <c r="H1883" s="21"/>
      <c r="I1883" s="33"/>
      <c r="J1883" s="21" t="str">
        <f aca="false">INDEX(Students!$C$2:$C$601,MATCH(B1883,Students!$A$2:$A$601,0))</f>
        <v>Batch 2025</v>
      </c>
      <c r="K1883" s="21" t="str">
        <f aca="false">INDEX(Students!$D$2:$D$601,MATCH(B1883,Students!$A$2:$A$601,0))</f>
        <v>DSA with Java</v>
      </c>
      <c r="L1883" s="21" t="str">
        <f aca="false">INDEX(Companies!$C$2:$C$31,MATCH(C1883,Companies!$A$2:$A$31,0))</f>
        <v>Analytics &amp; Consulting</v>
      </c>
      <c r="M1883" s="21" t="str">
        <f aca="false">INDEX(Companies!$D$2:$D$31,MATCH(C1883,Companies!$A$2:$A$31,0))</f>
        <v>Tier 2</v>
      </c>
      <c r="N1883" s="34" t="n">
        <f aca="false">MATCH(F1883,Assumptions!$K$4:$K$8,0)</f>
        <v>2</v>
      </c>
      <c r="O1883" s="21" t="str">
        <f aca="false">IF(H1883="Yes",MONTH(I1883),"")</f>
        <v/>
      </c>
      <c r="P1883" s="21" t="str">
        <f aca="false">IF(H1883="Yes",B1883,"")</f>
        <v/>
      </c>
    </row>
    <row r="1884" customFormat="false" ht="15" hidden="false" customHeight="false" outlineLevel="0" collapsed="false">
      <c r="A1884" s="21" t="s">
        <v>3099</v>
      </c>
      <c r="B1884" s="21" t="s">
        <v>674</v>
      </c>
      <c r="C1884" s="21" t="s">
        <v>1275</v>
      </c>
      <c r="D1884" s="21" t="s">
        <v>1181</v>
      </c>
      <c r="E1884" s="33" t="n">
        <v>45695</v>
      </c>
      <c r="F1884" s="21" t="s">
        <v>1175</v>
      </c>
      <c r="G1884" s="32"/>
      <c r="H1884" s="21"/>
      <c r="I1884" s="33"/>
      <c r="J1884" s="21" t="str">
        <f aca="false">INDEX(Students!$C$2:$C$601,MATCH(B1884,Students!$A$2:$A$601,0))</f>
        <v>Batch 2025</v>
      </c>
      <c r="K1884" s="21" t="str">
        <f aca="false">INDEX(Students!$D$2:$D$601,MATCH(B1884,Students!$A$2:$A$601,0))</f>
        <v>Full Stack Development</v>
      </c>
      <c r="L1884" s="21" t="str">
        <f aca="false">INDEX(Companies!$C$2:$C$31,MATCH(C1884,Companies!$A$2:$A$31,0))</f>
        <v>Cybersecurity</v>
      </c>
      <c r="M1884" s="21" t="str">
        <f aca="false">INDEX(Companies!$D$2:$D$31,MATCH(C1884,Companies!$A$2:$A$31,0))</f>
        <v>Tier 2</v>
      </c>
      <c r="N1884" s="34" t="n">
        <f aca="false">MATCH(F1884,Assumptions!$K$4:$K$8,0)</f>
        <v>1</v>
      </c>
      <c r="O1884" s="21" t="str">
        <f aca="false">IF(H1884="Yes",MONTH(I1884),"")</f>
        <v/>
      </c>
      <c r="P1884" s="21" t="str">
        <f aca="false">IF(H1884="Yes",B1884,"")</f>
        <v/>
      </c>
    </row>
    <row r="1885" customFormat="false" ht="15" hidden="false" customHeight="false" outlineLevel="0" collapsed="false">
      <c r="A1885" s="21" t="s">
        <v>3100</v>
      </c>
      <c r="B1885" s="21" t="s">
        <v>495</v>
      </c>
      <c r="C1885" s="21" t="s">
        <v>1234</v>
      </c>
      <c r="D1885" s="21" t="s">
        <v>1243</v>
      </c>
      <c r="E1885" s="33" t="n">
        <v>45696</v>
      </c>
      <c r="F1885" s="21" t="s">
        <v>1218</v>
      </c>
      <c r="G1885" s="32"/>
      <c r="H1885" s="21"/>
      <c r="I1885" s="33"/>
      <c r="J1885" s="21" t="str">
        <f aca="false">INDEX(Students!$C$2:$C$601,MATCH(B1885,Students!$A$2:$A$601,0))</f>
        <v>Batch 2025</v>
      </c>
      <c r="K1885" s="21" t="str">
        <f aca="false">INDEX(Students!$D$2:$D$601,MATCH(B1885,Students!$A$2:$A$601,0))</f>
        <v>Data Science &amp; ML</v>
      </c>
      <c r="L1885" s="21" t="str">
        <f aca="false">INDEX(Companies!$C$2:$C$31,MATCH(C1885,Companies!$A$2:$A$31,0))</f>
        <v>EdTech</v>
      </c>
      <c r="M1885" s="21" t="str">
        <f aca="false">INDEX(Companies!$D$2:$D$31,MATCH(C1885,Companies!$A$2:$A$31,0))</f>
        <v>Tier 3</v>
      </c>
      <c r="N1885" s="34" t="n">
        <f aca="false">MATCH(F1885,Assumptions!$K$4:$K$8,0)</f>
        <v>4</v>
      </c>
      <c r="O1885" s="21" t="str">
        <f aca="false">IF(H1885="Yes",MONTH(I1885),"")</f>
        <v/>
      </c>
      <c r="P1885" s="21" t="str">
        <f aca="false">IF(H1885="Yes",B1885,"")</f>
        <v/>
      </c>
    </row>
    <row r="1886" customFormat="false" ht="15" hidden="false" customHeight="false" outlineLevel="0" collapsed="false">
      <c r="A1886" s="21" t="s">
        <v>3101</v>
      </c>
      <c r="B1886" s="21" t="s">
        <v>501</v>
      </c>
      <c r="C1886" s="21" t="s">
        <v>1196</v>
      </c>
      <c r="D1886" s="21" t="s">
        <v>1191</v>
      </c>
      <c r="E1886" s="33" t="n">
        <v>45696</v>
      </c>
      <c r="F1886" s="21" t="s">
        <v>1197</v>
      </c>
      <c r="G1886" s="32"/>
      <c r="H1886" s="21"/>
      <c r="I1886" s="33"/>
      <c r="J1886" s="21" t="str">
        <f aca="false">INDEX(Students!$C$2:$C$601,MATCH(B1886,Students!$A$2:$A$601,0))</f>
        <v>Batch 2025</v>
      </c>
      <c r="K1886" s="21" t="str">
        <f aca="false">INDEX(Students!$D$2:$D$601,MATCH(B1886,Students!$A$2:$A$601,0))</f>
        <v>DSA with Java</v>
      </c>
      <c r="L1886" s="21" t="str">
        <f aca="false">INDEX(Companies!$C$2:$C$31,MATCH(C1886,Companies!$A$2:$A$31,0))</f>
        <v>IT Services</v>
      </c>
      <c r="M1886" s="21" t="str">
        <f aca="false">INDEX(Companies!$D$2:$D$31,MATCH(C1886,Companies!$A$2:$A$31,0))</f>
        <v>Tier 3</v>
      </c>
      <c r="N1886" s="34" t="n">
        <f aca="false">MATCH(F1886,Assumptions!$K$4:$K$8,0)</f>
        <v>3</v>
      </c>
      <c r="O1886" s="21" t="str">
        <f aca="false">IF(H1886="Yes",MONTH(I1886),"")</f>
        <v/>
      </c>
      <c r="P1886" s="21" t="str">
        <f aca="false">IF(H1886="Yes",B1886,"")</f>
        <v/>
      </c>
    </row>
    <row r="1887" customFormat="false" ht="15" hidden="false" customHeight="false" outlineLevel="0" collapsed="false">
      <c r="A1887" s="21" t="s">
        <v>3102</v>
      </c>
      <c r="B1887" s="21" t="s">
        <v>772</v>
      </c>
      <c r="C1887" s="21" t="s">
        <v>1234</v>
      </c>
      <c r="D1887" s="21" t="s">
        <v>1194</v>
      </c>
      <c r="E1887" s="33" t="n">
        <v>45697</v>
      </c>
      <c r="F1887" s="21" t="s">
        <v>1185</v>
      </c>
      <c r="G1887" s="32" t="n">
        <v>7.7</v>
      </c>
      <c r="H1887" s="21" t="s">
        <v>113</v>
      </c>
      <c r="I1887" s="33" t="n">
        <v>45740</v>
      </c>
      <c r="J1887" s="21" t="str">
        <f aca="false">INDEX(Students!$C$2:$C$601,MATCH(B1887,Students!$A$2:$A$601,0))</f>
        <v>Batch 2025</v>
      </c>
      <c r="K1887" s="21" t="str">
        <f aca="false">INDEX(Students!$D$2:$D$601,MATCH(B1887,Students!$A$2:$A$601,0))</f>
        <v>Data Science &amp; ML</v>
      </c>
      <c r="L1887" s="21" t="str">
        <f aca="false">INDEX(Companies!$C$2:$C$31,MATCH(C1887,Companies!$A$2:$A$31,0))</f>
        <v>EdTech</v>
      </c>
      <c r="M1887" s="21" t="str">
        <f aca="false">INDEX(Companies!$D$2:$D$31,MATCH(C1887,Companies!$A$2:$A$31,0))</f>
        <v>Tier 3</v>
      </c>
      <c r="N1887" s="34" t="n">
        <f aca="false">MATCH(F1887,Assumptions!$K$4:$K$8,0)</f>
        <v>5</v>
      </c>
      <c r="O1887" s="21" t="str">
        <f aca="false">IF(H1887="Yes",MONTH(I1887),"")</f>
        <v/>
      </c>
      <c r="P1887" s="21" t="str">
        <f aca="false">IF(H1887="Yes",B1887,"")</f>
        <v/>
      </c>
    </row>
    <row r="1888" customFormat="false" ht="15" hidden="false" customHeight="false" outlineLevel="0" collapsed="false">
      <c r="A1888" s="21" t="s">
        <v>3103</v>
      </c>
      <c r="B1888" s="21" t="s">
        <v>497</v>
      </c>
      <c r="C1888" s="21" t="s">
        <v>1230</v>
      </c>
      <c r="D1888" s="21" t="s">
        <v>1209</v>
      </c>
      <c r="E1888" s="33" t="n">
        <v>45697</v>
      </c>
      <c r="F1888" s="21" t="s">
        <v>1175</v>
      </c>
      <c r="G1888" s="32"/>
      <c r="H1888" s="21"/>
      <c r="I1888" s="33"/>
      <c r="J1888" s="21" t="str">
        <f aca="false">INDEX(Students!$C$2:$C$601,MATCH(B1888,Students!$A$2:$A$601,0))</f>
        <v>Batch 2025</v>
      </c>
      <c r="K1888" s="21" t="str">
        <f aca="false">INDEX(Students!$D$2:$D$601,MATCH(B1888,Students!$A$2:$A$601,0))</f>
        <v>Data Analytics</v>
      </c>
      <c r="L1888" s="21" t="str">
        <f aca="false">INDEX(Companies!$C$2:$C$31,MATCH(C1888,Companies!$A$2:$A$31,0))</f>
        <v>IT Services</v>
      </c>
      <c r="M1888" s="21" t="str">
        <f aca="false">INDEX(Companies!$D$2:$D$31,MATCH(C1888,Companies!$A$2:$A$31,0))</f>
        <v>Tier 3</v>
      </c>
      <c r="N1888" s="34" t="n">
        <f aca="false">MATCH(F1888,Assumptions!$K$4:$K$8,0)</f>
        <v>1</v>
      </c>
      <c r="O1888" s="21" t="str">
        <f aca="false">IF(H1888="Yes",MONTH(I1888),"")</f>
        <v/>
      </c>
      <c r="P1888" s="21" t="str">
        <f aca="false">IF(H1888="Yes",B1888,"")</f>
        <v/>
      </c>
    </row>
    <row r="1889" customFormat="false" ht="15" hidden="false" customHeight="false" outlineLevel="0" collapsed="false">
      <c r="A1889" s="21" t="s">
        <v>3104</v>
      </c>
      <c r="B1889" s="21" t="s">
        <v>795</v>
      </c>
      <c r="C1889" s="21" t="s">
        <v>1196</v>
      </c>
      <c r="D1889" s="21" t="s">
        <v>1181</v>
      </c>
      <c r="E1889" s="33" t="n">
        <v>45697</v>
      </c>
      <c r="F1889" s="21" t="s">
        <v>1197</v>
      </c>
      <c r="G1889" s="32"/>
      <c r="H1889" s="21"/>
      <c r="I1889" s="33"/>
      <c r="J1889" s="21" t="str">
        <f aca="false">INDEX(Students!$C$2:$C$601,MATCH(B1889,Students!$A$2:$A$601,0))</f>
        <v>Batch 2025</v>
      </c>
      <c r="K1889" s="21" t="str">
        <f aca="false">INDEX(Students!$D$2:$D$601,MATCH(B1889,Students!$A$2:$A$601,0))</f>
        <v>Full Stack Development</v>
      </c>
      <c r="L1889" s="21" t="str">
        <f aca="false">INDEX(Companies!$C$2:$C$31,MATCH(C1889,Companies!$A$2:$A$31,0))</f>
        <v>IT Services</v>
      </c>
      <c r="M1889" s="21" t="str">
        <f aca="false">INDEX(Companies!$D$2:$D$31,MATCH(C1889,Companies!$A$2:$A$31,0))</f>
        <v>Tier 3</v>
      </c>
      <c r="N1889" s="34" t="n">
        <f aca="false">MATCH(F1889,Assumptions!$K$4:$K$8,0)</f>
        <v>3</v>
      </c>
      <c r="O1889" s="21" t="str">
        <f aca="false">IF(H1889="Yes",MONTH(I1889),"")</f>
        <v/>
      </c>
      <c r="P1889" s="21" t="str">
        <f aca="false">IF(H1889="Yes",B1889,"")</f>
        <v/>
      </c>
    </row>
    <row r="1890" customFormat="false" ht="15" hidden="false" customHeight="false" outlineLevel="0" collapsed="false">
      <c r="A1890" s="21" t="s">
        <v>3105</v>
      </c>
      <c r="B1890" s="21" t="s">
        <v>760</v>
      </c>
      <c r="C1890" s="21" t="s">
        <v>1230</v>
      </c>
      <c r="D1890" s="21" t="s">
        <v>1174</v>
      </c>
      <c r="E1890" s="33" t="n">
        <v>45698</v>
      </c>
      <c r="F1890" s="21" t="s">
        <v>1178</v>
      </c>
      <c r="G1890" s="32"/>
      <c r="H1890" s="21"/>
      <c r="I1890" s="33"/>
      <c r="J1890" s="21" t="str">
        <f aca="false">INDEX(Students!$C$2:$C$601,MATCH(B1890,Students!$A$2:$A$601,0))</f>
        <v>Batch 2025</v>
      </c>
      <c r="K1890" s="21" t="str">
        <f aca="false">INDEX(Students!$D$2:$D$601,MATCH(B1890,Students!$A$2:$A$601,0))</f>
        <v>Full Stack Development</v>
      </c>
      <c r="L1890" s="21" t="str">
        <f aca="false">INDEX(Companies!$C$2:$C$31,MATCH(C1890,Companies!$A$2:$A$31,0))</f>
        <v>IT Services</v>
      </c>
      <c r="M1890" s="21" t="str">
        <f aca="false">INDEX(Companies!$D$2:$D$31,MATCH(C1890,Companies!$A$2:$A$31,0))</f>
        <v>Tier 3</v>
      </c>
      <c r="N1890" s="34" t="n">
        <f aca="false">MATCH(F1890,Assumptions!$K$4:$K$8,0)</f>
        <v>2</v>
      </c>
      <c r="O1890" s="21" t="str">
        <f aca="false">IF(H1890="Yes",MONTH(I1890),"")</f>
        <v/>
      </c>
      <c r="P1890" s="21" t="str">
        <f aca="false">IF(H1890="Yes",B1890,"")</f>
        <v/>
      </c>
    </row>
    <row r="1891" customFormat="false" ht="15" hidden="false" customHeight="false" outlineLevel="0" collapsed="false">
      <c r="A1891" s="21" t="s">
        <v>3106</v>
      </c>
      <c r="B1891" s="21" t="s">
        <v>712</v>
      </c>
      <c r="C1891" s="21" t="s">
        <v>1228</v>
      </c>
      <c r="D1891" s="21" t="s">
        <v>1184</v>
      </c>
      <c r="E1891" s="33" t="n">
        <v>45698</v>
      </c>
      <c r="F1891" s="21" t="s">
        <v>1218</v>
      </c>
      <c r="G1891" s="32"/>
      <c r="H1891" s="21"/>
      <c r="I1891" s="33"/>
      <c r="J1891" s="21" t="str">
        <f aca="false">INDEX(Students!$C$2:$C$601,MATCH(B1891,Students!$A$2:$A$601,0))</f>
        <v>Batch 2025</v>
      </c>
      <c r="K1891" s="21" t="str">
        <f aca="false">INDEX(Students!$D$2:$D$601,MATCH(B1891,Students!$A$2:$A$601,0))</f>
        <v>DSA with Java</v>
      </c>
      <c r="L1891" s="21" t="str">
        <f aca="false">INDEX(Companies!$C$2:$C$31,MATCH(C1891,Companies!$A$2:$A$31,0))</f>
        <v>Fintech</v>
      </c>
      <c r="M1891" s="21" t="str">
        <f aca="false">INDEX(Companies!$D$2:$D$31,MATCH(C1891,Companies!$A$2:$A$31,0))</f>
        <v>Tier 1</v>
      </c>
      <c r="N1891" s="34" t="n">
        <f aca="false">MATCH(F1891,Assumptions!$K$4:$K$8,0)</f>
        <v>4</v>
      </c>
      <c r="O1891" s="21" t="str">
        <f aca="false">IF(H1891="Yes",MONTH(I1891),"")</f>
        <v/>
      </c>
      <c r="P1891" s="21" t="str">
        <f aca="false">IF(H1891="Yes",B1891,"")</f>
        <v/>
      </c>
    </row>
    <row r="1892" customFormat="false" ht="15" hidden="false" customHeight="false" outlineLevel="0" collapsed="false">
      <c r="A1892" s="21" t="s">
        <v>3107</v>
      </c>
      <c r="B1892" s="21" t="s">
        <v>484</v>
      </c>
      <c r="C1892" s="21" t="s">
        <v>1193</v>
      </c>
      <c r="D1892" s="21" t="s">
        <v>1191</v>
      </c>
      <c r="E1892" s="33" t="n">
        <v>45699</v>
      </c>
      <c r="F1892" s="21" t="s">
        <v>1178</v>
      </c>
      <c r="G1892" s="32"/>
      <c r="H1892" s="21"/>
      <c r="I1892" s="33"/>
      <c r="J1892" s="21" t="str">
        <f aca="false">INDEX(Students!$C$2:$C$601,MATCH(B1892,Students!$A$2:$A$601,0))</f>
        <v>Batch 2025</v>
      </c>
      <c r="K1892" s="21" t="str">
        <f aca="false">INDEX(Students!$D$2:$D$601,MATCH(B1892,Students!$A$2:$A$601,0))</f>
        <v>DSA with Java</v>
      </c>
      <c r="L1892" s="21" t="str">
        <f aca="false">INDEX(Companies!$C$2:$C$31,MATCH(C1892,Companies!$A$2:$A$31,0))</f>
        <v>Analytics &amp; Consulting</v>
      </c>
      <c r="M1892" s="21" t="str">
        <f aca="false">INDEX(Companies!$D$2:$D$31,MATCH(C1892,Companies!$A$2:$A$31,0))</f>
        <v>Tier 2</v>
      </c>
      <c r="N1892" s="34" t="n">
        <f aca="false">MATCH(F1892,Assumptions!$K$4:$K$8,0)</f>
        <v>2</v>
      </c>
      <c r="O1892" s="21" t="str">
        <f aca="false">IF(H1892="Yes",MONTH(I1892),"")</f>
        <v/>
      </c>
      <c r="P1892" s="21" t="str">
        <f aca="false">IF(H1892="Yes",B1892,"")</f>
        <v/>
      </c>
    </row>
    <row r="1893" customFormat="false" ht="15" hidden="false" customHeight="false" outlineLevel="0" collapsed="false">
      <c r="A1893" s="21" t="s">
        <v>3108</v>
      </c>
      <c r="B1893" s="21" t="s">
        <v>546</v>
      </c>
      <c r="C1893" s="21" t="s">
        <v>1234</v>
      </c>
      <c r="D1893" s="21" t="s">
        <v>1174</v>
      </c>
      <c r="E1893" s="33" t="n">
        <v>45699</v>
      </c>
      <c r="F1893" s="21" t="s">
        <v>1197</v>
      </c>
      <c r="G1893" s="32"/>
      <c r="H1893" s="21"/>
      <c r="I1893" s="33"/>
      <c r="J1893" s="21" t="str">
        <f aca="false">INDEX(Students!$C$2:$C$601,MATCH(B1893,Students!$A$2:$A$601,0))</f>
        <v>Batch 2025</v>
      </c>
      <c r="K1893" s="21" t="str">
        <f aca="false">INDEX(Students!$D$2:$D$601,MATCH(B1893,Students!$A$2:$A$601,0))</f>
        <v>Full Stack Development</v>
      </c>
      <c r="L1893" s="21" t="str">
        <f aca="false">INDEX(Companies!$C$2:$C$31,MATCH(C1893,Companies!$A$2:$A$31,0))</f>
        <v>EdTech</v>
      </c>
      <c r="M1893" s="21" t="str">
        <f aca="false">INDEX(Companies!$D$2:$D$31,MATCH(C1893,Companies!$A$2:$A$31,0))</f>
        <v>Tier 3</v>
      </c>
      <c r="N1893" s="34" t="n">
        <f aca="false">MATCH(F1893,Assumptions!$K$4:$K$8,0)</f>
        <v>3</v>
      </c>
      <c r="O1893" s="21" t="str">
        <f aca="false">IF(H1893="Yes",MONTH(I1893),"")</f>
        <v/>
      </c>
      <c r="P1893" s="21" t="str">
        <f aca="false">IF(H1893="Yes",B1893,"")</f>
        <v/>
      </c>
    </row>
    <row r="1894" customFormat="false" ht="15" hidden="false" customHeight="false" outlineLevel="0" collapsed="false">
      <c r="A1894" s="21" t="s">
        <v>3109</v>
      </c>
      <c r="B1894" s="21" t="s">
        <v>624</v>
      </c>
      <c r="C1894" s="21" t="s">
        <v>1216</v>
      </c>
      <c r="D1894" s="21" t="s">
        <v>1191</v>
      </c>
      <c r="E1894" s="33" t="n">
        <v>45699</v>
      </c>
      <c r="F1894" s="21" t="s">
        <v>1178</v>
      </c>
      <c r="G1894" s="32"/>
      <c r="H1894" s="21"/>
      <c r="I1894" s="33"/>
      <c r="J1894" s="21" t="str">
        <f aca="false">INDEX(Students!$C$2:$C$601,MATCH(B1894,Students!$A$2:$A$601,0))</f>
        <v>Batch 2025</v>
      </c>
      <c r="K1894" s="21" t="str">
        <f aca="false">INDEX(Students!$D$2:$D$601,MATCH(B1894,Students!$A$2:$A$601,0))</f>
        <v>DSA with Java</v>
      </c>
      <c r="L1894" s="21" t="str">
        <f aca="false">INDEX(Companies!$C$2:$C$31,MATCH(C1894,Companies!$A$2:$A$31,0))</f>
        <v>IT Services</v>
      </c>
      <c r="M1894" s="21" t="str">
        <f aca="false">INDEX(Companies!$D$2:$D$31,MATCH(C1894,Companies!$A$2:$A$31,0))</f>
        <v>Tier 3</v>
      </c>
      <c r="N1894" s="34" t="n">
        <f aca="false">MATCH(F1894,Assumptions!$K$4:$K$8,0)</f>
        <v>2</v>
      </c>
      <c r="O1894" s="21" t="str">
        <f aca="false">IF(H1894="Yes",MONTH(I1894),"")</f>
        <v/>
      </c>
      <c r="P1894" s="21" t="str">
        <f aca="false">IF(H1894="Yes",B1894,"")</f>
        <v/>
      </c>
    </row>
    <row r="1895" customFormat="false" ht="15" hidden="false" customHeight="false" outlineLevel="0" collapsed="false">
      <c r="A1895" s="21" t="s">
        <v>3110</v>
      </c>
      <c r="B1895" s="21" t="s">
        <v>800</v>
      </c>
      <c r="C1895" s="21" t="s">
        <v>1193</v>
      </c>
      <c r="D1895" s="21" t="s">
        <v>1194</v>
      </c>
      <c r="E1895" s="33" t="n">
        <v>45699</v>
      </c>
      <c r="F1895" s="21" t="s">
        <v>1218</v>
      </c>
      <c r="G1895" s="32"/>
      <c r="H1895" s="21"/>
      <c r="I1895" s="33"/>
      <c r="J1895" s="21" t="str">
        <f aca="false">INDEX(Students!$C$2:$C$601,MATCH(B1895,Students!$A$2:$A$601,0))</f>
        <v>Batch 2025</v>
      </c>
      <c r="K1895" s="21" t="str">
        <f aca="false">INDEX(Students!$D$2:$D$601,MATCH(B1895,Students!$A$2:$A$601,0))</f>
        <v>Data Science &amp; ML</v>
      </c>
      <c r="L1895" s="21" t="str">
        <f aca="false">INDEX(Companies!$C$2:$C$31,MATCH(C1895,Companies!$A$2:$A$31,0))</f>
        <v>Analytics &amp; Consulting</v>
      </c>
      <c r="M1895" s="21" t="str">
        <f aca="false">INDEX(Companies!$D$2:$D$31,MATCH(C1895,Companies!$A$2:$A$31,0))</f>
        <v>Tier 2</v>
      </c>
      <c r="N1895" s="34" t="n">
        <f aca="false">MATCH(F1895,Assumptions!$K$4:$K$8,0)</f>
        <v>4</v>
      </c>
      <c r="O1895" s="21" t="str">
        <f aca="false">IF(H1895="Yes",MONTH(I1895),"")</f>
        <v/>
      </c>
      <c r="P1895" s="21" t="str">
        <f aca="false">IF(H1895="Yes",B1895,"")</f>
        <v/>
      </c>
    </row>
    <row r="1896" customFormat="false" ht="15" hidden="false" customHeight="false" outlineLevel="0" collapsed="false">
      <c r="A1896" s="21" t="s">
        <v>3111</v>
      </c>
      <c r="B1896" s="21" t="s">
        <v>647</v>
      </c>
      <c r="C1896" s="21" t="s">
        <v>1239</v>
      </c>
      <c r="D1896" s="21" t="s">
        <v>1243</v>
      </c>
      <c r="E1896" s="33" t="n">
        <v>45700</v>
      </c>
      <c r="F1896" s="21" t="s">
        <v>1185</v>
      </c>
      <c r="G1896" s="32" t="n">
        <v>6.1</v>
      </c>
      <c r="H1896" s="21" t="s">
        <v>113</v>
      </c>
      <c r="I1896" s="33" t="n">
        <v>45739</v>
      </c>
      <c r="J1896" s="21" t="str">
        <f aca="false">INDEX(Students!$C$2:$C$601,MATCH(B1896,Students!$A$2:$A$601,0))</f>
        <v>Batch 2025</v>
      </c>
      <c r="K1896" s="21" t="str">
        <f aca="false">INDEX(Students!$D$2:$D$601,MATCH(B1896,Students!$A$2:$A$601,0))</f>
        <v>Data Science &amp; ML</v>
      </c>
      <c r="L1896" s="21" t="str">
        <f aca="false">INDEX(Companies!$C$2:$C$31,MATCH(C1896,Companies!$A$2:$A$31,0))</f>
        <v>E-commerce</v>
      </c>
      <c r="M1896" s="21" t="str">
        <f aca="false">INDEX(Companies!$D$2:$D$31,MATCH(C1896,Companies!$A$2:$A$31,0))</f>
        <v>Tier 3</v>
      </c>
      <c r="N1896" s="34" t="n">
        <f aca="false">MATCH(F1896,Assumptions!$K$4:$K$8,0)</f>
        <v>5</v>
      </c>
      <c r="O1896" s="21" t="str">
        <f aca="false">IF(H1896="Yes",MONTH(I1896),"")</f>
        <v/>
      </c>
      <c r="P1896" s="21" t="str">
        <f aca="false">IF(H1896="Yes",B1896,"")</f>
        <v/>
      </c>
    </row>
    <row r="1897" customFormat="false" ht="15" hidden="false" customHeight="false" outlineLevel="0" collapsed="false">
      <c r="A1897" s="21" t="s">
        <v>3112</v>
      </c>
      <c r="B1897" s="21" t="s">
        <v>534</v>
      </c>
      <c r="C1897" s="21" t="s">
        <v>1239</v>
      </c>
      <c r="D1897" s="21" t="s">
        <v>1174</v>
      </c>
      <c r="E1897" s="33" t="n">
        <v>45700</v>
      </c>
      <c r="F1897" s="21" t="s">
        <v>1197</v>
      </c>
      <c r="G1897" s="32"/>
      <c r="H1897" s="21"/>
      <c r="I1897" s="33"/>
      <c r="J1897" s="21" t="str">
        <f aca="false">INDEX(Students!$C$2:$C$601,MATCH(B1897,Students!$A$2:$A$601,0))</f>
        <v>Batch 2025</v>
      </c>
      <c r="K1897" s="21" t="str">
        <f aca="false">INDEX(Students!$D$2:$D$601,MATCH(B1897,Students!$A$2:$A$601,0))</f>
        <v>Full Stack Development</v>
      </c>
      <c r="L1897" s="21" t="str">
        <f aca="false">INDEX(Companies!$C$2:$C$31,MATCH(C1897,Companies!$A$2:$A$31,0))</f>
        <v>E-commerce</v>
      </c>
      <c r="M1897" s="21" t="str">
        <f aca="false">INDEX(Companies!$D$2:$D$31,MATCH(C1897,Companies!$A$2:$A$31,0))</f>
        <v>Tier 3</v>
      </c>
      <c r="N1897" s="34" t="n">
        <f aca="false">MATCH(F1897,Assumptions!$K$4:$K$8,0)</f>
        <v>3</v>
      </c>
      <c r="O1897" s="21" t="str">
        <f aca="false">IF(H1897="Yes",MONTH(I1897),"")</f>
        <v/>
      </c>
      <c r="P1897" s="21" t="str">
        <f aca="false">IF(H1897="Yes",B1897,"")</f>
        <v/>
      </c>
    </row>
    <row r="1898" customFormat="false" ht="15" hidden="false" customHeight="false" outlineLevel="0" collapsed="false">
      <c r="A1898" s="21" t="s">
        <v>3113</v>
      </c>
      <c r="B1898" s="21" t="s">
        <v>470</v>
      </c>
      <c r="C1898" s="21" t="s">
        <v>1177</v>
      </c>
      <c r="D1898" s="21" t="s">
        <v>1209</v>
      </c>
      <c r="E1898" s="33" t="n">
        <v>45700</v>
      </c>
      <c r="F1898" s="21" t="s">
        <v>1178</v>
      </c>
      <c r="G1898" s="32"/>
      <c r="H1898" s="21"/>
      <c r="I1898" s="33"/>
      <c r="J1898" s="21" t="str">
        <f aca="false">INDEX(Students!$C$2:$C$601,MATCH(B1898,Students!$A$2:$A$601,0))</f>
        <v>Batch 2025</v>
      </c>
      <c r="K1898" s="21" t="str">
        <f aca="false">INDEX(Students!$D$2:$D$601,MATCH(B1898,Students!$A$2:$A$601,0))</f>
        <v>Data Analytics</v>
      </c>
      <c r="L1898" s="21" t="str">
        <f aca="false">INDEX(Companies!$C$2:$C$31,MATCH(C1898,Companies!$A$2:$A$31,0))</f>
        <v>IT Services</v>
      </c>
      <c r="M1898" s="21" t="str">
        <f aca="false">INDEX(Companies!$D$2:$D$31,MATCH(C1898,Companies!$A$2:$A$31,0))</f>
        <v>Tier 3</v>
      </c>
      <c r="N1898" s="34" t="n">
        <f aca="false">MATCH(F1898,Assumptions!$K$4:$K$8,0)</f>
        <v>2</v>
      </c>
      <c r="O1898" s="21" t="str">
        <f aca="false">IF(H1898="Yes",MONTH(I1898),"")</f>
        <v/>
      </c>
      <c r="P1898" s="21" t="str">
        <f aca="false">IF(H1898="Yes",B1898,"")</f>
        <v/>
      </c>
    </row>
    <row r="1899" customFormat="false" ht="15" hidden="false" customHeight="false" outlineLevel="0" collapsed="false">
      <c r="A1899" s="21" t="s">
        <v>3114</v>
      </c>
      <c r="B1899" s="21" t="s">
        <v>521</v>
      </c>
      <c r="C1899" s="21" t="s">
        <v>1201</v>
      </c>
      <c r="D1899" s="21" t="s">
        <v>1181</v>
      </c>
      <c r="E1899" s="33" t="n">
        <v>45700</v>
      </c>
      <c r="F1899" s="21" t="s">
        <v>1218</v>
      </c>
      <c r="G1899" s="32"/>
      <c r="H1899" s="21"/>
      <c r="I1899" s="33"/>
      <c r="J1899" s="21" t="str">
        <f aca="false">INDEX(Students!$C$2:$C$601,MATCH(B1899,Students!$A$2:$A$601,0))</f>
        <v>Batch 2025</v>
      </c>
      <c r="K1899" s="21" t="str">
        <f aca="false">INDEX(Students!$D$2:$D$601,MATCH(B1899,Students!$A$2:$A$601,0))</f>
        <v>Full Stack Development</v>
      </c>
      <c r="L1899" s="21" t="str">
        <f aca="false">INDEX(Companies!$C$2:$C$31,MATCH(C1899,Companies!$A$2:$A$31,0))</f>
        <v>IT Services</v>
      </c>
      <c r="M1899" s="21" t="str">
        <f aca="false">INDEX(Companies!$D$2:$D$31,MATCH(C1899,Companies!$A$2:$A$31,0))</f>
        <v>Tier 3</v>
      </c>
      <c r="N1899" s="34" t="n">
        <f aca="false">MATCH(F1899,Assumptions!$K$4:$K$8,0)</f>
        <v>4</v>
      </c>
      <c r="O1899" s="21" t="str">
        <f aca="false">IF(H1899="Yes",MONTH(I1899),"")</f>
        <v/>
      </c>
      <c r="P1899" s="21" t="str">
        <f aca="false">IF(H1899="Yes",B1899,"")</f>
        <v/>
      </c>
    </row>
    <row r="1900" customFormat="false" ht="15" hidden="false" customHeight="false" outlineLevel="0" collapsed="false">
      <c r="A1900" s="21" t="s">
        <v>3115</v>
      </c>
      <c r="B1900" s="21" t="s">
        <v>693</v>
      </c>
      <c r="C1900" s="21" t="s">
        <v>1216</v>
      </c>
      <c r="D1900" s="21" t="s">
        <v>1240</v>
      </c>
      <c r="E1900" s="33" t="n">
        <v>45701</v>
      </c>
      <c r="F1900" s="21" t="s">
        <v>1178</v>
      </c>
      <c r="G1900" s="32"/>
      <c r="H1900" s="21"/>
      <c r="I1900" s="33"/>
      <c r="J1900" s="21" t="str">
        <f aca="false">INDEX(Students!$C$2:$C$601,MATCH(B1900,Students!$A$2:$A$601,0))</f>
        <v>Batch 2025</v>
      </c>
      <c r="K1900" s="21" t="str">
        <f aca="false">INDEX(Students!$D$2:$D$601,MATCH(B1900,Students!$A$2:$A$601,0))</f>
        <v>Cybersecurity</v>
      </c>
      <c r="L1900" s="21" t="str">
        <f aca="false">INDEX(Companies!$C$2:$C$31,MATCH(C1900,Companies!$A$2:$A$31,0))</f>
        <v>IT Services</v>
      </c>
      <c r="M1900" s="21" t="str">
        <f aca="false">INDEX(Companies!$D$2:$D$31,MATCH(C1900,Companies!$A$2:$A$31,0))</f>
        <v>Tier 3</v>
      </c>
      <c r="N1900" s="34" t="n">
        <f aca="false">MATCH(F1900,Assumptions!$K$4:$K$8,0)</f>
        <v>2</v>
      </c>
      <c r="O1900" s="21" t="str">
        <f aca="false">IF(H1900="Yes",MONTH(I1900),"")</f>
        <v/>
      </c>
      <c r="P1900" s="21" t="str">
        <f aca="false">IF(H1900="Yes",B1900,"")</f>
        <v/>
      </c>
    </row>
    <row r="1901" customFormat="false" ht="15" hidden="false" customHeight="false" outlineLevel="0" collapsed="false">
      <c r="A1901" s="21" t="s">
        <v>3116</v>
      </c>
      <c r="B1901" s="21" t="s">
        <v>720</v>
      </c>
      <c r="C1901" s="21" t="s">
        <v>1290</v>
      </c>
      <c r="D1901" s="21" t="s">
        <v>1184</v>
      </c>
      <c r="E1901" s="33" t="n">
        <v>45701</v>
      </c>
      <c r="F1901" s="21" t="s">
        <v>1175</v>
      </c>
      <c r="G1901" s="32"/>
      <c r="H1901" s="21"/>
      <c r="I1901" s="33"/>
      <c r="J1901" s="21" t="str">
        <f aca="false">INDEX(Students!$C$2:$C$601,MATCH(B1901,Students!$A$2:$A$601,0))</f>
        <v>Batch 2025</v>
      </c>
      <c r="K1901" s="21" t="str">
        <f aca="false">INDEX(Students!$D$2:$D$601,MATCH(B1901,Students!$A$2:$A$601,0))</f>
        <v>DSA with Java</v>
      </c>
      <c r="L1901" s="21" t="str">
        <f aca="false">INDEX(Companies!$C$2:$C$31,MATCH(C1901,Companies!$A$2:$A$31,0))</f>
        <v>Fintech</v>
      </c>
      <c r="M1901" s="21" t="str">
        <f aca="false">INDEX(Companies!$D$2:$D$31,MATCH(C1901,Companies!$A$2:$A$31,0))</f>
        <v>Tier 2</v>
      </c>
      <c r="N1901" s="34" t="n">
        <f aca="false">MATCH(F1901,Assumptions!$K$4:$K$8,0)</f>
        <v>1</v>
      </c>
      <c r="O1901" s="21" t="str">
        <f aca="false">IF(H1901="Yes",MONTH(I1901),"")</f>
        <v/>
      </c>
      <c r="P1901" s="21" t="str">
        <f aca="false">IF(H1901="Yes",B1901,"")</f>
        <v/>
      </c>
    </row>
    <row r="1902" customFormat="false" ht="15" hidden="false" customHeight="false" outlineLevel="0" collapsed="false">
      <c r="A1902" s="21" t="s">
        <v>3117</v>
      </c>
      <c r="B1902" s="21" t="s">
        <v>528</v>
      </c>
      <c r="C1902" s="21" t="s">
        <v>1211</v>
      </c>
      <c r="D1902" s="21" t="s">
        <v>1191</v>
      </c>
      <c r="E1902" s="33" t="n">
        <v>45701</v>
      </c>
      <c r="F1902" s="21" t="s">
        <v>1197</v>
      </c>
      <c r="G1902" s="32"/>
      <c r="H1902" s="21"/>
      <c r="I1902" s="33"/>
      <c r="J1902" s="21" t="str">
        <f aca="false">INDEX(Students!$C$2:$C$601,MATCH(B1902,Students!$A$2:$A$601,0))</f>
        <v>Batch 2025</v>
      </c>
      <c r="K1902" s="21" t="str">
        <f aca="false">INDEX(Students!$D$2:$D$601,MATCH(B1902,Students!$A$2:$A$601,0))</f>
        <v>DSA with Java</v>
      </c>
      <c r="L1902" s="21" t="str">
        <f aca="false">INDEX(Companies!$C$2:$C$31,MATCH(C1902,Companies!$A$2:$A$31,0))</f>
        <v>Analytics &amp; Consulting</v>
      </c>
      <c r="M1902" s="21" t="str">
        <f aca="false">INDEX(Companies!$D$2:$D$31,MATCH(C1902,Companies!$A$2:$A$31,0))</f>
        <v>Tier 3</v>
      </c>
      <c r="N1902" s="34" t="n">
        <f aca="false">MATCH(F1902,Assumptions!$K$4:$K$8,0)</f>
        <v>3</v>
      </c>
      <c r="O1902" s="21" t="str">
        <f aca="false">IF(H1902="Yes",MONTH(I1902),"")</f>
        <v/>
      </c>
      <c r="P1902" s="21" t="str">
        <f aca="false">IF(H1902="Yes",B1902,"")</f>
        <v/>
      </c>
    </row>
    <row r="1903" customFormat="false" ht="15" hidden="false" customHeight="false" outlineLevel="0" collapsed="false">
      <c r="A1903" s="21" t="s">
        <v>3118</v>
      </c>
      <c r="B1903" s="21" t="s">
        <v>739</v>
      </c>
      <c r="C1903" s="21" t="s">
        <v>1225</v>
      </c>
      <c r="D1903" s="21" t="s">
        <v>1194</v>
      </c>
      <c r="E1903" s="33" t="n">
        <v>45701</v>
      </c>
      <c r="F1903" s="21" t="s">
        <v>1185</v>
      </c>
      <c r="G1903" s="32" t="n">
        <v>13.1</v>
      </c>
      <c r="H1903" s="21" t="s">
        <v>113</v>
      </c>
      <c r="I1903" s="33" t="n">
        <v>45727</v>
      </c>
      <c r="J1903" s="21" t="str">
        <f aca="false">INDEX(Students!$C$2:$C$601,MATCH(B1903,Students!$A$2:$A$601,0))</f>
        <v>Batch 2025</v>
      </c>
      <c r="K1903" s="21" t="str">
        <f aca="false">INDEX(Students!$D$2:$D$601,MATCH(B1903,Students!$A$2:$A$601,0))</f>
        <v>Data Science &amp; ML</v>
      </c>
      <c r="L1903" s="21" t="str">
        <f aca="false">INDEX(Companies!$C$2:$C$31,MATCH(C1903,Companies!$A$2:$A$31,0))</f>
        <v>EdTech</v>
      </c>
      <c r="M1903" s="21" t="str">
        <f aca="false">INDEX(Companies!$D$2:$D$31,MATCH(C1903,Companies!$A$2:$A$31,0))</f>
        <v>Tier 2</v>
      </c>
      <c r="N1903" s="34" t="n">
        <f aca="false">MATCH(F1903,Assumptions!$K$4:$K$8,0)</f>
        <v>5</v>
      </c>
      <c r="O1903" s="21" t="str">
        <f aca="false">IF(H1903="Yes",MONTH(I1903),"")</f>
        <v/>
      </c>
      <c r="P1903" s="21" t="str">
        <f aca="false">IF(H1903="Yes",B1903,"")</f>
        <v/>
      </c>
    </row>
    <row r="1904" customFormat="false" ht="15" hidden="false" customHeight="false" outlineLevel="0" collapsed="false">
      <c r="A1904" s="21" t="s">
        <v>3119</v>
      </c>
      <c r="B1904" s="21" t="s">
        <v>667</v>
      </c>
      <c r="C1904" s="21" t="s">
        <v>1193</v>
      </c>
      <c r="D1904" s="21" t="s">
        <v>1240</v>
      </c>
      <c r="E1904" s="33" t="n">
        <v>45701</v>
      </c>
      <c r="F1904" s="21" t="s">
        <v>1185</v>
      </c>
      <c r="G1904" s="32" t="n">
        <v>13.8</v>
      </c>
      <c r="H1904" s="21" t="s">
        <v>120</v>
      </c>
      <c r="I1904" s="33" t="n">
        <v>45726</v>
      </c>
      <c r="J1904" s="21" t="str">
        <f aca="false">INDEX(Students!$C$2:$C$601,MATCH(B1904,Students!$A$2:$A$601,0))</f>
        <v>Batch 2025</v>
      </c>
      <c r="K1904" s="21" t="str">
        <f aca="false">INDEX(Students!$D$2:$D$601,MATCH(B1904,Students!$A$2:$A$601,0))</f>
        <v>Cybersecurity</v>
      </c>
      <c r="L1904" s="21" t="str">
        <f aca="false">INDEX(Companies!$C$2:$C$31,MATCH(C1904,Companies!$A$2:$A$31,0))</f>
        <v>Analytics &amp; Consulting</v>
      </c>
      <c r="M1904" s="21" t="str">
        <f aca="false">INDEX(Companies!$D$2:$D$31,MATCH(C1904,Companies!$A$2:$A$31,0))</f>
        <v>Tier 2</v>
      </c>
      <c r="N1904" s="34" t="n">
        <f aca="false">MATCH(F1904,Assumptions!$K$4:$K$8,0)</f>
        <v>5</v>
      </c>
      <c r="O1904" s="21" t="n">
        <f aca="false">IF(H1904="Yes",MONTH(I1904),"")</f>
        <v>3</v>
      </c>
      <c r="P1904" s="21" t="str">
        <f aca="false">IF(H1904="Yes",B1904,"")</f>
        <v>S0299</v>
      </c>
    </row>
    <row r="1905" customFormat="false" ht="15" hidden="false" customHeight="false" outlineLevel="0" collapsed="false">
      <c r="A1905" s="21" t="s">
        <v>3120</v>
      </c>
      <c r="B1905" s="21" t="s">
        <v>580</v>
      </c>
      <c r="C1905" s="21" t="s">
        <v>1322</v>
      </c>
      <c r="D1905" s="21" t="s">
        <v>1181</v>
      </c>
      <c r="E1905" s="33" t="n">
        <v>45701</v>
      </c>
      <c r="F1905" s="21" t="s">
        <v>1185</v>
      </c>
      <c r="G1905" s="32" t="n">
        <v>12.4</v>
      </c>
      <c r="H1905" s="21" t="s">
        <v>120</v>
      </c>
      <c r="I1905" s="33" t="n">
        <v>45752</v>
      </c>
      <c r="J1905" s="21" t="str">
        <f aca="false">INDEX(Students!$C$2:$C$601,MATCH(B1905,Students!$A$2:$A$601,0))</f>
        <v>Batch 2025</v>
      </c>
      <c r="K1905" s="21" t="str">
        <f aca="false">INDEX(Students!$D$2:$D$601,MATCH(B1905,Students!$A$2:$A$601,0))</f>
        <v>Full Stack Development</v>
      </c>
      <c r="L1905" s="21" t="str">
        <f aca="false">INDEX(Companies!$C$2:$C$31,MATCH(C1905,Companies!$A$2:$A$31,0))</f>
        <v>Healthtech</v>
      </c>
      <c r="M1905" s="21" t="str">
        <f aca="false">INDEX(Companies!$D$2:$D$31,MATCH(C1905,Companies!$A$2:$A$31,0))</f>
        <v>Tier 2</v>
      </c>
      <c r="N1905" s="34" t="n">
        <f aca="false">MATCH(F1905,Assumptions!$K$4:$K$8,0)</f>
        <v>5</v>
      </c>
      <c r="O1905" s="21" t="n">
        <f aca="false">IF(H1905="Yes",MONTH(I1905),"")</f>
        <v>4</v>
      </c>
      <c r="P1905" s="21" t="str">
        <f aca="false">IF(H1905="Yes",B1905,"")</f>
        <v>S0250</v>
      </c>
    </row>
    <row r="1906" customFormat="false" ht="15" hidden="false" customHeight="false" outlineLevel="0" collapsed="false">
      <c r="A1906" s="21" t="s">
        <v>3121</v>
      </c>
      <c r="B1906" s="21" t="s">
        <v>503</v>
      </c>
      <c r="C1906" s="21" t="s">
        <v>1266</v>
      </c>
      <c r="D1906" s="21" t="s">
        <v>1181</v>
      </c>
      <c r="E1906" s="33" t="n">
        <v>45702</v>
      </c>
      <c r="F1906" s="21" t="s">
        <v>1175</v>
      </c>
      <c r="G1906" s="32"/>
      <c r="H1906" s="21"/>
      <c r="I1906" s="33"/>
      <c r="J1906" s="21" t="str">
        <f aca="false">INDEX(Students!$C$2:$C$601,MATCH(B1906,Students!$A$2:$A$601,0))</f>
        <v>Batch 2025</v>
      </c>
      <c r="K1906" s="21" t="str">
        <f aca="false">INDEX(Students!$D$2:$D$601,MATCH(B1906,Students!$A$2:$A$601,0))</f>
        <v>Full Stack Development</v>
      </c>
      <c r="L1906" s="21" t="str">
        <f aca="false">INDEX(Companies!$C$2:$C$31,MATCH(C1906,Companies!$A$2:$A$31,0))</f>
        <v>IT Services</v>
      </c>
      <c r="M1906" s="21" t="str">
        <f aca="false">INDEX(Companies!$D$2:$D$31,MATCH(C1906,Companies!$A$2:$A$31,0))</f>
        <v>Tier 3</v>
      </c>
      <c r="N1906" s="34" t="n">
        <f aca="false">MATCH(F1906,Assumptions!$K$4:$K$8,0)</f>
        <v>1</v>
      </c>
      <c r="O1906" s="21" t="str">
        <f aca="false">IF(H1906="Yes",MONTH(I1906),"")</f>
        <v/>
      </c>
      <c r="P1906" s="21" t="str">
        <f aca="false">IF(H1906="Yes",B1906,"")</f>
        <v/>
      </c>
    </row>
    <row r="1907" customFormat="false" ht="15" hidden="false" customHeight="false" outlineLevel="0" collapsed="false">
      <c r="A1907" s="21" t="s">
        <v>3122</v>
      </c>
      <c r="B1907" s="21" t="s">
        <v>538</v>
      </c>
      <c r="C1907" s="21" t="s">
        <v>1205</v>
      </c>
      <c r="D1907" s="21" t="s">
        <v>1191</v>
      </c>
      <c r="E1907" s="33" t="n">
        <v>45702</v>
      </c>
      <c r="F1907" s="21" t="s">
        <v>1185</v>
      </c>
      <c r="G1907" s="32" t="n">
        <v>6.2</v>
      </c>
      <c r="H1907" s="21" t="s">
        <v>120</v>
      </c>
      <c r="I1907" s="33" t="n">
        <v>45746</v>
      </c>
      <c r="J1907" s="21" t="str">
        <f aca="false">INDEX(Students!$C$2:$C$601,MATCH(B1907,Students!$A$2:$A$601,0))</f>
        <v>Batch 2025</v>
      </c>
      <c r="K1907" s="21" t="str">
        <f aca="false">INDEX(Students!$D$2:$D$601,MATCH(B1907,Students!$A$2:$A$601,0))</f>
        <v>DSA with Java</v>
      </c>
      <c r="L1907" s="21" t="str">
        <f aca="false">INDEX(Companies!$C$2:$C$31,MATCH(C1907,Companies!$A$2:$A$31,0))</f>
        <v>Healthtech</v>
      </c>
      <c r="M1907" s="21" t="str">
        <f aca="false">INDEX(Companies!$D$2:$D$31,MATCH(C1907,Companies!$A$2:$A$31,0))</f>
        <v>Tier 3</v>
      </c>
      <c r="N1907" s="34" t="n">
        <f aca="false">MATCH(F1907,Assumptions!$K$4:$K$8,0)</f>
        <v>5</v>
      </c>
      <c r="O1907" s="21" t="n">
        <f aca="false">IF(H1907="Yes",MONTH(I1907),"")</f>
        <v>3</v>
      </c>
      <c r="P1907" s="21" t="str">
        <f aca="false">IF(H1907="Yes",B1907,"")</f>
        <v>S0227</v>
      </c>
    </row>
    <row r="1908" customFormat="false" ht="15" hidden="false" customHeight="false" outlineLevel="0" collapsed="false">
      <c r="A1908" s="21" t="s">
        <v>3123</v>
      </c>
      <c r="B1908" s="21" t="s">
        <v>726</v>
      </c>
      <c r="C1908" s="21" t="s">
        <v>1214</v>
      </c>
      <c r="D1908" s="21" t="s">
        <v>1243</v>
      </c>
      <c r="E1908" s="33" t="n">
        <v>45702</v>
      </c>
      <c r="F1908" s="21" t="s">
        <v>1175</v>
      </c>
      <c r="G1908" s="32"/>
      <c r="H1908" s="21"/>
      <c r="I1908" s="33"/>
      <c r="J1908" s="21" t="str">
        <f aca="false">INDEX(Students!$C$2:$C$601,MATCH(B1908,Students!$A$2:$A$601,0))</f>
        <v>Batch 2025</v>
      </c>
      <c r="K1908" s="21" t="str">
        <f aca="false">INDEX(Students!$D$2:$D$601,MATCH(B1908,Students!$A$2:$A$601,0))</f>
        <v>Data Science &amp; ML</v>
      </c>
      <c r="L1908" s="21" t="str">
        <f aca="false">INDEX(Companies!$C$2:$C$31,MATCH(C1908,Companies!$A$2:$A$31,0))</f>
        <v>Product</v>
      </c>
      <c r="M1908" s="21" t="str">
        <f aca="false">INDEX(Companies!$D$2:$D$31,MATCH(C1908,Companies!$A$2:$A$31,0))</f>
        <v>Tier 1</v>
      </c>
      <c r="N1908" s="34" t="n">
        <f aca="false">MATCH(F1908,Assumptions!$K$4:$K$8,0)</f>
        <v>1</v>
      </c>
      <c r="O1908" s="21" t="str">
        <f aca="false">IF(H1908="Yes",MONTH(I1908),"")</f>
        <v/>
      </c>
      <c r="P1908" s="21" t="str">
        <f aca="false">IF(H1908="Yes",B1908,"")</f>
        <v/>
      </c>
    </row>
    <row r="1909" customFormat="false" ht="15" hidden="false" customHeight="false" outlineLevel="0" collapsed="false">
      <c r="A1909" s="21" t="s">
        <v>3124</v>
      </c>
      <c r="B1909" s="21" t="s">
        <v>781</v>
      </c>
      <c r="C1909" s="21" t="s">
        <v>1205</v>
      </c>
      <c r="D1909" s="21" t="s">
        <v>1191</v>
      </c>
      <c r="E1909" s="33" t="n">
        <v>45702</v>
      </c>
      <c r="F1909" s="21" t="s">
        <v>1185</v>
      </c>
      <c r="G1909" s="32" t="n">
        <v>6.2</v>
      </c>
      <c r="H1909" s="21" t="s">
        <v>113</v>
      </c>
      <c r="I1909" s="33" t="n">
        <v>45738</v>
      </c>
      <c r="J1909" s="21" t="str">
        <f aca="false">INDEX(Students!$C$2:$C$601,MATCH(B1909,Students!$A$2:$A$601,0))</f>
        <v>Batch 2025</v>
      </c>
      <c r="K1909" s="21" t="str">
        <f aca="false">INDEX(Students!$D$2:$D$601,MATCH(B1909,Students!$A$2:$A$601,0))</f>
        <v>DSA with Java</v>
      </c>
      <c r="L1909" s="21" t="str">
        <f aca="false">INDEX(Companies!$C$2:$C$31,MATCH(C1909,Companies!$A$2:$A$31,0))</f>
        <v>Healthtech</v>
      </c>
      <c r="M1909" s="21" t="str">
        <f aca="false">INDEX(Companies!$D$2:$D$31,MATCH(C1909,Companies!$A$2:$A$31,0))</f>
        <v>Tier 3</v>
      </c>
      <c r="N1909" s="34" t="n">
        <f aca="false">MATCH(F1909,Assumptions!$K$4:$K$8,0)</f>
        <v>5</v>
      </c>
      <c r="O1909" s="21" t="str">
        <f aca="false">IF(H1909="Yes",MONTH(I1909),"")</f>
        <v/>
      </c>
      <c r="P1909" s="21" t="str">
        <f aca="false">IF(H1909="Yes",B1909,"")</f>
        <v/>
      </c>
    </row>
    <row r="1910" customFormat="false" ht="15" hidden="false" customHeight="false" outlineLevel="0" collapsed="false">
      <c r="A1910" s="21" t="s">
        <v>3125</v>
      </c>
      <c r="B1910" s="21" t="s">
        <v>773</v>
      </c>
      <c r="C1910" s="21" t="s">
        <v>1275</v>
      </c>
      <c r="D1910" s="21" t="s">
        <v>1194</v>
      </c>
      <c r="E1910" s="33" t="n">
        <v>45702</v>
      </c>
      <c r="F1910" s="21" t="s">
        <v>1175</v>
      </c>
      <c r="G1910" s="32"/>
      <c r="H1910" s="21"/>
      <c r="I1910" s="33"/>
      <c r="J1910" s="21" t="str">
        <f aca="false">INDEX(Students!$C$2:$C$601,MATCH(B1910,Students!$A$2:$A$601,0))</f>
        <v>Batch 2025</v>
      </c>
      <c r="K1910" s="21" t="str">
        <f aca="false">INDEX(Students!$D$2:$D$601,MATCH(B1910,Students!$A$2:$A$601,0))</f>
        <v>Data Science &amp; ML</v>
      </c>
      <c r="L1910" s="21" t="str">
        <f aca="false">INDEX(Companies!$C$2:$C$31,MATCH(C1910,Companies!$A$2:$A$31,0))</f>
        <v>Cybersecurity</v>
      </c>
      <c r="M1910" s="21" t="str">
        <f aca="false">INDEX(Companies!$D$2:$D$31,MATCH(C1910,Companies!$A$2:$A$31,0))</f>
        <v>Tier 2</v>
      </c>
      <c r="N1910" s="34" t="n">
        <f aca="false">MATCH(F1910,Assumptions!$K$4:$K$8,0)</f>
        <v>1</v>
      </c>
      <c r="O1910" s="21" t="str">
        <f aca="false">IF(H1910="Yes",MONTH(I1910),"")</f>
        <v/>
      </c>
      <c r="P1910" s="21" t="str">
        <f aca="false">IF(H1910="Yes",B1910,"")</f>
        <v/>
      </c>
    </row>
    <row r="1911" customFormat="false" ht="15" hidden="false" customHeight="false" outlineLevel="0" collapsed="false">
      <c r="A1911" s="21" t="s">
        <v>3126</v>
      </c>
      <c r="B1911" s="21" t="s">
        <v>641</v>
      </c>
      <c r="C1911" s="21" t="s">
        <v>1230</v>
      </c>
      <c r="D1911" s="21" t="s">
        <v>1181</v>
      </c>
      <c r="E1911" s="33" t="n">
        <v>45702</v>
      </c>
      <c r="F1911" s="21" t="s">
        <v>1175</v>
      </c>
      <c r="G1911" s="32"/>
      <c r="H1911" s="21"/>
      <c r="I1911" s="33"/>
      <c r="J1911" s="21" t="str">
        <f aca="false">INDEX(Students!$C$2:$C$601,MATCH(B1911,Students!$A$2:$A$601,0))</f>
        <v>Batch 2025</v>
      </c>
      <c r="K1911" s="21" t="str">
        <f aca="false">INDEX(Students!$D$2:$D$601,MATCH(B1911,Students!$A$2:$A$601,0))</f>
        <v>Full Stack Development</v>
      </c>
      <c r="L1911" s="21" t="str">
        <f aca="false">INDEX(Companies!$C$2:$C$31,MATCH(C1911,Companies!$A$2:$A$31,0))</f>
        <v>IT Services</v>
      </c>
      <c r="M1911" s="21" t="str">
        <f aca="false">INDEX(Companies!$D$2:$D$31,MATCH(C1911,Companies!$A$2:$A$31,0))</f>
        <v>Tier 3</v>
      </c>
      <c r="N1911" s="34" t="n">
        <f aca="false">MATCH(F1911,Assumptions!$K$4:$K$8,0)</f>
        <v>1</v>
      </c>
      <c r="O1911" s="21" t="str">
        <f aca="false">IF(H1911="Yes",MONTH(I1911),"")</f>
        <v/>
      </c>
      <c r="P1911" s="21" t="str">
        <f aca="false">IF(H1911="Yes",B1911,"")</f>
        <v/>
      </c>
    </row>
    <row r="1912" customFormat="false" ht="15" hidden="false" customHeight="false" outlineLevel="0" collapsed="false">
      <c r="A1912" s="21" t="s">
        <v>3127</v>
      </c>
      <c r="B1912" s="21" t="s">
        <v>456</v>
      </c>
      <c r="C1912" s="21" t="s">
        <v>1208</v>
      </c>
      <c r="D1912" s="21" t="s">
        <v>1243</v>
      </c>
      <c r="E1912" s="33" t="n">
        <v>45702</v>
      </c>
      <c r="F1912" s="21" t="s">
        <v>1175</v>
      </c>
      <c r="G1912" s="32"/>
      <c r="H1912" s="21"/>
      <c r="I1912" s="33"/>
      <c r="J1912" s="21" t="str">
        <f aca="false">INDEX(Students!$C$2:$C$601,MATCH(B1912,Students!$A$2:$A$601,0))</f>
        <v>Batch 2025</v>
      </c>
      <c r="K1912" s="21" t="str">
        <f aca="false">INDEX(Students!$D$2:$D$601,MATCH(B1912,Students!$A$2:$A$601,0))</f>
        <v>Data Science &amp; ML</v>
      </c>
      <c r="L1912" s="21" t="str">
        <f aca="false">INDEX(Companies!$C$2:$C$31,MATCH(C1912,Companies!$A$2:$A$31,0))</f>
        <v>E-commerce</v>
      </c>
      <c r="M1912" s="21" t="str">
        <f aca="false">INDEX(Companies!$D$2:$D$31,MATCH(C1912,Companies!$A$2:$A$31,0))</f>
        <v>Tier 1</v>
      </c>
      <c r="N1912" s="34" t="n">
        <f aca="false">MATCH(F1912,Assumptions!$K$4:$K$8,0)</f>
        <v>1</v>
      </c>
      <c r="O1912" s="21" t="str">
        <f aca="false">IF(H1912="Yes",MONTH(I1912),"")</f>
        <v/>
      </c>
      <c r="P1912" s="21" t="str">
        <f aca="false">IF(H1912="Yes",B1912,"")</f>
        <v/>
      </c>
    </row>
    <row r="1913" customFormat="false" ht="15" hidden="false" customHeight="false" outlineLevel="0" collapsed="false">
      <c r="A1913" s="21" t="s">
        <v>3128</v>
      </c>
      <c r="B1913" s="21" t="s">
        <v>615</v>
      </c>
      <c r="C1913" s="21" t="s">
        <v>1216</v>
      </c>
      <c r="D1913" s="21" t="s">
        <v>1184</v>
      </c>
      <c r="E1913" s="33" t="n">
        <v>45703</v>
      </c>
      <c r="F1913" s="21" t="s">
        <v>1185</v>
      </c>
      <c r="G1913" s="32" t="n">
        <v>6.2</v>
      </c>
      <c r="H1913" s="21" t="s">
        <v>113</v>
      </c>
      <c r="I1913" s="33" t="n">
        <v>45723</v>
      </c>
      <c r="J1913" s="21" t="str">
        <f aca="false">INDEX(Students!$C$2:$C$601,MATCH(B1913,Students!$A$2:$A$601,0))</f>
        <v>Batch 2025</v>
      </c>
      <c r="K1913" s="21" t="str">
        <f aca="false">INDEX(Students!$D$2:$D$601,MATCH(B1913,Students!$A$2:$A$601,0))</f>
        <v>DSA with Java</v>
      </c>
      <c r="L1913" s="21" t="str">
        <f aca="false">INDEX(Companies!$C$2:$C$31,MATCH(C1913,Companies!$A$2:$A$31,0))</f>
        <v>IT Services</v>
      </c>
      <c r="M1913" s="21" t="str">
        <f aca="false">INDEX(Companies!$D$2:$D$31,MATCH(C1913,Companies!$A$2:$A$31,0))</f>
        <v>Tier 3</v>
      </c>
      <c r="N1913" s="34" t="n">
        <f aca="false">MATCH(F1913,Assumptions!$K$4:$K$8,0)</f>
        <v>5</v>
      </c>
      <c r="O1913" s="21" t="str">
        <f aca="false">IF(H1913="Yes",MONTH(I1913),"")</f>
        <v/>
      </c>
      <c r="P1913" s="21" t="str">
        <f aca="false">IF(H1913="Yes",B1913,"")</f>
        <v/>
      </c>
    </row>
    <row r="1914" customFormat="false" ht="15" hidden="false" customHeight="false" outlineLevel="0" collapsed="false">
      <c r="A1914" s="21" t="s">
        <v>3129</v>
      </c>
      <c r="B1914" s="21" t="s">
        <v>521</v>
      </c>
      <c r="C1914" s="21" t="s">
        <v>1173</v>
      </c>
      <c r="D1914" s="21" t="s">
        <v>1174</v>
      </c>
      <c r="E1914" s="33" t="n">
        <v>45703</v>
      </c>
      <c r="F1914" s="21" t="s">
        <v>1175</v>
      </c>
      <c r="G1914" s="32"/>
      <c r="H1914" s="21"/>
      <c r="I1914" s="33"/>
      <c r="J1914" s="21" t="str">
        <f aca="false">INDEX(Students!$C$2:$C$601,MATCH(B1914,Students!$A$2:$A$601,0))</f>
        <v>Batch 2025</v>
      </c>
      <c r="K1914" s="21" t="str">
        <f aca="false">INDEX(Students!$D$2:$D$601,MATCH(B1914,Students!$A$2:$A$601,0))</f>
        <v>Full Stack Development</v>
      </c>
      <c r="L1914" s="21" t="str">
        <f aca="false">INDEX(Companies!$C$2:$C$31,MATCH(C1914,Companies!$A$2:$A$31,0))</f>
        <v>Cybersecurity</v>
      </c>
      <c r="M1914" s="21" t="str">
        <f aca="false">INDEX(Companies!$D$2:$D$31,MATCH(C1914,Companies!$A$2:$A$31,0))</f>
        <v>Tier 1</v>
      </c>
      <c r="N1914" s="34" t="n">
        <f aca="false">MATCH(F1914,Assumptions!$K$4:$K$8,0)</f>
        <v>1</v>
      </c>
      <c r="O1914" s="21" t="str">
        <f aca="false">IF(H1914="Yes",MONTH(I1914),"")</f>
        <v/>
      </c>
      <c r="P1914" s="21" t="str">
        <f aca="false">IF(H1914="Yes",B1914,"")</f>
        <v/>
      </c>
    </row>
    <row r="1915" customFormat="false" ht="15" hidden="false" customHeight="false" outlineLevel="0" collapsed="false">
      <c r="A1915" s="21" t="s">
        <v>3130</v>
      </c>
      <c r="B1915" s="21" t="s">
        <v>663</v>
      </c>
      <c r="C1915" s="21" t="s">
        <v>1180</v>
      </c>
      <c r="D1915" s="21" t="s">
        <v>1191</v>
      </c>
      <c r="E1915" s="33" t="n">
        <v>45703</v>
      </c>
      <c r="F1915" s="21" t="s">
        <v>1185</v>
      </c>
      <c r="G1915" s="32" t="n">
        <v>5.8</v>
      </c>
      <c r="H1915" s="21" t="s">
        <v>113</v>
      </c>
      <c r="I1915" s="33" t="n">
        <v>45751</v>
      </c>
      <c r="J1915" s="21" t="str">
        <f aca="false">INDEX(Students!$C$2:$C$601,MATCH(B1915,Students!$A$2:$A$601,0))</f>
        <v>Batch 2025</v>
      </c>
      <c r="K1915" s="21" t="str">
        <f aca="false">INDEX(Students!$D$2:$D$601,MATCH(B1915,Students!$A$2:$A$601,0))</f>
        <v>DSA with Java</v>
      </c>
      <c r="L1915" s="21" t="str">
        <f aca="false">INDEX(Companies!$C$2:$C$31,MATCH(C1915,Companies!$A$2:$A$31,0))</f>
        <v>IT Services</v>
      </c>
      <c r="M1915" s="21" t="str">
        <f aca="false">INDEX(Companies!$D$2:$D$31,MATCH(C1915,Companies!$A$2:$A$31,0))</f>
        <v>Tier 3</v>
      </c>
      <c r="N1915" s="34" t="n">
        <f aca="false">MATCH(F1915,Assumptions!$K$4:$K$8,0)</f>
        <v>5</v>
      </c>
      <c r="O1915" s="21" t="str">
        <f aca="false">IF(H1915="Yes",MONTH(I1915),"")</f>
        <v/>
      </c>
      <c r="P1915" s="21" t="str">
        <f aca="false">IF(H1915="Yes",B1915,"")</f>
        <v/>
      </c>
    </row>
    <row r="1916" customFormat="false" ht="15" hidden="false" customHeight="false" outlineLevel="0" collapsed="false">
      <c r="A1916" s="21" t="s">
        <v>3131</v>
      </c>
      <c r="B1916" s="21" t="s">
        <v>806</v>
      </c>
      <c r="C1916" s="21" t="s">
        <v>1266</v>
      </c>
      <c r="D1916" s="21" t="s">
        <v>1243</v>
      </c>
      <c r="E1916" s="33" t="n">
        <v>45703</v>
      </c>
      <c r="F1916" s="21" t="s">
        <v>1185</v>
      </c>
      <c r="G1916" s="32" t="n">
        <v>6.5</v>
      </c>
      <c r="H1916" s="21" t="s">
        <v>113</v>
      </c>
      <c r="I1916" s="33" t="n">
        <v>45728</v>
      </c>
      <c r="J1916" s="21" t="str">
        <f aca="false">INDEX(Students!$C$2:$C$601,MATCH(B1916,Students!$A$2:$A$601,0))</f>
        <v>Batch 2025</v>
      </c>
      <c r="K1916" s="21" t="str">
        <f aca="false">INDEX(Students!$D$2:$D$601,MATCH(B1916,Students!$A$2:$A$601,0))</f>
        <v>Data Science &amp; ML</v>
      </c>
      <c r="L1916" s="21" t="str">
        <f aca="false">INDEX(Companies!$C$2:$C$31,MATCH(C1916,Companies!$A$2:$A$31,0))</f>
        <v>IT Services</v>
      </c>
      <c r="M1916" s="21" t="str">
        <f aca="false">INDEX(Companies!$D$2:$D$31,MATCH(C1916,Companies!$A$2:$A$31,0))</f>
        <v>Tier 3</v>
      </c>
      <c r="N1916" s="34" t="n">
        <f aca="false">MATCH(F1916,Assumptions!$K$4:$K$8,0)</f>
        <v>5</v>
      </c>
      <c r="O1916" s="21" t="str">
        <f aca="false">IF(H1916="Yes",MONTH(I1916),"")</f>
        <v/>
      </c>
      <c r="P1916" s="21" t="str">
        <f aca="false">IF(H1916="Yes",B1916,"")</f>
        <v/>
      </c>
    </row>
    <row r="1917" customFormat="false" ht="15" hidden="false" customHeight="false" outlineLevel="0" collapsed="false">
      <c r="A1917" s="21" t="s">
        <v>3132</v>
      </c>
      <c r="B1917" s="21" t="s">
        <v>552</v>
      </c>
      <c r="C1917" s="21" t="s">
        <v>1266</v>
      </c>
      <c r="D1917" s="21" t="s">
        <v>1174</v>
      </c>
      <c r="E1917" s="33" t="n">
        <v>45704</v>
      </c>
      <c r="F1917" s="21" t="s">
        <v>1197</v>
      </c>
      <c r="G1917" s="32"/>
      <c r="H1917" s="21"/>
      <c r="I1917" s="33"/>
      <c r="J1917" s="21" t="str">
        <f aca="false">INDEX(Students!$C$2:$C$601,MATCH(B1917,Students!$A$2:$A$601,0))</f>
        <v>Batch 2025</v>
      </c>
      <c r="K1917" s="21" t="str">
        <f aca="false">INDEX(Students!$D$2:$D$601,MATCH(B1917,Students!$A$2:$A$601,0))</f>
        <v>Full Stack Development</v>
      </c>
      <c r="L1917" s="21" t="str">
        <f aca="false">INDEX(Companies!$C$2:$C$31,MATCH(C1917,Companies!$A$2:$A$31,0))</f>
        <v>IT Services</v>
      </c>
      <c r="M1917" s="21" t="str">
        <f aca="false">INDEX(Companies!$D$2:$D$31,MATCH(C1917,Companies!$A$2:$A$31,0))</f>
        <v>Tier 3</v>
      </c>
      <c r="N1917" s="34" t="n">
        <f aca="false">MATCH(F1917,Assumptions!$K$4:$K$8,0)</f>
        <v>3</v>
      </c>
      <c r="O1917" s="21" t="str">
        <f aca="false">IF(H1917="Yes",MONTH(I1917),"")</f>
        <v/>
      </c>
      <c r="P1917" s="21" t="str">
        <f aca="false">IF(H1917="Yes",B1917,"")</f>
        <v/>
      </c>
    </row>
    <row r="1918" customFormat="false" ht="15" hidden="false" customHeight="false" outlineLevel="0" collapsed="false">
      <c r="A1918" s="21" t="s">
        <v>3133</v>
      </c>
      <c r="B1918" s="21" t="s">
        <v>460</v>
      </c>
      <c r="C1918" s="21" t="s">
        <v>1201</v>
      </c>
      <c r="D1918" s="21" t="s">
        <v>1174</v>
      </c>
      <c r="E1918" s="33" t="n">
        <v>45704</v>
      </c>
      <c r="F1918" s="21" t="s">
        <v>1175</v>
      </c>
      <c r="G1918" s="32"/>
      <c r="H1918" s="21"/>
      <c r="I1918" s="33"/>
      <c r="J1918" s="21" t="str">
        <f aca="false">INDEX(Students!$C$2:$C$601,MATCH(B1918,Students!$A$2:$A$601,0))</f>
        <v>Batch 2025</v>
      </c>
      <c r="K1918" s="21" t="str">
        <f aca="false">INDEX(Students!$D$2:$D$601,MATCH(B1918,Students!$A$2:$A$601,0))</f>
        <v>Full Stack Development</v>
      </c>
      <c r="L1918" s="21" t="str">
        <f aca="false">INDEX(Companies!$C$2:$C$31,MATCH(C1918,Companies!$A$2:$A$31,0))</f>
        <v>IT Services</v>
      </c>
      <c r="M1918" s="21" t="str">
        <f aca="false">INDEX(Companies!$D$2:$D$31,MATCH(C1918,Companies!$A$2:$A$31,0))</f>
        <v>Tier 3</v>
      </c>
      <c r="N1918" s="34" t="n">
        <f aca="false">MATCH(F1918,Assumptions!$K$4:$K$8,0)</f>
        <v>1</v>
      </c>
      <c r="O1918" s="21" t="str">
        <f aca="false">IF(H1918="Yes",MONTH(I1918),"")</f>
        <v/>
      </c>
      <c r="P1918" s="21" t="str">
        <f aca="false">IF(H1918="Yes",B1918,"")</f>
        <v/>
      </c>
    </row>
    <row r="1919" customFormat="false" ht="15" hidden="false" customHeight="false" outlineLevel="0" collapsed="false">
      <c r="A1919" s="21" t="s">
        <v>3134</v>
      </c>
      <c r="B1919" s="21" t="s">
        <v>567</v>
      </c>
      <c r="C1919" s="21" t="s">
        <v>1203</v>
      </c>
      <c r="D1919" s="21" t="s">
        <v>1184</v>
      </c>
      <c r="E1919" s="33" t="n">
        <v>45704</v>
      </c>
      <c r="F1919" s="21" t="s">
        <v>1185</v>
      </c>
      <c r="G1919" s="32" t="n">
        <v>14.1</v>
      </c>
      <c r="H1919" s="21" t="s">
        <v>120</v>
      </c>
      <c r="I1919" s="33" t="n">
        <v>45749</v>
      </c>
      <c r="J1919" s="21" t="str">
        <f aca="false">INDEX(Students!$C$2:$C$601,MATCH(B1919,Students!$A$2:$A$601,0))</f>
        <v>Batch 2025</v>
      </c>
      <c r="K1919" s="21" t="str">
        <f aca="false">INDEX(Students!$D$2:$D$601,MATCH(B1919,Students!$A$2:$A$601,0))</f>
        <v>DSA with Java</v>
      </c>
      <c r="L1919" s="21" t="str">
        <f aca="false">INDEX(Companies!$C$2:$C$31,MATCH(C1919,Companies!$A$2:$A$31,0))</f>
        <v>Healthtech</v>
      </c>
      <c r="M1919" s="21" t="str">
        <f aca="false">INDEX(Companies!$D$2:$D$31,MATCH(C1919,Companies!$A$2:$A$31,0))</f>
        <v>Tier 2</v>
      </c>
      <c r="N1919" s="34" t="n">
        <f aca="false">MATCH(F1919,Assumptions!$K$4:$K$8,0)</f>
        <v>5</v>
      </c>
      <c r="O1919" s="21" t="n">
        <f aca="false">IF(H1919="Yes",MONTH(I1919),"")</f>
        <v>4</v>
      </c>
      <c r="P1919" s="21" t="str">
        <f aca="false">IF(H1919="Yes",B1919,"")</f>
        <v>S0243</v>
      </c>
    </row>
    <row r="1920" customFormat="false" ht="15" hidden="false" customHeight="false" outlineLevel="0" collapsed="false">
      <c r="A1920" s="21" t="s">
        <v>3135</v>
      </c>
      <c r="B1920" s="21" t="s">
        <v>616</v>
      </c>
      <c r="C1920" s="21" t="s">
        <v>1228</v>
      </c>
      <c r="D1920" s="21" t="s">
        <v>1243</v>
      </c>
      <c r="E1920" s="33" t="n">
        <v>45704</v>
      </c>
      <c r="F1920" s="21" t="s">
        <v>1175</v>
      </c>
      <c r="G1920" s="32"/>
      <c r="H1920" s="21"/>
      <c r="I1920" s="33"/>
      <c r="J1920" s="21" t="str">
        <f aca="false">INDEX(Students!$C$2:$C$601,MATCH(B1920,Students!$A$2:$A$601,0))</f>
        <v>Batch 2025</v>
      </c>
      <c r="K1920" s="21" t="str">
        <f aca="false">INDEX(Students!$D$2:$D$601,MATCH(B1920,Students!$A$2:$A$601,0))</f>
        <v>Data Science &amp; ML</v>
      </c>
      <c r="L1920" s="21" t="str">
        <f aca="false">INDEX(Companies!$C$2:$C$31,MATCH(C1920,Companies!$A$2:$A$31,0))</f>
        <v>Fintech</v>
      </c>
      <c r="M1920" s="21" t="str">
        <f aca="false">INDEX(Companies!$D$2:$D$31,MATCH(C1920,Companies!$A$2:$A$31,0))</f>
        <v>Tier 1</v>
      </c>
      <c r="N1920" s="34" t="n">
        <f aca="false">MATCH(F1920,Assumptions!$K$4:$K$8,0)</f>
        <v>1</v>
      </c>
      <c r="O1920" s="21" t="str">
        <f aca="false">IF(H1920="Yes",MONTH(I1920),"")</f>
        <v/>
      </c>
      <c r="P1920" s="21" t="str">
        <f aca="false">IF(H1920="Yes",B1920,"")</f>
        <v/>
      </c>
    </row>
    <row r="1921" customFormat="false" ht="15" hidden="false" customHeight="false" outlineLevel="0" collapsed="false">
      <c r="A1921" s="21" t="s">
        <v>3136</v>
      </c>
      <c r="B1921" s="21" t="s">
        <v>578</v>
      </c>
      <c r="C1921" s="21" t="s">
        <v>1183</v>
      </c>
      <c r="D1921" s="21" t="s">
        <v>1181</v>
      </c>
      <c r="E1921" s="33" t="n">
        <v>45705</v>
      </c>
      <c r="F1921" s="21" t="s">
        <v>1178</v>
      </c>
      <c r="G1921" s="32"/>
      <c r="H1921" s="21"/>
      <c r="I1921" s="33"/>
      <c r="J1921" s="21" t="str">
        <f aca="false">INDEX(Students!$C$2:$C$601,MATCH(B1921,Students!$A$2:$A$601,0))</f>
        <v>Batch 2025</v>
      </c>
      <c r="K1921" s="21" t="str">
        <f aca="false">INDEX(Students!$D$2:$D$601,MATCH(B1921,Students!$A$2:$A$601,0))</f>
        <v>Full Stack Development</v>
      </c>
      <c r="L1921" s="21" t="str">
        <f aca="false">INDEX(Companies!$C$2:$C$31,MATCH(C1921,Companies!$A$2:$A$31,0))</f>
        <v>E-commerce</v>
      </c>
      <c r="M1921" s="21" t="str">
        <f aca="false">INDEX(Companies!$D$2:$D$31,MATCH(C1921,Companies!$A$2:$A$31,0))</f>
        <v>Tier 2</v>
      </c>
      <c r="N1921" s="34" t="n">
        <f aca="false">MATCH(F1921,Assumptions!$K$4:$K$8,0)</f>
        <v>2</v>
      </c>
      <c r="O1921" s="21" t="str">
        <f aca="false">IF(H1921="Yes",MONTH(I1921),"")</f>
        <v/>
      </c>
      <c r="P1921" s="21" t="str">
        <f aca="false">IF(H1921="Yes",B1921,"")</f>
        <v/>
      </c>
    </row>
    <row r="1922" customFormat="false" ht="15" hidden="false" customHeight="false" outlineLevel="0" collapsed="false">
      <c r="A1922" s="21" t="s">
        <v>3137</v>
      </c>
      <c r="B1922" s="21" t="s">
        <v>788</v>
      </c>
      <c r="C1922" s="21" t="s">
        <v>1196</v>
      </c>
      <c r="D1922" s="21" t="s">
        <v>1209</v>
      </c>
      <c r="E1922" s="33" t="n">
        <v>45705</v>
      </c>
      <c r="F1922" s="21" t="s">
        <v>1175</v>
      </c>
      <c r="G1922" s="32"/>
      <c r="H1922" s="21"/>
      <c r="I1922" s="33"/>
      <c r="J1922" s="21" t="str">
        <f aca="false">INDEX(Students!$C$2:$C$601,MATCH(B1922,Students!$A$2:$A$601,0))</f>
        <v>Batch 2025</v>
      </c>
      <c r="K1922" s="21" t="str">
        <f aca="false">INDEX(Students!$D$2:$D$601,MATCH(B1922,Students!$A$2:$A$601,0))</f>
        <v>Data Analytics</v>
      </c>
      <c r="L1922" s="21" t="str">
        <f aca="false">INDEX(Companies!$C$2:$C$31,MATCH(C1922,Companies!$A$2:$A$31,0))</f>
        <v>IT Services</v>
      </c>
      <c r="M1922" s="21" t="str">
        <f aca="false">INDEX(Companies!$D$2:$D$31,MATCH(C1922,Companies!$A$2:$A$31,0))</f>
        <v>Tier 3</v>
      </c>
      <c r="N1922" s="34" t="n">
        <f aca="false">MATCH(F1922,Assumptions!$K$4:$K$8,0)</f>
        <v>1</v>
      </c>
      <c r="O1922" s="21" t="str">
        <f aca="false">IF(H1922="Yes",MONTH(I1922),"")</f>
        <v/>
      </c>
      <c r="P1922" s="21" t="str">
        <f aca="false">IF(H1922="Yes",B1922,"")</f>
        <v/>
      </c>
    </row>
    <row r="1923" customFormat="false" ht="15" hidden="false" customHeight="false" outlineLevel="0" collapsed="false">
      <c r="A1923" s="21" t="s">
        <v>3138</v>
      </c>
      <c r="B1923" s="21" t="s">
        <v>708</v>
      </c>
      <c r="C1923" s="21" t="s">
        <v>1208</v>
      </c>
      <c r="D1923" s="21" t="s">
        <v>1243</v>
      </c>
      <c r="E1923" s="33" t="n">
        <v>45705</v>
      </c>
      <c r="F1923" s="21" t="s">
        <v>1175</v>
      </c>
      <c r="G1923" s="32"/>
      <c r="H1923" s="21"/>
      <c r="I1923" s="33"/>
      <c r="J1923" s="21" t="str">
        <f aca="false">INDEX(Students!$C$2:$C$601,MATCH(B1923,Students!$A$2:$A$601,0))</f>
        <v>Batch 2025</v>
      </c>
      <c r="K1923" s="21" t="str">
        <f aca="false">INDEX(Students!$D$2:$D$601,MATCH(B1923,Students!$A$2:$A$601,0))</f>
        <v>Data Science &amp; ML</v>
      </c>
      <c r="L1923" s="21" t="str">
        <f aca="false">INDEX(Companies!$C$2:$C$31,MATCH(C1923,Companies!$A$2:$A$31,0))</f>
        <v>E-commerce</v>
      </c>
      <c r="M1923" s="21" t="str">
        <f aca="false">INDEX(Companies!$D$2:$D$31,MATCH(C1923,Companies!$A$2:$A$31,0))</f>
        <v>Tier 1</v>
      </c>
      <c r="N1923" s="34" t="n">
        <f aca="false">MATCH(F1923,Assumptions!$K$4:$K$8,0)</f>
        <v>1</v>
      </c>
      <c r="O1923" s="21" t="str">
        <f aca="false">IF(H1923="Yes",MONTH(I1923),"")</f>
        <v/>
      </c>
      <c r="P1923" s="21" t="str">
        <f aca="false">IF(H1923="Yes",B1923,"")</f>
        <v/>
      </c>
    </row>
    <row r="1924" customFormat="false" ht="15" hidden="false" customHeight="false" outlineLevel="0" collapsed="false">
      <c r="A1924" s="21" t="s">
        <v>3139</v>
      </c>
      <c r="B1924" s="21" t="s">
        <v>685</v>
      </c>
      <c r="C1924" s="21" t="s">
        <v>1190</v>
      </c>
      <c r="D1924" s="21" t="s">
        <v>1243</v>
      </c>
      <c r="E1924" s="33" t="n">
        <v>45705</v>
      </c>
      <c r="F1924" s="21" t="s">
        <v>1218</v>
      </c>
      <c r="G1924" s="32"/>
      <c r="H1924" s="21"/>
      <c r="I1924" s="33"/>
      <c r="J1924" s="21" t="str">
        <f aca="false">INDEX(Students!$C$2:$C$601,MATCH(B1924,Students!$A$2:$A$601,0))</f>
        <v>Batch 2025</v>
      </c>
      <c r="K1924" s="21" t="str">
        <f aca="false">INDEX(Students!$D$2:$D$601,MATCH(B1924,Students!$A$2:$A$601,0))</f>
        <v>Data Science &amp; ML</v>
      </c>
      <c r="L1924" s="21" t="str">
        <f aca="false">INDEX(Companies!$C$2:$C$31,MATCH(C1924,Companies!$A$2:$A$31,0))</f>
        <v>Analytics &amp; Consulting</v>
      </c>
      <c r="M1924" s="21" t="str">
        <f aca="false">INDEX(Companies!$D$2:$D$31,MATCH(C1924,Companies!$A$2:$A$31,0))</f>
        <v>Tier 1</v>
      </c>
      <c r="N1924" s="34" t="n">
        <f aca="false">MATCH(F1924,Assumptions!$K$4:$K$8,0)</f>
        <v>4</v>
      </c>
      <c r="O1924" s="21" t="str">
        <f aca="false">IF(H1924="Yes",MONTH(I1924),"")</f>
        <v/>
      </c>
      <c r="P1924" s="21" t="str">
        <f aca="false">IF(H1924="Yes",B1924,"")</f>
        <v/>
      </c>
    </row>
    <row r="1925" customFormat="false" ht="15" hidden="false" customHeight="false" outlineLevel="0" collapsed="false">
      <c r="A1925" s="21" t="s">
        <v>3140</v>
      </c>
      <c r="B1925" s="21" t="s">
        <v>710</v>
      </c>
      <c r="C1925" s="21" t="s">
        <v>1309</v>
      </c>
      <c r="D1925" s="21" t="s">
        <v>1191</v>
      </c>
      <c r="E1925" s="33" t="n">
        <v>45705</v>
      </c>
      <c r="F1925" s="21" t="s">
        <v>1185</v>
      </c>
      <c r="G1925" s="32" t="n">
        <v>9.8</v>
      </c>
      <c r="H1925" s="21" t="s">
        <v>120</v>
      </c>
      <c r="I1925" s="33" t="n">
        <v>45752</v>
      </c>
      <c r="J1925" s="21" t="str">
        <f aca="false">INDEX(Students!$C$2:$C$601,MATCH(B1925,Students!$A$2:$A$601,0))</f>
        <v>Batch 2025</v>
      </c>
      <c r="K1925" s="21" t="str">
        <f aca="false">INDEX(Students!$D$2:$D$601,MATCH(B1925,Students!$A$2:$A$601,0))</f>
        <v>DSA with Java</v>
      </c>
      <c r="L1925" s="21" t="str">
        <f aca="false">INDEX(Companies!$C$2:$C$31,MATCH(C1925,Companies!$A$2:$A$31,0))</f>
        <v>EdTech</v>
      </c>
      <c r="M1925" s="21" t="str">
        <f aca="false">INDEX(Companies!$D$2:$D$31,MATCH(C1925,Companies!$A$2:$A$31,0))</f>
        <v>Tier 2</v>
      </c>
      <c r="N1925" s="34" t="n">
        <f aca="false">MATCH(F1925,Assumptions!$K$4:$K$8,0)</f>
        <v>5</v>
      </c>
      <c r="O1925" s="21" t="n">
        <f aca="false">IF(H1925="Yes",MONTH(I1925),"")</f>
        <v>4</v>
      </c>
      <c r="P1925" s="21" t="str">
        <f aca="false">IF(H1925="Yes",B1925,"")</f>
        <v>S0325</v>
      </c>
    </row>
    <row r="1926" customFormat="false" ht="15" hidden="false" customHeight="false" outlineLevel="0" collapsed="false">
      <c r="A1926" s="21" t="s">
        <v>3141</v>
      </c>
      <c r="B1926" s="21" t="s">
        <v>497</v>
      </c>
      <c r="C1926" s="21" t="s">
        <v>1234</v>
      </c>
      <c r="D1926" s="21" t="s">
        <v>1188</v>
      </c>
      <c r="E1926" s="33" t="n">
        <v>45705</v>
      </c>
      <c r="F1926" s="21" t="s">
        <v>1197</v>
      </c>
      <c r="G1926" s="32"/>
      <c r="H1926" s="21"/>
      <c r="I1926" s="33"/>
      <c r="J1926" s="21" t="str">
        <f aca="false">INDEX(Students!$C$2:$C$601,MATCH(B1926,Students!$A$2:$A$601,0))</f>
        <v>Batch 2025</v>
      </c>
      <c r="K1926" s="21" t="str">
        <f aca="false">INDEX(Students!$D$2:$D$601,MATCH(B1926,Students!$A$2:$A$601,0))</f>
        <v>Data Analytics</v>
      </c>
      <c r="L1926" s="21" t="str">
        <f aca="false">INDEX(Companies!$C$2:$C$31,MATCH(C1926,Companies!$A$2:$A$31,0))</f>
        <v>EdTech</v>
      </c>
      <c r="M1926" s="21" t="str">
        <f aca="false">INDEX(Companies!$D$2:$D$31,MATCH(C1926,Companies!$A$2:$A$31,0))</f>
        <v>Tier 3</v>
      </c>
      <c r="N1926" s="34" t="n">
        <f aca="false">MATCH(F1926,Assumptions!$K$4:$K$8,0)</f>
        <v>3</v>
      </c>
      <c r="O1926" s="21" t="str">
        <f aca="false">IF(H1926="Yes",MONTH(I1926),"")</f>
        <v/>
      </c>
      <c r="P1926" s="21" t="str">
        <f aca="false">IF(H1926="Yes",B1926,"")</f>
        <v/>
      </c>
    </row>
    <row r="1927" customFormat="false" ht="15" hidden="false" customHeight="false" outlineLevel="0" collapsed="false">
      <c r="A1927" s="21" t="s">
        <v>3142</v>
      </c>
      <c r="B1927" s="21" t="s">
        <v>772</v>
      </c>
      <c r="C1927" s="21" t="s">
        <v>1322</v>
      </c>
      <c r="D1927" s="21" t="s">
        <v>1194</v>
      </c>
      <c r="E1927" s="33" t="n">
        <v>45705</v>
      </c>
      <c r="F1927" s="21" t="s">
        <v>1185</v>
      </c>
      <c r="G1927" s="32" t="n">
        <v>13.2</v>
      </c>
      <c r="H1927" s="21" t="s">
        <v>113</v>
      </c>
      <c r="I1927" s="33" t="n">
        <v>45745</v>
      </c>
      <c r="J1927" s="21" t="str">
        <f aca="false">INDEX(Students!$C$2:$C$601,MATCH(B1927,Students!$A$2:$A$601,0))</f>
        <v>Batch 2025</v>
      </c>
      <c r="K1927" s="21" t="str">
        <f aca="false">INDEX(Students!$D$2:$D$601,MATCH(B1927,Students!$A$2:$A$601,0))</f>
        <v>Data Science &amp; ML</v>
      </c>
      <c r="L1927" s="21" t="str">
        <f aca="false">INDEX(Companies!$C$2:$C$31,MATCH(C1927,Companies!$A$2:$A$31,0))</f>
        <v>Healthtech</v>
      </c>
      <c r="M1927" s="21" t="str">
        <f aca="false">INDEX(Companies!$D$2:$D$31,MATCH(C1927,Companies!$A$2:$A$31,0))</f>
        <v>Tier 2</v>
      </c>
      <c r="N1927" s="34" t="n">
        <f aca="false">MATCH(F1927,Assumptions!$K$4:$K$8,0)</f>
        <v>5</v>
      </c>
      <c r="O1927" s="21" t="str">
        <f aca="false">IF(H1927="Yes",MONTH(I1927),"")</f>
        <v/>
      </c>
      <c r="P1927" s="21" t="str">
        <f aca="false">IF(H1927="Yes",B1927,"")</f>
        <v/>
      </c>
    </row>
    <row r="1928" customFormat="false" ht="15" hidden="false" customHeight="false" outlineLevel="0" collapsed="false">
      <c r="A1928" s="21" t="s">
        <v>3143</v>
      </c>
      <c r="B1928" s="21" t="s">
        <v>616</v>
      </c>
      <c r="C1928" s="21" t="s">
        <v>1266</v>
      </c>
      <c r="D1928" s="21" t="s">
        <v>1243</v>
      </c>
      <c r="E1928" s="33" t="n">
        <v>45705</v>
      </c>
      <c r="F1928" s="21" t="s">
        <v>1185</v>
      </c>
      <c r="G1928" s="32" t="n">
        <v>5.4</v>
      </c>
      <c r="H1928" s="21" t="s">
        <v>120</v>
      </c>
      <c r="I1928" s="33" t="n">
        <v>45739</v>
      </c>
      <c r="J1928" s="21" t="str">
        <f aca="false">INDEX(Students!$C$2:$C$601,MATCH(B1928,Students!$A$2:$A$601,0))</f>
        <v>Batch 2025</v>
      </c>
      <c r="K1928" s="21" t="str">
        <f aca="false">INDEX(Students!$D$2:$D$601,MATCH(B1928,Students!$A$2:$A$601,0))</f>
        <v>Data Science &amp; ML</v>
      </c>
      <c r="L1928" s="21" t="str">
        <f aca="false">INDEX(Companies!$C$2:$C$31,MATCH(C1928,Companies!$A$2:$A$31,0))</f>
        <v>IT Services</v>
      </c>
      <c r="M1928" s="21" t="str">
        <f aca="false">INDEX(Companies!$D$2:$D$31,MATCH(C1928,Companies!$A$2:$A$31,0))</f>
        <v>Tier 3</v>
      </c>
      <c r="N1928" s="34" t="n">
        <f aca="false">MATCH(F1928,Assumptions!$K$4:$K$8,0)</f>
        <v>5</v>
      </c>
      <c r="O1928" s="21" t="n">
        <f aca="false">IF(H1928="Yes",MONTH(I1928),"")</f>
        <v>3</v>
      </c>
      <c r="P1928" s="21" t="str">
        <f aca="false">IF(H1928="Yes",B1928,"")</f>
        <v>S0271</v>
      </c>
    </row>
    <row r="1929" customFormat="false" ht="15" hidden="false" customHeight="false" outlineLevel="0" collapsed="false">
      <c r="A1929" s="21" t="s">
        <v>3144</v>
      </c>
      <c r="B1929" s="21" t="s">
        <v>561</v>
      </c>
      <c r="C1929" s="21" t="s">
        <v>1263</v>
      </c>
      <c r="D1929" s="21" t="s">
        <v>1181</v>
      </c>
      <c r="E1929" s="33" t="n">
        <v>45705</v>
      </c>
      <c r="F1929" s="21" t="s">
        <v>1175</v>
      </c>
      <c r="G1929" s="32"/>
      <c r="H1929" s="21"/>
      <c r="I1929" s="33"/>
      <c r="J1929" s="21" t="str">
        <f aca="false">INDEX(Students!$C$2:$C$601,MATCH(B1929,Students!$A$2:$A$601,0))</f>
        <v>Batch 2025</v>
      </c>
      <c r="K1929" s="21" t="str">
        <f aca="false">INDEX(Students!$D$2:$D$601,MATCH(B1929,Students!$A$2:$A$601,0))</f>
        <v>Full Stack Development</v>
      </c>
      <c r="L1929" s="21" t="str">
        <f aca="false">INDEX(Companies!$C$2:$C$31,MATCH(C1929,Companies!$A$2:$A$31,0))</f>
        <v>Analytics &amp; Consulting</v>
      </c>
      <c r="M1929" s="21" t="str">
        <f aca="false">INDEX(Companies!$D$2:$D$31,MATCH(C1929,Companies!$A$2:$A$31,0))</f>
        <v>Tier 2</v>
      </c>
      <c r="N1929" s="34" t="n">
        <f aca="false">MATCH(F1929,Assumptions!$K$4:$K$8,0)</f>
        <v>1</v>
      </c>
      <c r="O1929" s="21" t="str">
        <f aca="false">IF(H1929="Yes",MONTH(I1929),"")</f>
        <v/>
      </c>
      <c r="P1929" s="21" t="str">
        <f aca="false">IF(H1929="Yes",B1929,"")</f>
        <v/>
      </c>
    </row>
    <row r="1930" customFormat="false" ht="15" hidden="false" customHeight="false" outlineLevel="0" collapsed="false">
      <c r="A1930" s="21" t="s">
        <v>3145</v>
      </c>
      <c r="B1930" s="21" t="s">
        <v>781</v>
      </c>
      <c r="C1930" s="21" t="s">
        <v>1187</v>
      </c>
      <c r="D1930" s="21" t="s">
        <v>1191</v>
      </c>
      <c r="E1930" s="33" t="n">
        <v>45706</v>
      </c>
      <c r="F1930" s="21" t="s">
        <v>1197</v>
      </c>
      <c r="G1930" s="32"/>
      <c r="H1930" s="21"/>
      <c r="I1930" s="33"/>
      <c r="J1930" s="21" t="str">
        <f aca="false">INDEX(Students!$C$2:$C$601,MATCH(B1930,Students!$A$2:$A$601,0))</f>
        <v>Batch 2025</v>
      </c>
      <c r="K1930" s="21" t="str">
        <f aca="false">INDEX(Students!$D$2:$D$601,MATCH(B1930,Students!$A$2:$A$601,0))</f>
        <v>DSA with Java</v>
      </c>
      <c r="L1930" s="21" t="str">
        <f aca="false">INDEX(Companies!$C$2:$C$31,MATCH(C1930,Companies!$A$2:$A$31,0))</f>
        <v>Product</v>
      </c>
      <c r="M1930" s="21" t="str">
        <f aca="false">INDEX(Companies!$D$2:$D$31,MATCH(C1930,Companies!$A$2:$A$31,0))</f>
        <v>Tier 1</v>
      </c>
      <c r="N1930" s="34" t="n">
        <f aca="false">MATCH(F1930,Assumptions!$K$4:$K$8,0)</f>
        <v>3</v>
      </c>
      <c r="O1930" s="21" t="str">
        <f aca="false">IF(H1930="Yes",MONTH(I1930),"")</f>
        <v/>
      </c>
      <c r="P1930" s="21" t="str">
        <f aca="false">IF(H1930="Yes",B1930,"")</f>
        <v/>
      </c>
    </row>
    <row r="1931" customFormat="false" ht="15" hidden="false" customHeight="false" outlineLevel="0" collapsed="false">
      <c r="A1931" s="21" t="s">
        <v>3146</v>
      </c>
      <c r="B1931" s="21" t="s">
        <v>569</v>
      </c>
      <c r="C1931" s="21" t="s">
        <v>1180</v>
      </c>
      <c r="D1931" s="21" t="s">
        <v>1240</v>
      </c>
      <c r="E1931" s="33" t="n">
        <v>45706</v>
      </c>
      <c r="F1931" s="21" t="s">
        <v>1185</v>
      </c>
      <c r="G1931" s="32" t="n">
        <v>5.2</v>
      </c>
      <c r="H1931" s="21" t="s">
        <v>113</v>
      </c>
      <c r="I1931" s="33" t="n">
        <v>45728</v>
      </c>
      <c r="J1931" s="21" t="str">
        <f aca="false">INDEX(Students!$C$2:$C$601,MATCH(B1931,Students!$A$2:$A$601,0))</f>
        <v>Batch 2025</v>
      </c>
      <c r="K1931" s="21" t="str">
        <f aca="false">INDEX(Students!$D$2:$D$601,MATCH(B1931,Students!$A$2:$A$601,0))</f>
        <v>Cybersecurity</v>
      </c>
      <c r="L1931" s="21" t="str">
        <f aca="false">INDEX(Companies!$C$2:$C$31,MATCH(C1931,Companies!$A$2:$A$31,0))</f>
        <v>IT Services</v>
      </c>
      <c r="M1931" s="21" t="str">
        <f aca="false">INDEX(Companies!$D$2:$D$31,MATCH(C1931,Companies!$A$2:$A$31,0))</f>
        <v>Tier 3</v>
      </c>
      <c r="N1931" s="34" t="n">
        <f aca="false">MATCH(F1931,Assumptions!$K$4:$K$8,0)</f>
        <v>5</v>
      </c>
      <c r="O1931" s="21" t="str">
        <f aca="false">IF(H1931="Yes",MONTH(I1931),"")</f>
        <v/>
      </c>
      <c r="P1931" s="21" t="str">
        <f aca="false">IF(H1931="Yes",B1931,"")</f>
        <v/>
      </c>
    </row>
    <row r="1932" customFormat="false" ht="15" hidden="false" customHeight="false" outlineLevel="0" collapsed="false">
      <c r="A1932" s="21" t="s">
        <v>3147</v>
      </c>
      <c r="B1932" s="21" t="s">
        <v>556</v>
      </c>
      <c r="C1932" s="21" t="s">
        <v>1211</v>
      </c>
      <c r="D1932" s="21" t="s">
        <v>1194</v>
      </c>
      <c r="E1932" s="33" t="n">
        <v>45706</v>
      </c>
      <c r="F1932" s="21" t="s">
        <v>1185</v>
      </c>
      <c r="G1932" s="32" t="n">
        <v>5.9</v>
      </c>
      <c r="H1932" s="21" t="s">
        <v>113</v>
      </c>
      <c r="I1932" s="33" t="n">
        <v>45728</v>
      </c>
      <c r="J1932" s="21" t="str">
        <f aca="false">INDEX(Students!$C$2:$C$601,MATCH(B1932,Students!$A$2:$A$601,0))</f>
        <v>Batch 2025</v>
      </c>
      <c r="K1932" s="21" t="str">
        <f aca="false">INDEX(Students!$D$2:$D$601,MATCH(B1932,Students!$A$2:$A$601,0))</f>
        <v>Data Science &amp; ML</v>
      </c>
      <c r="L1932" s="21" t="str">
        <f aca="false">INDEX(Companies!$C$2:$C$31,MATCH(C1932,Companies!$A$2:$A$31,0))</f>
        <v>Analytics &amp; Consulting</v>
      </c>
      <c r="M1932" s="21" t="str">
        <f aca="false">INDEX(Companies!$D$2:$D$31,MATCH(C1932,Companies!$A$2:$A$31,0))</f>
        <v>Tier 3</v>
      </c>
      <c r="N1932" s="34" t="n">
        <f aca="false">MATCH(F1932,Assumptions!$K$4:$K$8,0)</f>
        <v>5</v>
      </c>
      <c r="O1932" s="21" t="str">
        <f aca="false">IF(H1932="Yes",MONTH(I1932),"")</f>
        <v/>
      </c>
      <c r="P1932" s="21" t="str">
        <f aca="false">IF(H1932="Yes",B1932,"")</f>
        <v/>
      </c>
    </row>
    <row r="1933" customFormat="false" ht="15" hidden="false" customHeight="false" outlineLevel="0" collapsed="false">
      <c r="A1933" s="21" t="s">
        <v>3148</v>
      </c>
      <c r="B1933" s="21" t="s">
        <v>690</v>
      </c>
      <c r="C1933" s="21" t="s">
        <v>1201</v>
      </c>
      <c r="D1933" s="21" t="s">
        <v>1191</v>
      </c>
      <c r="E1933" s="33" t="n">
        <v>45706</v>
      </c>
      <c r="F1933" s="21" t="s">
        <v>1185</v>
      </c>
      <c r="G1933" s="32" t="n">
        <v>5.1</v>
      </c>
      <c r="H1933" s="21" t="s">
        <v>120</v>
      </c>
      <c r="I1933" s="33" t="n">
        <v>45726</v>
      </c>
      <c r="J1933" s="21" t="str">
        <f aca="false">INDEX(Students!$C$2:$C$601,MATCH(B1933,Students!$A$2:$A$601,0))</f>
        <v>Batch 2025</v>
      </c>
      <c r="K1933" s="21" t="str">
        <f aca="false">INDEX(Students!$D$2:$D$601,MATCH(B1933,Students!$A$2:$A$601,0))</f>
        <v>DSA with Java</v>
      </c>
      <c r="L1933" s="21" t="str">
        <f aca="false">INDEX(Companies!$C$2:$C$31,MATCH(C1933,Companies!$A$2:$A$31,0))</f>
        <v>IT Services</v>
      </c>
      <c r="M1933" s="21" t="str">
        <f aca="false">INDEX(Companies!$D$2:$D$31,MATCH(C1933,Companies!$A$2:$A$31,0))</f>
        <v>Tier 3</v>
      </c>
      <c r="N1933" s="34" t="n">
        <f aca="false">MATCH(F1933,Assumptions!$K$4:$K$8,0)</f>
        <v>5</v>
      </c>
      <c r="O1933" s="21" t="n">
        <f aca="false">IF(H1933="Yes",MONTH(I1933),"")</f>
        <v>3</v>
      </c>
      <c r="P1933" s="21" t="str">
        <f aca="false">IF(H1933="Yes",B1933,"")</f>
        <v>S0313</v>
      </c>
    </row>
    <row r="1934" customFormat="false" ht="15" hidden="false" customHeight="false" outlineLevel="0" collapsed="false">
      <c r="A1934" s="21" t="s">
        <v>3149</v>
      </c>
      <c r="B1934" s="21" t="s">
        <v>761</v>
      </c>
      <c r="C1934" s="21" t="s">
        <v>1180</v>
      </c>
      <c r="D1934" s="21" t="s">
        <v>1174</v>
      </c>
      <c r="E1934" s="33" t="n">
        <v>45707</v>
      </c>
      <c r="F1934" s="21" t="s">
        <v>1197</v>
      </c>
      <c r="G1934" s="32"/>
      <c r="H1934" s="21"/>
      <c r="I1934" s="33"/>
      <c r="J1934" s="21" t="str">
        <f aca="false">INDEX(Students!$C$2:$C$601,MATCH(B1934,Students!$A$2:$A$601,0))</f>
        <v>Batch 2025</v>
      </c>
      <c r="K1934" s="21" t="str">
        <f aca="false">INDEX(Students!$D$2:$D$601,MATCH(B1934,Students!$A$2:$A$601,0))</f>
        <v>Full Stack Development</v>
      </c>
      <c r="L1934" s="21" t="str">
        <f aca="false">INDEX(Companies!$C$2:$C$31,MATCH(C1934,Companies!$A$2:$A$31,0))</f>
        <v>IT Services</v>
      </c>
      <c r="M1934" s="21" t="str">
        <f aca="false">INDEX(Companies!$D$2:$D$31,MATCH(C1934,Companies!$A$2:$A$31,0))</f>
        <v>Tier 3</v>
      </c>
      <c r="N1934" s="34" t="n">
        <f aca="false">MATCH(F1934,Assumptions!$K$4:$K$8,0)</f>
        <v>3</v>
      </c>
      <c r="O1934" s="21" t="str">
        <f aca="false">IF(H1934="Yes",MONTH(I1934),"")</f>
        <v/>
      </c>
      <c r="P1934" s="21" t="str">
        <f aca="false">IF(H1934="Yes",B1934,"")</f>
        <v/>
      </c>
    </row>
    <row r="1935" customFormat="false" ht="15" hidden="false" customHeight="false" outlineLevel="0" collapsed="false">
      <c r="A1935" s="21" t="s">
        <v>3150</v>
      </c>
      <c r="B1935" s="21" t="s">
        <v>677</v>
      </c>
      <c r="C1935" s="21" t="s">
        <v>1263</v>
      </c>
      <c r="D1935" s="21" t="s">
        <v>1181</v>
      </c>
      <c r="E1935" s="33" t="n">
        <v>45707</v>
      </c>
      <c r="F1935" s="21" t="s">
        <v>1178</v>
      </c>
      <c r="G1935" s="32"/>
      <c r="H1935" s="21"/>
      <c r="I1935" s="33"/>
      <c r="J1935" s="21" t="str">
        <f aca="false">INDEX(Students!$C$2:$C$601,MATCH(B1935,Students!$A$2:$A$601,0))</f>
        <v>Batch 2025</v>
      </c>
      <c r="K1935" s="21" t="str">
        <f aca="false">INDEX(Students!$D$2:$D$601,MATCH(B1935,Students!$A$2:$A$601,0))</f>
        <v>Full Stack Development</v>
      </c>
      <c r="L1935" s="21" t="str">
        <f aca="false">INDEX(Companies!$C$2:$C$31,MATCH(C1935,Companies!$A$2:$A$31,0))</f>
        <v>Analytics &amp; Consulting</v>
      </c>
      <c r="M1935" s="21" t="str">
        <f aca="false">INDEX(Companies!$D$2:$D$31,MATCH(C1935,Companies!$A$2:$A$31,0))</f>
        <v>Tier 2</v>
      </c>
      <c r="N1935" s="34" t="n">
        <f aca="false">MATCH(F1935,Assumptions!$K$4:$K$8,0)</f>
        <v>2</v>
      </c>
      <c r="O1935" s="21" t="str">
        <f aca="false">IF(H1935="Yes",MONTH(I1935),"")</f>
        <v/>
      </c>
      <c r="P1935" s="21" t="str">
        <f aca="false">IF(H1935="Yes",B1935,"")</f>
        <v/>
      </c>
    </row>
    <row r="1936" customFormat="false" ht="15" hidden="false" customHeight="false" outlineLevel="0" collapsed="false">
      <c r="A1936" s="21" t="s">
        <v>3151</v>
      </c>
      <c r="B1936" s="21" t="s">
        <v>633</v>
      </c>
      <c r="C1936" s="21" t="s">
        <v>1290</v>
      </c>
      <c r="D1936" s="21" t="s">
        <v>1240</v>
      </c>
      <c r="E1936" s="33" t="n">
        <v>45707</v>
      </c>
      <c r="F1936" s="21" t="s">
        <v>1178</v>
      </c>
      <c r="G1936" s="32"/>
      <c r="H1936" s="21"/>
      <c r="I1936" s="33"/>
      <c r="J1936" s="21" t="str">
        <f aca="false">INDEX(Students!$C$2:$C$601,MATCH(B1936,Students!$A$2:$A$601,0))</f>
        <v>Batch 2025</v>
      </c>
      <c r="K1936" s="21" t="str">
        <f aca="false">INDEX(Students!$D$2:$D$601,MATCH(B1936,Students!$A$2:$A$601,0))</f>
        <v>Cybersecurity</v>
      </c>
      <c r="L1936" s="21" t="str">
        <f aca="false">INDEX(Companies!$C$2:$C$31,MATCH(C1936,Companies!$A$2:$A$31,0))</f>
        <v>Fintech</v>
      </c>
      <c r="M1936" s="21" t="str">
        <f aca="false">INDEX(Companies!$D$2:$D$31,MATCH(C1936,Companies!$A$2:$A$31,0))</f>
        <v>Tier 2</v>
      </c>
      <c r="N1936" s="34" t="n">
        <f aca="false">MATCH(F1936,Assumptions!$K$4:$K$8,0)</f>
        <v>2</v>
      </c>
      <c r="O1936" s="21" t="str">
        <f aca="false">IF(H1936="Yes",MONTH(I1936),"")</f>
        <v/>
      </c>
      <c r="P1936" s="21" t="str">
        <f aca="false">IF(H1936="Yes",B1936,"")</f>
        <v/>
      </c>
    </row>
    <row r="1937" customFormat="false" ht="15" hidden="false" customHeight="false" outlineLevel="0" collapsed="false">
      <c r="A1937" s="21" t="s">
        <v>3152</v>
      </c>
      <c r="B1937" s="21" t="s">
        <v>720</v>
      </c>
      <c r="C1937" s="21" t="s">
        <v>1275</v>
      </c>
      <c r="D1937" s="21" t="s">
        <v>1191</v>
      </c>
      <c r="E1937" s="33" t="n">
        <v>45708</v>
      </c>
      <c r="F1937" s="21" t="s">
        <v>1175</v>
      </c>
      <c r="G1937" s="32"/>
      <c r="H1937" s="21"/>
      <c r="I1937" s="33"/>
      <c r="J1937" s="21" t="str">
        <f aca="false">INDEX(Students!$C$2:$C$601,MATCH(B1937,Students!$A$2:$A$601,0))</f>
        <v>Batch 2025</v>
      </c>
      <c r="K1937" s="21" t="str">
        <f aca="false">INDEX(Students!$D$2:$D$601,MATCH(B1937,Students!$A$2:$A$601,0))</f>
        <v>DSA with Java</v>
      </c>
      <c r="L1937" s="21" t="str">
        <f aca="false">INDEX(Companies!$C$2:$C$31,MATCH(C1937,Companies!$A$2:$A$31,0))</f>
        <v>Cybersecurity</v>
      </c>
      <c r="M1937" s="21" t="str">
        <f aca="false">INDEX(Companies!$D$2:$D$31,MATCH(C1937,Companies!$A$2:$A$31,0))</f>
        <v>Tier 2</v>
      </c>
      <c r="N1937" s="34" t="n">
        <f aca="false">MATCH(F1937,Assumptions!$K$4:$K$8,0)</f>
        <v>1</v>
      </c>
      <c r="O1937" s="21" t="str">
        <f aca="false">IF(H1937="Yes",MONTH(I1937),"")</f>
        <v/>
      </c>
      <c r="P1937" s="21" t="str">
        <f aca="false">IF(H1937="Yes",B1937,"")</f>
        <v/>
      </c>
    </row>
    <row r="1938" customFormat="false" ht="15" hidden="false" customHeight="false" outlineLevel="0" collapsed="false">
      <c r="A1938" s="21" t="s">
        <v>3153</v>
      </c>
      <c r="B1938" s="21" t="s">
        <v>668</v>
      </c>
      <c r="C1938" s="21" t="s">
        <v>1208</v>
      </c>
      <c r="D1938" s="21" t="s">
        <v>1243</v>
      </c>
      <c r="E1938" s="33" t="n">
        <v>45708</v>
      </c>
      <c r="F1938" s="21" t="s">
        <v>1178</v>
      </c>
      <c r="G1938" s="32"/>
      <c r="H1938" s="21"/>
      <c r="I1938" s="33"/>
      <c r="J1938" s="21" t="str">
        <f aca="false">INDEX(Students!$C$2:$C$601,MATCH(B1938,Students!$A$2:$A$601,0))</f>
        <v>Batch 2025</v>
      </c>
      <c r="K1938" s="21" t="str">
        <f aca="false">INDEX(Students!$D$2:$D$601,MATCH(B1938,Students!$A$2:$A$601,0))</f>
        <v>Data Science &amp; ML</v>
      </c>
      <c r="L1938" s="21" t="str">
        <f aca="false">INDEX(Companies!$C$2:$C$31,MATCH(C1938,Companies!$A$2:$A$31,0))</f>
        <v>E-commerce</v>
      </c>
      <c r="M1938" s="21" t="str">
        <f aca="false">INDEX(Companies!$D$2:$D$31,MATCH(C1938,Companies!$A$2:$A$31,0))</f>
        <v>Tier 1</v>
      </c>
      <c r="N1938" s="34" t="n">
        <f aca="false">MATCH(F1938,Assumptions!$K$4:$K$8,0)</f>
        <v>2</v>
      </c>
      <c r="O1938" s="21" t="str">
        <f aca="false">IF(H1938="Yes",MONTH(I1938),"")</f>
        <v/>
      </c>
      <c r="P1938" s="21" t="str">
        <f aca="false">IF(H1938="Yes",B1938,"")</f>
        <v/>
      </c>
    </row>
    <row r="1939" customFormat="false" ht="15" hidden="false" customHeight="false" outlineLevel="0" collapsed="false">
      <c r="A1939" s="21" t="s">
        <v>3154</v>
      </c>
      <c r="B1939" s="21" t="s">
        <v>524</v>
      </c>
      <c r="C1939" s="21" t="s">
        <v>1298</v>
      </c>
      <c r="D1939" s="21" t="s">
        <v>1194</v>
      </c>
      <c r="E1939" s="33" t="n">
        <v>45708</v>
      </c>
      <c r="F1939" s="21" t="s">
        <v>1175</v>
      </c>
      <c r="G1939" s="32"/>
      <c r="H1939" s="21"/>
      <c r="I1939" s="33"/>
      <c r="J1939" s="21" t="str">
        <f aca="false">INDEX(Students!$C$2:$C$601,MATCH(B1939,Students!$A$2:$A$601,0))</f>
        <v>Batch 2025</v>
      </c>
      <c r="K1939" s="21" t="str">
        <f aca="false">INDEX(Students!$D$2:$D$601,MATCH(B1939,Students!$A$2:$A$601,0))</f>
        <v>Data Science &amp; ML</v>
      </c>
      <c r="L1939" s="21" t="str">
        <f aca="false">INDEX(Companies!$C$2:$C$31,MATCH(C1939,Companies!$A$2:$A$31,0))</f>
        <v>Fintech</v>
      </c>
      <c r="M1939" s="21" t="str">
        <f aca="false">INDEX(Companies!$D$2:$D$31,MATCH(C1939,Companies!$A$2:$A$31,0))</f>
        <v>Tier 2</v>
      </c>
      <c r="N1939" s="34" t="n">
        <f aca="false">MATCH(F1939,Assumptions!$K$4:$K$8,0)</f>
        <v>1</v>
      </c>
      <c r="O1939" s="21" t="str">
        <f aca="false">IF(H1939="Yes",MONTH(I1939),"")</f>
        <v/>
      </c>
      <c r="P1939" s="21" t="str">
        <f aca="false">IF(H1939="Yes",B1939,"")</f>
        <v/>
      </c>
    </row>
    <row r="1940" customFormat="false" ht="15" hidden="false" customHeight="false" outlineLevel="0" collapsed="false">
      <c r="A1940" s="21" t="s">
        <v>3155</v>
      </c>
      <c r="B1940" s="21" t="s">
        <v>601</v>
      </c>
      <c r="C1940" s="21" t="s">
        <v>1205</v>
      </c>
      <c r="D1940" s="21" t="s">
        <v>1184</v>
      </c>
      <c r="E1940" s="33" t="n">
        <v>45708</v>
      </c>
      <c r="F1940" s="21" t="s">
        <v>1178</v>
      </c>
      <c r="G1940" s="32"/>
      <c r="H1940" s="21"/>
      <c r="I1940" s="33"/>
      <c r="J1940" s="21" t="str">
        <f aca="false">INDEX(Students!$C$2:$C$601,MATCH(B1940,Students!$A$2:$A$601,0))</f>
        <v>Batch 2025</v>
      </c>
      <c r="K1940" s="21" t="str">
        <f aca="false">INDEX(Students!$D$2:$D$601,MATCH(B1940,Students!$A$2:$A$601,0))</f>
        <v>DSA with Java</v>
      </c>
      <c r="L1940" s="21" t="str">
        <f aca="false">INDEX(Companies!$C$2:$C$31,MATCH(C1940,Companies!$A$2:$A$31,0))</f>
        <v>Healthtech</v>
      </c>
      <c r="M1940" s="21" t="str">
        <f aca="false">INDEX(Companies!$D$2:$D$31,MATCH(C1940,Companies!$A$2:$A$31,0))</f>
        <v>Tier 3</v>
      </c>
      <c r="N1940" s="34" t="n">
        <f aca="false">MATCH(F1940,Assumptions!$K$4:$K$8,0)</f>
        <v>2</v>
      </c>
      <c r="O1940" s="21" t="str">
        <f aca="false">IF(H1940="Yes",MONTH(I1940),"")</f>
        <v/>
      </c>
      <c r="P1940" s="21" t="str">
        <f aca="false">IF(H1940="Yes",B1940,"")</f>
        <v/>
      </c>
    </row>
    <row r="1941" customFormat="false" ht="15" hidden="false" customHeight="false" outlineLevel="0" collapsed="false">
      <c r="A1941" s="21" t="s">
        <v>3156</v>
      </c>
      <c r="B1941" s="21" t="s">
        <v>476</v>
      </c>
      <c r="C1941" s="21" t="s">
        <v>1208</v>
      </c>
      <c r="D1941" s="21" t="s">
        <v>1174</v>
      </c>
      <c r="E1941" s="33" t="n">
        <v>45708</v>
      </c>
      <c r="F1941" s="21" t="s">
        <v>1178</v>
      </c>
      <c r="G1941" s="32"/>
      <c r="H1941" s="21"/>
      <c r="I1941" s="33"/>
      <c r="J1941" s="21" t="str">
        <f aca="false">INDEX(Students!$C$2:$C$601,MATCH(B1941,Students!$A$2:$A$601,0))</f>
        <v>Batch 2025</v>
      </c>
      <c r="K1941" s="21" t="str">
        <f aca="false">INDEX(Students!$D$2:$D$601,MATCH(B1941,Students!$A$2:$A$601,0))</f>
        <v>Full Stack Development</v>
      </c>
      <c r="L1941" s="21" t="str">
        <f aca="false">INDEX(Companies!$C$2:$C$31,MATCH(C1941,Companies!$A$2:$A$31,0))</f>
        <v>E-commerce</v>
      </c>
      <c r="M1941" s="21" t="str">
        <f aca="false">INDEX(Companies!$D$2:$D$31,MATCH(C1941,Companies!$A$2:$A$31,0))</f>
        <v>Tier 1</v>
      </c>
      <c r="N1941" s="34" t="n">
        <f aca="false">MATCH(F1941,Assumptions!$K$4:$K$8,0)</f>
        <v>2</v>
      </c>
      <c r="O1941" s="21" t="str">
        <f aca="false">IF(H1941="Yes",MONTH(I1941),"")</f>
        <v/>
      </c>
      <c r="P1941" s="21" t="str">
        <f aca="false">IF(H1941="Yes",B1941,"")</f>
        <v/>
      </c>
    </row>
    <row r="1942" customFormat="false" ht="15" hidden="false" customHeight="false" outlineLevel="0" collapsed="false">
      <c r="A1942" s="21" t="s">
        <v>3157</v>
      </c>
      <c r="B1942" s="21" t="s">
        <v>763</v>
      </c>
      <c r="C1942" s="21" t="s">
        <v>1199</v>
      </c>
      <c r="D1942" s="21" t="s">
        <v>1194</v>
      </c>
      <c r="E1942" s="33" t="n">
        <v>45708</v>
      </c>
      <c r="F1942" s="21" t="s">
        <v>1178</v>
      </c>
      <c r="G1942" s="32"/>
      <c r="H1942" s="21"/>
      <c r="I1942" s="33"/>
      <c r="J1942" s="21" t="str">
        <f aca="false">INDEX(Students!$C$2:$C$601,MATCH(B1942,Students!$A$2:$A$601,0))</f>
        <v>Batch 2025</v>
      </c>
      <c r="K1942" s="21" t="str">
        <f aca="false">INDEX(Students!$D$2:$D$601,MATCH(B1942,Students!$A$2:$A$601,0))</f>
        <v>Data Science &amp; ML</v>
      </c>
      <c r="L1942" s="21" t="str">
        <f aca="false">INDEX(Companies!$C$2:$C$31,MATCH(C1942,Companies!$A$2:$A$31,0))</f>
        <v>E-commerce</v>
      </c>
      <c r="M1942" s="21" t="str">
        <f aca="false">INDEX(Companies!$D$2:$D$31,MATCH(C1942,Companies!$A$2:$A$31,0))</f>
        <v>Tier 2</v>
      </c>
      <c r="N1942" s="34" t="n">
        <f aca="false">MATCH(F1942,Assumptions!$K$4:$K$8,0)</f>
        <v>2</v>
      </c>
      <c r="O1942" s="21" t="str">
        <f aca="false">IF(H1942="Yes",MONTH(I1942),"")</f>
        <v/>
      </c>
      <c r="P1942" s="21" t="str">
        <f aca="false">IF(H1942="Yes",B1942,"")</f>
        <v/>
      </c>
    </row>
    <row r="1943" customFormat="false" ht="15" hidden="false" customHeight="false" outlineLevel="0" collapsed="false">
      <c r="A1943" s="21" t="s">
        <v>3158</v>
      </c>
      <c r="B1943" s="21" t="s">
        <v>773</v>
      </c>
      <c r="C1943" s="21" t="s">
        <v>1255</v>
      </c>
      <c r="D1943" s="21" t="s">
        <v>1243</v>
      </c>
      <c r="E1943" s="33" t="n">
        <v>45709</v>
      </c>
      <c r="F1943" s="21" t="s">
        <v>1185</v>
      </c>
      <c r="G1943" s="32" t="n">
        <v>4.8</v>
      </c>
      <c r="H1943" s="21" t="s">
        <v>113</v>
      </c>
      <c r="I1943" s="33" t="n">
        <v>45729</v>
      </c>
      <c r="J1943" s="21" t="str">
        <f aca="false">INDEX(Students!$C$2:$C$601,MATCH(B1943,Students!$A$2:$A$601,0))</f>
        <v>Batch 2025</v>
      </c>
      <c r="K1943" s="21" t="str">
        <f aca="false">INDEX(Students!$D$2:$D$601,MATCH(B1943,Students!$A$2:$A$601,0))</f>
        <v>Data Science &amp; ML</v>
      </c>
      <c r="L1943" s="21" t="str">
        <f aca="false">INDEX(Companies!$C$2:$C$31,MATCH(C1943,Companies!$A$2:$A$31,0))</f>
        <v>IT Services</v>
      </c>
      <c r="M1943" s="21" t="str">
        <f aca="false">INDEX(Companies!$D$2:$D$31,MATCH(C1943,Companies!$A$2:$A$31,0))</f>
        <v>Tier 3</v>
      </c>
      <c r="N1943" s="34" t="n">
        <f aca="false">MATCH(F1943,Assumptions!$K$4:$K$8,0)</f>
        <v>5</v>
      </c>
      <c r="O1943" s="21" t="str">
        <f aca="false">IF(H1943="Yes",MONTH(I1943),"")</f>
        <v/>
      </c>
      <c r="P1943" s="21" t="str">
        <f aca="false">IF(H1943="Yes",B1943,"")</f>
        <v/>
      </c>
    </row>
    <row r="1944" customFormat="false" ht="15" hidden="false" customHeight="false" outlineLevel="0" collapsed="false">
      <c r="A1944" s="21" t="s">
        <v>3159</v>
      </c>
      <c r="B1944" s="21" t="s">
        <v>781</v>
      </c>
      <c r="C1944" s="21" t="s">
        <v>1196</v>
      </c>
      <c r="D1944" s="21" t="s">
        <v>1184</v>
      </c>
      <c r="E1944" s="33" t="n">
        <v>45709</v>
      </c>
      <c r="F1944" s="21" t="s">
        <v>1185</v>
      </c>
      <c r="G1944" s="32" t="n">
        <v>5.2</v>
      </c>
      <c r="H1944" s="21" t="s">
        <v>113</v>
      </c>
      <c r="I1944" s="33" t="n">
        <v>45739</v>
      </c>
      <c r="J1944" s="21" t="str">
        <f aca="false">INDEX(Students!$C$2:$C$601,MATCH(B1944,Students!$A$2:$A$601,0))</f>
        <v>Batch 2025</v>
      </c>
      <c r="K1944" s="21" t="str">
        <f aca="false">INDEX(Students!$D$2:$D$601,MATCH(B1944,Students!$A$2:$A$601,0))</f>
        <v>DSA with Java</v>
      </c>
      <c r="L1944" s="21" t="str">
        <f aca="false">INDEX(Companies!$C$2:$C$31,MATCH(C1944,Companies!$A$2:$A$31,0))</f>
        <v>IT Services</v>
      </c>
      <c r="M1944" s="21" t="str">
        <f aca="false">INDEX(Companies!$D$2:$D$31,MATCH(C1944,Companies!$A$2:$A$31,0))</f>
        <v>Tier 3</v>
      </c>
      <c r="N1944" s="34" t="n">
        <f aca="false">MATCH(F1944,Assumptions!$K$4:$K$8,0)</f>
        <v>5</v>
      </c>
      <c r="O1944" s="21" t="str">
        <f aca="false">IF(H1944="Yes",MONTH(I1944),"")</f>
        <v/>
      </c>
      <c r="P1944" s="21" t="str">
        <f aca="false">IF(H1944="Yes",B1944,"")</f>
        <v/>
      </c>
    </row>
    <row r="1945" customFormat="false" ht="15" hidden="false" customHeight="false" outlineLevel="0" collapsed="false">
      <c r="A1945" s="21" t="s">
        <v>3160</v>
      </c>
      <c r="B1945" s="21" t="s">
        <v>688</v>
      </c>
      <c r="C1945" s="21" t="s">
        <v>1190</v>
      </c>
      <c r="D1945" s="21" t="s">
        <v>1240</v>
      </c>
      <c r="E1945" s="33" t="n">
        <v>45709</v>
      </c>
      <c r="F1945" s="21" t="s">
        <v>1178</v>
      </c>
      <c r="G1945" s="32"/>
      <c r="H1945" s="21"/>
      <c r="I1945" s="33"/>
      <c r="J1945" s="21" t="str">
        <f aca="false">INDEX(Students!$C$2:$C$601,MATCH(B1945,Students!$A$2:$A$601,0))</f>
        <v>Batch 2025</v>
      </c>
      <c r="K1945" s="21" t="str">
        <f aca="false">INDEX(Students!$D$2:$D$601,MATCH(B1945,Students!$A$2:$A$601,0))</f>
        <v>Cybersecurity</v>
      </c>
      <c r="L1945" s="21" t="str">
        <f aca="false">INDEX(Companies!$C$2:$C$31,MATCH(C1945,Companies!$A$2:$A$31,0))</f>
        <v>Analytics &amp; Consulting</v>
      </c>
      <c r="M1945" s="21" t="str">
        <f aca="false">INDEX(Companies!$D$2:$D$31,MATCH(C1945,Companies!$A$2:$A$31,0))</f>
        <v>Tier 1</v>
      </c>
      <c r="N1945" s="34" t="n">
        <f aca="false">MATCH(F1945,Assumptions!$K$4:$K$8,0)</f>
        <v>2</v>
      </c>
      <c r="O1945" s="21" t="str">
        <f aca="false">IF(H1945="Yes",MONTH(I1945),"")</f>
        <v/>
      </c>
      <c r="P1945" s="21" t="str">
        <f aca="false">IF(H1945="Yes",B1945,"")</f>
        <v/>
      </c>
    </row>
    <row r="1946" customFormat="false" ht="15" hidden="false" customHeight="false" outlineLevel="0" collapsed="false">
      <c r="A1946" s="21" t="s">
        <v>3161</v>
      </c>
      <c r="B1946" s="21" t="s">
        <v>474</v>
      </c>
      <c r="C1946" s="21" t="s">
        <v>1208</v>
      </c>
      <c r="D1946" s="21" t="s">
        <v>1184</v>
      </c>
      <c r="E1946" s="33" t="n">
        <v>45710</v>
      </c>
      <c r="F1946" s="21" t="s">
        <v>1197</v>
      </c>
      <c r="G1946" s="32"/>
      <c r="H1946" s="21"/>
      <c r="I1946" s="33"/>
      <c r="J1946" s="21" t="str">
        <f aca="false">INDEX(Students!$C$2:$C$601,MATCH(B1946,Students!$A$2:$A$601,0))</f>
        <v>Batch 2025</v>
      </c>
      <c r="K1946" s="21" t="str">
        <f aca="false">INDEX(Students!$D$2:$D$601,MATCH(B1946,Students!$A$2:$A$601,0))</f>
        <v>DSA with Java</v>
      </c>
      <c r="L1946" s="21" t="str">
        <f aca="false">INDEX(Companies!$C$2:$C$31,MATCH(C1946,Companies!$A$2:$A$31,0))</f>
        <v>E-commerce</v>
      </c>
      <c r="M1946" s="21" t="str">
        <f aca="false">INDEX(Companies!$D$2:$D$31,MATCH(C1946,Companies!$A$2:$A$31,0))</f>
        <v>Tier 1</v>
      </c>
      <c r="N1946" s="34" t="n">
        <f aca="false">MATCH(F1946,Assumptions!$K$4:$K$8,0)</f>
        <v>3</v>
      </c>
      <c r="O1946" s="21" t="str">
        <f aca="false">IF(H1946="Yes",MONTH(I1946),"")</f>
        <v/>
      </c>
      <c r="P1946" s="21" t="str">
        <f aca="false">IF(H1946="Yes",B1946,"")</f>
        <v/>
      </c>
    </row>
    <row r="1947" customFormat="false" ht="15" hidden="false" customHeight="false" outlineLevel="0" collapsed="false">
      <c r="A1947" s="21" t="s">
        <v>3162</v>
      </c>
      <c r="B1947" s="21" t="s">
        <v>497</v>
      </c>
      <c r="C1947" s="21" t="s">
        <v>1187</v>
      </c>
      <c r="D1947" s="21" t="s">
        <v>1209</v>
      </c>
      <c r="E1947" s="33" t="n">
        <v>45710</v>
      </c>
      <c r="F1947" s="21" t="s">
        <v>1175</v>
      </c>
      <c r="G1947" s="32"/>
      <c r="H1947" s="21"/>
      <c r="I1947" s="33"/>
      <c r="J1947" s="21" t="str">
        <f aca="false">INDEX(Students!$C$2:$C$601,MATCH(B1947,Students!$A$2:$A$601,0))</f>
        <v>Batch 2025</v>
      </c>
      <c r="K1947" s="21" t="str">
        <f aca="false">INDEX(Students!$D$2:$D$601,MATCH(B1947,Students!$A$2:$A$601,0))</f>
        <v>Data Analytics</v>
      </c>
      <c r="L1947" s="21" t="str">
        <f aca="false">INDEX(Companies!$C$2:$C$31,MATCH(C1947,Companies!$A$2:$A$31,0))</f>
        <v>Product</v>
      </c>
      <c r="M1947" s="21" t="str">
        <f aca="false">INDEX(Companies!$D$2:$D$31,MATCH(C1947,Companies!$A$2:$A$31,0))</f>
        <v>Tier 1</v>
      </c>
      <c r="N1947" s="34" t="n">
        <f aca="false">MATCH(F1947,Assumptions!$K$4:$K$8,0)</f>
        <v>1</v>
      </c>
      <c r="O1947" s="21" t="str">
        <f aca="false">IF(H1947="Yes",MONTH(I1947),"")</f>
        <v/>
      </c>
      <c r="P1947" s="21" t="str">
        <f aca="false">IF(H1947="Yes",B1947,"")</f>
        <v/>
      </c>
    </row>
    <row r="1948" customFormat="false" ht="15" hidden="false" customHeight="false" outlineLevel="0" collapsed="false">
      <c r="A1948" s="21" t="s">
        <v>3163</v>
      </c>
      <c r="B1948" s="21" t="s">
        <v>780</v>
      </c>
      <c r="C1948" s="21" t="s">
        <v>1266</v>
      </c>
      <c r="D1948" s="21" t="s">
        <v>1174</v>
      </c>
      <c r="E1948" s="33" t="n">
        <v>45710</v>
      </c>
      <c r="F1948" s="21" t="s">
        <v>1185</v>
      </c>
      <c r="G1948" s="32" t="n">
        <v>6.3</v>
      </c>
      <c r="H1948" s="21" t="s">
        <v>113</v>
      </c>
      <c r="I1948" s="33" t="n">
        <v>45765</v>
      </c>
      <c r="J1948" s="21" t="str">
        <f aca="false">INDEX(Students!$C$2:$C$601,MATCH(B1948,Students!$A$2:$A$601,0))</f>
        <v>Batch 2025</v>
      </c>
      <c r="K1948" s="21" t="str">
        <f aca="false">INDEX(Students!$D$2:$D$601,MATCH(B1948,Students!$A$2:$A$601,0))</f>
        <v>Full Stack Development</v>
      </c>
      <c r="L1948" s="21" t="str">
        <f aca="false">INDEX(Companies!$C$2:$C$31,MATCH(C1948,Companies!$A$2:$A$31,0))</f>
        <v>IT Services</v>
      </c>
      <c r="M1948" s="21" t="str">
        <f aca="false">INDEX(Companies!$D$2:$D$31,MATCH(C1948,Companies!$A$2:$A$31,0))</f>
        <v>Tier 3</v>
      </c>
      <c r="N1948" s="34" t="n">
        <f aca="false">MATCH(F1948,Assumptions!$K$4:$K$8,0)</f>
        <v>5</v>
      </c>
      <c r="O1948" s="21" t="str">
        <f aca="false">IF(H1948="Yes",MONTH(I1948),"")</f>
        <v/>
      </c>
      <c r="P1948" s="21" t="str">
        <f aca="false">IF(H1948="Yes",B1948,"")</f>
        <v/>
      </c>
    </row>
    <row r="1949" customFormat="false" ht="15" hidden="false" customHeight="false" outlineLevel="0" collapsed="false">
      <c r="A1949" s="21" t="s">
        <v>3164</v>
      </c>
      <c r="B1949" s="21" t="s">
        <v>507</v>
      </c>
      <c r="C1949" s="21" t="s">
        <v>1266</v>
      </c>
      <c r="D1949" s="21" t="s">
        <v>1240</v>
      </c>
      <c r="E1949" s="33" t="n">
        <v>45710</v>
      </c>
      <c r="F1949" s="21" t="s">
        <v>1185</v>
      </c>
      <c r="G1949" s="32" t="n">
        <v>6.2</v>
      </c>
      <c r="H1949" s="21" t="s">
        <v>113</v>
      </c>
      <c r="I1949" s="33" t="n">
        <v>45752</v>
      </c>
      <c r="J1949" s="21" t="str">
        <f aca="false">INDEX(Students!$C$2:$C$601,MATCH(B1949,Students!$A$2:$A$601,0))</f>
        <v>Batch 2025</v>
      </c>
      <c r="K1949" s="21" t="str">
        <f aca="false">INDEX(Students!$D$2:$D$601,MATCH(B1949,Students!$A$2:$A$601,0))</f>
        <v>Cybersecurity</v>
      </c>
      <c r="L1949" s="21" t="str">
        <f aca="false">INDEX(Companies!$C$2:$C$31,MATCH(C1949,Companies!$A$2:$A$31,0))</f>
        <v>IT Services</v>
      </c>
      <c r="M1949" s="21" t="str">
        <f aca="false">INDEX(Companies!$D$2:$D$31,MATCH(C1949,Companies!$A$2:$A$31,0))</f>
        <v>Tier 3</v>
      </c>
      <c r="N1949" s="34" t="n">
        <f aca="false">MATCH(F1949,Assumptions!$K$4:$K$8,0)</f>
        <v>5</v>
      </c>
      <c r="O1949" s="21" t="str">
        <f aca="false">IF(H1949="Yes",MONTH(I1949),"")</f>
        <v/>
      </c>
      <c r="P1949" s="21" t="str">
        <f aca="false">IF(H1949="Yes",B1949,"")</f>
        <v/>
      </c>
    </row>
    <row r="1950" customFormat="false" ht="15" hidden="false" customHeight="false" outlineLevel="0" collapsed="false">
      <c r="A1950" s="21" t="s">
        <v>3165</v>
      </c>
      <c r="B1950" s="21" t="s">
        <v>601</v>
      </c>
      <c r="C1950" s="21" t="s">
        <v>1183</v>
      </c>
      <c r="D1950" s="21" t="s">
        <v>1184</v>
      </c>
      <c r="E1950" s="33" t="n">
        <v>45710</v>
      </c>
      <c r="F1950" s="21" t="s">
        <v>1175</v>
      </c>
      <c r="G1950" s="32"/>
      <c r="H1950" s="21"/>
      <c r="I1950" s="33"/>
      <c r="J1950" s="21" t="str">
        <f aca="false">INDEX(Students!$C$2:$C$601,MATCH(B1950,Students!$A$2:$A$601,0))</f>
        <v>Batch 2025</v>
      </c>
      <c r="K1950" s="21" t="str">
        <f aca="false">INDEX(Students!$D$2:$D$601,MATCH(B1950,Students!$A$2:$A$601,0))</f>
        <v>DSA with Java</v>
      </c>
      <c r="L1950" s="21" t="str">
        <f aca="false">INDEX(Companies!$C$2:$C$31,MATCH(C1950,Companies!$A$2:$A$31,0))</f>
        <v>E-commerce</v>
      </c>
      <c r="M1950" s="21" t="str">
        <f aca="false">INDEX(Companies!$D$2:$D$31,MATCH(C1950,Companies!$A$2:$A$31,0))</f>
        <v>Tier 2</v>
      </c>
      <c r="N1950" s="34" t="n">
        <f aca="false">MATCH(F1950,Assumptions!$K$4:$K$8,0)</f>
        <v>1</v>
      </c>
      <c r="O1950" s="21" t="str">
        <f aca="false">IF(H1950="Yes",MONTH(I1950),"")</f>
        <v/>
      </c>
      <c r="P1950" s="21" t="str">
        <f aca="false">IF(H1950="Yes",B1950,"")</f>
        <v/>
      </c>
    </row>
    <row r="1951" customFormat="false" ht="15" hidden="false" customHeight="false" outlineLevel="0" collapsed="false">
      <c r="A1951" s="21" t="s">
        <v>3166</v>
      </c>
      <c r="B1951" s="21" t="s">
        <v>635</v>
      </c>
      <c r="C1951" s="21" t="s">
        <v>1225</v>
      </c>
      <c r="D1951" s="21" t="s">
        <v>1191</v>
      </c>
      <c r="E1951" s="33" t="n">
        <v>45711</v>
      </c>
      <c r="F1951" s="21" t="s">
        <v>1175</v>
      </c>
      <c r="G1951" s="32"/>
      <c r="H1951" s="21"/>
      <c r="I1951" s="33"/>
      <c r="J1951" s="21" t="str">
        <f aca="false">INDEX(Students!$C$2:$C$601,MATCH(B1951,Students!$A$2:$A$601,0))</f>
        <v>Batch 2025</v>
      </c>
      <c r="K1951" s="21" t="str">
        <f aca="false">INDEX(Students!$D$2:$D$601,MATCH(B1951,Students!$A$2:$A$601,0))</f>
        <v>DSA with Java</v>
      </c>
      <c r="L1951" s="21" t="str">
        <f aca="false">INDEX(Companies!$C$2:$C$31,MATCH(C1951,Companies!$A$2:$A$31,0))</f>
        <v>EdTech</v>
      </c>
      <c r="M1951" s="21" t="str">
        <f aca="false">INDEX(Companies!$D$2:$D$31,MATCH(C1951,Companies!$A$2:$A$31,0))</f>
        <v>Tier 2</v>
      </c>
      <c r="N1951" s="34" t="n">
        <f aca="false">MATCH(F1951,Assumptions!$K$4:$K$8,0)</f>
        <v>1</v>
      </c>
      <c r="O1951" s="21" t="str">
        <f aca="false">IF(H1951="Yes",MONTH(I1951),"")</f>
        <v/>
      </c>
      <c r="P1951" s="21" t="str">
        <f aca="false">IF(H1951="Yes",B1951,"")</f>
        <v/>
      </c>
    </row>
    <row r="1952" customFormat="false" ht="15" hidden="false" customHeight="false" outlineLevel="0" collapsed="false">
      <c r="A1952" s="21" t="s">
        <v>3167</v>
      </c>
      <c r="B1952" s="21" t="s">
        <v>476</v>
      </c>
      <c r="C1952" s="21" t="s">
        <v>1203</v>
      </c>
      <c r="D1952" s="21" t="s">
        <v>1181</v>
      </c>
      <c r="E1952" s="33" t="n">
        <v>45711</v>
      </c>
      <c r="F1952" s="21" t="s">
        <v>1175</v>
      </c>
      <c r="G1952" s="32"/>
      <c r="H1952" s="21"/>
      <c r="I1952" s="33"/>
      <c r="J1952" s="21" t="str">
        <f aca="false">INDEX(Students!$C$2:$C$601,MATCH(B1952,Students!$A$2:$A$601,0))</f>
        <v>Batch 2025</v>
      </c>
      <c r="K1952" s="21" t="str">
        <f aca="false">INDEX(Students!$D$2:$D$601,MATCH(B1952,Students!$A$2:$A$601,0))</f>
        <v>Full Stack Development</v>
      </c>
      <c r="L1952" s="21" t="str">
        <f aca="false">INDEX(Companies!$C$2:$C$31,MATCH(C1952,Companies!$A$2:$A$31,0))</f>
        <v>Healthtech</v>
      </c>
      <c r="M1952" s="21" t="str">
        <f aca="false">INDEX(Companies!$D$2:$D$31,MATCH(C1952,Companies!$A$2:$A$31,0))</f>
        <v>Tier 2</v>
      </c>
      <c r="N1952" s="34" t="n">
        <f aca="false">MATCH(F1952,Assumptions!$K$4:$K$8,0)</f>
        <v>1</v>
      </c>
      <c r="O1952" s="21" t="str">
        <f aca="false">IF(H1952="Yes",MONTH(I1952),"")</f>
        <v/>
      </c>
      <c r="P1952" s="21" t="str">
        <f aca="false">IF(H1952="Yes",B1952,"")</f>
        <v/>
      </c>
    </row>
    <row r="1953" customFormat="false" ht="15" hidden="false" customHeight="false" outlineLevel="0" collapsed="false">
      <c r="A1953" s="21" t="s">
        <v>3168</v>
      </c>
      <c r="B1953" s="21" t="s">
        <v>703</v>
      </c>
      <c r="C1953" s="21" t="s">
        <v>1193</v>
      </c>
      <c r="D1953" s="21" t="s">
        <v>1243</v>
      </c>
      <c r="E1953" s="33" t="n">
        <v>45711</v>
      </c>
      <c r="F1953" s="21" t="s">
        <v>1197</v>
      </c>
      <c r="G1953" s="32"/>
      <c r="H1953" s="21"/>
      <c r="I1953" s="33"/>
      <c r="J1953" s="21" t="str">
        <f aca="false">INDEX(Students!$C$2:$C$601,MATCH(B1953,Students!$A$2:$A$601,0))</f>
        <v>Batch 2025</v>
      </c>
      <c r="K1953" s="21" t="str">
        <f aca="false">INDEX(Students!$D$2:$D$601,MATCH(B1953,Students!$A$2:$A$601,0))</f>
        <v>Data Science &amp; ML</v>
      </c>
      <c r="L1953" s="21" t="str">
        <f aca="false">INDEX(Companies!$C$2:$C$31,MATCH(C1953,Companies!$A$2:$A$31,0))</f>
        <v>Analytics &amp; Consulting</v>
      </c>
      <c r="M1953" s="21" t="str">
        <f aca="false">INDEX(Companies!$D$2:$D$31,MATCH(C1953,Companies!$A$2:$A$31,0))</f>
        <v>Tier 2</v>
      </c>
      <c r="N1953" s="34" t="n">
        <f aca="false">MATCH(F1953,Assumptions!$K$4:$K$8,0)</f>
        <v>3</v>
      </c>
      <c r="O1953" s="21" t="str">
        <f aca="false">IF(H1953="Yes",MONTH(I1953),"")</f>
        <v/>
      </c>
      <c r="P1953" s="21" t="str">
        <f aca="false">IF(H1953="Yes",B1953,"")</f>
        <v/>
      </c>
    </row>
    <row r="1954" customFormat="false" ht="15" hidden="false" customHeight="false" outlineLevel="0" collapsed="false">
      <c r="A1954" s="21" t="s">
        <v>3169</v>
      </c>
      <c r="B1954" s="21" t="s">
        <v>481</v>
      </c>
      <c r="C1954" s="21" t="s">
        <v>1203</v>
      </c>
      <c r="D1954" s="21" t="s">
        <v>1184</v>
      </c>
      <c r="E1954" s="33" t="n">
        <v>45711</v>
      </c>
      <c r="F1954" s="21" t="s">
        <v>1178</v>
      </c>
      <c r="G1954" s="32"/>
      <c r="H1954" s="21"/>
      <c r="I1954" s="33"/>
      <c r="J1954" s="21" t="str">
        <f aca="false">INDEX(Students!$C$2:$C$601,MATCH(B1954,Students!$A$2:$A$601,0))</f>
        <v>Batch 2025</v>
      </c>
      <c r="K1954" s="21" t="str">
        <f aca="false">INDEX(Students!$D$2:$D$601,MATCH(B1954,Students!$A$2:$A$601,0))</f>
        <v>DSA with Java</v>
      </c>
      <c r="L1954" s="21" t="str">
        <f aca="false">INDEX(Companies!$C$2:$C$31,MATCH(C1954,Companies!$A$2:$A$31,0))</f>
        <v>Healthtech</v>
      </c>
      <c r="M1954" s="21" t="str">
        <f aca="false">INDEX(Companies!$D$2:$D$31,MATCH(C1954,Companies!$A$2:$A$31,0))</f>
        <v>Tier 2</v>
      </c>
      <c r="N1954" s="34" t="n">
        <f aca="false">MATCH(F1954,Assumptions!$K$4:$K$8,0)</f>
        <v>2</v>
      </c>
      <c r="O1954" s="21" t="str">
        <f aca="false">IF(H1954="Yes",MONTH(I1954),"")</f>
        <v/>
      </c>
      <c r="P1954" s="21" t="str">
        <f aca="false">IF(H1954="Yes",B1954,"")</f>
        <v/>
      </c>
    </row>
    <row r="1955" customFormat="false" ht="15" hidden="false" customHeight="false" outlineLevel="0" collapsed="false">
      <c r="A1955" s="21" t="s">
        <v>3170</v>
      </c>
      <c r="B1955" s="21" t="s">
        <v>573</v>
      </c>
      <c r="C1955" s="21" t="s">
        <v>1208</v>
      </c>
      <c r="D1955" s="21" t="s">
        <v>1194</v>
      </c>
      <c r="E1955" s="33" t="n">
        <v>45711</v>
      </c>
      <c r="F1955" s="21" t="s">
        <v>1175</v>
      </c>
      <c r="G1955" s="32"/>
      <c r="H1955" s="21"/>
      <c r="I1955" s="33"/>
      <c r="J1955" s="21" t="str">
        <f aca="false">INDEX(Students!$C$2:$C$601,MATCH(B1955,Students!$A$2:$A$601,0))</f>
        <v>Batch 2025</v>
      </c>
      <c r="K1955" s="21" t="str">
        <f aca="false">INDEX(Students!$D$2:$D$601,MATCH(B1955,Students!$A$2:$A$601,0))</f>
        <v>Data Science &amp; ML</v>
      </c>
      <c r="L1955" s="21" t="str">
        <f aca="false">INDEX(Companies!$C$2:$C$31,MATCH(C1955,Companies!$A$2:$A$31,0))</f>
        <v>E-commerce</v>
      </c>
      <c r="M1955" s="21" t="str">
        <f aca="false">INDEX(Companies!$D$2:$D$31,MATCH(C1955,Companies!$A$2:$A$31,0))</f>
        <v>Tier 1</v>
      </c>
      <c r="N1955" s="34" t="n">
        <f aca="false">MATCH(F1955,Assumptions!$K$4:$K$8,0)</f>
        <v>1</v>
      </c>
      <c r="O1955" s="21" t="str">
        <f aca="false">IF(H1955="Yes",MONTH(I1955),"")</f>
        <v/>
      </c>
      <c r="P1955" s="21" t="str">
        <f aca="false">IF(H1955="Yes",B1955,"")</f>
        <v/>
      </c>
    </row>
    <row r="1956" customFormat="false" ht="15" hidden="false" customHeight="false" outlineLevel="0" collapsed="false">
      <c r="A1956" s="21" t="s">
        <v>3171</v>
      </c>
      <c r="B1956" s="21" t="s">
        <v>697</v>
      </c>
      <c r="C1956" s="21" t="s">
        <v>1322</v>
      </c>
      <c r="D1956" s="21" t="s">
        <v>1243</v>
      </c>
      <c r="E1956" s="33" t="n">
        <v>45712</v>
      </c>
      <c r="F1956" s="21" t="s">
        <v>1218</v>
      </c>
      <c r="G1956" s="32"/>
      <c r="H1956" s="21"/>
      <c r="I1956" s="33"/>
      <c r="J1956" s="21" t="str">
        <f aca="false">INDEX(Students!$C$2:$C$601,MATCH(B1956,Students!$A$2:$A$601,0))</f>
        <v>Batch 2025</v>
      </c>
      <c r="K1956" s="21" t="str">
        <f aca="false">INDEX(Students!$D$2:$D$601,MATCH(B1956,Students!$A$2:$A$601,0))</f>
        <v>Data Science &amp; ML</v>
      </c>
      <c r="L1956" s="21" t="str">
        <f aca="false">INDEX(Companies!$C$2:$C$31,MATCH(C1956,Companies!$A$2:$A$31,0))</f>
        <v>Healthtech</v>
      </c>
      <c r="M1956" s="21" t="str">
        <f aca="false">INDEX(Companies!$D$2:$D$31,MATCH(C1956,Companies!$A$2:$A$31,0))</f>
        <v>Tier 2</v>
      </c>
      <c r="N1956" s="34" t="n">
        <f aca="false">MATCH(F1956,Assumptions!$K$4:$K$8,0)</f>
        <v>4</v>
      </c>
      <c r="O1956" s="21" t="str">
        <f aca="false">IF(H1956="Yes",MONTH(I1956),"")</f>
        <v/>
      </c>
      <c r="P1956" s="21" t="str">
        <f aca="false">IF(H1956="Yes",B1956,"")</f>
        <v/>
      </c>
    </row>
    <row r="1957" customFormat="false" ht="15" hidden="false" customHeight="false" outlineLevel="0" collapsed="false">
      <c r="A1957" s="21" t="s">
        <v>3172</v>
      </c>
      <c r="B1957" s="21" t="s">
        <v>615</v>
      </c>
      <c r="C1957" s="21" t="s">
        <v>1205</v>
      </c>
      <c r="D1957" s="21" t="s">
        <v>1191</v>
      </c>
      <c r="E1957" s="33" t="n">
        <v>45712</v>
      </c>
      <c r="F1957" s="21" t="s">
        <v>1175</v>
      </c>
      <c r="G1957" s="32"/>
      <c r="H1957" s="21"/>
      <c r="I1957" s="33"/>
      <c r="J1957" s="21" t="str">
        <f aca="false">INDEX(Students!$C$2:$C$601,MATCH(B1957,Students!$A$2:$A$601,0))</f>
        <v>Batch 2025</v>
      </c>
      <c r="K1957" s="21" t="str">
        <f aca="false">INDEX(Students!$D$2:$D$601,MATCH(B1957,Students!$A$2:$A$601,0))</f>
        <v>DSA with Java</v>
      </c>
      <c r="L1957" s="21" t="str">
        <f aca="false">INDEX(Companies!$C$2:$C$31,MATCH(C1957,Companies!$A$2:$A$31,0))</f>
        <v>Healthtech</v>
      </c>
      <c r="M1957" s="21" t="str">
        <f aca="false">INDEX(Companies!$D$2:$D$31,MATCH(C1957,Companies!$A$2:$A$31,0))</f>
        <v>Tier 3</v>
      </c>
      <c r="N1957" s="34" t="n">
        <f aca="false">MATCH(F1957,Assumptions!$K$4:$K$8,0)</f>
        <v>1</v>
      </c>
      <c r="O1957" s="21" t="str">
        <f aca="false">IF(H1957="Yes",MONTH(I1957),"")</f>
        <v/>
      </c>
      <c r="P1957" s="21" t="str">
        <f aca="false">IF(H1957="Yes",B1957,"")</f>
        <v/>
      </c>
    </row>
    <row r="1958" customFormat="false" ht="15" hidden="false" customHeight="false" outlineLevel="0" collapsed="false">
      <c r="A1958" s="21" t="s">
        <v>3173</v>
      </c>
      <c r="B1958" s="21" t="s">
        <v>699</v>
      </c>
      <c r="C1958" s="21" t="s">
        <v>1290</v>
      </c>
      <c r="D1958" s="21" t="s">
        <v>1174</v>
      </c>
      <c r="E1958" s="33" t="n">
        <v>45712</v>
      </c>
      <c r="F1958" s="21" t="s">
        <v>1197</v>
      </c>
      <c r="G1958" s="32"/>
      <c r="H1958" s="21"/>
      <c r="I1958" s="33"/>
      <c r="J1958" s="21" t="str">
        <f aca="false">INDEX(Students!$C$2:$C$601,MATCH(B1958,Students!$A$2:$A$601,0))</f>
        <v>Batch 2025</v>
      </c>
      <c r="K1958" s="21" t="str">
        <f aca="false">INDEX(Students!$D$2:$D$601,MATCH(B1958,Students!$A$2:$A$601,0))</f>
        <v>Full Stack Development</v>
      </c>
      <c r="L1958" s="21" t="str">
        <f aca="false">INDEX(Companies!$C$2:$C$31,MATCH(C1958,Companies!$A$2:$A$31,0))</f>
        <v>Fintech</v>
      </c>
      <c r="M1958" s="21" t="str">
        <f aca="false">INDEX(Companies!$D$2:$D$31,MATCH(C1958,Companies!$A$2:$A$31,0))</f>
        <v>Tier 2</v>
      </c>
      <c r="N1958" s="34" t="n">
        <f aca="false">MATCH(F1958,Assumptions!$K$4:$K$8,0)</f>
        <v>3</v>
      </c>
      <c r="O1958" s="21" t="str">
        <f aca="false">IF(H1958="Yes",MONTH(I1958),"")</f>
        <v/>
      </c>
      <c r="P1958" s="21" t="str">
        <f aca="false">IF(H1958="Yes",B1958,"")</f>
        <v/>
      </c>
    </row>
    <row r="1959" customFormat="false" ht="15" hidden="false" customHeight="false" outlineLevel="0" collapsed="false">
      <c r="A1959" s="21" t="s">
        <v>3174</v>
      </c>
      <c r="B1959" s="21" t="s">
        <v>657</v>
      </c>
      <c r="C1959" s="21" t="s">
        <v>1193</v>
      </c>
      <c r="D1959" s="21" t="s">
        <v>1174</v>
      </c>
      <c r="E1959" s="33" t="n">
        <v>45712</v>
      </c>
      <c r="F1959" s="21" t="s">
        <v>1197</v>
      </c>
      <c r="G1959" s="32"/>
      <c r="H1959" s="21"/>
      <c r="I1959" s="33"/>
      <c r="J1959" s="21" t="str">
        <f aca="false">INDEX(Students!$C$2:$C$601,MATCH(B1959,Students!$A$2:$A$601,0))</f>
        <v>Batch 2025</v>
      </c>
      <c r="K1959" s="21" t="str">
        <f aca="false">INDEX(Students!$D$2:$D$601,MATCH(B1959,Students!$A$2:$A$601,0))</f>
        <v>Full Stack Development</v>
      </c>
      <c r="L1959" s="21" t="str">
        <f aca="false">INDEX(Companies!$C$2:$C$31,MATCH(C1959,Companies!$A$2:$A$31,0))</f>
        <v>Analytics &amp; Consulting</v>
      </c>
      <c r="M1959" s="21" t="str">
        <f aca="false">INDEX(Companies!$D$2:$D$31,MATCH(C1959,Companies!$A$2:$A$31,0))</f>
        <v>Tier 2</v>
      </c>
      <c r="N1959" s="34" t="n">
        <f aca="false">MATCH(F1959,Assumptions!$K$4:$K$8,0)</f>
        <v>3</v>
      </c>
      <c r="O1959" s="21" t="str">
        <f aca="false">IF(H1959="Yes",MONTH(I1959),"")</f>
        <v/>
      </c>
      <c r="P1959" s="21" t="str">
        <f aca="false">IF(H1959="Yes",B1959,"")</f>
        <v/>
      </c>
    </row>
    <row r="1960" customFormat="false" ht="15" hidden="false" customHeight="false" outlineLevel="0" collapsed="false">
      <c r="A1960" s="21" t="s">
        <v>3175</v>
      </c>
      <c r="B1960" s="21" t="s">
        <v>649</v>
      </c>
      <c r="C1960" s="21" t="s">
        <v>1216</v>
      </c>
      <c r="D1960" s="21" t="s">
        <v>1184</v>
      </c>
      <c r="E1960" s="33" t="n">
        <v>45712</v>
      </c>
      <c r="F1960" s="21" t="s">
        <v>1175</v>
      </c>
      <c r="G1960" s="32"/>
      <c r="H1960" s="21"/>
      <c r="I1960" s="33"/>
      <c r="J1960" s="21" t="str">
        <f aca="false">INDEX(Students!$C$2:$C$601,MATCH(B1960,Students!$A$2:$A$601,0))</f>
        <v>Batch 2025</v>
      </c>
      <c r="K1960" s="21" t="str">
        <f aca="false">INDEX(Students!$D$2:$D$601,MATCH(B1960,Students!$A$2:$A$601,0))</f>
        <v>DSA with Java</v>
      </c>
      <c r="L1960" s="21" t="str">
        <f aca="false">INDEX(Companies!$C$2:$C$31,MATCH(C1960,Companies!$A$2:$A$31,0))</f>
        <v>IT Services</v>
      </c>
      <c r="M1960" s="21" t="str">
        <f aca="false">INDEX(Companies!$D$2:$D$31,MATCH(C1960,Companies!$A$2:$A$31,0))</f>
        <v>Tier 3</v>
      </c>
      <c r="N1960" s="34" t="n">
        <f aca="false">MATCH(F1960,Assumptions!$K$4:$K$8,0)</f>
        <v>1</v>
      </c>
      <c r="O1960" s="21" t="str">
        <f aca="false">IF(H1960="Yes",MONTH(I1960),"")</f>
        <v/>
      </c>
      <c r="P1960" s="21" t="str">
        <f aca="false">IF(H1960="Yes",B1960,"")</f>
        <v/>
      </c>
    </row>
    <row r="1961" customFormat="false" ht="15" hidden="false" customHeight="false" outlineLevel="0" collapsed="false">
      <c r="A1961" s="21" t="s">
        <v>3176</v>
      </c>
      <c r="B1961" s="21" t="s">
        <v>739</v>
      </c>
      <c r="C1961" s="21" t="s">
        <v>1216</v>
      </c>
      <c r="D1961" s="21" t="s">
        <v>1194</v>
      </c>
      <c r="E1961" s="33" t="n">
        <v>45713</v>
      </c>
      <c r="F1961" s="21" t="s">
        <v>1218</v>
      </c>
      <c r="G1961" s="32"/>
      <c r="H1961" s="21"/>
      <c r="I1961" s="33"/>
      <c r="J1961" s="21" t="str">
        <f aca="false">INDEX(Students!$C$2:$C$601,MATCH(B1961,Students!$A$2:$A$601,0))</f>
        <v>Batch 2025</v>
      </c>
      <c r="K1961" s="21" t="str">
        <f aca="false">INDEX(Students!$D$2:$D$601,MATCH(B1961,Students!$A$2:$A$601,0))</f>
        <v>Data Science &amp; ML</v>
      </c>
      <c r="L1961" s="21" t="str">
        <f aca="false">INDEX(Companies!$C$2:$C$31,MATCH(C1961,Companies!$A$2:$A$31,0))</f>
        <v>IT Services</v>
      </c>
      <c r="M1961" s="21" t="str">
        <f aca="false">INDEX(Companies!$D$2:$D$31,MATCH(C1961,Companies!$A$2:$A$31,0))</f>
        <v>Tier 3</v>
      </c>
      <c r="N1961" s="34" t="n">
        <f aca="false">MATCH(F1961,Assumptions!$K$4:$K$8,0)</f>
        <v>4</v>
      </c>
      <c r="O1961" s="21" t="str">
        <f aca="false">IF(H1961="Yes",MONTH(I1961),"")</f>
        <v/>
      </c>
      <c r="P1961" s="21" t="str">
        <f aca="false">IF(H1961="Yes",B1961,"")</f>
        <v/>
      </c>
    </row>
    <row r="1962" customFormat="false" ht="15" hidden="false" customHeight="false" outlineLevel="0" collapsed="false">
      <c r="A1962" s="21" t="s">
        <v>3177</v>
      </c>
      <c r="B1962" s="21" t="s">
        <v>755</v>
      </c>
      <c r="C1962" s="21" t="s">
        <v>1255</v>
      </c>
      <c r="D1962" s="21" t="s">
        <v>1209</v>
      </c>
      <c r="E1962" s="33" t="n">
        <v>45713</v>
      </c>
      <c r="F1962" s="21" t="s">
        <v>1175</v>
      </c>
      <c r="G1962" s="32"/>
      <c r="H1962" s="21"/>
      <c r="I1962" s="33"/>
      <c r="J1962" s="21" t="str">
        <f aca="false">INDEX(Students!$C$2:$C$601,MATCH(B1962,Students!$A$2:$A$601,0))</f>
        <v>Batch 2025</v>
      </c>
      <c r="K1962" s="21" t="str">
        <f aca="false">INDEX(Students!$D$2:$D$601,MATCH(B1962,Students!$A$2:$A$601,0))</f>
        <v>Data Analytics</v>
      </c>
      <c r="L1962" s="21" t="str">
        <f aca="false">INDEX(Companies!$C$2:$C$31,MATCH(C1962,Companies!$A$2:$A$31,0))</f>
        <v>IT Services</v>
      </c>
      <c r="M1962" s="21" t="str">
        <f aca="false">INDEX(Companies!$D$2:$D$31,MATCH(C1962,Companies!$A$2:$A$31,0))</f>
        <v>Tier 3</v>
      </c>
      <c r="N1962" s="34" t="n">
        <f aca="false">MATCH(F1962,Assumptions!$K$4:$K$8,0)</f>
        <v>1</v>
      </c>
      <c r="O1962" s="21" t="str">
        <f aca="false">IF(H1962="Yes",MONTH(I1962),"")</f>
        <v/>
      </c>
      <c r="P1962" s="21" t="str">
        <f aca="false">IF(H1962="Yes",B1962,"")</f>
        <v/>
      </c>
    </row>
    <row r="1963" customFormat="false" ht="15" hidden="false" customHeight="false" outlineLevel="0" collapsed="false">
      <c r="A1963" s="21" t="s">
        <v>3178</v>
      </c>
      <c r="B1963" s="21" t="s">
        <v>528</v>
      </c>
      <c r="C1963" s="21" t="s">
        <v>1266</v>
      </c>
      <c r="D1963" s="21" t="s">
        <v>1184</v>
      </c>
      <c r="E1963" s="33" t="n">
        <v>45713</v>
      </c>
      <c r="F1963" s="21" t="s">
        <v>1218</v>
      </c>
      <c r="G1963" s="32"/>
      <c r="H1963" s="21"/>
      <c r="I1963" s="33"/>
      <c r="J1963" s="21" t="str">
        <f aca="false">INDEX(Students!$C$2:$C$601,MATCH(B1963,Students!$A$2:$A$601,0))</f>
        <v>Batch 2025</v>
      </c>
      <c r="K1963" s="21" t="str">
        <f aca="false">INDEX(Students!$D$2:$D$601,MATCH(B1963,Students!$A$2:$A$601,0))</f>
        <v>DSA with Java</v>
      </c>
      <c r="L1963" s="21" t="str">
        <f aca="false">INDEX(Companies!$C$2:$C$31,MATCH(C1963,Companies!$A$2:$A$31,0))</f>
        <v>IT Services</v>
      </c>
      <c r="M1963" s="21" t="str">
        <f aca="false">INDEX(Companies!$D$2:$D$31,MATCH(C1963,Companies!$A$2:$A$31,0))</f>
        <v>Tier 3</v>
      </c>
      <c r="N1963" s="34" t="n">
        <f aca="false">MATCH(F1963,Assumptions!$K$4:$K$8,0)</f>
        <v>4</v>
      </c>
      <c r="O1963" s="21" t="str">
        <f aca="false">IF(H1963="Yes",MONTH(I1963),"")</f>
        <v/>
      </c>
      <c r="P1963" s="21" t="str">
        <f aca="false">IF(H1963="Yes",B1963,"")</f>
        <v/>
      </c>
    </row>
    <row r="1964" customFormat="false" ht="15" hidden="false" customHeight="false" outlineLevel="0" collapsed="false">
      <c r="A1964" s="21" t="s">
        <v>3179</v>
      </c>
      <c r="B1964" s="21" t="s">
        <v>718</v>
      </c>
      <c r="C1964" s="21" t="s">
        <v>1234</v>
      </c>
      <c r="D1964" s="21" t="s">
        <v>1184</v>
      </c>
      <c r="E1964" s="33" t="n">
        <v>45713</v>
      </c>
      <c r="F1964" s="21" t="s">
        <v>1185</v>
      </c>
      <c r="G1964" s="32" t="n">
        <v>6.2</v>
      </c>
      <c r="H1964" s="21" t="s">
        <v>113</v>
      </c>
      <c r="I1964" s="33" t="n">
        <v>45748</v>
      </c>
      <c r="J1964" s="21" t="str">
        <f aca="false">INDEX(Students!$C$2:$C$601,MATCH(B1964,Students!$A$2:$A$601,0))</f>
        <v>Batch 2025</v>
      </c>
      <c r="K1964" s="21" t="str">
        <f aca="false">INDEX(Students!$D$2:$D$601,MATCH(B1964,Students!$A$2:$A$601,0))</f>
        <v>DSA with Java</v>
      </c>
      <c r="L1964" s="21" t="str">
        <f aca="false">INDEX(Companies!$C$2:$C$31,MATCH(C1964,Companies!$A$2:$A$31,0))</f>
        <v>EdTech</v>
      </c>
      <c r="M1964" s="21" t="str">
        <f aca="false">INDEX(Companies!$D$2:$D$31,MATCH(C1964,Companies!$A$2:$A$31,0))</f>
        <v>Tier 3</v>
      </c>
      <c r="N1964" s="34" t="n">
        <f aca="false">MATCH(F1964,Assumptions!$K$4:$K$8,0)</f>
        <v>5</v>
      </c>
      <c r="O1964" s="21" t="str">
        <f aca="false">IF(H1964="Yes",MONTH(I1964),"")</f>
        <v/>
      </c>
      <c r="P1964" s="21" t="str">
        <f aca="false">IF(H1964="Yes",B1964,"")</f>
        <v/>
      </c>
    </row>
    <row r="1965" customFormat="false" ht="15" hidden="false" customHeight="false" outlineLevel="0" collapsed="false">
      <c r="A1965" s="21" t="s">
        <v>3180</v>
      </c>
      <c r="B1965" s="21" t="s">
        <v>614</v>
      </c>
      <c r="C1965" s="21" t="s">
        <v>1180</v>
      </c>
      <c r="D1965" s="21" t="s">
        <v>1243</v>
      </c>
      <c r="E1965" s="33" t="n">
        <v>45713</v>
      </c>
      <c r="F1965" s="21" t="s">
        <v>1178</v>
      </c>
      <c r="G1965" s="32"/>
      <c r="H1965" s="21"/>
      <c r="I1965" s="33"/>
      <c r="J1965" s="21" t="str">
        <f aca="false">INDEX(Students!$C$2:$C$601,MATCH(B1965,Students!$A$2:$A$601,0))</f>
        <v>Batch 2025</v>
      </c>
      <c r="K1965" s="21" t="str">
        <f aca="false">INDEX(Students!$D$2:$D$601,MATCH(B1965,Students!$A$2:$A$601,0))</f>
        <v>Data Science &amp; ML</v>
      </c>
      <c r="L1965" s="21" t="str">
        <f aca="false">INDEX(Companies!$C$2:$C$31,MATCH(C1965,Companies!$A$2:$A$31,0))</f>
        <v>IT Services</v>
      </c>
      <c r="M1965" s="21" t="str">
        <f aca="false">INDEX(Companies!$D$2:$D$31,MATCH(C1965,Companies!$A$2:$A$31,0))</f>
        <v>Tier 3</v>
      </c>
      <c r="N1965" s="34" t="n">
        <f aca="false">MATCH(F1965,Assumptions!$K$4:$K$8,0)</f>
        <v>2</v>
      </c>
      <c r="O1965" s="21" t="str">
        <f aca="false">IF(H1965="Yes",MONTH(I1965),"")</f>
        <v/>
      </c>
      <c r="P1965" s="21" t="str">
        <f aca="false">IF(H1965="Yes",B1965,"")</f>
        <v/>
      </c>
    </row>
    <row r="1966" customFormat="false" ht="15" hidden="false" customHeight="false" outlineLevel="0" collapsed="false">
      <c r="A1966" s="21" t="s">
        <v>3181</v>
      </c>
      <c r="B1966" s="21" t="s">
        <v>460</v>
      </c>
      <c r="C1966" s="21" t="s">
        <v>1230</v>
      </c>
      <c r="D1966" s="21" t="s">
        <v>1174</v>
      </c>
      <c r="E1966" s="33" t="n">
        <v>45714</v>
      </c>
      <c r="F1966" s="21" t="s">
        <v>1175</v>
      </c>
      <c r="G1966" s="32"/>
      <c r="H1966" s="21"/>
      <c r="I1966" s="33"/>
      <c r="J1966" s="21" t="str">
        <f aca="false">INDEX(Students!$C$2:$C$601,MATCH(B1966,Students!$A$2:$A$601,0))</f>
        <v>Batch 2025</v>
      </c>
      <c r="K1966" s="21" t="str">
        <f aca="false">INDEX(Students!$D$2:$D$601,MATCH(B1966,Students!$A$2:$A$601,0))</f>
        <v>Full Stack Development</v>
      </c>
      <c r="L1966" s="21" t="str">
        <f aca="false">INDEX(Companies!$C$2:$C$31,MATCH(C1966,Companies!$A$2:$A$31,0))</f>
        <v>IT Services</v>
      </c>
      <c r="M1966" s="21" t="str">
        <f aca="false">INDEX(Companies!$D$2:$D$31,MATCH(C1966,Companies!$A$2:$A$31,0))</f>
        <v>Tier 3</v>
      </c>
      <c r="N1966" s="34" t="n">
        <f aca="false">MATCH(F1966,Assumptions!$K$4:$K$8,0)</f>
        <v>1</v>
      </c>
      <c r="O1966" s="21" t="str">
        <f aca="false">IF(H1966="Yes",MONTH(I1966),"")</f>
        <v/>
      </c>
      <c r="P1966" s="21" t="str">
        <f aca="false">IF(H1966="Yes",B1966,"")</f>
        <v/>
      </c>
    </row>
    <row r="1967" customFormat="false" ht="15" hidden="false" customHeight="false" outlineLevel="0" collapsed="false">
      <c r="A1967" s="21" t="s">
        <v>3182</v>
      </c>
      <c r="B1967" s="21" t="s">
        <v>729</v>
      </c>
      <c r="C1967" s="21" t="s">
        <v>1203</v>
      </c>
      <c r="D1967" s="21" t="s">
        <v>1226</v>
      </c>
      <c r="E1967" s="33" t="n">
        <v>45714</v>
      </c>
      <c r="F1967" s="21" t="s">
        <v>1178</v>
      </c>
      <c r="G1967" s="32"/>
      <c r="H1967" s="21"/>
      <c r="I1967" s="33"/>
      <c r="J1967" s="21" t="str">
        <f aca="false">INDEX(Students!$C$2:$C$601,MATCH(B1967,Students!$A$2:$A$601,0))</f>
        <v>Batch 2025</v>
      </c>
      <c r="K1967" s="21" t="str">
        <f aca="false">INDEX(Students!$D$2:$D$601,MATCH(B1967,Students!$A$2:$A$601,0))</f>
        <v>Cybersecurity</v>
      </c>
      <c r="L1967" s="21" t="str">
        <f aca="false">INDEX(Companies!$C$2:$C$31,MATCH(C1967,Companies!$A$2:$A$31,0))</f>
        <v>Healthtech</v>
      </c>
      <c r="M1967" s="21" t="str">
        <f aca="false">INDEX(Companies!$D$2:$D$31,MATCH(C1967,Companies!$A$2:$A$31,0))</f>
        <v>Tier 2</v>
      </c>
      <c r="N1967" s="34" t="n">
        <f aca="false">MATCH(F1967,Assumptions!$K$4:$K$8,0)</f>
        <v>2</v>
      </c>
      <c r="O1967" s="21" t="str">
        <f aca="false">IF(H1967="Yes",MONTH(I1967),"")</f>
        <v/>
      </c>
      <c r="P1967" s="21" t="str">
        <f aca="false">IF(H1967="Yes",B1967,"")</f>
        <v/>
      </c>
    </row>
    <row r="1968" customFormat="false" ht="15" hidden="false" customHeight="false" outlineLevel="0" collapsed="false">
      <c r="A1968" s="21" t="s">
        <v>3183</v>
      </c>
      <c r="B1968" s="21" t="s">
        <v>758</v>
      </c>
      <c r="C1968" s="21" t="s">
        <v>1173</v>
      </c>
      <c r="D1968" s="21" t="s">
        <v>1188</v>
      </c>
      <c r="E1968" s="33" t="n">
        <v>45714</v>
      </c>
      <c r="F1968" s="21" t="s">
        <v>1185</v>
      </c>
      <c r="G1968" s="32" t="n">
        <v>24.7</v>
      </c>
      <c r="H1968" s="21" t="s">
        <v>120</v>
      </c>
      <c r="I1968" s="33" t="n">
        <v>45764</v>
      </c>
      <c r="J1968" s="21" t="str">
        <f aca="false">INDEX(Students!$C$2:$C$601,MATCH(B1968,Students!$A$2:$A$601,0))</f>
        <v>Batch 2025</v>
      </c>
      <c r="K1968" s="21" t="str">
        <f aca="false">INDEX(Students!$D$2:$D$601,MATCH(B1968,Students!$A$2:$A$601,0))</f>
        <v>Data Analytics</v>
      </c>
      <c r="L1968" s="21" t="str">
        <f aca="false">INDEX(Companies!$C$2:$C$31,MATCH(C1968,Companies!$A$2:$A$31,0))</f>
        <v>Cybersecurity</v>
      </c>
      <c r="M1968" s="21" t="str">
        <f aca="false">INDEX(Companies!$D$2:$D$31,MATCH(C1968,Companies!$A$2:$A$31,0))</f>
        <v>Tier 1</v>
      </c>
      <c r="N1968" s="34" t="n">
        <f aca="false">MATCH(F1968,Assumptions!$K$4:$K$8,0)</f>
        <v>5</v>
      </c>
      <c r="O1968" s="21" t="n">
        <f aca="false">IF(H1968="Yes",MONTH(I1968),"")</f>
        <v>4</v>
      </c>
      <c r="P1968" s="21" t="str">
        <f aca="false">IF(H1968="Yes",B1968,"")</f>
        <v>S0352</v>
      </c>
    </row>
    <row r="1969" customFormat="false" ht="15" hidden="false" customHeight="false" outlineLevel="0" collapsed="false">
      <c r="A1969" s="21" t="s">
        <v>3184</v>
      </c>
      <c r="B1969" s="21" t="s">
        <v>682</v>
      </c>
      <c r="C1969" s="21" t="s">
        <v>1177</v>
      </c>
      <c r="D1969" s="21" t="s">
        <v>1191</v>
      </c>
      <c r="E1969" s="33" t="n">
        <v>45714</v>
      </c>
      <c r="F1969" s="21" t="s">
        <v>1185</v>
      </c>
      <c r="G1969" s="32" t="n">
        <v>5.5</v>
      </c>
      <c r="H1969" s="21" t="s">
        <v>113</v>
      </c>
      <c r="I1969" s="33" t="n">
        <v>45767</v>
      </c>
      <c r="J1969" s="21" t="str">
        <f aca="false">INDEX(Students!$C$2:$C$601,MATCH(B1969,Students!$A$2:$A$601,0))</f>
        <v>Batch 2025</v>
      </c>
      <c r="K1969" s="21" t="str">
        <f aca="false">INDEX(Students!$D$2:$D$601,MATCH(B1969,Students!$A$2:$A$601,0))</f>
        <v>DSA with Java</v>
      </c>
      <c r="L1969" s="21" t="str">
        <f aca="false">INDEX(Companies!$C$2:$C$31,MATCH(C1969,Companies!$A$2:$A$31,0))</f>
        <v>IT Services</v>
      </c>
      <c r="M1969" s="21" t="str">
        <f aca="false">INDEX(Companies!$D$2:$D$31,MATCH(C1969,Companies!$A$2:$A$31,0))</f>
        <v>Tier 3</v>
      </c>
      <c r="N1969" s="34" t="n">
        <f aca="false">MATCH(F1969,Assumptions!$K$4:$K$8,0)</f>
        <v>5</v>
      </c>
      <c r="O1969" s="21" t="str">
        <f aca="false">IF(H1969="Yes",MONTH(I1969),"")</f>
        <v/>
      </c>
      <c r="P1969" s="21" t="str">
        <f aca="false">IF(H1969="Yes",B1969,"")</f>
        <v/>
      </c>
    </row>
    <row r="1970" customFormat="false" ht="15" hidden="false" customHeight="false" outlineLevel="0" collapsed="false">
      <c r="A1970" s="21" t="s">
        <v>3185</v>
      </c>
      <c r="B1970" s="21" t="s">
        <v>463</v>
      </c>
      <c r="C1970" s="21" t="s">
        <v>1208</v>
      </c>
      <c r="D1970" s="21" t="s">
        <v>1240</v>
      </c>
      <c r="E1970" s="33" t="n">
        <v>45714</v>
      </c>
      <c r="F1970" s="21" t="s">
        <v>1175</v>
      </c>
      <c r="G1970" s="32"/>
      <c r="H1970" s="21"/>
      <c r="I1970" s="33"/>
      <c r="J1970" s="21" t="str">
        <f aca="false">INDEX(Students!$C$2:$C$601,MATCH(B1970,Students!$A$2:$A$601,0))</f>
        <v>Batch 2025</v>
      </c>
      <c r="K1970" s="21" t="str">
        <f aca="false">INDEX(Students!$D$2:$D$601,MATCH(B1970,Students!$A$2:$A$601,0))</f>
        <v>Cybersecurity</v>
      </c>
      <c r="L1970" s="21" t="str">
        <f aca="false">INDEX(Companies!$C$2:$C$31,MATCH(C1970,Companies!$A$2:$A$31,0))</f>
        <v>E-commerce</v>
      </c>
      <c r="M1970" s="21" t="str">
        <f aca="false">INDEX(Companies!$D$2:$D$31,MATCH(C1970,Companies!$A$2:$A$31,0))</f>
        <v>Tier 1</v>
      </c>
      <c r="N1970" s="34" t="n">
        <f aca="false">MATCH(F1970,Assumptions!$K$4:$K$8,0)</f>
        <v>1</v>
      </c>
      <c r="O1970" s="21" t="str">
        <f aca="false">IF(H1970="Yes",MONTH(I1970),"")</f>
        <v/>
      </c>
      <c r="P1970" s="21" t="str">
        <f aca="false">IF(H1970="Yes",B1970,"")</f>
        <v/>
      </c>
    </row>
    <row r="1971" customFormat="false" ht="15" hidden="false" customHeight="false" outlineLevel="0" collapsed="false">
      <c r="A1971" s="21" t="s">
        <v>3186</v>
      </c>
      <c r="B1971" s="21" t="s">
        <v>651</v>
      </c>
      <c r="C1971" s="21" t="s">
        <v>1275</v>
      </c>
      <c r="D1971" s="21" t="s">
        <v>1226</v>
      </c>
      <c r="E1971" s="33" t="n">
        <v>45714</v>
      </c>
      <c r="F1971" s="21" t="s">
        <v>1175</v>
      </c>
      <c r="G1971" s="32"/>
      <c r="H1971" s="21"/>
      <c r="I1971" s="33"/>
      <c r="J1971" s="21" t="str">
        <f aca="false">INDEX(Students!$C$2:$C$601,MATCH(B1971,Students!$A$2:$A$601,0))</f>
        <v>Batch 2025</v>
      </c>
      <c r="K1971" s="21" t="str">
        <f aca="false">INDEX(Students!$D$2:$D$601,MATCH(B1971,Students!$A$2:$A$601,0))</f>
        <v>Cybersecurity</v>
      </c>
      <c r="L1971" s="21" t="str">
        <f aca="false">INDEX(Companies!$C$2:$C$31,MATCH(C1971,Companies!$A$2:$A$31,0))</f>
        <v>Cybersecurity</v>
      </c>
      <c r="M1971" s="21" t="str">
        <f aca="false">INDEX(Companies!$D$2:$D$31,MATCH(C1971,Companies!$A$2:$A$31,0))</f>
        <v>Tier 2</v>
      </c>
      <c r="N1971" s="34" t="n">
        <f aca="false">MATCH(F1971,Assumptions!$K$4:$K$8,0)</f>
        <v>1</v>
      </c>
      <c r="O1971" s="21" t="str">
        <f aca="false">IF(H1971="Yes",MONTH(I1971),"")</f>
        <v/>
      </c>
      <c r="P1971" s="21" t="str">
        <f aca="false">IF(H1971="Yes",B1971,"")</f>
        <v/>
      </c>
    </row>
    <row r="1972" customFormat="false" ht="15" hidden="false" customHeight="false" outlineLevel="0" collapsed="false">
      <c r="A1972" s="21" t="s">
        <v>3187</v>
      </c>
      <c r="B1972" s="21" t="s">
        <v>630</v>
      </c>
      <c r="C1972" s="21" t="s">
        <v>1201</v>
      </c>
      <c r="D1972" s="21" t="s">
        <v>1174</v>
      </c>
      <c r="E1972" s="33" t="n">
        <v>45714</v>
      </c>
      <c r="F1972" s="21" t="s">
        <v>1197</v>
      </c>
      <c r="G1972" s="32"/>
      <c r="H1972" s="21"/>
      <c r="I1972" s="33"/>
      <c r="J1972" s="21" t="str">
        <f aca="false">INDEX(Students!$C$2:$C$601,MATCH(B1972,Students!$A$2:$A$601,0))</f>
        <v>Batch 2025</v>
      </c>
      <c r="K1972" s="21" t="str">
        <f aca="false">INDEX(Students!$D$2:$D$601,MATCH(B1972,Students!$A$2:$A$601,0))</f>
        <v>Full Stack Development</v>
      </c>
      <c r="L1972" s="21" t="str">
        <f aca="false">INDEX(Companies!$C$2:$C$31,MATCH(C1972,Companies!$A$2:$A$31,0))</f>
        <v>IT Services</v>
      </c>
      <c r="M1972" s="21" t="str">
        <f aca="false">INDEX(Companies!$D$2:$D$31,MATCH(C1972,Companies!$A$2:$A$31,0))</f>
        <v>Tier 3</v>
      </c>
      <c r="N1972" s="34" t="n">
        <f aca="false">MATCH(F1972,Assumptions!$K$4:$K$8,0)</f>
        <v>3</v>
      </c>
      <c r="O1972" s="21" t="str">
        <f aca="false">IF(H1972="Yes",MONTH(I1972),"")</f>
        <v/>
      </c>
      <c r="P1972" s="21" t="str">
        <f aca="false">IF(H1972="Yes",B1972,"")</f>
        <v/>
      </c>
    </row>
    <row r="1973" customFormat="false" ht="15" hidden="false" customHeight="false" outlineLevel="0" collapsed="false">
      <c r="A1973" s="21" t="s">
        <v>3188</v>
      </c>
      <c r="B1973" s="21" t="s">
        <v>665</v>
      </c>
      <c r="C1973" s="21" t="s">
        <v>1290</v>
      </c>
      <c r="D1973" s="21" t="s">
        <v>1184</v>
      </c>
      <c r="E1973" s="33" t="n">
        <v>45714</v>
      </c>
      <c r="F1973" s="21" t="s">
        <v>1218</v>
      </c>
      <c r="G1973" s="32"/>
      <c r="H1973" s="21"/>
      <c r="I1973" s="33"/>
      <c r="J1973" s="21" t="str">
        <f aca="false">INDEX(Students!$C$2:$C$601,MATCH(B1973,Students!$A$2:$A$601,0))</f>
        <v>Batch 2025</v>
      </c>
      <c r="K1973" s="21" t="str">
        <f aca="false">INDEX(Students!$D$2:$D$601,MATCH(B1973,Students!$A$2:$A$601,0))</f>
        <v>DSA with Java</v>
      </c>
      <c r="L1973" s="21" t="str">
        <f aca="false">INDEX(Companies!$C$2:$C$31,MATCH(C1973,Companies!$A$2:$A$31,0))</f>
        <v>Fintech</v>
      </c>
      <c r="M1973" s="21" t="str">
        <f aca="false">INDEX(Companies!$D$2:$D$31,MATCH(C1973,Companies!$A$2:$A$31,0))</f>
        <v>Tier 2</v>
      </c>
      <c r="N1973" s="34" t="n">
        <f aca="false">MATCH(F1973,Assumptions!$K$4:$K$8,0)</f>
        <v>4</v>
      </c>
      <c r="O1973" s="21" t="str">
        <f aca="false">IF(H1973="Yes",MONTH(I1973),"")</f>
        <v/>
      </c>
      <c r="P1973" s="21" t="str">
        <f aca="false">IF(H1973="Yes",B1973,"")</f>
        <v/>
      </c>
    </row>
    <row r="1974" customFormat="false" ht="15" hidden="false" customHeight="false" outlineLevel="0" collapsed="false">
      <c r="A1974" s="21" t="s">
        <v>3189</v>
      </c>
      <c r="B1974" s="21" t="s">
        <v>575</v>
      </c>
      <c r="C1974" s="21" t="s">
        <v>1298</v>
      </c>
      <c r="D1974" s="21" t="s">
        <v>1184</v>
      </c>
      <c r="E1974" s="33" t="n">
        <v>45714</v>
      </c>
      <c r="F1974" s="21" t="s">
        <v>1197</v>
      </c>
      <c r="G1974" s="32"/>
      <c r="H1974" s="21"/>
      <c r="I1974" s="33"/>
      <c r="J1974" s="21" t="str">
        <f aca="false">INDEX(Students!$C$2:$C$601,MATCH(B1974,Students!$A$2:$A$601,0))</f>
        <v>Batch 2025</v>
      </c>
      <c r="K1974" s="21" t="str">
        <f aca="false">INDEX(Students!$D$2:$D$601,MATCH(B1974,Students!$A$2:$A$601,0))</f>
        <v>DSA with Java</v>
      </c>
      <c r="L1974" s="21" t="str">
        <f aca="false">INDEX(Companies!$C$2:$C$31,MATCH(C1974,Companies!$A$2:$A$31,0))</f>
        <v>Fintech</v>
      </c>
      <c r="M1974" s="21" t="str">
        <f aca="false">INDEX(Companies!$D$2:$D$31,MATCH(C1974,Companies!$A$2:$A$31,0))</f>
        <v>Tier 2</v>
      </c>
      <c r="N1974" s="34" t="n">
        <f aca="false">MATCH(F1974,Assumptions!$K$4:$K$8,0)</f>
        <v>3</v>
      </c>
      <c r="O1974" s="21" t="str">
        <f aca="false">IF(H1974="Yes",MONTH(I1974),"")</f>
        <v/>
      </c>
      <c r="P1974" s="21" t="str">
        <f aca="false">IF(H1974="Yes",B1974,"")</f>
        <v/>
      </c>
    </row>
    <row r="1975" customFormat="false" ht="15" hidden="false" customHeight="false" outlineLevel="0" collapsed="false">
      <c r="A1975" s="21" t="s">
        <v>3190</v>
      </c>
      <c r="B1975" s="21" t="s">
        <v>780</v>
      </c>
      <c r="C1975" s="21" t="s">
        <v>1228</v>
      </c>
      <c r="D1975" s="21" t="s">
        <v>1174</v>
      </c>
      <c r="E1975" s="33" t="n">
        <v>45714</v>
      </c>
      <c r="F1975" s="21" t="s">
        <v>1175</v>
      </c>
      <c r="G1975" s="32"/>
      <c r="H1975" s="21"/>
      <c r="I1975" s="33"/>
      <c r="J1975" s="21" t="str">
        <f aca="false">INDEX(Students!$C$2:$C$601,MATCH(B1975,Students!$A$2:$A$601,0))</f>
        <v>Batch 2025</v>
      </c>
      <c r="K1975" s="21" t="str">
        <f aca="false">INDEX(Students!$D$2:$D$601,MATCH(B1975,Students!$A$2:$A$601,0))</f>
        <v>Full Stack Development</v>
      </c>
      <c r="L1975" s="21" t="str">
        <f aca="false">INDEX(Companies!$C$2:$C$31,MATCH(C1975,Companies!$A$2:$A$31,0))</f>
        <v>Fintech</v>
      </c>
      <c r="M1975" s="21" t="str">
        <f aca="false">INDEX(Companies!$D$2:$D$31,MATCH(C1975,Companies!$A$2:$A$31,0))</f>
        <v>Tier 1</v>
      </c>
      <c r="N1975" s="34" t="n">
        <f aca="false">MATCH(F1975,Assumptions!$K$4:$K$8,0)</f>
        <v>1</v>
      </c>
      <c r="O1975" s="21" t="str">
        <f aca="false">IF(H1975="Yes",MONTH(I1975),"")</f>
        <v/>
      </c>
      <c r="P1975" s="21" t="str">
        <f aca="false">IF(H1975="Yes",B1975,"")</f>
        <v/>
      </c>
    </row>
    <row r="1976" customFormat="false" ht="15" hidden="false" customHeight="false" outlineLevel="0" collapsed="false">
      <c r="A1976" s="21" t="s">
        <v>3191</v>
      </c>
      <c r="B1976" s="21" t="s">
        <v>565</v>
      </c>
      <c r="C1976" s="21" t="s">
        <v>1275</v>
      </c>
      <c r="D1976" s="21" t="s">
        <v>1191</v>
      </c>
      <c r="E1976" s="33" t="n">
        <v>45714</v>
      </c>
      <c r="F1976" s="21" t="s">
        <v>1197</v>
      </c>
      <c r="G1976" s="32"/>
      <c r="H1976" s="21"/>
      <c r="I1976" s="33"/>
      <c r="J1976" s="21" t="str">
        <f aca="false">INDEX(Students!$C$2:$C$601,MATCH(B1976,Students!$A$2:$A$601,0))</f>
        <v>Batch 2025</v>
      </c>
      <c r="K1976" s="21" t="str">
        <f aca="false">INDEX(Students!$D$2:$D$601,MATCH(B1976,Students!$A$2:$A$601,0))</f>
        <v>DSA with Java</v>
      </c>
      <c r="L1976" s="21" t="str">
        <f aca="false">INDEX(Companies!$C$2:$C$31,MATCH(C1976,Companies!$A$2:$A$31,0))</f>
        <v>Cybersecurity</v>
      </c>
      <c r="M1976" s="21" t="str">
        <f aca="false">INDEX(Companies!$D$2:$D$31,MATCH(C1976,Companies!$A$2:$A$31,0))</f>
        <v>Tier 2</v>
      </c>
      <c r="N1976" s="34" t="n">
        <f aca="false">MATCH(F1976,Assumptions!$K$4:$K$8,0)</f>
        <v>3</v>
      </c>
      <c r="O1976" s="21" t="str">
        <f aca="false">IF(H1976="Yes",MONTH(I1976),"")</f>
        <v/>
      </c>
      <c r="P1976" s="21" t="str">
        <f aca="false">IF(H1976="Yes",B1976,"")</f>
        <v/>
      </c>
    </row>
    <row r="1977" customFormat="false" ht="15" hidden="false" customHeight="false" outlineLevel="0" collapsed="false">
      <c r="A1977" s="21" t="s">
        <v>3192</v>
      </c>
      <c r="B1977" s="21" t="s">
        <v>556</v>
      </c>
      <c r="C1977" s="21" t="s">
        <v>1173</v>
      </c>
      <c r="D1977" s="21" t="s">
        <v>1194</v>
      </c>
      <c r="E1977" s="33" t="n">
        <v>45714</v>
      </c>
      <c r="F1977" s="21" t="s">
        <v>1178</v>
      </c>
      <c r="G1977" s="32"/>
      <c r="H1977" s="21"/>
      <c r="I1977" s="33"/>
      <c r="J1977" s="21" t="str">
        <f aca="false">INDEX(Students!$C$2:$C$601,MATCH(B1977,Students!$A$2:$A$601,0))</f>
        <v>Batch 2025</v>
      </c>
      <c r="K1977" s="21" t="str">
        <f aca="false">INDEX(Students!$D$2:$D$601,MATCH(B1977,Students!$A$2:$A$601,0))</f>
        <v>Data Science &amp; ML</v>
      </c>
      <c r="L1977" s="21" t="str">
        <f aca="false">INDEX(Companies!$C$2:$C$31,MATCH(C1977,Companies!$A$2:$A$31,0))</f>
        <v>Cybersecurity</v>
      </c>
      <c r="M1977" s="21" t="str">
        <f aca="false">INDEX(Companies!$D$2:$D$31,MATCH(C1977,Companies!$A$2:$A$31,0))</f>
        <v>Tier 1</v>
      </c>
      <c r="N1977" s="34" t="n">
        <f aca="false">MATCH(F1977,Assumptions!$K$4:$K$8,0)</f>
        <v>2</v>
      </c>
      <c r="O1977" s="21" t="str">
        <f aca="false">IF(H1977="Yes",MONTH(I1977),"")</f>
        <v/>
      </c>
      <c r="P1977" s="21" t="str">
        <f aca="false">IF(H1977="Yes",B1977,"")</f>
        <v/>
      </c>
    </row>
    <row r="1978" customFormat="false" ht="15" hidden="false" customHeight="false" outlineLevel="0" collapsed="false">
      <c r="A1978" s="21" t="s">
        <v>3193</v>
      </c>
      <c r="B1978" s="21" t="s">
        <v>785</v>
      </c>
      <c r="C1978" s="21" t="s">
        <v>1211</v>
      </c>
      <c r="D1978" s="21" t="s">
        <v>1184</v>
      </c>
      <c r="E1978" s="33" t="n">
        <v>45714</v>
      </c>
      <c r="F1978" s="21" t="s">
        <v>1175</v>
      </c>
      <c r="G1978" s="32"/>
      <c r="H1978" s="21"/>
      <c r="I1978" s="33"/>
      <c r="J1978" s="21" t="str">
        <f aca="false">INDEX(Students!$C$2:$C$601,MATCH(B1978,Students!$A$2:$A$601,0))</f>
        <v>Batch 2025</v>
      </c>
      <c r="K1978" s="21" t="str">
        <f aca="false">INDEX(Students!$D$2:$D$601,MATCH(B1978,Students!$A$2:$A$601,0))</f>
        <v>DSA with Java</v>
      </c>
      <c r="L1978" s="21" t="str">
        <f aca="false">INDEX(Companies!$C$2:$C$31,MATCH(C1978,Companies!$A$2:$A$31,0))</f>
        <v>Analytics &amp; Consulting</v>
      </c>
      <c r="M1978" s="21" t="str">
        <f aca="false">INDEX(Companies!$D$2:$D$31,MATCH(C1978,Companies!$A$2:$A$31,0))</f>
        <v>Tier 3</v>
      </c>
      <c r="N1978" s="34" t="n">
        <f aca="false">MATCH(F1978,Assumptions!$K$4:$K$8,0)</f>
        <v>1</v>
      </c>
      <c r="O1978" s="21" t="str">
        <f aca="false">IF(H1978="Yes",MONTH(I1978),"")</f>
        <v/>
      </c>
      <c r="P1978" s="21" t="str">
        <f aca="false">IF(H1978="Yes",B1978,"")</f>
        <v/>
      </c>
    </row>
    <row r="1979" customFormat="false" ht="15" hidden="false" customHeight="false" outlineLevel="0" collapsed="false">
      <c r="A1979" s="21" t="s">
        <v>3194</v>
      </c>
      <c r="B1979" s="21" t="s">
        <v>522</v>
      </c>
      <c r="C1979" s="21" t="s">
        <v>1177</v>
      </c>
      <c r="D1979" s="21" t="s">
        <v>1191</v>
      </c>
      <c r="E1979" s="33" t="n">
        <v>45714</v>
      </c>
      <c r="F1979" s="21" t="s">
        <v>1185</v>
      </c>
      <c r="G1979" s="32" t="n">
        <v>5.2</v>
      </c>
      <c r="H1979" s="21" t="s">
        <v>113</v>
      </c>
      <c r="I1979" s="33" t="n">
        <v>45734</v>
      </c>
      <c r="J1979" s="21" t="str">
        <f aca="false">INDEX(Students!$C$2:$C$601,MATCH(B1979,Students!$A$2:$A$601,0))</f>
        <v>Batch 2025</v>
      </c>
      <c r="K1979" s="21" t="str">
        <f aca="false">INDEX(Students!$D$2:$D$601,MATCH(B1979,Students!$A$2:$A$601,0))</f>
        <v>DSA with Java</v>
      </c>
      <c r="L1979" s="21" t="str">
        <f aca="false">INDEX(Companies!$C$2:$C$31,MATCH(C1979,Companies!$A$2:$A$31,0))</f>
        <v>IT Services</v>
      </c>
      <c r="M1979" s="21" t="str">
        <f aca="false">INDEX(Companies!$D$2:$D$31,MATCH(C1979,Companies!$A$2:$A$31,0))</f>
        <v>Tier 3</v>
      </c>
      <c r="N1979" s="34" t="n">
        <f aca="false">MATCH(F1979,Assumptions!$K$4:$K$8,0)</f>
        <v>5</v>
      </c>
      <c r="O1979" s="21" t="str">
        <f aca="false">IF(H1979="Yes",MONTH(I1979),"")</f>
        <v/>
      </c>
      <c r="P1979" s="21" t="str">
        <f aca="false">IF(H1979="Yes",B1979,"")</f>
        <v/>
      </c>
    </row>
    <row r="1980" customFormat="false" ht="15" hidden="false" customHeight="false" outlineLevel="0" collapsed="false">
      <c r="A1980" s="21" t="s">
        <v>3195</v>
      </c>
      <c r="B1980" s="21" t="s">
        <v>521</v>
      </c>
      <c r="C1980" s="21" t="s">
        <v>1266</v>
      </c>
      <c r="D1980" s="21" t="s">
        <v>1181</v>
      </c>
      <c r="E1980" s="33" t="n">
        <v>45714</v>
      </c>
      <c r="F1980" s="21" t="s">
        <v>1178</v>
      </c>
      <c r="G1980" s="32"/>
      <c r="H1980" s="21"/>
      <c r="I1980" s="33"/>
      <c r="J1980" s="21" t="str">
        <f aca="false">INDEX(Students!$C$2:$C$601,MATCH(B1980,Students!$A$2:$A$601,0))</f>
        <v>Batch 2025</v>
      </c>
      <c r="K1980" s="21" t="str">
        <f aca="false">INDEX(Students!$D$2:$D$601,MATCH(B1980,Students!$A$2:$A$601,0))</f>
        <v>Full Stack Development</v>
      </c>
      <c r="L1980" s="21" t="str">
        <f aca="false">INDEX(Companies!$C$2:$C$31,MATCH(C1980,Companies!$A$2:$A$31,0))</f>
        <v>IT Services</v>
      </c>
      <c r="M1980" s="21" t="str">
        <f aca="false">INDEX(Companies!$D$2:$D$31,MATCH(C1980,Companies!$A$2:$A$31,0))</f>
        <v>Tier 3</v>
      </c>
      <c r="N1980" s="34" t="n">
        <f aca="false">MATCH(F1980,Assumptions!$K$4:$K$8,0)</f>
        <v>2</v>
      </c>
      <c r="O1980" s="21" t="str">
        <f aca="false">IF(H1980="Yes",MONTH(I1980),"")</f>
        <v/>
      </c>
      <c r="P1980" s="21" t="str">
        <f aca="false">IF(H1980="Yes",B1980,"")</f>
        <v/>
      </c>
    </row>
    <row r="1981" customFormat="false" ht="15" hidden="false" customHeight="false" outlineLevel="0" collapsed="false">
      <c r="A1981" s="21" t="s">
        <v>3196</v>
      </c>
      <c r="B1981" s="21" t="s">
        <v>588</v>
      </c>
      <c r="C1981" s="21" t="s">
        <v>1216</v>
      </c>
      <c r="D1981" s="21" t="s">
        <v>1181</v>
      </c>
      <c r="E1981" s="33" t="n">
        <v>45714</v>
      </c>
      <c r="F1981" s="21" t="s">
        <v>1175</v>
      </c>
      <c r="G1981" s="32"/>
      <c r="H1981" s="21"/>
      <c r="I1981" s="33"/>
      <c r="J1981" s="21" t="str">
        <f aca="false">INDEX(Students!$C$2:$C$601,MATCH(B1981,Students!$A$2:$A$601,0))</f>
        <v>Batch 2025</v>
      </c>
      <c r="K1981" s="21" t="str">
        <f aca="false">INDEX(Students!$D$2:$D$601,MATCH(B1981,Students!$A$2:$A$601,0))</f>
        <v>Full Stack Development</v>
      </c>
      <c r="L1981" s="21" t="str">
        <f aca="false">INDEX(Companies!$C$2:$C$31,MATCH(C1981,Companies!$A$2:$A$31,0))</f>
        <v>IT Services</v>
      </c>
      <c r="M1981" s="21" t="str">
        <f aca="false">INDEX(Companies!$D$2:$D$31,MATCH(C1981,Companies!$A$2:$A$31,0))</f>
        <v>Tier 3</v>
      </c>
      <c r="N1981" s="34" t="n">
        <f aca="false">MATCH(F1981,Assumptions!$K$4:$K$8,0)</f>
        <v>1</v>
      </c>
      <c r="O1981" s="21" t="str">
        <f aca="false">IF(H1981="Yes",MONTH(I1981),"")</f>
        <v/>
      </c>
      <c r="P1981" s="21" t="str">
        <f aca="false">IF(H1981="Yes",B1981,"")</f>
        <v/>
      </c>
    </row>
    <row r="1982" customFormat="false" ht="15" hidden="false" customHeight="false" outlineLevel="0" collapsed="false">
      <c r="A1982" s="21" t="s">
        <v>3197</v>
      </c>
      <c r="B1982" s="21" t="s">
        <v>484</v>
      </c>
      <c r="C1982" s="21" t="s">
        <v>1230</v>
      </c>
      <c r="D1982" s="21" t="s">
        <v>1184</v>
      </c>
      <c r="E1982" s="33" t="n">
        <v>45714</v>
      </c>
      <c r="F1982" s="21" t="s">
        <v>1178</v>
      </c>
      <c r="G1982" s="32"/>
      <c r="H1982" s="21"/>
      <c r="I1982" s="33"/>
      <c r="J1982" s="21" t="str">
        <f aca="false">INDEX(Students!$C$2:$C$601,MATCH(B1982,Students!$A$2:$A$601,0))</f>
        <v>Batch 2025</v>
      </c>
      <c r="K1982" s="21" t="str">
        <f aca="false">INDEX(Students!$D$2:$D$601,MATCH(B1982,Students!$A$2:$A$601,0))</f>
        <v>DSA with Java</v>
      </c>
      <c r="L1982" s="21" t="str">
        <f aca="false">INDEX(Companies!$C$2:$C$31,MATCH(C1982,Companies!$A$2:$A$31,0))</f>
        <v>IT Services</v>
      </c>
      <c r="M1982" s="21" t="str">
        <f aca="false">INDEX(Companies!$D$2:$D$31,MATCH(C1982,Companies!$A$2:$A$31,0))</f>
        <v>Tier 3</v>
      </c>
      <c r="N1982" s="34" t="n">
        <f aca="false">MATCH(F1982,Assumptions!$K$4:$K$8,0)</f>
        <v>2</v>
      </c>
      <c r="O1982" s="21" t="str">
        <f aca="false">IF(H1982="Yes",MONTH(I1982),"")</f>
        <v/>
      </c>
      <c r="P1982" s="21" t="str">
        <f aca="false">IF(H1982="Yes",B1982,"")</f>
        <v/>
      </c>
    </row>
    <row r="1983" customFormat="false" ht="15" hidden="false" customHeight="false" outlineLevel="0" collapsed="false">
      <c r="A1983" s="21" t="s">
        <v>3198</v>
      </c>
      <c r="B1983" s="21" t="s">
        <v>1007</v>
      </c>
      <c r="C1983" s="21" t="s">
        <v>1239</v>
      </c>
      <c r="D1983" s="21" t="s">
        <v>1181</v>
      </c>
      <c r="E1983" s="33" t="n">
        <v>45870</v>
      </c>
      <c r="F1983" s="21" t="s">
        <v>1185</v>
      </c>
      <c r="G1983" s="32" t="n">
        <v>4.7</v>
      </c>
      <c r="H1983" s="21" t="s">
        <v>120</v>
      </c>
      <c r="I1983" s="33" t="n">
        <v>45902</v>
      </c>
      <c r="J1983" s="21" t="str">
        <f aca="false">INDEX(Students!$C$2:$C$601,MATCH(B1983,Students!$A$2:$A$601,0))</f>
        <v>Batch 2026</v>
      </c>
      <c r="K1983" s="21" t="str">
        <f aca="false">INDEX(Students!$D$2:$D$601,MATCH(B1983,Students!$A$2:$A$601,0))</f>
        <v>Full Stack Development</v>
      </c>
      <c r="L1983" s="21" t="str">
        <f aca="false">INDEX(Companies!$C$2:$C$31,MATCH(C1983,Companies!$A$2:$A$31,0))</f>
        <v>E-commerce</v>
      </c>
      <c r="M1983" s="21" t="str">
        <f aca="false">INDEX(Companies!$D$2:$D$31,MATCH(C1983,Companies!$A$2:$A$31,0))</f>
        <v>Tier 3</v>
      </c>
      <c r="N1983" s="34" t="n">
        <f aca="false">MATCH(F1983,Assumptions!$K$4:$K$8,0)</f>
        <v>5</v>
      </c>
      <c r="O1983" s="21" t="n">
        <f aca="false">IF(H1983="Yes",MONTH(I1983),"")</f>
        <v>9</v>
      </c>
      <c r="P1983" s="21" t="str">
        <f aca="false">IF(H1983="Yes",B1983,"")</f>
        <v>S0504</v>
      </c>
    </row>
    <row r="1984" customFormat="false" ht="15" hidden="false" customHeight="false" outlineLevel="0" collapsed="false">
      <c r="A1984" s="21" t="s">
        <v>3199</v>
      </c>
      <c r="B1984" s="21" t="s">
        <v>892</v>
      </c>
      <c r="C1984" s="21" t="s">
        <v>1183</v>
      </c>
      <c r="D1984" s="21" t="s">
        <v>1191</v>
      </c>
      <c r="E1984" s="33" t="n">
        <v>45870</v>
      </c>
      <c r="F1984" s="21" t="s">
        <v>1178</v>
      </c>
      <c r="G1984" s="32"/>
      <c r="H1984" s="21"/>
      <c r="I1984" s="33"/>
      <c r="J1984" s="21" t="str">
        <f aca="false">INDEX(Students!$C$2:$C$601,MATCH(B1984,Students!$A$2:$A$601,0))</f>
        <v>Batch 2026</v>
      </c>
      <c r="K1984" s="21" t="str">
        <f aca="false">INDEX(Students!$D$2:$D$601,MATCH(B1984,Students!$A$2:$A$601,0))</f>
        <v>DSA with Java</v>
      </c>
      <c r="L1984" s="21" t="str">
        <f aca="false">INDEX(Companies!$C$2:$C$31,MATCH(C1984,Companies!$A$2:$A$31,0))</f>
        <v>E-commerce</v>
      </c>
      <c r="M1984" s="21" t="str">
        <f aca="false">INDEX(Companies!$D$2:$D$31,MATCH(C1984,Companies!$A$2:$A$31,0))</f>
        <v>Tier 2</v>
      </c>
      <c r="N1984" s="34" t="n">
        <f aca="false">MATCH(F1984,Assumptions!$K$4:$K$8,0)</f>
        <v>2</v>
      </c>
      <c r="O1984" s="21" t="str">
        <f aca="false">IF(H1984="Yes",MONTH(I1984),"")</f>
        <v/>
      </c>
      <c r="P1984" s="21" t="str">
        <f aca="false">IF(H1984="Yes",B1984,"")</f>
        <v/>
      </c>
    </row>
    <row r="1985" customFormat="false" ht="15" hidden="false" customHeight="false" outlineLevel="0" collapsed="false">
      <c r="A1985" s="21" t="s">
        <v>3200</v>
      </c>
      <c r="B1985" s="21" t="s">
        <v>870</v>
      </c>
      <c r="C1985" s="21" t="s">
        <v>1266</v>
      </c>
      <c r="D1985" s="21" t="s">
        <v>1174</v>
      </c>
      <c r="E1985" s="33" t="n">
        <v>45870</v>
      </c>
      <c r="F1985" s="21" t="s">
        <v>1178</v>
      </c>
      <c r="G1985" s="32"/>
      <c r="H1985" s="21"/>
      <c r="I1985" s="33"/>
      <c r="J1985" s="21" t="str">
        <f aca="false">INDEX(Students!$C$2:$C$601,MATCH(B1985,Students!$A$2:$A$601,0))</f>
        <v>Batch 2026</v>
      </c>
      <c r="K1985" s="21" t="str">
        <f aca="false">INDEX(Students!$D$2:$D$601,MATCH(B1985,Students!$A$2:$A$601,0))</f>
        <v>Full Stack Development</v>
      </c>
      <c r="L1985" s="21" t="str">
        <f aca="false">INDEX(Companies!$C$2:$C$31,MATCH(C1985,Companies!$A$2:$A$31,0))</f>
        <v>IT Services</v>
      </c>
      <c r="M1985" s="21" t="str">
        <f aca="false">INDEX(Companies!$D$2:$D$31,MATCH(C1985,Companies!$A$2:$A$31,0))</f>
        <v>Tier 3</v>
      </c>
      <c r="N1985" s="34" t="n">
        <f aca="false">MATCH(F1985,Assumptions!$K$4:$K$8,0)</f>
        <v>2</v>
      </c>
      <c r="O1985" s="21" t="str">
        <f aca="false">IF(H1985="Yes",MONTH(I1985),"")</f>
        <v/>
      </c>
      <c r="P1985" s="21" t="str">
        <f aca="false">IF(H1985="Yes",B1985,"")</f>
        <v/>
      </c>
    </row>
    <row r="1986" customFormat="false" ht="15" hidden="false" customHeight="false" outlineLevel="0" collapsed="false">
      <c r="A1986" s="21" t="s">
        <v>3201</v>
      </c>
      <c r="B1986" s="21" t="s">
        <v>900</v>
      </c>
      <c r="C1986" s="21" t="s">
        <v>1309</v>
      </c>
      <c r="D1986" s="21" t="s">
        <v>1191</v>
      </c>
      <c r="E1986" s="33" t="n">
        <v>45870</v>
      </c>
      <c r="F1986" s="21" t="s">
        <v>1185</v>
      </c>
      <c r="G1986" s="32" t="n">
        <v>11.8</v>
      </c>
      <c r="H1986" s="21" t="s">
        <v>113</v>
      </c>
      <c r="I1986" s="33" t="n">
        <v>45896</v>
      </c>
      <c r="J1986" s="21" t="str">
        <f aca="false">INDEX(Students!$C$2:$C$601,MATCH(B1986,Students!$A$2:$A$601,0))</f>
        <v>Batch 2026</v>
      </c>
      <c r="K1986" s="21" t="str">
        <f aca="false">INDEX(Students!$D$2:$D$601,MATCH(B1986,Students!$A$2:$A$601,0))</f>
        <v>DSA with Java</v>
      </c>
      <c r="L1986" s="21" t="str">
        <f aca="false">INDEX(Companies!$C$2:$C$31,MATCH(C1986,Companies!$A$2:$A$31,0))</f>
        <v>EdTech</v>
      </c>
      <c r="M1986" s="21" t="str">
        <f aca="false">INDEX(Companies!$D$2:$D$31,MATCH(C1986,Companies!$A$2:$A$31,0))</f>
        <v>Tier 2</v>
      </c>
      <c r="N1986" s="34" t="n">
        <f aca="false">MATCH(F1986,Assumptions!$K$4:$K$8,0)</f>
        <v>5</v>
      </c>
      <c r="O1986" s="21" t="str">
        <f aca="false">IF(H1986="Yes",MONTH(I1986),"")</f>
        <v/>
      </c>
      <c r="P1986" s="21" t="str">
        <f aca="false">IF(H1986="Yes",B1986,"")</f>
        <v/>
      </c>
    </row>
    <row r="1987" customFormat="false" ht="15" hidden="false" customHeight="false" outlineLevel="0" collapsed="false">
      <c r="A1987" s="21" t="s">
        <v>3202</v>
      </c>
      <c r="B1987" s="21" t="s">
        <v>1058</v>
      </c>
      <c r="C1987" s="21" t="s">
        <v>1211</v>
      </c>
      <c r="D1987" s="21" t="s">
        <v>1181</v>
      </c>
      <c r="E1987" s="33" t="n">
        <v>45871</v>
      </c>
      <c r="F1987" s="21" t="s">
        <v>1185</v>
      </c>
      <c r="G1987" s="32" t="n">
        <v>5.7</v>
      </c>
      <c r="H1987" s="21" t="s">
        <v>120</v>
      </c>
      <c r="I1987" s="33" t="n">
        <v>45897</v>
      </c>
      <c r="J1987" s="21" t="str">
        <f aca="false">INDEX(Students!$C$2:$C$601,MATCH(B1987,Students!$A$2:$A$601,0))</f>
        <v>Batch 2026</v>
      </c>
      <c r="K1987" s="21" t="str">
        <f aca="false">INDEX(Students!$D$2:$D$601,MATCH(B1987,Students!$A$2:$A$601,0))</f>
        <v>Full Stack Development</v>
      </c>
      <c r="L1987" s="21" t="str">
        <f aca="false">INDEX(Companies!$C$2:$C$31,MATCH(C1987,Companies!$A$2:$A$31,0))</f>
        <v>Analytics &amp; Consulting</v>
      </c>
      <c r="M1987" s="21" t="str">
        <f aca="false">INDEX(Companies!$D$2:$D$31,MATCH(C1987,Companies!$A$2:$A$31,0))</f>
        <v>Tier 3</v>
      </c>
      <c r="N1987" s="34" t="n">
        <f aca="false">MATCH(F1987,Assumptions!$K$4:$K$8,0)</f>
        <v>5</v>
      </c>
      <c r="O1987" s="21" t="n">
        <f aca="false">IF(H1987="Yes",MONTH(I1987),"")</f>
        <v>8</v>
      </c>
      <c r="P1987" s="21" t="str">
        <f aca="false">IF(H1987="Yes",B1987,"")</f>
        <v>S0535</v>
      </c>
    </row>
    <row r="1988" customFormat="false" ht="15" hidden="false" customHeight="false" outlineLevel="0" collapsed="false">
      <c r="A1988" s="21" t="s">
        <v>3203</v>
      </c>
      <c r="B1988" s="21" t="s">
        <v>1048</v>
      </c>
      <c r="C1988" s="21" t="s">
        <v>1180</v>
      </c>
      <c r="D1988" s="21" t="s">
        <v>1243</v>
      </c>
      <c r="E1988" s="33" t="n">
        <v>45871</v>
      </c>
      <c r="F1988" s="21" t="s">
        <v>1178</v>
      </c>
      <c r="G1988" s="32"/>
      <c r="H1988" s="21"/>
      <c r="I1988" s="33"/>
      <c r="J1988" s="21" t="str">
        <f aca="false">INDEX(Students!$C$2:$C$601,MATCH(B1988,Students!$A$2:$A$601,0))</f>
        <v>Batch 2026</v>
      </c>
      <c r="K1988" s="21" t="str">
        <f aca="false">INDEX(Students!$D$2:$D$601,MATCH(B1988,Students!$A$2:$A$601,0))</f>
        <v>Data Science &amp; ML</v>
      </c>
      <c r="L1988" s="21" t="str">
        <f aca="false">INDEX(Companies!$C$2:$C$31,MATCH(C1988,Companies!$A$2:$A$31,0))</f>
        <v>IT Services</v>
      </c>
      <c r="M1988" s="21" t="str">
        <f aca="false">INDEX(Companies!$D$2:$D$31,MATCH(C1988,Companies!$A$2:$A$31,0))</f>
        <v>Tier 3</v>
      </c>
      <c r="N1988" s="34" t="n">
        <f aca="false">MATCH(F1988,Assumptions!$K$4:$K$8,0)</f>
        <v>2</v>
      </c>
      <c r="O1988" s="21" t="str">
        <f aca="false">IF(H1988="Yes",MONTH(I1988),"")</f>
        <v/>
      </c>
      <c r="P1988" s="21" t="str">
        <f aca="false">IF(H1988="Yes",B1988,"")</f>
        <v/>
      </c>
    </row>
    <row r="1989" customFormat="false" ht="15" hidden="false" customHeight="false" outlineLevel="0" collapsed="false">
      <c r="A1989" s="21" t="s">
        <v>3204</v>
      </c>
      <c r="B1989" s="21" t="s">
        <v>838</v>
      </c>
      <c r="C1989" s="21" t="s">
        <v>1203</v>
      </c>
      <c r="D1989" s="21" t="s">
        <v>1209</v>
      </c>
      <c r="E1989" s="33" t="n">
        <v>45871</v>
      </c>
      <c r="F1989" s="21" t="s">
        <v>1185</v>
      </c>
      <c r="G1989" s="32" t="n">
        <v>11.4</v>
      </c>
      <c r="H1989" s="21" t="s">
        <v>120</v>
      </c>
      <c r="I1989" s="33" t="n">
        <v>45925</v>
      </c>
      <c r="J1989" s="21" t="str">
        <f aca="false">INDEX(Students!$C$2:$C$601,MATCH(B1989,Students!$A$2:$A$601,0))</f>
        <v>Batch 2026</v>
      </c>
      <c r="K1989" s="21" t="str">
        <f aca="false">INDEX(Students!$D$2:$D$601,MATCH(B1989,Students!$A$2:$A$601,0))</f>
        <v>Data Analytics</v>
      </c>
      <c r="L1989" s="21" t="str">
        <f aca="false">INDEX(Companies!$C$2:$C$31,MATCH(C1989,Companies!$A$2:$A$31,0))</f>
        <v>Healthtech</v>
      </c>
      <c r="M1989" s="21" t="str">
        <f aca="false">INDEX(Companies!$D$2:$D$31,MATCH(C1989,Companies!$A$2:$A$31,0))</f>
        <v>Tier 2</v>
      </c>
      <c r="N1989" s="34" t="n">
        <f aca="false">MATCH(F1989,Assumptions!$K$4:$K$8,0)</f>
        <v>5</v>
      </c>
      <c r="O1989" s="21" t="n">
        <f aca="false">IF(H1989="Yes",MONTH(I1989),"")</f>
        <v>9</v>
      </c>
      <c r="P1989" s="21" t="str">
        <f aca="false">IF(H1989="Yes",B1989,"")</f>
        <v>S0399</v>
      </c>
    </row>
    <row r="1990" customFormat="false" ht="15" hidden="false" customHeight="false" outlineLevel="0" collapsed="false">
      <c r="A1990" s="21" t="s">
        <v>3205</v>
      </c>
      <c r="B1990" s="21" t="s">
        <v>910</v>
      </c>
      <c r="C1990" s="21" t="s">
        <v>1230</v>
      </c>
      <c r="D1990" s="21" t="s">
        <v>1181</v>
      </c>
      <c r="E1990" s="33" t="n">
        <v>45872</v>
      </c>
      <c r="F1990" s="21" t="s">
        <v>1178</v>
      </c>
      <c r="G1990" s="32"/>
      <c r="H1990" s="21"/>
      <c r="I1990" s="33"/>
      <c r="J1990" s="21" t="str">
        <f aca="false">INDEX(Students!$C$2:$C$601,MATCH(B1990,Students!$A$2:$A$601,0))</f>
        <v>Batch 2026</v>
      </c>
      <c r="K1990" s="21" t="str">
        <f aca="false">INDEX(Students!$D$2:$D$601,MATCH(B1990,Students!$A$2:$A$601,0))</f>
        <v>Full Stack Development</v>
      </c>
      <c r="L1990" s="21" t="str">
        <f aca="false">INDEX(Companies!$C$2:$C$31,MATCH(C1990,Companies!$A$2:$A$31,0))</f>
        <v>IT Services</v>
      </c>
      <c r="M1990" s="21" t="str">
        <f aca="false">INDEX(Companies!$D$2:$D$31,MATCH(C1990,Companies!$A$2:$A$31,0))</f>
        <v>Tier 3</v>
      </c>
      <c r="N1990" s="34" t="n">
        <f aca="false">MATCH(F1990,Assumptions!$K$4:$K$8,0)</f>
        <v>2</v>
      </c>
      <c r="O1990" s="21" t="str">
        <f aca="false">IF(H1990="Yes",MONTH(I1990),"")</f>
        <v/>
      </c>
      <c r="P1990" s="21" t="str">
        <f aca="false">IF(H1990="Yes",B1990,"")</f>
        <v/>
      </c>
    </row>
    <row r="1991" customFormat="false" ht="15" hidden="false" customHeight="false" outlineLevel="0" collapsed="false">
      <c r="A1991" s="21" t="s">
        <v>3206</v>
      </c>
      <c r="B1991" s="21" t="s">
        <v>1112</v>
      </c>
      <c r="C1991" s="21" t="s">
        <v>1263</v>
      </c>
      <c r="D1991" s="21" t="s">
        <v>1240</v>
      </c>
      <c r="E1991" s="33" t="n">
        <v>45872</v>
      </c>
      <c r="F1991" s="21" t="s">
        <v>1175</v>
      </c>
      <c r="G1991" s="32"/>
      <c r="H1991" s="21"/>
      <c r="I1991" s="33"/>
      <c r="J1991" s="21" t="str">
        <f aca="false">INDEX(Students!$C$2:$C$601,MATCH(B1991,Students!$A$2:$A$601,0))</f>
        <v>Batch 2026</v>
      </c>
      <c r="K1991" s="21" t="str">
        <f aca="false">INDEX(Students!$D$2:$D$601,MATCH(B1991,Students!$A$2:$A$601,0))</f>
        <v>Cybersecurity</v>
      </c>
      <c r="L1991" s="21" t="str">
        <f aca="false">INDEX(Companies!$C$2:$C$31,MATCH(C1991,Companies!$A$2:$A$31,0))</f>
        <v>Analytics &amp; Consulting</v>
      </c>
      <c r="M1991" s="21" t="str">
        <f aca="false">INDEX(Companies!$D$2:$D$31,MATCH(C1991,Companies!$A$2:$A$31,0))</f>
        <v>Tier 2</v>
      </c>
      <c r="N1991" s="34" t="n">
        <f aca="false">MATCH(F1991,Assumptions!$K$4:$K$8,0)</f>
        <v>1</v>
      </c>
      <c r="O1991" s="21" t="str">
        <f aca="false">IF(H1991="Yes",MONTH(I1991),"")</f>
        <v/>
      </c>
      <c r="P1991" s="21" t="str">
        <f aca="false">IF(H1991="Yes",B1991,"")</f>
        <v/>
      </c>
    </row>
    <row r="1992" customFormat="false" ht="15" hidden="false" customHeight="false" outlineLevel="0" collapsed="false">
      <c r="A1992" s="21" t="s">
        <v>3207</v>
      </c>
      <c r="B1992" s="21" t="s">
        <v>1067</v>
      </c>
      <c r="C1992" s="21" t="s">
        <v>1180</v>
      </c>
      <c r="D1992" s="21" t="s">
        <v>1181</v>
      </c>
      <c r="E1992" s="33" t="n">
        <v>45872</v>
      </c>
      <c r="F1992" s="21" t="s">
        <v>1175</v>
      </c>
      <c r="G1992" s="32"/>
      <c r="H1992" s="21"/>
      <c r="I1992" s="33"/>
      <c r="J1992" s="21" t="str">
        <f aca="false">INDEX(Students!$C$2:$C$601,MATCH(B1992,Students!$A$2:$A$601,0))</f>
        <v>Batch 2026</v>
      </c>
      <c r="K1992" s="21" t="str">
        <f aca="false">INDEX(Students!$D$2:$D$601,MATCH(B1992,Students!$A$2:$A$601,0))</f>
        <v>Full Stack Development</v>
      </c>
      <c r="L1992" s="21" t="str">
        <f aca="false">INDEX(Companies!$C$2:$C$31,MATCH(C1992,Companies!$A$2:$A$31,0))</f>
        <v>IT Services</v>
      </c>
      <c r="M1992" s="21" t="str">
        <f aca="false">INDEX(Companies!$D$2:$D$31,MATCH(C1992,Companies!$A$2:$A$31,0))</f>
        <v>Tier 3</v>
      </c>
      <c r="N1992" s="34" t="n">
        <f aca="false">MATCH(F1992,Assumptions!$K$4:$K$8,0)</f>
        <v>1</v>
      </c>
      <c r="O1992" s="21" t="str">
        <f aca="false">IF(H1992="Yes",MONTH(I1992),"")</f>
        <v/>
      </c>
      <c r="P1992" s="21" t="str">
        <f aca="false">IF(H1992="Yes",B1992,"")</f>
        <v/>
      </c>
    </row>
    <row r="1993" customFormat="false" ht="15" hidden="false" customHeight="false" outlineLevel="0" collapsed="false">
      <c r="A1993" s="21" t="s">
        <v>3208</v>
      </c>
      <c r="B1993" s="21" t="s">
        <v>1018</v>
      </c>
      <c r="C1993" s="21" t="s">
        <v>1230</v>
      </c>
      <c r="D1993" s="21" t="s">
        <v>1184</v>
      </c>
      <c r="E1993" s="33" t="n">
        <v>45872</v>
      </c>
      <c r="F1993" s="21" t="s">
        <v>1185</v>
      </c>
      <c r="G1993" s="32" t="n">
        <v>5.8</v>
      </c>
      <c r="H1993" s="21" t="s">
        <v>113</v>
      </c>
      <c r="I1993" s="33" t="n">
        <v>45921</v>
      </c>
      <c r="J1993" s="21" t="str">
        <f aca="false">INDEX(Students!$C$2:$C$601,MATCH(B1993,Students!$A$2:$A$601,0))</f>
        <v>Batch 2026</v>
      </c>
      <c r="K1993" s="21" t="str">
        <f aca="false">INDEX(Students!$D$2:$D$601,MATCH(B1993,Students!$A$2:$A$601,0))</f>
        <v>DSA with Java</v>
      </c>
      <c r="L1993" s="21" t="str">
        <f aca="false">INDEX(Companies!$C$2:$C$31,MATCH(C1993,Companies!$A$2:$A$31,0))</f>
        <v>IT Services</v>
      </c>
      <c r="M1993" s="21" t="str">
        <f aca="false">INDEX(Companies!$D$2:$D$31,MATCH(C1993,Companies!$A$2:$A$31,0))</f>
        <v>Tier 3</v>
      </c>
      <c r="N1993" s="34" t="n">
        <f aca="false">MATCH(F1993,Assumptions!$K$4:$K$8,0)</f>
        <v>5</v>
      </c>
      <c r="O1993" s="21" t="str">
        <f aca="false">IF(H1993="Yes",MONTH(I1993),"")</f>
        <v/>
      </c>
      <c r="P1993" s="21" t="str">
        <f aca="false">IF(H1993="Yes",B1993,"")</f>
        <v/>
      </c>
    </row>
    <row r="1994" customFormat="false" ht="15" hidden="false" customHeight="false" outlineLevel="0" collapsed="false">
      <c r="A1994" s="21" t="s">
        <v>3209</v>
      </c>
      <c r="B1994" s="21" t="s">
        <v>938</v>
      </c>
      <c r="C1994" s="21" t="s">
        <v>1290</v>
      </c>
      <c r="D1994" s="21" t="s">
        <v>1226</v>
      </c>
      <c r="E1994" s="33" t="n">
        <v>45873</v>
      </c>
      <c r="F1994" s="21" t="s">
        <v>1197</v>
      </c>
      <c r="G1994" s="32"/>
      <c r="H1994" s="21"/>
      <c r="I1994" s="33"/>
      <c r="J1994" s="21" t="str">
        <f aca="false">INDEX(Students!$C$2:$C$601,MATCH(B1994,Students!$A$2:$A$601,0))</f>
        <v>Batch 2026</v>
      </c>
      <c r="K1994" s="21" t="str">
        <f aca="false">INDEX(Students!$D$2:$D$601,MATCH(B1994,Students!$A$2:$A$601,0))</f>
        <v>Cybersecurity</v>
      </c>
      <c r="L1994" s="21" t="str">
        <f aca="false">INDEX(Companies!$C$2:$C$31,MATCH(C1994,Companies!$A$2:$A$31,0))</f>
        <v>Fintech</v>
      </c>
      <c r="M1994" s="21" t="str">
        <f aca="false">INDEX(Companies!$D$2:$D$31,MATCH(C1994,Companies!$A$2:$A$31,0))</f>
        <v>Tier 2</v>
      </c>
      <c r="N1994" s="34" t="n">
        <f aca="false">MATCH(F1994,Assumptions!$K$4:$K$8,0)</f>
        <v>3</v>
      </c>
      <c r="O1994" s="21" t="str">
        <f aca="false">IF(H1994="Yes",MONTH(I1994),"")</f>
        <v/>
      </c>
      <c r="P1994" s="21" t="str">
        <f aca="false">IF(H1994="Yes",B1994,"")</f>
        <v/>
      </c>
    </row>
    <row r="1995" customFormat="false" ht="15" hidden="false" customHeight="false" outlineLevel="0" collapsed="false">
      <c r="A1995" s="21" t="s">
        <v>3210</v>
      </c>
      <c r="B1995" s="21" t="s">
        <v>912</v>
      </c>
      <c r="C1995" s="21" t="s">
        <v>1298</v>
      </c>
      <c r="D1995" s="21" t="s">
        <v>1181</v>
      </c>
      <c r="E1995" s="33" t="n">
        <v>45873</v>
      </c>
      <c r="F1995" s="21" t="s">
        <v>1197</v>
      </c>
      <c r="G1995" s="32"/>
      <c r="H1995" s="21"/>
      <c r="I1995" s="33"/>
      <c r="J1995" s="21" t="str">
        <f aca="false">INDEX(Students!$C$2:$C$601,MATCH(B1995,Students!$A$2:$A$601,0))</f>
        <v>Batch 2026</v>
      </c>
      <c r="K1995" s="21" t="str">
        <f aca="false">INDEX(Students!$D$2:$D$601,MATCH(B1995,Students!$A$2:$A$601,0))</f>
        <v>Full Stack Development</v>
      </c>
      <c r="L1995" s="21" t="str">
        <f aca="false">INDEX(Companies!$C$2:$C$31,MATCH(C1995,Companies!$A$2:$A$31,0))</f>
        <v>Fintech</v>
      </c>
      <c r="M1995" s="21" t="str">
        <f aca="false">INDEX(Companies!$D$2:$D$31,MATCH(C1995,Companies!$A$2:$A$31,0))</f>
        <v>Tier 2</v>
      </c>
      <c r="N1995" s="34" t="n">
        <f aca="false">MATCH(F1995,Assumptions!$K$4:$K$8,0)</f>
        <v>3</v>
      </c>
      <c r="O1995" s="21" t="str">
        <f aca="false">IF(H1995="Yes",MONTH(I1995),"")</f>
        <v/>
      </c>
      <c r="P1995" s="21" t="str">
        <f aca="false">IF(H1995="Yes",B1995,"")</f>
        <v/>
      </c>
    </row>
    <row r="1996" customFormat="false" ht="15" hidden="false" customHeight="false" outlineLevel="0" collapsed="false">
      <c r="A1996" s="21" t="s">
        <v>3211</v>
      </c>
      <c r="B1996" s="21" t="s">
        <v>923</v>
      </c>
      <c r="C1996" s="21" t="s">
        <v>1266</v>
      </c>
      <c r="D1996" s="21" t="s">
        <v>1209</v>
      </c>
      <c r="E1996" s="33" t="n">
        <v>45873</v>
      </c>
      <c r="F1996" s="21" t="s">
        <v>1178</v>
      </c>
      <c r="G1996" s="32"/>
      <c r="H1996" s="21"/>
      <c r="I1996" s="33"/>
      <c r="J1996" s="21" t="str">
        <f aca="false">INDEX(Students!$C$2:$C$601,MATCH(B1996,Students!$A$2:$A$601,0))</f>
        <v>Batch 2026</v>
      </c>
      <c r="K1996" s="21" t="str">
        <f aca="false">INDEX(Students!$D$2:$D$601,MATCH(B1996,Students!$A$2:$A$601,0))</f>
        <v>Data Analytics</v>
      </c>
      <c r="L1996" s="21" t="str">
        <f aca="false">INDEX(Companies!$C$2:$C$31,MATCH(C1996,Companies!$A$2:$A$31,0))</f>
        <v>IT Services</v>
      </c>
      <c r="M1996" s="21" t="str">
        <f aca="false">INDEX(Companies!$D$2:$D$31,MATCH(C1996,Companies!$A$2:$A$31,0))</f>
        <v>Tier 3</v>
      </c>
      <c r="N1996" s="34" t="n">
        <f aca="false">MATCH(F1996,Assumptions!$K$4:$K$8,0)</f>
        <v>2</v>
      </c>
      <c r="O1996" s="21" t="str">
        <f aca="false">IF(H1996="Yes",MONTH(I1996),"")</f>
        <v/>
      </c>
      <c r="P1996" s="21" t="str">
        <f aca="false">IF(H1996="Yes",B1996,"")</f>
        <v/>
      </c>
    </row>
    <row r="1997" customFormat="false" ht="15" hidden="false" customHeight="false" outlineLevel="0" collapsed="false">
      <c r="A1997" s="21" t="s">
        <v>3212</v>
      </c>
      <c r="B1997" s="21" t="s">
        <v>871</v>
      </c>
      <c r="C1997" s="21" t="s">
        <v>1196</v>
      </c>
      <c r="D1997" s="21" t="s">
        <v>1194</v>
      </c>
      <c r="E1997" s="33" t="n">
        <v>45873</v>
      </c>
      <c r="F1997" s="21" t="s">
        <v>1185</v>
      </c>
      <c r="G1997" s="32" t="n">
        <v>4.5</v>
      </c>
      <c r="H1997" s="21" t="s">
        <v>113</v>
      </c>
      <c r="I1997" s="33" t="n">
        <v>45911</v>
      </c>
      <c r="J1997" s="21" t="str">
        <f aca="false">INDEX(Students!$C$2:$C$601,MATCH(B1997,Students!$A$2:$A$601,0))</f>
        <v>Batch 2026</v>
      </c>
      <c r="K1997" s="21" t="str">
        <f aca="false">INDEX(Students!$D$2:$D$601,MATCH(B1997,Students!$A$2:$A$601,0))</f>
        <v>Data Science &amp; ML</v>
      </c>
      <c r="L1997" s="21" t="str">
        <f aca="false">INDEX(Companies!$C$2:$C$31,MATCH(C1997,Companies!$A$2:$A$31,0))</f>
        <v>IT Services</v>
      </c>
      <c r="M1997" s="21" t="str">
        <f aca="false">INDEX(Companies!$D$2:$D$31,MATCH(C1997,Companies!$A$2:$A$31,0))</f>
        <v>Tier 3</v>
      </c>
      <c r="N1997" s="34" t="n">
        <f aca="false">MATCH(F1997,Assumptions!$K$4:$K$8,0)</f>
        <v>5</v>
      </c>
      <c r="O1997" s="21" t="str">
        <f aca="false">IF(H1997="Yes",MONTH(I1997),"")</f>
        <v/>
      </c>
      <c r="P1997" s="21" t="str">
        <f aca="false">IF(H1997="Yes",B1997,"")</f>
        <v/>
      </c>
    </row>
    <row r="1998" customFormat="false" ht="15" hidden="false" customHeight="false" outlineLevel="0" collapsed="false">
      <c r="A1998" s="21" t="s">
        <v>3213</v>
      </c>
      <c r="B1998" s="21" t="s">
        <v>1085</v>
      </c>
      <c r="C1998" s="21" t="s">
        <v>1230</v>
      </c>
      <c r="D1998" s="21" t="s">
        <v>1226</v>
      </c>
      <c r="E1998" s="33" t="n">
        <v>45873</v>
      </c>
      <c r="F1998" s="21" t="s">
        <v>1175</v>
      </c>
      <c r="G1998" s="32"/>
      <c r="H1998" s="21"/>
      <c r="I1998" s="33"/>
      <c r="J1998" s="21" t="str">
        <f aca="false">INDEX(Students!$C$2:$C$601,MATCH(B1998,Students!$A$2:$A$601,0))</f>
        <v>Batch 2026</v>
      </c>
      <c r="K1998" s="21" t="str">
        <f aca="false">INDEX(Students!$D$2:$D$601,MATCH(B1998,Students!$A$2:$A$601,0))</f>
        <v>Cybersecurity</v>
      </c>
      <c r="L1998" s="21" t="str">
        <f aca="false">INDEX(Companies!$C$2:$C$31,MATCH(C1998,Companies!$A$2:$A$31,0))</f>
        <v>IT Services</v>
      </c>
      <c r="M1998" s="21" t="str">
        <f aca="false">INDEX(Companies!$D$2:$D$31,MATCH(C1998,Companies!$A$2:$A$31,0))</f>
        <v>Tier 3</v>
      </c>
      <c r="N1998" s="34" t="n">
        <f aca="false">MATCH(F1998,Assumptions!$K$4:$K$8,0)</f>
        <v>1</v>
      </c>
      <c r="O1998" s="21" t="str">
        <f aca="false">IF(H1998="Yes",MONTH(I1998),"")</f>
        <v/>
      </c>
      <c r="P1998" s="21" t="str">
        <f aca="false">IF(H1998="Yes",B1998,"")</f>
        <v/>
      </c>
    </row>
    <row r="1999" customFormat="false" ht="15" hidden="false" customHeight="false" outlineLevel="0" collapsed="false">
      <c r="A1999" s="21" t="s">
        <v>3214</v>
      </c>
      <c r="B1999" s="21" t="s">
        <v>874</v>
      </c>
      <c r="C1999" s="21" t="s">
        <v>1222</v>
      </c>
      <c r="D1999" s="21" t="s">
        <v>1191</v>
      </c>
      <c r="E1999" s="33" t="n">
        <v>45873</v>
      </c>
      <c r="F1999" s="21" t="s">
        <v>1178</v>
      </c>
      <c r="G1999" s="32"/>
      <c r="H1999" s="21"/>
      <c r="I1999" s="33"/>
      <c r="J1999" s="21" t="str">
        <f aca="false">INDEX(Students!$C$2:$C$601,MATCH(B1999,Students!$A$2:$A$601,0))</f>
        <v>Batch 2026</v>
      </c>
      <c r="K1999" s="21" t="str">
        <f aca="false">INDEX(Students!$D$2:$D$601,MATCH(B1999,Students!$A$2:$A$601,0))</f>
        <v>DSA with Java</v>
      </c>
      <c r="L1999" s="21" t="str">
        <f aca="false">INDEX(Companies!$C$2:$C$31,MATCH(C1999,Companies!$A$2:$A$31,0))</f>
        <v>Product</v>
      </c>
      <c r="M1999" s="21" t="str">
        <f aca="false">INDEX(Companies!$D$2:$D$31,MATCH(C1999,Companies!$A$2:$A$31,0))</f>
        <v>Tier 2</v>
      </c>
      <c r="N1999" s="34" t="n">
        <f aca="false">MATCH(F1999,Assumptions!$K$4:$K$8,0)</f>
        <v>2</v>
      </c>
      <c r="O1999" s="21" t="str">
        <f aca="false">IF(H1999="Yes",MONTH(I1999),"")</f>
        <v/>
      </c>
      <c r="P1999" s="21" t="str">
        <f aca="false">IF(H1999="Yes",B1999,"")</f>
        <v/>
      </c>
    </row>
    <row r="2000" customFormat="false" ht="15" hidden="false" customHeight="false" outlineLevel="0" collapsed="false">
      <c r="A2000" s="21" t="s">
        <v>3215</v>
      </c>
      <c r="B2000" s="21" t="s">
        <v>1152</v>
      </c>
      <c r="C2000" s="21" t="s">
        <v>1193</v>
      </c>
      <c r="D2000" s="21" t="s">
        <v>1191</v>
      </c>
      <c r="E2000" s="33" t="n">
        <v>45873</v>
      </c>
      <c r="F2000" s="21" t="s">
        <v>1185</v>
      </c>
      <c r="G2000" s="32" t="n">
        <v>11.5</v>
      </c>
      <c r="H2000" s="21" t="s">
        <v>113</v>
      </c>
      <c r="I2000" s="33" t="n">
        <v>45922</v>
      </c>
      <c r="J2000" s="21" t="str">
        <f aca="false">INDEX(Students!$C$2:$C$601,MATCH(B2000,Students!$A$2:$A$601,0))</f>
        <v>Batch 2026</v>
      </c>
      <c r="K2000" s="21" t="str">
        <f aca="false">INDEX(Students!$D$2:$D$601,MATCH(B2000,Students!$A$2:$A$601,0))</f>
        <v>DSA with Java</v>
      </c>
      <c r="L2000" s="21" t="str">
        <f aca="false">INDEX(Companies!$C$2:$C$31,MATCH(C2000,Companies!$A$2:$A$31,0))</f>
        <v>Analytics &amp; Consulting</v>
      </c>
      <c r="M2000" s="21" t="str">
        <f aca="false">INDEX(Companies!$D$2:$D$31,MATCH(C2000,Companies!$A$2:$A$31,0))</f>
        <v>Tier 2</v>
      </c>
      <c r="N2000" s="34" t="n">
        <f aca="false">MATCH(F2000,Assumptions!$K$4:$K$8,0)</f>
        <v>5</v>
      </c>
      <c r="O2000" s="21" t="str">
        <f aca="false">IF(H2000="Yes",MONTH(I2000),"")</f>
        <v/>
      </c>
      <c r="P2000" s="21" t="str">
        <f aca="false">IF(H2000="Yes",B2000,"")</f>
        <v/>
      </c>
    </row>
    <row r="2001" customFormat="false" ht="15" hidden="false" customHeight="false" outlineLevel="0" collapsed="false">
      <c r="A2001" s="21" t="s">
        <v>3216</v>
      </c>
      <c r="B2001" s="21" t="s">
        <v>858</v>
      </c>
      <c r="C2001" s="21" t="s">
        <v>1196</v>
      </c>
      <c r="D2001" s="21" t="s">
        <v>1191</v>
      </c>
      <c r="E2001" s="33" t="n">
        <v>45873</v>
      </c>
      <c r="F2001" s="21" t="s">
        <v>1185</v>
      </c>
      <c r="G2001" s="32" t="n">
        <v>6.5</v>
      </c>
      <c r="H2001" s="21" t="s">
        <v>113</v>
      </c>
      <c r="I2001" s="33" t="n">
        <v>45916</v>
      </c>
      <c r="J2001" s="21" t="str">
        <f aca="false">INDEX(Students!$C$2:$C$601,MATCH(B2001,Students!$A$2:$A$601,0))</f>
        <v>Batch 2026</v>
      </c>
      <c r="K2001" s="21" t="str">
        <f aca="false">INDEX(Students!$D$2:$D$601,MATCH(B2001,Students!$A$2:$A$601,0))</f>
        <v>DSA with Java</v>
      </c>
      <c r="L2001" s="21" t="str">
        <f aca="false">INDEX(Companies!$C$2:$C$31,MATCH(C2001,Companies!$A$2:$A$31,0))</f>
        <v>IT Services</v>
      </c>
      <c r="M2001" s="21" t="str">
        <f aca="false">INDEX(Companies!$D$2:$D$31,MATCH(C2001,Companies!$A$2:$A$31,0))</f>
        <v>Tier 3</v>
      </c>
      <c r="N2001" s="34" t="n">
        <f aca="false">MATCH(F2001,Assumptions!$K$4:$K$8,0)</f>
        <v>5</v>
      </c>
      <c r="O2001" s="21" t="str">
        <f aca="false">IF(H2001="Yes",MONTH(I2001),"")</f>
        <v/>
      </c>
      <c r="P2001" s="21" t="str">
        <f aca="false">IF(H2001="Yes",B2001,"")</f>
        <v/>
      </c>
    </row>
    <row r="2002" customFormat="false" ht="15" hidden="false" customHeight="false" outlineLevel="0" collapsed="false">
      <c r="A2002" s="21" t="s">
        <v>3217</v>
      </c>
      <c r="B2002" s="21" t="s">
        <v>912</v>
      </c>
      <c r="C2002" s="21" t="s">
        <v>1216</v>
      </c>
      <c r="D2002" s="21" t="s">
        <v>1181</v>
      </c>
      <c r="E2002" s="33" t="n">
        <v>45874</v>
      </c>
      <c r="F2002" s="21" t="s">
        <v>1197</v>
      </c>
      <c r="G2002" s="32"/>
      <c r="H2002" s="21"/>
      <c r="I2002" s="33"/>
      <c r="J2002" s="21" t="str">
        <f aca="false">INDEX(Students!$C$2:$C$601,MATCH(B2002,Students!$A$2:$A$601,0))</f>
        <v>Batch 2026</v>
      </c>
      <c r="K2002" s="21" t="str">
        <f aca="false">INDEX(Students!$D$2:$D$601,MATCH(B2002,Students!$A$2:$A$601,0))</f>
        <v>Full Stack Development</v>
      </c>
      <c r="L2002" s="21" t="str">
        <f aca="false">INDEX(Companies!$C$2:$C$31,MATCH(C2002,Companies!$A$2:$A$31,0))</f>
        <v>IT Services</v>
      </c>
      <c r="M2002" s="21" t="str">
        <f aca="false">INDEX(Companies!$D$2:$D$31,MATCH(C2002,Companies!$A$2:$A$31,0))</f>
        <v>Tier 3</v>
      </c>
      <c r="N2002" s="34" t="n">
        <f aca="false">MATCH(F2002,Assumptions!$K$4:$K$8,0)</f>
        <v>3</v>
      </c>
      <c r="O2002" s="21" t="str">
        <f aca="false">IF(H2002="Yes",MONTH(I2002),"")</f>
        <v/>
      </c>
      <c r="P2002" s="21" t="str">
        <f aca="false">IF(H2002="Yes",B2002,"")</f>
        <v/>
      </c>
    </row>
    <row r="2003" customFormat="false" ht="15" hidden="false" customHeight="false" outlineLevel="0" collapsed="false">
      <c r="A2003" s="21" t="s">
        <v>3218</v>
      </c>
      <c r="B2003" s="21" t="s">
        <v>1078</v>
      </c>
      <c r="C2003" s="21" t="s">
        <v>1228</v>
      </c>
      <c r="D2003" s="21" t="s">
        <v>1191</v>
      </c>
      <c r="E2003" s="33" t="n">
        <v>45874</v>
      </c>
      <c r="F2003" s="21" t="s">
        <v>1175</v>
      </c>
      <c r="G2003" s="32"/>
      <c r="H2003" s="21"/>
      <c r="I2003" s="33"/>
      <c r="J2003" s="21" t="str">
        <f aca="false">INDEX(Students!$C$2:$C$601,MATCH(B2003,Students!$A$2:$A$601,0))</f>
        <v>Batch 2026</v>
      </c>
      <c r="K2003" s="21" t="str">
        <f aca="false">INDEX(Students!$D$2:$D$601,MATCH(B2003,Students!$A$2:$A$601,0))</f>
        <v>DSA with Java</v>
      </c>
      <c r="L2003" s="21" t="str">
        <f aca="false">INDEX(Companies!$C$2:$C$31,MATCH(C2003,Companies!$A$2:$A$31,0))</f>
        <v>Fintech</v>
      </c>
      <c r="M2003" s="21" t="str">
        <f aca="false">INDEX(Companies!$D$2:$D$31,MATCH(C2003,Companies!$A$2:$A$31,0))</f>
        <v>Tier 1</v>
      </c>
      <c r="N2003" s="34" t="n">
        <f aca="false">MATCH(F2003,Assumptions!$K$4:$K$8,0)</f>
        <v>1</v>
      </c>
      <c r="O2003" s="21" t="str">
        <f aca="false">IF(H2003="Yes",MONTH(I2003),"")</f>
        <v/>
      </c>
      <c r="P2003" s="21" t="str">
        <f aca="false">IF(H2003="Yes",B2003,"")</f>
        <v/>
      </c>
    </row>
    <row r="2004" customFormat="false" ht="15" hidden="false" customHeight="false" outlineLevel="0" collapsed="false">
      <c r="A2004" s="21" t="s">
        <v>3219</v>
      </c>
      <c r="B2004" s="21" t="s">
        <v>1092</v>
      </c>
      <c r="C2004" s="21" t="s">
        <v>1255</v>
      </c>
      <c r="D2004" s="21" t="s">
        <v>1181</v>
      </c>
      <c r="E2004" s="33" t="n">
        <v>45874</v>
      </c>
      <c r="F2004" s="21" t="s">
        <v>1185</v>
      </c>
      <c r="G2004" s="32" t="n">
        <v>5.8</v>
      </c>
      <c r="H2004" s="21" t="s">
        <v>113</v>
      </c>
      <c r="I2004" s="33" t="n">
        <v>45901</v>
      </c>
      <c r="J2004" s="21" t="str">
        <f aca="false">INDEX(Students!$C$2:$C$601,MATCH(B2004,Students!$A$2:$A$601,0))</f>
        <v>Batch 2026</v>
      </c>
      <c r="K2004" s="21" t="str">
        <f aca="false">INDEX(Students!$D$2:$D$601,MATCH(B2004,Students!$A$2:$A$601,0))</f>
        <v>Full Stack Development</v>
      </c>
      <c r="L2004" s="21" t="str">
        <f aca="false">INDEX(Companies!$C$2:$C$31,MATCH(C2004,Companies!$A$2:$A$31,0))</f>
        <v>IT Services</v>
      </c>
      <c r="M2004" s="21" t="str">
        <f aca="false">INDEX(Companies!$D$2:$D$31,MATCH(C2004,Companies!$A$2:$A$31,0))</f>
        <v>Tier 3</v>
      </c>
      <c r="N2004" s="34" t="n">
        <f aca="false">MATCH(F2004,Assumptions!$K$4:$K$8,0)</f>
        <v>5</v>
      </c>
      <c r="O2004" s="21" t="str">
        <f aca="false">IF(H2004="Yes",MONTH(I2004),"")</f>
        <v/>
      </c>
      <c r="P2004" s="21" t="str">
        <f aca="false">IF(H2004="Yes",B2004,"")</f>
        <v/>
      </c>
    </row>
    <row r="2005" customFormat="false" ht="15" hidden="false" customHeight="false" outlineLevel="0" collapsed="false">
      <c r="A2005" s="21" t="s">
        <v>3220</v>
      </c>
      <c r="B2005" s="21" t="s">
        <v>1122</v>
      </c>
      <c r="C2005" s="21" t="s">
        <v>1201</v>
      </c>
      <c r="D2005" s="21" t="s">
        <v>1243</v>
      </c>
      <c r="E2005" s="33" t="n">
        <v>45874</v>
      </c>
      <c r="F2005" s="21" t="s">
        <v>1185</v>
      </c>
      <c r="G2005" s="32" t="n">
        <v>6.6</v>
      </c>
      <c r="H2005" s="21" t="s">
        <v>120</v>
      </c>
      <c r="I2005" s="33" t="n">
        <v>45904</v>
      </c>
      <c r="J2005" s="21" t="str">
        <f aca="false">INDEX(Students!$C$2:$C$601,MATCH(B2005,Students!$A$2:$A$601,0))</f>
        <v>Batch 2026</v>
      </c>
      <c r="K2005" s="21" t="str">
        <f aca="false">INDEX(Students!$D$2:$D$601,MATCH(B2005,Students!$A$2:$A$601,0))</f>
        <v>Data Science &amp; ML</v>
      </c>
      <c r="L2005" s="21" t="str">
        <f aca="false">INDEX(Companies!$C$2:$C$31,MATCH(C2005,Companies!$A$2:$A$31,0))</f>
        <v>IT Services</v>
      </c>
      <c r="M2005" s="21" t="str">
        <f aca="false">INDEX(Companies!$D$2:$D$31,MATCH(C2005,Companies!$A$2:$A$31,0))</f>
        <v>Tier 3</v>
      </c>
      <c r="N2005" s="34" t="n">
        <f aca="false">MATCH(F2005,Assumptions!$K$4:$K$8,0)</f>
        <v>5</v>
      </c>
      <c r="O2005" s="21" t="n">
        <f aca="false">IF(H2005="Yes",MONTH(I2005),"")</f>
        <v>9</v>
      </c>
      <c r="P2005" s="21" t="str">
        <f aca="false">IF(H2005="Yes",B2005,"")</f>
        <v>S0575</v>
      </c>
    </row>
    <row r="2006" customFormat="false" ht="15" hidden="false" customHeight="false" outlineLevel="0" collapsed="false">
      <c r="A2006" s="21" t="s">
        <v>3221</v>
      </c>
      <c r="B2006" s="21" t="s">
        <v>828</v>
      </c>
      <c r="C2006" s="21" t="s">
        <v>1290</v>
      </c>
      <c r="D2006" s="21" t="s">
        <v>1174</v>
      </c>
      <c r="E2006" s="33" t="n">
        <v>45874</v>
      </c>
      <c r="F2006" s="21" t="s">
        <v>1178</v>
      </c>
      <c r="G2006" s="32"/>
      <c r="H2006" s="21"/>
      <c r="I2006" s="33"/>
      <c r="J2006" s="21" t="str">
        <f aca="false">INDEX(Students!$C$2:$C$601,MATCH(B2006,Students!$A$2:$A$601,0))</f>
        <v>Batch 2026</v>
      </c>
      <c r="K2006" s="21" t="str">
        <f aca="false">INDEX(Students!$D$2:$D$601,MATCH(B2006,Students!$A$2:$A$601,0))</f>
        <v>Full Stack Development</v>
      </c>
      <c r="L2006" s="21" t="str">
        <f aca="false">INDEX(Companies!$C$2:$C$31,MATCH(C2006,Companies!$A$2:$A$31,0))</f>
        <v>Fintech</v>
      </c>
      <c r="M2006" s="21" t="str">
        <f aca="false">INDEX(Companies!$D$2:$D$31,MATCH(C2006,Companies!$A$2:$A$31,0))</f>
        <v>Tier 2</v>
      </c>
      <c r="N2006" s="34" t="n">
        <f aca="false">MATCH(F2006,Assumptions!$K$4:$K$8,0)</f>
        <v>2</v>
      </c>
      <c r="O2006" s="21" t="str">
        <f aca="false">IF(H2006="Yes",MONTH(I2006),"")</f>
        <v/>
      </c>
      <c r="P2006" s="21" t="str">
        <f aca="false">IF(H2006="Yes",B2006,"")</f>
        <v/>
      </c>
    </row>
    <row r="2007" customFormat="false" ht="15" hidden="false" customHeight="false" outlineLevel="0" collapsed="false">
      <c r="A2007" s="21" t="s">
        <v>3222</v>
      </c>
      <c r="B2007" s="21" t="s">
        <v>1058</v>
      </c>
      <c r="C2007" s="21" t="s">
        <v>1203</v>
      </c>
      <c r="D2007" s="21" t="s">
        <v>1181</v>
      </c>
      <c r="E2007" s="33" t="n">
        <v>45874</v>
      </c>
      <c r="F2007" s="21" t="s">
        <v>1218</v>
      </c>
      <c r="G2007" s="32"/>
      <c r="H2007" s="21"/>
      <c r="I2007" s="33"/>
      <c r="J2007" s="21" t="str">
        <f aca="false">INDEX(Students!$C$2:$C$601,MATCH(B2007,Students!$A$2:$A$601,0))</f>
        <v>Batch 2026</v>
      </c>
      <c r="K2007" s="21" t="str">
        <f aca="false">INDEX(Students!$D$2:$D$601,MATCH(B2007,Students!$A$2:$A$601,0))</f>
        <v>Full Stack Development</v>
      </c>
      <c r="L2007" s="21" t="str">
        <f aca="false">INDEX(Companies!$C$2:$C$31,MATCH(C2007,Companies!$A$2:$A$31,0))</f>
        <v>Healthtech</v>
      </c>
      <c r="M2007" s="21" t="str">
        <f aca="false">INDEX(Companies!$D$2:$D$31,MATCH(C2007,Companies!$A$2:$A$31,0))</f>
        <v>Tier 2</v>
      </c>
      <c r="N2007" s="34" t="n">
        <f aca="false">MATCH(F2007,Assumptions!$K$4:$K$8,0)</f>
        <v>4</v>
      </c>
      <c r="O2007" s="21" t="str">
        <f aca="false">IF(H2007="Yes",MONTH(I2007),"")</f>
        <v/>
      </c>
      <c r="P2007" s="21" t="str">
        <f aca="false">IF(H2007="Yes",B2007,"")</f>
        <v/>
      </c>
    </row>
    <row r="2008" customFormat="false" ht="15" hidden="false" customHeight="false" outlineLevel="0" collapsed="false">
      <c r="A2008" s="21" t="s">
        <v>3223</v>
      </c>
      <c r="B2008" s="21" t="s">
        <v>898</v>
      </c>
      <c r="C2008" s="21" t="s">
        <v>1263</v>
      </c>
      <c r="D2008" s="21" t="s">
        <v>1181</v>
      </c>
      <c r="E2008" s="33" t="n">
        <v>45874</v>
      </c>
      <c r="F2008" s="21" t="s">
        <v>1178</v>
      </c>
      <c r="G2008" s="32"/>
      <c r="H2008" s="21"/>
      <c r="I2008" s="33"/>
      <c r="J2008" s="21" t="str">
        <f aca="false">INDEX(Students!$C$2:$C$601,MATCH(B2008,Students!$A$2:$A$601,0))</f>
        <v>Batch 2026</v>
      </c>
      <c r="K2008" s="21" t="str">
        <f aca="false">INDEX(Students!$D$2:$D$601,MATCH(B2008,Students!$A$2:$A$601,0))</f>
        <v>Full Stack Development</v>
      </c>
      <c r="L2008" s="21" t="str">
        <f aca="false">INDEX(Companies!$C$2:$C$31,MATCH(C2008,Companies!$A$2:$A$31,0))</f>
        <v>Analytics &amp; Consulting</v>
      </c>
      <c r="M2008" s="21" t="str">
        <f aca="false">INDEX(Companies!$D$2:$D$31,MATCH(C2008,Companies!$A$2:$A$31,0))</f>
        <v>Tier 2</v>
      </c>
      <c r="N2008" s="34" t="n">
        <f aca="false">MATCH(F2008,Assumptions!$K$4:$K$8,0)</f>
        <v>2</v>
      </c>
      <c r="O2008" s="21" t="str">
        <f aca="false">IF(H2008="Yes",MONTH(I2008),"")</f>
        <v/>
      </c>
      <c r="P2008" s="21" t="str">
        <f aca="false">IF(H2008="Yes",B2008,"")</f>
        <v/>
      </c>
    </row>
    <row r="2009" customFormat="false" ht="15" hidden="false" customHeight="false" outlineLevel="0" collapsed="false">
      <c r="A2009" s="21" t="s">
        <v>3224</v>
      </c>
      <c r="B2009" s="21" t="s">
        <v>937</v>
      </c>
      <c r="C2009" s="21" t="s">
        <v>1216</v>
      </c>
      <c r="D2009" s="21" t="s">
        <v>1191</v>
      </c>
      <c r="E2009" s="33" t="n">
        <v>45874</v>
      </c>
      <c r="F2009" s="21" t="s">
        <v>1185</v>
      </c>
      <c r="G2009" s="32" t="n">
        <v>7.3</v>
      </c>
      <c r="H2009" s="21" t="s">
        <v>120</v>
      </c>
      <c r="I2009" s="33" t="n">
        <v>45906</v>
      </c>
      <c r="J2009" s="21" t="str">
        <f aca="false">INDEX(Students!$C$2:$C$601,MATCH(B2009,Students!$A$2:$A$601,0))</f>
        <v>Batch 2026</v>
      </c>
      <c r="K2009" s="21" t="str">
        <f aca="false">INDEX(Students!$D$2:$D$601,MATCH(B2009,Students!$A$2:$A$601,0))</f>
        <v>DSA with Java</v>
      </c>
      <c r="L2009" s="21" t="str">
        <f aca="false">INDEX(Companies!$C$2:$C$31,MATCH(C2009,Companies!$A$2:$A$31,0))</f>
        <v>IT Services</v>
      </c>
      <c r="M2009" s="21" t="str">
        <f aca="false">INDEX(Companies!$D$2:$D$31,MATCH(C2009,Companies!$A$2:$A$31,0))</f>
        <v>Tier 3</v>
      </c>
      <c r="N2009" s="34" t="n">
        <f aca="false">MATCH(F2009,Assumptions!$K$4:$K$8,0)</f>
        <v>5</v>
      </c>
      <c r="O2009" s="21" t="n">
        <f aca="false">IF(H2009="Yes",MONTH(I2009),"")</f>
        <v>9</v>
      </c>
      <c r="P2009" s="21" t="str">
        <f aca="false">IF(H2009="Yes",B2009,"")</f>
        <v>S0462</v>
      </c>
    </row>
    <row r="2010" customFormat="false" ht="15" hidden="false" customHeight="false" outlineLevel="0" collapsed="false">
      <c r="A2010" s="21" t="s">
        <v>3225</v>
      </c>
      <c r="B2010" s="21" t="s">
        <v>1148</v>
      </c>
      <c r="C2010" s="21" t="s">
        <v>1214</v>
      </c>
      <c r="D2010" s="21" t="s">
        <v>1194</v>
      </c>
      <c r="E2010" s="33" t="n">
        <v>45875</v>
      </c>
      <c r="F2010" s="21" t="s">
        <v>1185</v>
      </c>
      <c r="G2010" s="32" t="n">
        <v>23.5</v>
      </c>
      <c r="H2010" s="21" t="s">
        <v>113</v>
      </c>
      <c r="I2010" s="33" t="n">
        <v>45898</v>
      </c>
      <c r="J2010" s="21" t="str">
        <f aca="false">INDEX(Students!$C$2:$C$601,MATCH(B2010,Students!$A$2:$A$601,0))</f>
        <v>Batch 2026</v>
      </c>
      <c r="K2010" s="21" t="str">
        <f aca="false">INDEX(Students!$D$2:$D$601,MATCH(B2010,Students!$A$2:$A$601,0))</f>
        <v>Data Science &amp; ML</v>
      </c>
      <c r="L2010" s="21" t="str">
        <f aca="false">INDEX(Companies!$C$2:$C$31,MATCH(C2010,Companies!$A$2:$A$31,0))</f>
        <v>Product</v>
      </c>
      <c r="M2010" s="21" t="str">
        <f aca="false">INDEX(Companies!$D$2:$D$31,MATCH(C2010,Companies!$A$2:$A$31,0))</f>
        <v>Tier 1</v>
      </c>
      <c r="N2010" s="34" t="n">
        <f aca="false">MATCH(F2010,Assumptions!$K$4:$K$8,0)</f>
        <v>5</v>
      </c>
      <c r="O2010" s="21" t="str">
        <f aca="false">IF(H2010="Yes",MONTH(I2010),"")</f>
        <v/>
      </c>
      <c r="P2010" s="21" t="str">
        <f aca="false">IF(H2010="Yes",B2010,"")</f>
        <v/>
      </c>
    </row>
    <row r="2011" customFormat="false" ht="15" hidden="false" customHeight="false" outlineLevel="0" collapsed="false">
      <c r="A2011" s="21" t="s">
        <v>3226</v>
      </c>
      <c r="B2011" s="21" t="s">
        <v>903</v>
      </c>
      <c r="C2011" s="21" t="s">
        <v>1263</v>
      </c>
      <c r="D2011" s="21" t="s">
        <v>1174</v>
      </c>
      <c r="E2011" s="33" t="n">
        <v>45875</v>
      </c>
      <c r="F2011" s="21" t="s">
        <v>1175</v>
      </c>
      <c r="G2011" s="32"/>
      <c r="H2011" s="21"/>
      <c r="I2011" s="33"/>
      <c r="J2011" s="21" t="str">
        <f aca="false">INDEX(Students!$C$2:$C$601,MATCH(B2011,Students!$A$2:$A$601,0))</f>
        <v>Batch 2026</v>
      </c>
      <c r="K2011" s="21" t="str">
        <f aca="false">INDEX(Students!$D$2:$D$601,MATCH(B2011,Students!$A$2:$A$601,0))</f>
        <v>Full Stack Development</v>
      </c>
      <c r="L2011" s="21" t="str">
        <f aca="false">INDEX(Companies!$C$2:$C$31,MATCH(C2011,Companies!$A$2:$A$31,0))</f>
        <v>Analytics &amp; Consulting</v>
      </c>
      <c r="M2011" s="21" t="str">
        <f aca="false">INDEX(Companies!$D$2:$D$31,MATCH(C2011,Companies!$A$2:$A$31,0))</f>
        <v>Tier 2</v>
      </c>
      <c r="N2011" s="34" t="n">
        <f aca="false">MATCH(F2011,Assumptions!$K$4:$K$8,0)</f>
        <v>1</v>
      </c>
      <c r="O2011" s="21" t="str">
        <f aca="false">IF(H2011="Yes",MONTH(I2011),"")</f>
        <v/>
      </c>
      <c r="P2011" s="21" t="str">
        <f aca="false">IF(H2011="Yes",B2011,"")</f>
        <v/>
      </c>
    </row>
    <row r="2012" customFormat="false" ht="15" hidden="false" customHeight="false" outlineLevel="0" collapsed="false">
      <c r="A2012" s="21" t="s">
        <v>3227</v>
      </c>
      <c r="B2012" s="21" t="s">
        <v>975</v>
      </c>
      <c r="C2012" s="21" t="s">
        <v>1187</v>
      </c>
      <c r="D2012" s="21" t="s">
        <v>1181</v>
      </c>
      <c r="E2012" s="33" t="n">
        <v>45875</v>
      </c>
      <c r="F2012" s="21" t="s">
        <v>1185</v>
      </c>
      <c r="G2012" s="32" t="n">
        <v>29.9</v>
      </c>
      <c r="H2012" s="21" t="s">
        <v>120</v>
      </c>
      <c r="I2012" s="33" t="n">
        <v>45900</v>
      </c>
      <c r="J2012" s="21" t="str">
        <f aca="false">INDEX(Students!$C$2:$C$601,MATCH(B2012,Students!$A$2:$A$601,0))</f>
        <v>Batch 2026</v>
      </c>
      <c r="K2012" s="21" t="str">
        <f aca="false">INDEX(Students!$D$2:$D$601,MATCH(B2012,Students!$A$2:$A$601,0))</f>
        <v>Full Stack Development</v>
      </c>
      <c r="L2012" s="21" t="str">
        <f aca="false">INDEX(Companies!$C$2:$C$31,MATCH(C2012,Companies!$A$2:$A$31,0))</f>
        <v>Product</v>
      </c>
      <c r="M2012" s="21" t="str">
        <f aca="false">INDEX(Companies!$D$2:$D$31,MATCH(C2012,Companies!$A$2:$A$31,0))</f>
        <v>Tier 1</v>
      </c>
      <c r="N2012" s="34" t="n">
        <f aca="false">MATCH(F2012,Assumptions!$K$4:$K$8,0)</f>
        <v>5</v>
      </c>
      <c r="O2012" s="21" t="n">
        <f aca="false">IF(H2012="Yes",MONTH(I2012),"")</f>
        <v>8</v>
      </c>
      <c r="P2012" s="21" t="str">
        <f aca="false">IF(H2012="Yes",B2012,"")</f>
        <v>S0485</v>
      </c>
    </row>
    <row r="2013" customFormat="false" ht="15" hidden="false" customHeight="false" outlineLevel="0" collapsed="false">
      <c r="A2013" s="21" t="s">
        <v>3228</v>
      </c>
      <c r="B2013" s="21" t="s">
        <v>1138</v>
      </c>
      <c r="C2013" s="21" t="s">
        <v>1309</v>
      </c>
      <c r="D2013" s="21" t="s">
        <v>1184</v>
      </c>
      <c r="E2013" s="33" t="n">
        <v>45876</v>
      </c>
      <c r="F2013" s="21" t="s">
        <v>1197</v>
      </c>
      <c r="G2013" s="32"/>
      <c r="H2013" s="21"/>
      <c r="I2013" s="33"/>
      <c r="J2013" s="21" t="str">
        <f aca="false">INDEX(Students!$C$2:$C$601,MATCH(B2013,Students!$A$2:$A$601,0))</f>
        <v>Batch 2026</v>
      </c>
      <c r="K2013" s="21" t="str">
        <f aca="false">INDEX(Students!$D$2:$D$601,MATCH(B2013,Students!$A$2:$A$601,0))</f>
        <v>DSA with Java</v>
      </c>
      <c r="L2013" s="21" t="str">
        <f aca="false">INDEX(Companies!$C$2:$C$31,MATCH(C2013,Companies!$A$2:$A$31,0))</f>
        <v>EdTech</v>
      </c>
      <c r="M2013" s="21" t="str">
        <f aca="false">INDEX(Companies!$D$2:$D$31,MATCH(C2013,Companies!$A$2:$A$31,0))</f>
        <v>Tier 2</v>
      </c>
      <c r="N2013" s="34" t="n">
        <f aca="false">MATCH(F2013,Assumptions!$K$4:$K$8,0)</f>
        <v>3</v>
      </c>
      <c r="O2013" s="21" t="str">
        <f aca="false">IF(H2013="Yes",MONTH(I2013),"")</f>
        <v/>
      </c>
      <c r="P2013" s="21" t="str">
        <f aca="false">IF(H2013="Yes",B2013,"")</f>
        <v/>
      </c>
    </row>
    <row r="2014" customFormat="false" ht="15" hidden="false" customHeight="false" outlineLevel="0" collapsed="false">
      <c r="A2014" s="21" t="s">
        <v>3229</v>
      </c>
      <c r="B2014" s="21" t="s">
        <v>903</v>
      </c>
      <c r="C2014" s="21" t="s">
        <v>1180</v>
      </c>
      <c r="D2014" s="21" t="s">
        <v>1174</v>
      </c>
      <c r="E2014" s="33" t="n">
        <v>45876</v>
      </c>
      <c r="F2014" s="21" t="s">
        <v>1178</v>
      </c>
      <c r="G2014" s="32"/>
      <c r="H2014" s="21"/>
      <c r="I2014" s="33"/>
      <c r="J2014" s="21" t="str">
        <f aca="false">INDEX(Students!$C$2:$C$601,MATCH(B2014,Students!$A$2:$A$601,0))</f>
        <v>Batch 2026</v>
      </c>
      <c r="K2014" s="21" t="str">
        <f aca="false">INDEX(Students!$D$2:$D$601,MATCH(B2014,Students!$A$2:$A$601,0))</f>
        <v>Full Stack Development</v>
      </c>
      <c r="L2014" s="21" t="str">
        <f aca="false">INDEX(Companies!$C$2:$C$31,MATCH(C2014,Companies!$A$2:$A$31,0))</f>
        <v>IT Services</v>
      </c>
      <c r="M2014" s="21" t="str">
        <f aca="false">INDEX(Companies!$D$2:$D$31,MATCH(C2014,Companies!$A$2:$A$31,0))</f>
        <v>Tier 3</v>
      </c>
      <c r="N2014" s="34" t="n">
        <f aca="false">MATCH(F2014,Assumptions!$K$4:$K$8,0)</f>
        <v>2</v>
      </c>
      <c r="O2014" s="21" t="str">
        <f aca="false">IF(H2014="Yes",MONTH(I2014),"")</f>
        <v/>
      </c>
      <c r="P2014" s="21" t="str">
        <f aca="false">IF(H2014="Yes",B2014,"")</f>
        <v/>
      </c>
    </row>
    <row r="2015" customFormat="false" ht="15" hidden="false" customHeight="false" outlineLevel="0" collapsed="false">
      <c r="A2015" s="21" t="s">
        <v>3230</v>
      </c>
      <c r="B2015" s="21" t="s">
        <v>871</v>
      </c>
      <c r="C2015" s="21" t="s">
        <v>1266</v>
      </c>
      <c r="D2015" s="21" t="s">
        <v>1243</v>
      </c>
      <c r="E2015" s="33" t="n">
        <v>45876</v>
      </c>
      <c r="F2015" s="21" t="s">
        <v>1178</v>
      </c>
      <c r="G2015" s="32"/>
      <c r="H2015" s="21"/>
      <c r="I2015" s="33"/>
      <c r="J2015" s="21" t="str">
        <f aca="false">INDEX(Students!$C$2:$C$601,MATCH(B2015,Students!$A$2:$A$601,0))</f>
        <v>Batch 2026</v>
      </c>
      <c r="K2015" s="21" t="str">
        <f aca="false">INDEX(Students!$D$2:$D$601,MATCH(B2015,Students!$A$2:$A$601,0))</f>
        <v>Data Science &amp; ML</v>
      </c>
      <c r="L2015" s="21" t="str">
        <f aca="false">INDEX(Companies!$C$2:$C$31,MATCH(C2015,Companies!$A$2:$A$31,0))</f>
        <v>IT Services</v>
      </c>
      <c r="M2015" s="21" t="str">
        <f aca="false">INDEX(Companies!$D$2:$D$31,MATCH(C2015,Companies!$A$2:$A$31,0))</f>
        <v>Tier 3</v>
      </c>
      <c r="N2015" s="34" t="n">
        <f aca="false">MATCH(F2015,Assumptions!$K$4:$K$8,0)</f>
        <v>2</v>
      </c>
      <c r="O2015" s="21" t="str">
        <f aca="false">IF(H2015="Yes",MONTH(I2015),"")</f>
        <v/>
      </c>
      <c r="P2015" s="21" t="str">
        <f aca="false">IF(H2015="Yes",B2015,"")</f>
        <v/>
      </c>
    </row>
    <row r="2016" customFormat="false" ht="15" hidden="false" customHeight="false" outlineLevel="0" collapsed="false">
      <c r="A2016" s="21" t="s">
        <v>3231</v>
      </c>
      <c r="B2016" s="21" t="s">
        <v>855</v>
      </c>
      <c r="C2016" s="21" t="s">
        <v>1230</v>
      </c>
      <c r="D2016" s="21" t="s">
        <v>1188</v>
      </c>
      <c r="E2016" s="33" t="n">
        <v>45876</v>
      </c>
      <c r="F2016" s="21" t="s">
        <v>1178</v>
      </c>
      <c r="G2016" s="32"/>
      <c r="H2016" s="21"/>
      <c r="I2016" s="33"/>
      <c r="J2016" s="21" t="str">
        <f aca="false">INDEX(Students!$C$2:$C$601,MATCH(B2016,Students!$A$2:$A$601,0))</f>
        <v>Batch 2026</v>
      </c>
      <c r="K2016" s="21" t="str">
        <f aca="false">INDEX(Students!$D$2:$D$601,MATCH(B2016,Students!$A$2:$A$601,0))</f>
        <v>Data Analytics</v>
      </c>
      <c r="L2016" s="21" t="str">
        <f aca="false">INDEX(Companies!$C$2:$C$31,MATCH(C2016,Companies!$A$2:$A$31,0))</f>
        <v>IT Services</v>
      </c>
      <c r="M2016" s="21" t="str">
        <f aca="false">INDEX(Companies!$D$2:$D$31,MATCH(C2016,Companies!$A$2:$A$31,0))</f>
        <v>Tier 3</v>
      </c>
      <c r="N2016" s="34" t="n">
        <f aca="false">MATCH(F2016,Assumptions!$K$4:$K$8,0)</f>
        <v>2</v>
      </c>
      <c r="O2016" s="21" t="str">
        <f aca="false">IF(H2016="Yes",MONTH(I2016),"")</f>
        <v/>
      </c>
      <c r="P2016" s="21" t="str">
        <f aca="false">IF(H2016="Yes",B2016,"")</f>
        <v/>
      </c>
    </row>
    <row r="2017" customFormat="false" ht="15" hidden="false" customHeight="false" outlineLevel="0" collapsed="false">
      <c r="A2017" s="21" t="s">
        <v>3232</v>
      </c>
      <c r="B2017" s="21" t="s">
        <v>856</v>
      </c>
      <c r="C2017" s="21" t="s">
        <v>1225</v>
      </c>
      <c r="D2017" s="21" t="s">
        <v>1240</v>
      </c>
      <c r="E2017" s="33" t="n">
        <v>45876</v>
      </c>
      <c r="F2017" s="21" t="s">
        <v>1178</v>
      </c>
      <c r="G2017" s="32"/>
      <c r="H2017" s="21"/>
      <c r="I2017" s="33"/>
      <c r="J2017" s="21" t="str">
        <f aca="false">INDEX(Students!$C$2:$C$601,MATCH(B2017,Students!$A$2:$A$601,0))</f>
        <v>Batch 2026</v>
      </c>
      <c r="K2017" s="21" t="str">
        <f aca="false">INDEX(Students!$D$2:$D$601,MATCH(B2017,Students!$A$2:$A$601,0))</f>
        <v>Cybersecurity</v>
      </c>
      <c r="L2017" s="21" t="str">
        <f aca="false">INDEX(Companies!$C$2:$C$31,MATCH(C2017,Companies!$A$2:$A$31,0))</f>
        <v>EdTech</v>
      </c>
      <c r="M2017" s="21" t="str">
        <f aca="false">INDEX(Companies!$D$2:$D$31,MATCH(C2017,Companies!$A$2:$A$31,0))</f>
        <v>Tier 2</v>
      </c>
      <c r="N2017" s="34" t="n">
        <f aca="false">MATCH(F2017,Assumptions!$K$4:$K$8,0)</f>
        <v>2</v>
      </c>
      <c r="O2017" s="21" t="str">
        <f aca="false">IF(H2017="Yes",MONTH(I2017),"")</f>
        <v/>
      </c>
      <c r="P2017" s="21" t="str">
        <f aca="false">IF(H2017="Yes",B2017,"")</f>
        <v/>
      </c>
    </row>
    <row r="2018" customFormat="false" ht="15" hidden="false" customHeight="false" outlineLevel="0" collapsed="false">
      <c r="A2018" s="21" t="s">
        <v>3233</v>
      </c>
      <c r="B2018" s="21" t="s">
        <v>1011</v>
      </c>
      <c r="C2018" s="21" t="s">
        <v>1234</v>
      </c>
      <c r="D2018" s="21" t="s">
        <v>1181</v>
      </c>
      <c r="E2018" s="33" t="n">
        <v>45876</v>
      </c>
      <c r="F2018" s="21" t="s">
        <v>1175</v>
      </c>
      <c r="G2018" s="32"/>
      <c r="H2018" s="21"/>
      <c r="I2018" s="33"/>
      <c r="J2018" s="21" t="str">
        <f aca="false">INDEX(Students!$C$2:$C$601,MATCH(B2018,Students!$A$2:$A$601,0))</f>
        <v>Batch 2026</v>
      </c>
      <c r="K2018" s="21" t="str">
        <f aca="false">INDEX(Students!$D$2:$D$601,MATCH(B2018,Students!$A$2:$A$601,0))</f>
        <v>Full Stack Development</v>
      </c>
      <c r="L2018" s="21" t="str">
        <f aca="false">INDEX(Companies!$C$2:$C$31,MATCH(C2018,Companies!$A$2:$A$31,0))</f>
        <v>EdTech</v>
      </c>
      <c r="M2018" s="21" t="str">
        <f aca="false">INDEX(Companies!$D$2:$D$31,MATCH(C2018,Companies!$A$2:$A$31,0))</f>
        <v>Tier 3</v>
      </c>
      <c r="N2018" s="34" t="n">
        <f aca="false">MATCH(F2018,Assumptions!$K$4:$K$8,0)</f>
        <v>1</v>
      </c>
      <c r="O2018" s="21" t="str">
        <f aca="false">IF(H2018="Yes",MONTH(I2018),"")</f>
        <v/>
      </c>
      <c r="P2018" s="21" t="str">
        <f aca="false">IF(H2018="Yes",B2018,"")</f>
        <v/>
      </c>
    </row>
    <row r="2019" customFormat="false" ht="15" hidden="false" customHeight="false" outlineLevel="0" collapsed="false">
      <c r="A2019" s="21" t="s">
        <v>3234</v>
      </c>
      <c r="B2019" s="21" t="s">
        <v>1034</v>
      </c>
      <c r="C2019" s="21" t="s">
        <v>1216</v>
      </c>
      <c r="D2019" s="21" t="s">
        <v>1191</v>
      </c>
      <c r="E2019" s="33" t="n">
        <v>45877</v>
      </c>
      <c r="F2019" s="21" t="s">
        <v>1178</v>
      </c>
      <c r="G2019" s="32"/>
      <c r="H2019" s="21"/>
      <c r="I2019" s="33"/>
      <c r="J2019" s="21" t="str">
        <f aca="false">INDEX(Students!$C$2:$C$601,MATCH(B2019,Students!$A$2:$A$601,0))</f>
        <v>Batch 2026</v>
      </c>
      <c r="K2019" s="21" t="str">
        <f aca="false">INDEX(Students!$D$2:$D$601,MATCH(B2019,Students!$A$2:$A$601,0))</f>
        <v>DSA with Java</v>
      </c>
      <c r="L2019" s="21" t="str">
        <f aca="false">INDEX(Companies!$C$2:$C$31,MATCH(C2019,Companies!$A$2:$A$31,0))</f>
        <v>IT Services</v>
      </c>
      <c r="M2019" s="21" t="str">
        <f aca="false">INDEX(Companies!$D$2:$D$31,MATCH(C2019,Companies!$A$2:$A$31,0))</f>
        <v>Tier 3</v>
      </c>
      <c r="N2019" s="34" t="n">
        <f aca="false">MATCH(F2019,Assumptions!$K$4:$K$8,0)</f>
        <v>2</v>
      </c>
      <c r="O2019" s="21" t="str">
        <f aca="false">IF(H2019="Yes",MONTH(I2019),"")</f>
        <v/>
      </c>
      <c r="P2019" s="21" t="str">
        <f aca="false">IF(H2019="Yes",B2019,"")</f>
        <v/>
      </c>
    </row>
    <row r="2020" customFormat="false" ht="15" hidden="false" customHeight="false" outlineLevel="0" collapsed="false">
      <c r="A2020" s="21" t="s">
        <v>3235</v>
      </c>
      <c r="B2020" s="21" t="s">
        <v>969</v>
      </c>
      <c r="C2020" s="21" t="s">
        <v>1187</v>
      </c>
      <c r="D2020" s="21" t="s">
        <v>1243</v>
      </c>
      <c r="E2020" s="33" t="n">
        <v>45877</v>
      </c>
      <c r="F2020" s="21" t="s">
        <v>1175</v>
      </c>
      <c r="G2020" s="32"/>
      <c r="H2020" s="21"/>
      <c r="I2020" s="33"/>
      <c r="J2020" s="21" t="str">
        <f aca="false">INDEX(Students!$C$2:$C$601,MATCH(B2020,Students!$A$2:$A$601,0))</f>
        <v>Batch 2026</v>
      </c>
      <c r="K2020" s="21" t="str">
        <f aca="false">INDEX(Students!$D$2:$D$601,MATCH(B2020,Students!$A$2:$A$601,0))</f>
        <v>Data Science &amp; ML</v>
      </c>
      <c r="L2020" s="21" t="str">
        <f aca="false">INDEX(Companies!$C$2:$C$31,MATCH(C2020,Companies!$A$2:$A$31,0))</f>
        <v>Product</v>
      </c>
      <c r="M2020" s="21" t="str">
        <f aca="false">INDEX(Companies!$D$2:$D$31,MATCH(C2020,Companies!$A$2:$A$31,0))</f>
        <v>Tier 1</v>
      </c>
      <c r="N2020" s="34" t="n">
        <f aca="false">MATCH(F2020,Assumptions!$K$4:$K$8,0)</f>
        <v>1</v>
      </c>
      <c r="O2020" s="21" t="str">
        <f aca="false">IF(H2020="Yes",MONTH(I2020),"")</f>
        <v/>
      </c>
      <c r="P2020" s="21" t="str">
        <f aca="false">IF(H2020="Yes",B2020,"")</f>
        <v/>
      </c>
    </row>
    <row r="2021" customFormat="false" ht="15" hidden="false" customHeight="false" outlineLevel="0" collapsed="false">
      <c r="A2021" s="21" t="s">
        <v>3236</v>
      </c>
      <c r="B2021" s="21" t="s">
        <v>866</v>
      </c>
      <c r="C2021" s="21" t="s">
        <v>1322</v>
      </c>
      <c r="D2021" s="21" t="s">
        <v>1181</v>
      </c>
      <c r="E2021" s="33" t="n">
        <v>45877</v>
      </c>
      <c r="F2021" s="21" t="s">
        <v>1178</v>
      </c>
      <c r="G2021" s="32"/>
      <c r="H2021" s="21"/>
      <c r="I2021" s="33"/>
      <c r="J2021" s="21" t="str">
        <f aca="false">INDEX(Students!$C$2:$C$601,MATCH(B2021,Students!$A$2:$A$601,0))</f>
        <v>Batch 2026</v>
      </c>
      <c r="K2021" s="21" t="str">
        <f aca="false">INDEX(Students!$D$2:$D$601,MATCH(B2021,Students!$A$2:$A$601,0))</f>
        <v>Full Stack Development</v>
      </c>
      <c r="L2021" s="21" t="str">
        <f aca="false">INDEX(Companies!$C$2:$C$31,MATCH(C2021,Companies!$A$2:$A$31,0))</f>
        <v>Healthtech</v>
      </c>
      <c r="M2021" s="21" t="str">
        <f aca="false">INDEX(Companies!$D$2:$D$31,MATCH(C2021,Companies!$A$2:$A$31,0))</f>
        <v>Tier 2</v>
      </c>
      <c r="N2021" s="34" t="n">
        <f aca="false">MATCH(F2021,Assumptions!$K$4:$K$8,0)</f>
        <v>2</v>
      </c>
      <c r="O2021" s="21" t="str">
        <f aca="false">IF(H2021="Yes",MONTH(I2021),"")</f>
        <v/>
      </c>
      <c r="P2021" s="21" t="str">
        <f aca="false">IF(H2021="Yes",B2021,"")</f>
        <v/>
      </c>
    </row>
    <row r="2022" customFormat="false" ht="15" hidden="false" customHeight="false" outlineLevel="0" collapsed="false">
      <c r="A2022" s="21" t="s">
        <v>3237</v>
      </c>
      <c r="B2022" s="21" t="s">
        <v>838</v>
      </c>
      <c r="C2022" s="21" t="s">
        <v>1214</v>
      </c>
      <c r="D2022" s="21" t="s">
        <v>1209</v>
      </c>
      <c r="E2022" s="33" t="n">
        <v>45877</v>
      </c>
      <c r="F2022" s="21" t="s">
        <v>1178</v>
      </c>
      <c r="G2022" s="32"/>
      <c r="H2022" s="21"/>
      <c r="I2022" s="33"/>
      <c r="J2022" s="21" t="str">
        <f aca="false">INDEX(Students!$C$2:$C$601,MATCH(B2022,Students!$A$2:$A$601,0))</f>
        <v>Batch 2026</v>
      </c>
      <c r="K2022" s="21" t="str">
        <f aca="false">INDEX(Students!$D$2:$D$601,MATCH(B2022,Students!$A$2:$A$601,0))</f>
        <v>Data Analytics</v>
      </c>
      <c r="L2022" s="21" t="str">
        <f aca="false">INDEX(Companies!$C$2:$C$31,MATCH(C2022,Companies!$A$2:$A$31,0))</f>
        <v>Product</v>
      </c>
      <c r="M2022" s="21" t="str">
        <f aca="false">INDEX(Companies!$D$2:$D$31,MATCH(C2022,Companies!$A$2:$A$31,0))</f>
        <v>Tier 1</v>
      </c>
      <c r="N2022" s="34" t="n">
        <f aca="false">MATCH(F2022,Assumptions!$K$4:$K$8,0)</f>
        <v>2</v>
      </c>
      <c r="O2022" s="21" t="str">
        <f aca="false">IF(H2022="Yes",MONTH(I2022),"")</f>
        <v/>
      </c>
      <c r="P2022" s="21" t="str">
        <f aca="false">IF(H2022="Yes",B2022,"")</f>
        <v/>
      </c>
    </row>
    <row r="2023" customFormat="false" ht="15" hidden="false" customHeight="false" outlineLevel="0" collapsed="false">
      <c r="A2023" s="21" t="s">
        <v>3238</v>
      </c>
      <c r="B2023" s="21" t="s">
        <v>961</v>
      </c>
      <c r="C2023" s="21" t="s">
        <v>1309</v>
      </c>
      <c r="D2023" s="21" t="s">
        <v>1209</v>
      </c>
      <c r="E2023" s="33" t="n">
        <v>45878</v>
      </c>
      <c r="F2023" s="21" t="s">
        <v>1185</v>
      </c>
      <c r="G2023" s="32" t="n">
        <v>11.9</v>
      </c>
      <c r="H2023" s="21" t="s">
        <v>120</v>
      </c>
      <c r="I2023" s="33" t="n">
        <v>45925</v>
      </c>
      <c r="J2023" s="21" t="str">
        <f aca="false">INDEX(Students!$C$2:$C$601,MATCH(B2023,Students!$A$2:$A$601,0))</f>
        <v>Batch 2026</v>
      </c>
      <c r="K2023" s="21" t="str">
        <f aca="false">INDEX(Students!$D$2:$D$601,MATCH(B2023,Students!$A$2:$A$601,0))</f>
        <v>Data Analytics</v>
      </c>
      <c r="L2023" s="21" t="str">
        <f aca="false">INDEX(Companies!$C$2:$C$31,MATCH(C2023,Companies!$A$2:$A$31,0))</f>
        <v>EdTech</v>
      </c>
      <c r="M2023" s="21" t="str">
        <f aca="false">INDEX(Companies!$D$2:$D$31,MATCH(C2023,Companies!$A$2:$A$31,0))</f>
        <v>Tier 2</v>
      </c>
      <c r="N2023" s="34" t="n">
        <f aca="false">MATCH(F2023,Assumptions!$K$4:$K$8,0)</f>
        <v>5</v>
      </c>
      <c r="O2023" s="21" t="n">
        <f aca="false">IF(H2023="Yes",MONTH(I2023),"")</f>
        <v>9</v>
      </c>
      <c r="P2023" s="21" t="str">
        <f aca="false">IF(H2023="Yes",B2023,"")</f>
        <v>S0477</v>
      </c>
    </row>
    <row r="2024" customFormat="false" ht="15" hidden="false" customHeight="false" outlineLevel="0" collapsed="false">
      <c r="A2024" s="21" t="s">
        <v>3239</v>
      </c>
      <c r="B2024" s="21" t="s">
        <v>954</v>
      </c>
      <c r="C2024" s="21" t="s">
        <v>1309</v>
      </c>
      <c r="D2024" s="21" t="s">
        <v>1184</v>
      </c>
      <c r="E2024" s="33" t="n">
        <v>45878</v>
      </c>
      <c r="F2024" s="21" t="s">
        <v>1185</v>
      </c>
      <c r="G2024" s="32" t="n">
        <v>12</v>
      </c>
      <c r="H2024" s="21" t="s">
        <v>120</v>
      </c>
      <c r="I2024" s="33" t="n">
        <v>45899</v>
      </c>
      <c r="J2024" s="21" t="str">
        <f aca="false">INDEX(Students!$C$2:$C$601,MATCH(B2024,Students!$A$2:$A$601,0))</f>
        <v>Batch 2026</v>
      </c>
      <c r="K2024" s="21" t="str">
        <f aca="false">INDEX(Students!$D$2:$D$601,MATCH(B2024,Students!$A$2:$A$601,0))</f>
        <v>DSA with Java</v>
      </c>
      <c r="L2024" s="21" t="str">
        <f aca="false">INDEX(Companies!$C$2:$C$31,MATCH(C2024,Companies!$A$2:$A$31,0))</f>
        <v>EdTech</v>
      </c>
      <c r="M2024" s="21" t="str">
        <f aca="false">INDEX(Companies!$D$2:$D$31,MATCH(C2024,Companies!$A$2:$A$31,0))</f>
        <v>Tier 2</v>
      </c>
      <c r="N2024" s="34" t="n">
        <f aca="false">MATCH(F2024,Assumptions!$K$4:$K$8,0)</f>
        <v>5</v>
      </c>
      <c r="O2024" s="21" t="n">
        <f aca="false">IF(H2024="Yes",MONTH(I2024),"")</f>
        <v>8</v>
      </c>
      <c r="P2024" s="21" t="str">
        <f aca="false">IF(H2024="Yes",B2024,"")</f>
        <v>S0472</v>
      </c>
    </row>
    <row r="2025" customFormat="false" ht="15" hidden="false" customHeight="false" outlineLevel="0" collapsed="false">
      <c r="A2025" s="21" t="s">
        <v>3240</v>
      </c>
      <c r="B2025" s="21" t="s">
        <v>1032</v>
      </c>
      <c r="C2025" s="21" t="s">
        <v>1228</v>
      </c>
      <c r="D2025" s="21" t="s">
        <v>1209</v>
      </c>
      <c r="E2025" s="33" t="n">
        <v>45878</v>
      </c>
      <c r="F2025" s="21" t="s">
        <v>1175</v>
      </c>
      <c r="G2025" s="32"/>
      <c r="H2025" s="21"/>
      <c r="I2025" s="33"/>
      <c r="J2025" s="21" t="str">
        <f aca="false">INDEX(Students!$C$2:$C$601,MATCH(B2025,Students!$A$2:$A$601,0))</f>
        <v>Batch 2026</v>
      </c>
      <c r="K2025" s="21" t="str">
        <f aca="false">INDEX(Students!$D$2:$D$601,MATCH(B2025,Students!$A$2:$A$601,0))</f>
        <v>Data Analytics</v>
      </c>
      <c r="L2025" s="21" t="str">
        <f aca="false">INDEX(Companies!$C$2:$C$31,MATCH(C2025,Companies!$A$2:$A$31,0))</f>
        <v>Fintech</v>
      </c>
      <c r="M2025" s="21" t="str">
        <f aca="false">INDEX(Companies!$D$2:$D$31,MATCH(C2025,Companies!$A$2:$A$31,0))</f>
        <v>Tier 1</v>
      </c>
      <c r="N2025" s="34" t="n">
        <f aca="false">MATCH(F2025,Assumptions!$K$4:$K$8,0)</f>
        <v>1</v>
      </c>
      <c r="O2025" s="21" t="str">
        <f aca="false">IF(H2025="Yes",MONTH(I2025),"")</f>
        <v/>
      </c>
      <c r="P2025" s="21" t="str">
        <f aca="false">IF(H2025="Yes",B2025,"")</f>
        <v/>
      </c>
    </row>
    <row r="2026" customFormat="false" ht="15" hidden="false" customHeight="false" outlineLevel="0" collapsed="false">
      <c r="A2026" s="21" t="s">
        <v>3241</v>
      </c>
      <c r="B2026" s="21" t="s">
        <v>1021</v>
      </c>
      <c r="C2026" s="21" t="s">
        <v>1255</v>
      </c>
      <c r="D2026" s="21" t="s">
        <v>1226</v>
      </c>
      <c r="E2026" s="33" t="n">
        <v>45878</v>
      </c>
      <c r="F2026" s="21" t="s">
        <v>1178</v>
      </c>
      <c r="G2026" s="32"/>
      <c r="H2026" s="21"/>
      <c r="I2026" s="33"/>
      <c r="J2026" s="21" t="str">
        <f aca="false">INDEX(Students!$C$2:$C$601,MATCH(B2026,Students!$A$2:$A$601,0))</f>
        <v>Batch 2026</v>
      </c>
      <c r="K2026" s="21" t="str">
        <f aca="false">INDEX(Students!$D$2:$D$601,MATCH(B2026,Students!$A$2:$A$601,0))</f>
        <v>Cybersecurity</v>
      </c>
      <c r="L2026" s="21" t="str">
        <f aca="false">INDEX(Companies!$C$2:$C$31,MATCH(C2026,Companies!$A$2:$A$31,0))</f>
        <v>IT Services</v>
      </c>
      <c r="M2026" s="21" t="str">
        <f aca="false">INDEX(Companies!$D$2:$D$31,MATCH(C2026,Companies!$A$2:$A$31,0))</f>
        <v>Tier 3</v>
      </c>
      <c r="N2026" s="34" t="n">
        <f aca="false">MATCH(F2026,Assumptions!$K$4:$K$8,0)</f>
        <v>2</v>
      </c>
      <c r="O2026" s="21" t="str">
        <f aca="false">IF(H2026="Yes",MONTH(I2026),"")</f>
        <v/>
      </c>
      <c r="P2026" s="21" t="str">
        <f aca="false">IF(H2026="Yes",B2026,"")</f>
        <v/>
      </c>
    </row>
    <row r="2027" customFormat="false" ht="15" hidden="false" customHeight="false" outlineLevel="0" collapsed="false">
      <c r="A2027" s="21" t="s">
        <v>3242</v>
      </c>
      <c r="B2027" s="21" t="s">
        <v>1039</v>
      </c>
      <c r="C2027" s="21" t="s">
        <v>1239</v>
      </c>
      <c r="D2027" s="21" t="s">
        <v>1191</v>
      </c>
      <c r="E2027" s="33" t="n">
        <v>45878</v>
      </c>
      <c r="F2027" s="21" t="s">
        <v>1178</v>
      </c>
      <c r="G2027" s="32"/>
      <c r="H2027" s="21"/>
      <c r="I2027" s="33"/>
      <c r="J2027" s="21" t="str">
        <f aca="false">INDEX(Students!$C$2:$C$601,MATCH(B2027,Students!$A$2:$A$601,0))</f>
        <v>Batch 2026</v>
      </c>
      <c r="K2027" s="21" t="str">
        <f aca="false">INDEX(Students!$D$2:$D$601,MATCH(B2027,Students!$A$2:$A$601,0))</f>
        <v>DSA with Java</v>
      </c>
      <c r="L2027" s="21" t="str">
        <f aca="false">INDEX(Companies!$C$2:$C$31,MATCH(C2027,Companies!$A$2:$A$31,0))</f>
        <v>E-commerce</v>
      </c>
      <c r="M2027" s="21" t="str">
        <f aca="false">INDEX(Companies!$D$2:$D$31,MATCH(C2027,Companies!$A$2:$A$31,0))</f>
        <v>Tier 3</v>
      </c>
      <c r="N2027" s="34" t="n">
        <f aca="false">MATCH(F2027,Assumptions!$K$4:$K$8,0)</f>
        <v>2</v>
      </c>
      <c r="O2027" s="21" t="str">
        <f aca="false">IF(H2027="Yes",MONTH(I2027),"")</f>
        <v/>
      </c>
      <c r="P2027" s="21" t="str">
        <f aca="false">IF(H2027="Yes",B2027,"")</f>
        <v/>
      </c>
    </row>
    <row r="2028" customFormat="false" ht="15" hidden="false" customHeight="false" outlineLevel="0" collapsed="false">
      <c r="A2028" s="21" t="s">
        <v>3243</v>
      </c>
      <c r="B2028" s="21" t="s">
        <v>1092</v>
      </c>
      <c r="C2028" s="21" t="s">
        <v>1239</v>
      </c>
      <c r="D2028" s="21" t="s">
        <v>1174</v>
      </c>
      <c r="E2028" s="33" t="n">
        <v>45878</v>
      </c>
      <c r="F2028" s="21" t="s">
        <v>1175</v>
      </c>
      <c r="G2028" s="32"/>
      <c r="H2028" s="21"/>
      <c r="I2028" s="33"/>
      <c r="J2028" s="21" t="str">
        <f aca="false">INDEX(Students!$C$2:$C$601,MATCH(B2028,Students!$A$2:$A$601,0))</f>
        <v>Batch 2026</v>
      </c>
      <c r="K2028" s="21" t="str">
        <f aca="false">INDEX(Students!$D$2:$D$601,MATCH(B2028,Students!$A$2:$A$601,0))</f>
        <v>Full Stack Development</v>
      </c>
      <c r="L2028" s="21" t="str">
        <f aca="false">INDEX(Companies!$C$2:$C$31,MATCH(C2028,Companies!$A$2:$A$31,0))</f>
        <v>E-commerce</v>
      </c>
      <c r="M2028" s="21" t="str">
        <f aca="false">INDEX(Companies!$D$2:$D$31,MATCH(C2028,Companies!$A$2:$A$31,0))</f>
        <v>Tier 3</v>
      </c>
      <c r="N2028" s="34" t="n">
        <f aca="false">MATCH(F2028,Assumptions!$K$4:$K$8,0)</f>
        <v>1</v>
      </c>
      <c r="O2028" s="21" t="str">
        <f aca="false">IF(H2028="Yes",MONTH(I2028),"")</f>
        <v/>
      </c>
      <c r="P2028" s="21" t="str">
        <f aca="false">IF(H2028="Yes",B2028,"")</f>
        <v/>
      </c>
    </row>
    <row r="2029" customFormat="false" ht="15" hidden="false" customHeight="false" outlineLevel="0" collapsed="false">
      <c r="A2029" s="21" t="s">
        <v>3244</v>
      </c>
      <c r="B2029" s="21" t="s">
        <v>1046</v>
      </c>
      <c r="C2029" s="21" t="s">
        <v>1199</v>
      </c>
      <c r="D2029" s="21" t="s">
        <v>1181</v>
      </c>
      <c r="E2029" s="33" t="n">
        <v>45878</v>
      </c>
      <c r="F2029" s="21" t="s">
        <v>1175</v>
      </c>
      <c r="G2029" s="32"/>
      <c r="H2029" s="21"/>
      <c r="I2029" s="33"/>
      <c r="J2029" s="21" t="str">
        <f aca="false">INDEX(Students!$C$2:$C$601,MATCH(B2029,Students!$A$2:$A$601,0))</f>
        <v>Batch 2026</v>
      </c>
      <c r="K2029" s="21" t="str">
        <f aca="false">INDEX(Students!$D$2:$D$601,MATCH(B2029,Students!$A$2:$A$601,0))</f>
        <v>Full Stack Development</v>
      </c>
      <c r="L2029" s="21" t="str">
        <f aca="false">INDEX(Companies!$C$2:$C$31,MATCH(C2029,Companies!$A$2:$A$31,0))</f>
        <v>E-commerce</v>
      </c>
      <c r="M2029" s="21" t="str">
        <f aca="false">INDEX(Companies!$D$2:$D$31,MATCH(C2029,Companies!$A$2:$A$31,0))</f>
        <v>Tier 2</v>
      </c>
      <c r="N2029" s="34" t="n">
        <f aca="false">MATCH(F2029,Assumptions!$K$4:$K$8,0)</f>
        <v>1</v>
      </c>
      <c r="O2029" s="21" t="str">
        <f aca="false">IF(H2029="Yes",MONTH(I2029),"")</f>
        <v/>
      </c>
      <c r="P2029" s="21" t="str">
        <f aca="false">IF(H2029="Yes",B2029,"")</f>
        <v/>
      </c>
    </row>
    <row r="2030" customFormat="false" ht="15" hidden="false" customHeight="false" outlineLevel="0" collapsed="false">
      <c r="A2030" s="21" t="s">
        <v>3245</v>
      </c>
      <c r="B2030" s="21" t="s">
        <v>1116</v>
      </c>
      <c r="C2030" s="21" t="s">
        <v>1201</v>
      </c>
      <c r="D2030" s="21" t="s">
        <v>1243</v>
      </c>
      <c r="E2030" s="33" t="n">
        <v>45878</v>
      </c>
      <c r="F2030" s="21" t="s">
        <v>1175</v>
      </c>
      <c r="G2030" s="32"/>
      <c r="H2030" s="21"/>
      <c r="I2030" s="33"/>
      <c r="J2030" s="21" t="str">
        <f aca="false">INDEX(Students!$C$2:$C$601,MATCH(B2030,Students!$A$2:$A$601,0))</f>
        <v>Batch 2026</v>
      </c>
      <c r="K2030" s="21" t="str">
        <f aca="false">INDEX(Students!$D$2:$D$601,MATCH(B2030,Students!$A$2:$A$601,0))</f>
        <v>Data Science &amp; ML</v>
      </c>
      <c r="L2030" s="21" t="str">
        <f aca="false">INDEX(Companies!$C$2:$C$31,MATCH(C2030,Companies!$A$2:$A$31,0))</f>
        <v>IT Services</v>
      </c>
      <c r="M2030" s="21" t="str">
        <f aca="false">INDEX(Companies!$D$2:$D$31,MATCH(C2030,Companies!$A$2:$A$31,0))</f>
        <v>Tier 3</v>
      </c>
      <c r="N2030" s="34" t="n">
        <f aca="false">MATCH(F2030,Assumptions!$K$4:$K$8,0)</f>
        <v>1</v>
      </c>
      <c r="O2030" s="21" t="str">
        <f aca="false">IF(H2030="Yes",MONTH(I2030),"")</f>
        <v/>
      </c>
      <c r="P2030" s="21" t="str">
        <f aca="false">IF(H2030="Yes",B2030,"")</f>
        <v/>
      </c>
    </row>
    <row r="2031" customFormat="false" ht="15" hidden="false" customHeight="false" outlineLevel="0" collapsed="false">
      <c r="A2031" s="21" t="s">
        <v>3246</v>
      </c>
      <c r="B2031" s="21" t="s">
        <v>864</v>
      </c>
      <c r="C2031" s="21" t="s">
        <v>1196</v>
      </c>
      <c r="D2031" s="21" t="s">
        <v>1209</v>
      </c>
      <c r="E2031" s="33" t="n">
        <v>45878</v>
      </c>
      <c r="F2031" s="21" t="s">
        <v>1185</v>
      </c>
      <c r="G2031" s="32" t="n">
        <v>6.2</v>
      </c>
      <c r="H2031" s="21" t="s">
        <v>113</v>
      </c>
      <c r="I2031" s="33" t="n">
        <v>45898</v>
      </c>
      <c r="J2031" s="21" t="str">
        <f aca="false">INDEX(Students!$C$2:$C$601,MATCH(B2031,Students!$A$2:$A$601,0))</f>
        <v>Batch 2026</v>
      </c>
      <c r="K2031" s="21" t="str">
        <f aca="false">INDEX(Students!$D$2:$D$601,MATCH(B2031,Students!$A$2:$A$601,0))</f>
        <v>Data Analytics</v>
      </c>
      <c r="L2031" s="21" t="str">
        <f aca="false">INDEX(Companies!$C$2:$C$31,MATCH(C2031,Companies!$A$2:$A$31,0))</f>
        <v>IT Services</v>
      </c>
      <c r="M2031" s="21" t="str">
        <f aca="false">INDEX(Companies!$D$2:$D$31,MATCH(C2031,Companies!$A$2:$A$31,0))</f>
        <v>Tier 3</v>
      </c>
      <c r="N2031" s="34" t="n">
        <f aca="false">MATCH(F2031,Assumptions!$K$4:$K$8,0)</f>
        <v>5</v>
      </c>
      <c r="O2031" s="21" t="str">
        <f aca="false">IF(H2031="Yes",MONTH(I2031),"")</f>
        <v/>
      </c>
      <c r="P2031" s="21" t="str">
        <f aca="false">IF(H2031="Yes",B2031,"")</f>
        <v/>
      </c>
    </row>
    <row r="2032" customFormat="false" ht="15" hidden="false" customHeight="false" outlineLevel="0" collapsed="false">
      <c r="A2032" s="21" t="s">
        <v>3247</v>
      </c>
      <c r="B2032" s="21" t="s">
        <v>1051</v>
      </c>
      <c r="C2032" s="21" t="s">
        <v>1234</v>
      </c>
      <c r="D2032" s="21" t="s">
        <v>1191</v>
      </c>
      <c r="E2032" s="33" t="n">
        <v>45879</v>
      </c>
      <c r="F2032" s="21" t="s">
        <v>1175</v>
      </c>
      <c r="G2032" s="32"/>
      <c r="H2032" s="21"/>
      <c r="I2032" s="33"/>
      <c r="J2032" s="21" t="str">
        <f aca="false">INDEX(Students!$C$2:$C$601,MATCH(B2032,Students!$A$2:$A$601,0))</f>
        <v>Batch 2026</v>
      </c>
      <c r="K2032" s="21" t="str">
        <f aca="false">INDEX(Students!$D$2:$D$601,MATCH(B2032,Students!$A$2:$A$601,0))</f>
        <v>DSA with Java</v>
      </c>
      <c r="L2032" s="21" t="str">
        <f aca="false">INDEX(Companies!$C$2:$C$31,MATCH(C2032,Companies!$A$2:$A$31,0))</f>
        <v>EdTech</v>
      </c>
      <c r="M2032" s="21" t="str">
        <f aca="false">INDEX(Companies!$D$2:$D$31,MATCH(C2032,Companies!$A$2:$A$31,0))</f>
        <v>Tier 3</v>
      </c>
      <c r="N2032" s="34" t="n">
        <f aca="false">MATCH(F2032,Assumptions!$K$4:$K$8,0)</f>
        <v>1</v>
      </c>
      <c r="O2032" s="21" t="str">
        <f aca="false">IF(H2032="Yes",MONTH(I2032),"")</f>
        <v/>
      </c>
      <c r="P2032" s="21" t="str">
        <f aca="false">IF(H2032="Yes",B2032,"")</f>
        <v/>
      </c>
    </row>
    <row r="2033" customFormat="false" ht="15" hidden="false" customHeight="false" outlineLevel="0" collapsed="false">
      <c r="A2033" s="21" t="s">
        <v>3248</v>
      </c>
      <c r="B2033" s="21" t="s">
        <v>956</v>
      </c>
      <c r="C2033" s="21" t="s">
        <v>1230</v>
      </c>
      <c r="D2033" s="21" t="s">
        <v>1188</v>
      </c>
      <c r="E2033" s="33" t="n">
        <v>45879</v>
      </c>
      <c r="F2033" s="21" t="s">
        <v>1185</v>
      </c>
      <c r="G2033" s="32" t="n">
        <v>7.2</v>
      </c>
      <c r="H2033" s="21" t="s">
        <v>113</v>
      </c>
      <c r="I2033" s="33" t="n">
        <v>45918</v>
      </c>
      <c r="J2033" s="21" t="str">
        <f aca="false">INDEX(Students!$C$2:$C$601,MATCH(B2033,Students!$A$2:$A$601,0))</f>
        <v>Batch 2026</v>
      </c>
      <c r="K2033" s="21" t="str">
        <f aca="false">INDEX(Students!$D$2:$D$601,MATCH(B2033,Students!$A$2:$A$601,0))</f>
        <v>Data Analytics</v>
      </c>
      <c r="L2033" s="21" t="str">
        <f aca="false">INDEX(Companies!$C$2:$C$31,MATCH(C2033,Companies!$A$2:$A$31,0))</f>
        <v>IT Services</v>
      </c>
      <c r="M2033" s="21" t="str">
        <f aca="false">INDEX(Companies!$D$2:$D$31,MATCH(C2033,Companies!$A$2:$A$31,0))</f>
        <v>Tier 3</v>
      </c>
      <c r="N2033" s="34" t="n">
        <f aca="false">MATCH(F2033,Assumptions!$K$4:$K$8,0)</f>
        <v>5</v>
      </c>
      <c r="O2033" s="21" t="str">
        <f aca="false">IF(H2033="Yes",MONTH(I2033),"")</f>
        <v/>
      </c>
      <c r="P2033" s="21" t="str">
        <f aca="false">IF(H2033="Yes",B2033,"")</f>
        <v/>
      </c>
    </row>
    <row r="2034" customFormat="false" ht="15" hidden="false" customHeight="false" outlineLevel="0" collapsed="false">
      <c r="A2034" s="21" t="s">
        <v>3249</v>
      </c>
      <c r="B2034" s="21" t="s">
        <v>912</v>
      </c>
      <c r="C2034" s="21" t="s">
        <v>1322</v>
      </c>
      <c r="D2034" s="21" t="s">
        <v>1181</v>
      </c>
      <c r="E2034" s="33" t="n">
        <v>45879</v>
      </c>
      <c r="F2034" s="21" t="s">
        <v>1197</v>
      </c>
      <c r="G2034" s="32"/>
      <c r="H2034" s="21"/>
      <c r="I2034" s="33"/>
      <c r="J2034" s="21" t="str">
        <f aca="false">INDEX(Students!$C$2:$C$601,MATCH(B2034,Students!$A$2:$A$601,0))</f>
        <v>Batch 2026</v>
      </c>
      <c r="K2034" s="21" t="str">
        <f aca="false">INDEX(Students!$D$2:$D$601,MATCH(B2034,Students!$A$2:$A$601,0))</f>
        <v>Full Stack Development</v>
      </c>
      <c r="L2034" s="21" t="str">
        <f aca="false">INDEX(Companies!$C$2:$C$31,MATCH(C2034,Companies!$A$2:$A$31,0))</f>
        <v>Healthtech</v>
      </c>
      <c r="M2034" s="21" t="str">
        <f aca="false">INDEX(Companies!$D$2:$D$31,MATCH(C2034,Companies!$A$2:$A$31,0))</f>
        <v>Tier 2</v>
      </c>
      <c r="N2034" s="34" t="n">
        <f aca="false">MATCH(F2034,Assumptions!$K$4:$K$8,0)</f>
        <v>3</v>
      </c>
      <c r="O2034" s="21" t="str">
        <f aca="false">IF(H2034="Yes",MONTH(I2034),"")</f>
        <v/>
      </c>
      <c r="P2034" s="21" t="str">
        <f aca="false">IF(H2034="Yes",B2034,"")</f>
        <v/>
      </c>
    </row>
    <row r="2035" customFormat="false" ht="15" hidden="false" customHeight="false" outlineLevel="0" collapsed="false">
      <c r="A2035" s="21" t="s">
        <v>3250</v>
      </c>
      <c r="B2035" s="21" t="s">
        <v>1082</v>
      </c>
      <c r="C2035" s="21" t="s">
        <v>1208</v>
      </c>
      <c r="D2035" s="21" t="s">
        <v>1209</v>
      </c>
      <c r="E2035" s="33" t="n">
        <v>45879</v>
      </c>
      <c r="F2035" s="21" t="s">
        <v>1175</v>
      </c>
      <c r="G2035" s="32"/>
      <c r="H2035" s="21"/>
      <c r="I2035" s="33"/>
      <c r="J2035" s="21" t="str">
        <f aca="false">INDEX(Students!$C$2:$C$601,MATCH(B2035,Students!$A$2:$A$601,0))</f>
        <v>Batch 2026</v>
      </c>
      <c r="K2035" s="21" t="str">
        <f aca="false">INDEX(Students!$D$2:$D$601,MATCH(B2035,Students!$A$2:$A$601,0))</f>
        <v>Data Analytics</v>
      </c>
      <c r="L2035" s="21" t="str">
        <f aca="false">INDEX(Companies!$C$2:$C$31,MATCH(C2035,Companies!$A$2:$A$31,0))</f>
        <v>E-commerce</v>
      </c>
      <c r="M2035" s="21" t="str">
        <f aca="false">INDEX(Companies!$D$2:$D$31,MATCH(C2035,Companies!$A$2:$A$31,0))</f>
        <v>Tier 1</v>
      </c>
      <c r="N2035" s="34" t="n">
        <f aca="false">MATCH(F2035,Assumptions!$K$4:$K$8,0)</f>
        <v>1</v>
      </c>
      <c r="O2035" s="21" t="str">
        <f aca="false">IF(H2035="Yes",MONTH(I2035),"")</f>
        <v/>
      </c>
      <c r="P2035" s="21" t="str">
        <f aca="false">IF(H2035="Yes",B2035,"")</f>
        <v/>
      </c>
    </row>
    <row r="2036" customFormat="false" ht="15" hidden="false" customHeight="false" outlineLevel="0" collapsed="false">
      <c r="A2036" s="21" t="s">
        <v>3251</v>
      </c>
      <c r="B2036" s="21" t="s">
        <v>861</v>
      </c>
      <c r="C2036" s="21" t="s">
        <v>1183</v>
      </c>
      <c r="D2036" s="21" t="s">
        <v>1191</v>
      </c>
      <c r="E2036" s="33" t="n">
        <v>45880</v>
      </c>
      <c r="F2036" s="21" t="s">
        <v>1175</v>
      </c>
      <c r="G2036" s="32"/>
      <c r="H2036" s="21"/>
      <c r="I2036" s="33"/>
      <c r="J2036" s="21" t="str">
        <f aca="false">INDEX(Students!$C$2:$C$601,MATCH(B2036,Students!$A$2:$A$601,0))</f>
        <v>Batch 2026</v>
      </c>
      <c r="K2036" s="21" t="str">
        <f aca="false">INDEX(Students!$D$2:$D$601,MATCH(B2036,Students!$A$2:$A$601,0))</f>
        <v>DSA with Java</v>
      </c>
      <c r="L2036" s="21" t="str">
        <f aca="false">INDEX(Companies!$C$2:$C$31,MATCH(C2036,Companies!$A$2:$A$31,0))</f>
        <v>E-commerce</v>
      </c>
      <c r="M2036" s="21" t="str">
        <f aca="false">INDEX(Companies!$D$2:$D$31,MATCH(C2036,Companies!$A$2:$A$31,0))</f>
        <v>Tier 2</v>
      </c>
      <c r="N2036" s="34" t="n">
        <f aca="false">MATCH(F2036,Assumptions!$K$4:$K$8,0)</f>
        <v>1</v>
      </c>
      <c r="O2036" s="21" t="str">
        <f aca="false">IF(H2036="Yes",MONTH(I2036),"")</f>
        <v/>
      </c>
      <c r="P2036" s="21" t="str">
        <f aca="false">IF(H2036="Yes",B2036,"")</f>
        <v/>
      </c>
    </row>
    <row r="2037" customFormat="false" ht="15" hidden="false" customHeight="false" outlineLevel="0" collapsed="false">
      <c r="A2037" s="21" t="s">
        <v>3252</v>
      </c>
      <c r="B2037" s="21" t="s">
        <v>1051</v>
      </c>
      <c r="C2037" s="21" t="s">
        <v>1180</v>
      </c>
      <c r="D2037" s="21" t="s">
        <v>1191</v>
      </c>
      <c r="E2037" s="33" t="n">
        <v>45880</v>
      </c>
      <c r="F2037" s="21" t="s">
        <v>1185</v>
      </c>
      <c r="G2037" s="32" t="n">
        <v>5.7</v>
      </c>
      <c r="H2037" s="21" t="s">
        <v>120</v>
      </c>
      <c r="I2037" s="33" t="n">
        <v>45912</v>
      </c>
      <c r="J2037" s="21" t="str">
        <f aca="false">INDEX(Students!$C$2:$C$601,MATCH(B2037,Students!$A$2:$A$601,0))</f>
        <v>Batch 2026</v>
      </c>
      <c r="K2037" s="21" t="str">
        <f aca="false">INDEX(Students!$D$2:$D$601,MATCH(B2037,Students!$A$2:$A$601,0))</f>
        <v>DSA with Java</v>
      </c>
      <c r="L2037" s="21" t="str">
        <f aca="false">INDEX(Companies!$C$2:$C$31,MATCH(C2037,Companies!$A$2:$A$31,0))</f>
        <v>IT Services</v>
      </c>
      <c r="M2037" s="21" t="str">
        <f aca="false">INDEX(Companies!$D$2:$D$31,MATCH(C2037,Companies!$A$2:$A$31,0))</f>
        <v>Tier 3</v>
      </c>
      <c r="N2037" s="34" t="n">
        <f aca="false">MATCH(F2037,Assumptions!$K$4:$K$8,0)</f>
        <v>5</v>
      </c>
      <c r="O2037" s="21" t="n">
        <f aca="false">IF(H2037="Yes",MONTH(I2037),"")</f>
        <v>9</v>
      </c>
      <c r="P2037" s="21" t="str">
        <f aca="false">IF(H2037="Yes",B2037,"")</f>
        <v>S0531</v>
      </c>
    </row>
    <row r="2038" customFormat="false" ht="15" hidden="false" customHeight="false" outlineLevel="0" collapsed="false">
      <c r="A2038" s="21" t="s">
        <v>3253</v>
      </c>
      <c r="B2038" s="21" t="s">
        <v>985</v>
      </c>
      <c r="C2038" s="21" t="s">
        <v>1234</v>
      </c>
      <c r="D2038" s="21" t="s">
        <v>1181</v>
      </c>
      <c r="E2038" s="33" t="n">
        <v>45880</v>
      </c>
      <c r="F2038" s="21" t="s">
        <v>1175</v>
      </c>
      <c r="G2038" s="32"/>
      <c r="H2038" s="21"/>
      <c r="I2038" s="33"/>
      <c r="J2038" s="21" t="str">
        <f aca="false">INDEX(Students!$C$2:$C$601,MATCH(B2038,Students!$A$2:$A$601,0))</f>
        <v>Batch 2026</v>
      </c>
      <c r="K2038" s="21" t="str">
        <f aca="false">INDEX(Students!$D$2:$D$601,MATCH(B2038,Students!$A$2:$A$601,0))</f>
        <v>Full Stack Development</v>
      </c>
      <c r="L2038" s="21" t="str">
        <f aca="false">INDEX(Companies!$C$2:$C$31,MATCH(C2038,Companies!$A$2:$A$31,0))</f>
        <v>EdTech</v>
      </c>
      <c r="M2038" s="21" t="str">
        <f aca="false">INDEX(Companies!$D$2:$D$31,MATCH(C2038,Companies!$A$2:$A$31,0))</f>
        <v>Tier 3</v>
      </c>
      <c r="N2038" s="34" t="n">
        <f aca="false">MATCH(F2038,Assumptions!$K$4:$K$8,0)</f>
        <v>1</v>
      </c>
      <c r="O2038" s="21" t="str">
        <f aca="false">IF(H2038="Yes",MONTH(I2038),"")</f>
        <v/>
      </c>
      <c r="P2038" s="21" t="str">
        <f aca="false">IF(H2038="Yes",B2038,"")</f>
        <v/>
      </c>
    </row>
    <row r="2039" customFormat="false" ht="15" hidden="false" customHeight="false" outlineLevel="0" collapsed="false">
      <c r="A2039" s="21" t="s">
        <v>3254</v>
      </c>
      <c r="B2039" s="21" t="s">
        <v>947</v>
      </c>
      <c r="C2039" s="21" t="s">
        <v>1199</v>
      </c>
      <c r="D2039" s="21" t="s">
        <v>1191</v>
      </c>
      <c r="E2039" s="33" t="n">
        <v>45880</v>
      </c>
      <c r="F2039" s="21" t="s">
        <v>1185</v>
      </c>
      <c r="G2039" s="32" t="n">
        <v>11.6</v>
      </c>
      <c r="H2039" s="21" t="s">
        <v>113</v>
      </c>
      <c r="I2039" s="33" t="n">
        <v>45924</v>
      </c>
      <c r="J2039" s="21" t="str">
        <f aca="false">INDEX(Students!$C$2:$C$601,MATCH(B2039,Students!$A$2:$A$601,0))</f>
        <v>Batch 2026</v>
      </c>
      <c r="K2039" s="21" t="str">
        <f aca="false">INDEX(Students!$D$2:$D$601,MATCH(B2039,Students!$A$2:$A$601,0))</f>
        <v>DSA with Java</v>
      </c>
      <c r="L2039" s="21" t="str">
        <f aca="false">INDEX(Companies!$C$2:$C$31,MATCH(C2039,Companies!$A$2:$A$31,0))</f>
        <v>E-commerce</v>
      </c>
      <c r="M2039" s="21" t="str">
        <f aca="false">INDEX(Companies!$D$2:$D$31,MATCH(C2039,Companies!$A$2:$A$31,0))</f>
        <v>Tier 2</v>
      </c>
      <c r="N2039" s="34" t="n">
        <f aca="false">MATCH(F2039,Assumptions!$K$4:$K$8,0)</f>
        <v>5</v>
      </c>
      <c r="O2039" s="21" t="str">
        <f aca="false">IF(H2039="Yes",MONTH(I2039),"")</f>
        <v/>
      </c>
      <c r="P2039" s="21" t="str">
        <f aca="false">IF(H2039="Yes",B2039,"")</f>
        <v/>
      </c>
    </row>
    <row r="2040" customFormat="false" ht="15" hidden="false" customHeight="false" outlineLevel="0" collapsed="false">
      <c r="A2040" s="21" t="s">
        <v>3255</v>
      </c>
      <c r="B2040" s="21" t="s">
        <v>871</v>
      </c>
      <c r="C2040" s="21" t="s">
        <v>1180</v>
      </c>
      <c r="D2040" s="21" t="s">
        <v>1243</v>
      </c>
      <c r="E2040" s="33" t="n">
        <v>45880</v>
      </c>
      <c r="F2040" s="21" t="s">
        <v>1185</v>
      </c>
      <c r="G2040" s="32" t="n">
        <v>6.6</v>
      </c>
      <c r="H2040" s="21" t="s">
        <v>113</v>
      </c>
      <c r="I2040" s="33" t="n">
        <v>45905</v>
      </c>
      <c r="J2040" s="21" t="str">
        <f aca="false">INDEX(Students!$C$2:$C$601,MATCH(B2040,Students!$A$2:$A$601,0))</f>
        <v>Batch 2026</v>
      </c>
      <c r="K2040" s="21" t="str">
        <f aca="false">INDEX(Students!$D$2:$D$601,MATCH(B2040,Students!$A$2:$A$601,0))</f>
        <v>Data Science &amp; ML</v>
      </c>
      <c r="L2040" s="21" t="str">
        <f aca="false">INDEX(Companies!$C$2:$C$31,MATCH(C2040,Companies!$A$2:$A$31,0))</f>
        <v>IT Services</v>
      </c>
      <c r="M2040" s="21" t="str">
        <f aca="false">INDEX(Companies!$D$2:$D$31,MATCH(C2040,Companies!$A$2:$A$31,0))</f>
        <v>Tier 3</v>
      </c>
      <c r="N2040" s="34" t="n">
        <f aca="false">MATCH(F2040,Assumptions!$K$4:$K$8,0)</f>
        <v>5</v>
      </c>
      <c r="O2040" s="21" t="str">
        <f aca="false">IF(H2040="Yes",MONTH(I2040),"")</f>
        <v/>
      </c>
      <c r="P2040" s="21" t="str">
        <f aca="false">IF(H2040="Yes",B2040,"")</f>
        <v/>
      </c>
    </row>
    <row r="2041" customFormat="false" ht="15" hidden="false" customHeight="false" outlineLevel="0" collapsed="false">
      <c r="A2041" s="21" t="s">
        <v>3256</v>
      </c>
      <c r="B2041" s="21" t="s">
        <v>1028</v>
      </c>
      <c r="C2041" s="21" t="s">
        <v>1290</v>
      </c>
      <c r="D2041" s="21" t="s">
        <v>1226</v>
      </c>
      <c r="E2041" s="33" t="n">
        <v>45881</v>
      </c>
      <c r="F2041" s="21" t="s">
        <v>1178</v>
      </c>
      <c r="G2041" s="32"/>
      <c r="H2041" s="21"/>
      <c r="I2041" s="33"/>
      <c r="J2041" s="21" t="str">
        <f aca="false">INDEX(Students!$C$2:$C$601,MATCH(B2041,Students!$A$2:$A$601,0))</f>
        <v>Batch 2026</v>
      </c>
      <c r="K2041" s="21" t="str">
        <f aca="false">INDEX(Students!$D$2:$D$601,MATCH(B2041,Students!$A$2:$A$601,0))</f>
        <v>Cybersecurity</v>
      </c>
      <c r="L2041" s="21" t="str">
        <f aca="false">INDEX(Companies!$C$2:$C$31,MATCH(C2041,Companies!$A$2:$A$31,0))</f>
        <v>Fintech</v>
      </c>
      <c r="M2041" s="21" t="str">
        <f aca="false">INDEX(Companies!$D$2:$D$31,MATCH(C2041,Companies!$A$2:$A$31,0))</f>
        <v>Tier 2</v>
      </c>
      <c r="N2041" s="34" t="n">
        <f aca="false">MATCH(F2041,Assumptions!$K$4:$K$8,0)</f>
        <v>2</v>
      </c>
      <c r="O2041" s="21" t="str">
        <f aca="false">IF(H2041="Yes",MONTH(I2041),"")</f>
        <v/>
      </c>
      <c r="P2041" s="21" t="str">
        <f aca="false">IF(H2041="Yes",B2041,"")</f>
        <v/>
      </c>
    </row>
    <row r="2042" customFormat="false" ht="15" hidden="false" customHeight="false" outlineLevel="0" collapsed="false">
      <c r="A2042" s="21" t="s">
        <v>3257</v>
      </c>
      <c r="B2042" s="21" t="s">
        <v>1061</v>
      </c>
      <c r="C2042" s="21" t="s">
        <v>1183</v>
      </c>
      <c r="D2042" s="21" t="s">
        <v>1181</v>
      </c>
      <c r="E2042" s="33" t="n">
        <v>45881</v>
      </c>
      <c r="F2042" s="21" t="s">
        <v>1185</v>
      </c>
      <c r="G2042" s="32" t="n">
        <v>16</v>
      </c>
      <c r="H2042" s="21" t="s">
        <v>120</v>
      </c>
      <c r="I2042" s="33" t="n">
        <v>45917</v>
      </c>
      <c r="J2042" s="21" t="str">
        <f aca="false">INDEX(Students!$C$2:$C$601,MATCH(B2042,Students!$A$2:$A$601,0))</f>
        <v>Batch 2026</v>
      </c>
      <c r="K2042" s="21" t="str">
        <f aca="false">INDEX(Students!$D$2:$D$601,MATCH(B2042,Students!$A$2:$A$601,0))</f>
        <v>Full Stack Development</v>
      </c>
      <c r="L2042" s="21" t="str">
        <f aca="false">INDEX(Companies!$C$2:$C$31,MATCH(C2042,Companies!$A$2:$A$31,0))</f>
        <v>E-commerce</v>
      </c>
      <c r="M2042" s="21" t="str">
        <f aca="false">INDEX(Companies!$D$2:$D$31,MATCH(C2042,Companies!$A$2:$A$31,0))</f>
        <v>Tier 2</v>
      </c>
      <c r="N2042" s="34" t="n">
        <f aca="false">MATCH(F2042,Assumptions!$K$4:$K$8,0)</f>
        <v>5</v>
      </c>
      <c r="O2042" s="21" t="n">
        <f aca="false">IF(H2042="Yes",MONTH(I2042),"")</f>
        <v>9</v>
      </c>
      <c r="P2042" s="21" t="str">
        <f aca="false">IF(H2042="Yes",B2042,"")</f>
        <v>S0537</v>
      </c>
    </row>
    <row r="2043" customFormat="false" ht="15" hidden="false" customHeight="false" outlineLevel="0" collapsed="false">
      <c r="A2043" s="21" t="s">
        <v>3258</v>
      </c>
      <c r="B2043" s="21" t="s">
        <v>930</v>
      </c>
      <c r="C2043" s="21" t="s">
        <v>1298</v>
      </c>
      <c r="D2043" s="21" t="s">
        <v>1188</v>
      </c>
      <c r="E2043" s="33" t="n">
        <v>45881</v>
      </c>
      <c r="F2043" s="21" t="s">
        <v>1175</v>
      </c>
      <c r="G2043" s="32"/>
      <c r="H2043" s="21"/>
      <c r="I2043" s="33"/>
      <c r="J2043" s="21" t="str">
        <f aca="false">INDEX(Students!$C$2:$C$601,MATCH(B2043,Students!$A$2:$A$601,0))</f>
        <v>Batch 2026</v>
      </c>
      <c r="K2043" s="21" t="str">
        <f aca="false">INDEX(Students!$D$2:$D$601,MATCH(B2043,Students!$A$2:$A$601,0))</f>
        <v>Data Analytics</v>
      </c>
      <c r="L2043" s="21" t="str">
        <f aca="false">INDEX(Companies!$C$2:$C$31,MATCH(C2043,Companies!$A$2:$A$31,0))</f>
        <v>Fintech</v>
      </c>
      <c r="M2043" s="21" t="str">
        <f aca="false">INDEX(Companies!$D$2:$D$31,MATCH(C2043,Companies!$A$2:$A$31,0))</f>
        <v>Tier 2</v>
      </c>
      <c r="N2043" s="34" t="n">
        <f aca="false">MATCH(F2043,Assumptions!$K$4:$K$8,0)</f>
        <v>1</v>
      </c>
      <c r="O2043" s="21" t="str">
        <f aca="false">IF(H2043="Yes",MONTH(I2043),"")</f>
        <v/>
      </c>
      <c r="P2043" s="21" t="str">
        <f aca="false">IF(H2043="Yes",B2043,"")</f>
        <v/>
      </c>
    </row>
    <row r="2044" customFormat="false" ht="15" hidden="false" customHeight="false" outlineLevel="0" collapsed="false">
      <c r="A2044" s="21" t="s">
        <v>3259</v>
      </c>
      <c r="B2044" s="21" t="s">
        <v>831</v>
      </c>
      <c r="C2044" s="21" t="s">
        <v>1173</v>
      </c>
      <c r="D2044" s="21" t="s">
        <v>1243</v>
      </c>
      <c r="E2044" s="33" t="n">
        <v>45881</v>
      </c>
      <c r="F2044" s="21" t="s">
        <v>1175</v>
      </c>
      <c r="G2044" s="32"/>
      <c r="H2044" s="21"/>
      <c r="I2044" s="33"/>
      <c r="J2044" s="21" t="str">
        <f aca="false">INDEX(Students!$C$2:$C$601,MATCH(B2044,Students!$A$2:$A$601,0))</f>
        <v>Batch 2026</v>
      </c>
      <c r="K2044" s="21" t="str">
        <f aca="false">INDEX(Students!$D$2:$D$601,MATCH(B2044,Students!$A$2:$A$601,0))</f>
        <v>Data Science &amp; ML</v>
      </c>
      <c r="L2044" s="21" t="str">
        <f aca="false">INDEX(Companies!$C$2:$C$31,MATCH(C2044,Companies!$A$2:$A$31,0))</f>
        <v>Cybersecurity</v>
      </c>
      <c r="M2044" s="21" t="str">
        <f aca="false">INDEX(Companies!$D$2:$D$31,MATCH(C2044,Companies!$A$2:$A$31,0))</f>
        <v>Tier 1</v>
      </c>
      <c r="N2044" s="34" t="n">
        <f aca="false">MATCH(F2044,Assumptions!$K$4:$K$8,0)</f>
        <v>1</v>
      </c>
      <c r="O2044" s="21" t="str">
        <f aca="false">IF(H2044="Yes",MONTH(I2044),"")</f>
        <v/>
      </c>
      <c r="P2044" s="21" t="str">
        <f aca="false">IF(H2044="Yes",B2044,"")</f>
        <v/>
      </c>
    </row>
    <row r="2045" customFormat="false" ht="15" hidden="false" customHeight="false" outlineLevel="0" collapsed="false">
      <c r="A2045" s="21" t="s">
        <v>3260</v>
      </c>
      <c r="B2045" s="21" t="s">
        <v>1054</v>
      </c>
      <c r="C2045" s="21" t="s">
        <v>1290</v>
      </c>
      <c r="D2045" s="21" t="s">
        <v>1181</v>
      </c>
      <c r="E2045" s="33" t="n">
        <v>45881</v>
      </c>
      <c r="F2045" s="21" t="s">
        <v>1178</v>
      </c>
      <c r="G2045" s="32"/>
      <c r="H2045" s="21"/>
      <c r="I2045" s="33"/>
      <c r="J2045" s="21" t="str">
        <f aca="false">INDEX(Students!$C$2:$C$601,MATCH(B2045,Students!$A$2:$A$601,0))</f>
        <v>Batch 2026</v>
      </c>
      <c r="K2045" s="21" t="str">
        <f aca="false">INDEX(Students!$D$2:$D$601,MATCH(B2045,Students!$A$2:$A$601,0))</f>
        <v>Full Stack Development</v>
      </c>
      <c r="L2045" s="21" t="str">
        <f aca="false">INDEX(Companies!$C$2:$C$31,MATCH(C2045,Companies!$A$2:$A$31,0))</f>
        <v>Fintech</v>
      </c>
      <c r="M2045" s="21" t="str">
        <f aca="false">INDEX(Companies!$D$2:$D$31,MATCH(C2045,Companies!$A$2:$A$31,0))</f>
        <v>Tier 2</v>
      </c>
      <c r="N2045" s="34" t="n">
        <f aca="false">MATCH(F2045,Assumptions!$K$4:$K$8,0)</f>
        <v>2</v>
      </c>
      <c r="O2045" s="21" t="str">
        <f aca="false">IF(H2045="Yes",MONTH(I2045),"")</f>
        <v/>
      </c>
      <c r="P2045" s="21" t="str">
        <f aca="false">IF(H2045="Yes",B2045,"")</f>
        <v/>
      </c>
    </row>
    <row r="2046" customFormat="false" ht="15" hidden="false" customHeight="false" outlineLevel="0" collapsed="false">
      <c r="A2046" s="21" t="s">
        <v>3261</v>
      </c>
      <c r="B2046" s="21" t="s">
        <v>1051</v>
      </c>
      <c r="C2046" s="21" t="s">
        <v>1205</v>
      </c>
      <c r="D2046" s="21" t="s">
        <v>1191</v>
      </c>
      <c r="E2046" s="33" t="n">
        <v>45881</v>
      </c>
      <c r="F2046" s="21" t="s">
        <v>1178</v>
      </c>
      <c r="G2046" s="32"/>
      <c r="H2046" s="21"/>
      <c r="I2046" s="33"/>
      <c r="J2046" s="21" t="str">
        <f aca="false">INDEX(Students!$C$2:$C$601,MATCH(B2046,Students!$A$2:$A$601,0))</f>
        <v>Batch 2026</v>
      </c>
      <c r="K2046" s="21" t="str">
        <f aca="false">INDEX(Students!$D$2:$D$601,MATCH(B2046,Students!$A$2:$A$601,0))</f>
        <v>DSA with Java</v>
      </c>
      <c r="L2046" s="21" t="str">
        <f aca="false">INDEX(Companies!$C$2:$C$31,MATCH(C2046,Companies!$A$2:$A$31,0))</f>
        <v>Healthtech</v>
      </c>
      <c r="M2046" s="21" t="str">
        <f aca="false">INDEX(Companies!$D$2:$D$31,MATCH(C2046,Companies!$A$2:$A$31,0))</f>
        <v>Tier 3</v>
      </c>
      <c r="N2046" s="34" t="n">
        <f aca="false">MATCH(F2046,Assumptions!$K$4:$K$8,0)</f>
        <v>2</v>
      </c>
      <c r="O2046" s="21" t="str">
        <f aca="false">IF(H2046="Yes",MONTH(I2046),"")</f>
        <v/>
      </c>
      <c r="P2046" s="21" t="str">
        <f aca="false">IF(H2046="Yes",B2046,"")</f>
        <v/>
      </c>
    </row>
    <row r="2047" customFormat="false" ht="15" hidden="false" customHeight="false" outlineLevel="0" collapsed="false">
      <c r="A2047" s="21" t="s">
        <v>3262</v>
      </c>
      <c r="B2047" s="21" t="s">
        <v>1101</v>
      </c>
      <c r="C2047" s="21" t="s">
        <v>1183</v>
      </c>
      <c r="D2047" s="21" t="s">
        <v>1188</v>
      </c>
      <c r="E2047" s="33" t="n">
        <v>45881</v>
      </c>
      <c r="F2047" s="21" t="s">
        <v>1175</v>
      </c>
      <c r="G2047" s="32"/>
      <c r="H2047" s="21"/>
      <c r="I2047" s="33"/>
      <c r="J2047" s="21" t="str">
        <f aca="false">INDEX(Students!$C$2:$C$601,MATCH(B2047,Students!$A$2:$A$601,0))</f>
        <v>Batch 2026</v>
      </c>
      <c r="K2047" s="21" t="str">
        <f aca="false">INDEX(Students!$D$2:$D$601,MATCH(B2047,Students!$A$2:$A$601,0))</f>
        <v>Data Analytics</v>
      </c>
      <c r="L2047" s="21" t="str">
        <f aca="false">INDEX(Companies!$C$2:$C$31,MATCH(C2047,Companies!$A$2:$A$31,0))</f>
        <v>E-commerce</v>
      </c>
      <c r="M2047" s="21" t="str">
        <f aca="false">INDEX(Companies!$D$2:$D$31,MATCH(C2047,Companies!$A$2:$A$31,0))</f>
        <v>Tier 2</v>
      </c>
      <c r="N2047" s="34" t="n">
        <f aca="false">MATCH(F2047,Assumptions!$K$4:$K$8,0)</f>
        <v>1</v>
      </c>
      <c r="O2047" s="21" t="str">
        <f aca="false">IF(H2047="Yes",MONTH(I2047),"")</f>
        <v/>
      </c>
      <c r="P2047" s="21" t="str">
        <f aca="false">IF(H2047="Yes",B2047,"")</f>
        <v/>
      </c>
    </row>
    <row r="2048" customFormat="false" ht="15" hidden="false" customHeight="false" outlineLevel="0" collapsed="false">
      <c r="A2048" s="21" t="s">
        <v>3263</v>
      </c>
      <c r="B2048" s="21" t="s">
        <v>947</v>
      </c>
      <c r="C2048" s="21" t="s">
        <v>1193</v>
      </c>
      <c r="D2048" s="21" t="s">
        <v>1191</v>
      </c>
      <c r="E2048" s="33" t="n">
        <v>45881</v>
      </c>
      <c r="F2048" s="21" t="s">
        <v>1185</v>
      </c>
      <c r="G2048" s="32" t="n">
        <v>14.6</v>
      </c>
      <c r="H2048" s="21" t="s">
        <v>113</v>
      </c>
      <c r="I2048" s="33" t="n">
        <v>45926</v>
      </c>
      <c r="J2048" s="21" t="str">
        <f aca="false">INDEX(Students!$C$2:$C$601,MATCH(B2048,Students!$A$2:$A$601,0))</f>
        <v>Batch 2026</v>
      </c>
      <c r="K2048" s="21" t="str">
        <f aca="false">INDEX(Students!$D$2:$D$601,MATCH(B2048,Students!$A$2:$A$601,0))</f>
        <v>DSA with Java</v>
      </c>
      <c r="L2048" s="21" t="str">
        <f aca="false">INDEX(Companies!$C$2:$C$31,MATCH(C2048,Companies!$A$2:$A$31,0))</f>
        <v>Analytics &amp; Consulting</v>
      </c>
      <c r="M2048" s="21" t="str">
        <f aca="false">INDEX(Companies!$D$2:$D$31,MATCH(C2048,Companies!$A$2:$A$31,0))</f>
        <v>Tier 2</v>
      </c>
      <c r="N2048" s="34" t="n">
        <f aca="false">MATCH(F2048,Assumptions!$K$4:$K$8,0)</f>
        <v>5</v>
      </c>
      <c r="O2048" s="21" t="str">
        <f aca="false">IF(H2048="Yes",MONTH(I2048),"")</f>
        <v/>
      </c>
      <c r="P2048" s="21" t="str">
        <f aca="false">IF(H2048="Yes",B2048,"")</f>
        <v/>
      </c>
    </row>
    <row r="2049" customFormat="false" ht="15" hidden="false" customHeight="false" outlineLevel="0" collapsed="false">
      <c r="A2049" s="21" t="s">
        <v>3264</v>
      </c>
      <c r="B2049" s="21" t="s">
        <v>932</v>
      </c>
      <c r="C2049" s="21" t="s">
        <v>1290</v>
      </c>
      <c r="D2049" s="21" t="s">
        <v>1191</v>
      </c>
      <c r="E2049" s="33" t="n">
        <v>45882</v>
      </c>
      <c r="F2049" s="21" t="s">
        <v>1178</v>
      </c>
      <c r="G2049" s="32"/>
      <c r="H2049" s="21"/>
      <c r="I2049" s="33"/>
      <c r="J2049" s="21" t="str">
        <f aca="false">INDEX(Students!$C$2:$C$601,MATCH(B2049,Students!$A$2:$A$601,0))</f>
        <v>Batch 2026</v>
      </c>
      <c r="K2049" s="21" t="str">
        <f aca="false">INDEX(Students!$D$2:$D$601,MATCH(B2049,Students!$A$2:$A$601,0))</f>
        <v>DSA with Java</v>
      </c>
      <c r="L2049" s="21" t="str">
        <f aca="false">INDEX(Companies!$C$2:$C$31,MATCH(C2049,Companies!$A$2:$A$31,0))</f>
        <v>Fintech</v>
      </c>
      <c r="M2049" s="21" t="str">
        <f aca="false">INDEX(Companies!$D$2:$D$31,MATCH(C2049,Companies!$A$2:$A$31,0))</f>
        <v>Tier 2</v>
      </c>
      <c r="N2049" s="34" t="n">
        <f aca="false">MATCH(F2049,Assumptions!$K$4:$K$8,0)</f>
        <v>2</v>
      </c>
      <c r="O2049" s="21" t="str">
        <f aca="false">IF(H2049="Yes",MONTH(I2049),"")</f>
        <v/>
      </c>
      <c r="P2049" s="21" t="str">
        <f aca="false">IF(H2049="Yes",B2049,"")</f>
        <v/>
      </c>
    </row>
    <row r="2050" customFormat="false" ht="15" hidden="false" customHeight="false" outlineLevel="0" collapsed="false">
      <c r="A2050" s="21" t="s">
        <v>3265</v>
      </c>
      <c r="B2050" s="21" t="s">
        <v>1086</v>
      </c>
      <c r="C2050" s="21" t="s">
        <v>1255</v>
      </c>
      <c r="D2050" s="21" t="s">
        <v>1240</v>
      </c>
      <c r="E2050" s="33" t="n">
        <v>45882</v>
      </c>
      <c r="F2050" s="21" t="s">
        <v>1175</v>
      </c>
      <c r="G2050" s="32"/>
      <c r="H2050" s="21"/>
      <c r="I2050" s="33"/>
      <c r="J2050" s="21" t="str">
        <f aca="false">INDEX(Students!$C$2:$C$601,MATCH(B2050,Students!$A$2:$A$601,0))</f>
        <v>Batch 2026</v>
      </c>
      <c r="K2050" s="21" t="str">
        <f aca="false">INDEX(Students!$D$2:$D$601,MATCH(B2050,Students!$A$2:$A$601,0))</f>
        <v>Cybersecurity</v>
      </c>
      <c r="L2050" s="21" t="str">
        <f aca="false">INDEX(Companies!$C$2:$C$31,MATCH(C2050,Companies!$A$2:$A$31,0))</f>
        <v>IT Services</v>
      </c>
      <c r="M2050" s="21" t="str">
        <f aca="false">INDEX(Companies!$D$2:$D$31,MATCH(C2050,Companies!$A$2:$A$31,0))</f>
        <v>Tier 3</v>
      </c>
      <c r="N2050" s="34" t="n">
        <f aca="false">MATCH(F2050,Assumptions!$K$4:$K$8,0)</f>
        <v>1</v>
      </c>
      <c r="O2050" s="21" t="str">
        <f aca="false">IF(H2050="Yes",MONTH(I2050),"")</f>
        <v/>
      </c>
      <c r="P2050" s="21" t="str">
        <f aca="false">IF(H2050="Yes",B2050,"")</f>
        <v/>
      </c>
    </row>
    <row r="2051" customFormat="false" ht="15" hidden="false" customHeight="false" outlineLevel="0" collapsed="false">
      <c r="A2051" s="21" t="s">
        <v>3266</v>
      </c>
      <c r="B2051" s="21" t="s">
        <v>1145</v>
      </c>
      <c r="C2051" s="21" t="s">
        <v>1196</v>
      </c>
      <c r="D2051" s="21" t="s">
        <v>1243</v>
      </c>
      <c r="E2051" s="33" t="n">
        <v>45882</v>
      </c>
      <c r="F2051" s="21" t="s">
        <v>1185</v>
      </c>
      <c r="G2051" s="32" t="n">
        <v>4.9</v>
      </c>
      <c r="H2051" s="21" t="s">
        <v>113</v>
      </c>
      <c r="I2051" s="33" t="n">
        <v>45920</v>
      </c>
      <c r="J2051" s="21" t="str">
        <f aca="false">INDEX(Students!$C$2:$C$601,MATCH(B2051,Students!$A$2:$A$601,0))</f>
        <v>Batch 2026</v>
      </c>
      <c r="K2051" s="21" t="str">
        <f aca="false">INDEX(Students!$D$2:$D$601,MATCH(B2051,Students!$A$2:$A$601,0))</f>
        <v>Data Science &amp; ML</v>
      </c>
      <c r="L2051" s="21" t="str">
        <f aca="false">INDEX(Companies!$C$2:$C$31,MATCH(C2051,Companies!$A$2:$A$31,0))</f>
        <v>IT Services</v>
      </c>
      <c r="M2051" s="21" t="str">
        <f aca="false">INDEX(Companies!$D$2:$D$31,MATCH(C2051,Companies!$A$2:$A$31,0))</f>
        <v>Tier 3</v>
      </c>
      <c r="N2051" s="34" t="n">
        <f aca="false">MATCH(F2051,Assumptions!$K$4:$K$8,0)</f>
        <v>5</v>
      </c>
      <c r="O2051" s="21" t="str">
        <f aca="false">IF(H2051="Yes",MONTH(I2051),"")</f>
        <v/>
      </c>
      <c r="P2051" s="21" t="str">
        <f aca="false">IF(H2051="Yes",B2051,"")</f>
        <v/>
      </c>
    </row>
    <row r="2052" customFormat="false" ht="15" hidden="false" customHeight="false" outlineLevel="0" collapsed="false">
      <c r="A2052" s="21" t="s">
        <v>3267</v>
      </c>
      <c r="B2052" s="21" t="s">
        <v>1020</v>
      </c>
      <c r="C2052" s="21" t="s">
        <v>1309</v>
      </c>
      <c r="D2052" s="21" t="s">
        <v>1226</v>
      </c>
      <c r="E2052" s="33" t="n">
        <v>45882</v>
      </c>
      <c r="F2052" s="21" t="s">
        <v>1178</v>
      </c>
      <c r="G2052" s="32"/>
      <c r="H2052" s="21"/>
      <c r="I2052" s="33"/>
      <c r="J2052" s="21" t="str">
        <f aca="false">INDEX(Students!$C$2:$C$601,MATCH(B2052,Students!$A$2:$A$601,0))</f>
        <v>Batch 2026</v>
      </c>
      <c r="K2052" s="21" t="str">
        <f aca="false">INDEX(Students!$D$2:$D$601,MATCH(B2052,Students!$A$2:$A$601,0))</f>
        <v>Cybersecurity</v>
      </c>
      <c r="L2052" s="21" t="str">
        <f aca="false">INDEX(Companies!$C$2:$C$31,MATCH(C2052,Companies!$A$2:$A$31,0))</f>
        <v>EdTech</v>
      </c>
      <c r="M2052" s="21" t="str">
        <f aca="false">INDEX(Companies!$D$2:$D$31,MATCH(C2052,Companies!$A$2:$A$31,0))</f>
        <v>Tier 2</v>
      </c>
      <c r="N2052" s="34" t="n">
        <f aca="false">MATCH(F2052,Assumptions!$K$4:$K$8,0)</f>
        <v>2</v>
      </c>
      <c r="O2052" s="21" t="str">
        <f aca="false">IF(H2052="Yes",MONTH(I2052),"")</f>
        <v/>
      </c>
      <c r="P2052" s="21" t="str">
        <f aca="false">IF(H2052="Yes",B2052,"")</f>
        <v/>
      </c>
    </row>
    <row r="2053" customFormat="false" ht="15" hidden="false" customHeight="false" outlineLevel="0" collapsed="false">
      <c r="A2053" s="21" t="s">
        <v>3268</v>
      </c>
      <c r="B2053" s="21" t="s">
        <v>1092</v>
      </c>
      <c r="C2053" s="21" t="s">
        <v>1322</v>
      </c>
      <c r="D2053" s="21" t="s">
        <v>1181</v>
      </c>
      <c r="E2053" s="33" t="n">
        <v>45882</v>
      </c>
      <c r="F2053" s="21" t="s">
        <v>1175</v>
      </c>
      <c r="G2053" s="32"/>
      <c r="H2053" s="21"/>
      <c r="I2053" s="33"/>
      <c r="J2053" s="21" t="str">
        <f aca="false">INDEX(Students!$C$2:$C$601,MATCH(B2053,Students!$A$2:$A$601,0))</f>
        <v>Batch 2026</v>
      </c>
      <c r="K2053" s="21" t="str">
        <f aca="false">INDEX(Students!$D$2:$D$601,MATCH(B2053,Students!$A$2:$A$601,0))</f>
        <v>Full Stack Development</v>
      </c>
      <c r="L2053" s="21" t="str">
        <f aca="false">INDEX(Companies!$C$2:$C$31,MATCH(C2053,Companies!$A$2:$A$31,0))</f>
        <v>Healthtech</v>
      </c>
      <c r="M2053" s="21" t="str">
        <f aca="false">INDEX(Companies!$D$2:$D$31,MATCH(C2053,Companies!$A$2:$A$31,0))</f>
        <v>Tier 2</v>
      </c>
      <c r="N2053" s="34" t="n">
        <f aca="false">MATCH(F2053,Assumptions!$K$4:$K$8,0)</f>
        <v>1</v>
      </c>
      <c r="O2053" s="21" t="str">
        <f aca="false">IF(H2053="Yes",MONTH(I2053),"")</f>
        <v/>
      </c>
      <c r="P2053" s="21" t="str">
        <f aca="false">IF(H2053="Yes",B2053,"")</f>
        <v/>
      </c>
    </row>
    <row r="2054" customFormat="false" ht="15" hidden="false" customHeight="false" outlineLevel="0" collapsed="false">
      <c r="A2054" s="21" t="s">
        <v>3269</v>
      </c>
      <c r="B2054" s="21" t="s">
        <v>896</v>
      </c>
      <c r="C2054" s="21" t="s">
        <v>1263</v>
      </c>
      <c r="D2054" s="21" t="s">
        <v>1191</v>
      </c>
      <c r="E2054" s="33" t="n">
        <v>45882</v>
      </c>
      <c r="F2054" s="21" t="s">
        <v>1185</v>
      </c>
      <c r="G2054" s="32" t="n">
        <v>12.6</v>
      </c>
      <c r="H2054" s="21" t="s">
        <v>120</v>
      </c>
      <c r="I2054" s="33" t="n">
        <v>45921</v>
      </c>
      <c r="J2054" s="21" t="str">
        <f aca="false">INDEX(Students!$C$2:$C$601,MATCH(B2054,Students!$A$2:$A$601,0))</f>
        <v>Batch 2026</v>
      </c>
      <c r="K2054" s="21" t="str">
        <f aca="false">INDEX(Students!$D$2:$D$601,MATCH(B2054,Students!$A$2:$A$601,0))</f>
        <v>DSA with Java</v>
      </c>
      <c r="L2054" s="21" t="str">
        <f aca="false">INDEX(Companies!$C$2:$C$31,MATCH(C2054,Companies!$A$2:$A$31,0))</f>
        <v>Analytics &amp; Consulting</v>
      </c>
      <c r="M2054" s="21" t="str">
        <f aca="false">INDEX(Companies!$D$2:$D$31,MATCH(C2054,Companies!$A$2:$A$31,0))</f>
        <v>Tier 2</v>
      </c>
      <c r="N2054" s="34" t="n">
        <f aca="false">MATCH(F2054,Assumptions!$K$4:$K$8,0)</f>
        <v>5</v>
      </c>
      <c r="O2054" s="21" t="n">
        <f aca="false">IF(H2054="Yes",MONTH(I2054),"")</f>
        <v>9</v>
      </c>
      <c r="P2054" s="21" t="str">
        <f aca="false">IF(H2054="Yes",B2054,"")</f>
        <v>S0435</v>
      </c>
    </row>
    <row r="2055" customFormat="false" ht="15" hidden="false" customHeight="false" outlineLevel="0" collapsed="false">
      <c r="A2055" s="21" t="s">
        <v>3270</v>
      </c>
      <c r="B2055" s="21" t="s">
        <v>1061</v>
      </c>
      <c r="C2055" s="21" t="s">
        <v>1214</v>
      </c>
      <c r="D2055" s="21" t="s">
        <v>1174</v>
      </c>
      <c r="E2055" s="33" t="n">
        <v>45882</v>
      </c>
      <c r="F2055" s="21" t="s">
        <v>1178</v>
      </c>
      <c r="G2055" s="32"/>
      <c r="H2055" s="21"/>
      <c r="I2055" s="33"/>
      <c r="J2055" s="21" t="str">
        <f aca="false">INDEX(Students!$C$2:$C$601,MATCH(B2055,Students!$A$2:$A$601,0))</f>
        <v>Batch 2026</v>
      </c>
      <c r="K2055" s="21" t="str">
        <f aca="false">INDEX(Students!$D$2:$D$601,MATCH(B2055,Students!$A$2:$A$601,0))</f>
        <v>Full Stack Development</v>
      </c>
      <c r="L2055" s="21" t="str">
        <f aca="false">INDEX(Companies!$C$2:$C$31,MATCH(C2055,Companies!$A$2:$A$31,0))</f>
        <v>Product</v>
      </c>
      <c r="M2055" s="21" t="str">
        <f aca="false">INDEX(Companies!$D$2:$D$31,MATCH(C2055,Companies!$A$2:$A$31,0))</f>
        <v>Tier 1</v>
      </c>
      <c r="N2055" s="34" t="n">
        <f aca="false">MATCH(F2055,Assumptions!$K$4:$K$8,0)</f>
        <v>2</v>
      </c>
      <c r="O2055" s="21" t="str">
        <f aca="false">IF(H2055="Yes",MONTH(I2055),"")</f>
        <v/>
      </c>
      <c r="P2055" s="21" t="str">
        <f aca="false">IF(H2055="Yes",B2055,"")</f>
        <v/>
      </c>
    </row>
    <row r="2056" customFormat="false" ht="15" hidden="false" customHeight="false" outlineLevel="0" collapsed="false">
      <c r="A2056" s="21" t="s">
        <v>3271</v>
      </c>
      <c r="B2056" s="21" t="s">
        <v>1073</v>
      </c>
      <c r="C2056" s="21" t="s">
        <v>1199</v>
      </c>
      <c r="D2056" s="21" t="s">
        <v>1181</v>
      </c>
      <c r="E2056" s="33" t="n">
        <v>45882</v>
      </c>
      <c r="F2056" s="21" t="s">
        <v>1197</v>
      </c>
      <c r="G2056" s="32"/>
      <c r="H2056" s="21"/>
      <c r="I2056" s="33"/>
      <c r="J2056" s="21" t="str">
        <f aca="false">INDEX(Students!$C$2:$C$601,MATCH(B2056,Students!$A$2:$A$601,0))</f>
        <v>Batch 2026</v>
      </c>
      <c r="K2056" s="21" t="str">
        <f aca="false">INDEX(Students!$D$2:$D$601,MATCH(B2056,Students!$A$2:$A$601,0))</f>
        <v>Full Stack Development</v>
      </c>
      <c r="L2056" s="21" t="str">
        <f aca="false">INDEX(Companies!$C$2:$C$31,MATCH(C2056,Companies!$A$2:$A$31,0))</f>
        <v>E-commerce</v>
      </c>
      <c r="M2056" s="21" t="str">
        <f aca="false">INDEX(Companies!$D$2:$D$31,MATCH(C2056,Companies!$A$2:$A$31,0))</f>
        <v>Tier 2</v>
      </c>
      <c r="N2056" s="34" t="n">
        <f aca="false">MATCH(F2056,Assumptions!$K$4:$K$8,0)</f>
        <v>3</v>
      </c>
      <c r="O2056" s="21" t="str">
        <f aca="false">IF(H2056="Yes",MONTH(I2056),"")</f>
        <v/>
      </c>
      <c r="P2056" s="21" t="str">
        <f aca="false">IF(H2056="Yes",B2056,"")</f>
        <v/>
      </c>
    </row>
    <row r="2057" customFormat="false" ht="15" hidden="false" customHeight="false" outlineLevel="0" collapsed="false">
      <c r="A2057" s="21" t="s">
        <v>3272</v>
      </c>
      <c r="B2057" s="21" t="s">
        <v>952</v>
      </c>
      <c r="C2057" s="21" t="s">
        <v>1193</v>
      </c>
      <c r="D2057" s="21" t="s">
        <v>1184</v>
      </c>
      <c r="E2057" s="33" t="n">
        <v>45882</v>
      </c>
      <c r="F2057" s="21" t="s">
        <v>1178</v>
      </c>
      <c r="G2057" s="32"/>
      <c r="H2057" s="21"/>
      <c r="I2057" s="33"/>
      <c r="J2057" s="21" t="str">
        <f aca="false">INDEX(Students!$C$2:$C$601,MATCH(B2057,Students!$A$2:$A$601,0))</f>
        <v>Batch 2026</v>
      </c>
      <c r="K2057" s="21" t="str">
        <f aca="false">INDEX(Students!$D$2:$D$601,MATCH(B2057,Students!$A$2:$A$601,0))</f>
        <v>DSA with Java</v>
      </c>
      <c r="L2057" s="21" t="str">
        <f aca="false">INDEX(Companies!$C$2:$C$31,MATCH(C2057,Companies!$A$2:$A$31,0))</f>
        <v>Analytics &amp; Consulting</v>
      </c>
      <c r="M2057" s="21" t="str">
        <f aca="false">INDEX(Companies!$D$2:$D$31,MATCH(C2057,Companies!$A$2:$A$31,0))</f>
        <v>Tier 2</v>
      </c>
      <c r="N2057" s="34" t="n">
        <f aca="false">MATCH(F2057,Assumptions!$K$4:$K$8,0)</f>
        <v>2</v>
      </c>
      <c r="O2057" s="21" t="str">
        <f aca="false">IF(H2057="Yes",MONTH(I2057),"")</f>
        <v/>
      </c>
      <c r="P2057" s="21" t="str">
        <f aca="false">IF(H2057="Yes",B2057,"")</f>
        <v/>
      </c>
    </row>
    <row r="2058" customFormat="false" ht="15" hidden="false" customHeight="false" outlineLevel="0" collapsed="false">
      <c r="A2058" s="21" t="s">
        <v>3273</v>
      </c>
      <c r="B2058" s="21" t="s">
        <v>923</v>
      </c>
      <c r="C2058" s="21" t="s">
        <v>1216</v>
      </c>
      <c r="D2058" s="21" t="s">
        <v>1209</v>
      </c>
      <c r="E2058" s="33" t="n">
        <v>45882</v>
      </c>
      <c r="F2058" s="21" t="s">
        <v>1175</v>
      </c>
      <c r="G2058" s="32"/>
      <c r="H2058" s="21"/>
      <c r="I2058" s="33"/>
      <c r="J2058" s="21" t="str">
        <f aca="false">INDEX(Students!$C$2:$C$601,MATCH(B2058,Students!$A$2:$A$601,0))</f>
        <v>Batch 2026</v>
      </c>
      <c r="K2058" s="21" t="str">
        <f aca="false">INDEX(Students!$D$2:$D$601,MATCH(B2058,Students!$A$2:$A$601,0))</f>
        <v>Data Analytics</v>
      </c>
      <c r="L2058" s="21" t="str">
        <f aca="false">INDEX(Companies!$C$2:$C$31,MATCH(C2058,Companies!$A$2:$A$31,0))</f>
        <v>IT Services</v>
      </c>
      <c r="M2058" s="21" t="str">
        <f aca="false">INDEX(Companies!$D$2:$D$31,MATCH(C2058,Companies!$A$2:$A$31,0))</f>
        <v>Tier 3</v>
      </c>
      <c r="N2058" s="34" t="n">
        <f aca="false">MATCH(F2058,Assumptions!$K$4:$K$8,0)</f>
        <v>1</v>
      </c>
      <c r="O2058" s="21" t="str">
        <f aca="false">IF(H2058="Yes",MONTH(I2058),"")</f>
        <v/>
      </c>
      <c r="P2058" s="21" t="str">
        <f aca="false">IF(H2058="Yes",B2058,"")</f>
        <v/>
      </c>
    </row>
    <row r="2059" customFormat="false" ht="15" hidden="false" customHeight="false" outlineLevel="0" collapsed="false">
      <c r="A2059" s="21" t="s">
        <v>3274</v>
      </c>
      <c r="B2059" s="21" t="s">
        <v>902</v>
      </c>
      <c r="C2059" s="21" t="s">
        <v>1309</v>
      </c>
      <c r="D2059" s="21" t="s">
        <v>1188</v>
      </c>
      <c r="E2059" s="33" t="n">
        <v>45883</v>
      </c>
      <c r="F2059" s="21" t="s">
        <v>1175</v>
      </c>
      <c r="G2059" s="32"/>
      <c r="H2059" s="21"/>
      <c r="I2059" s="33"/>
      <c r="J2059" s="21" t="str">
        <f aca="false">INDEX(Students!$C$2:$C$601,MATCH(B2059,Students!$A$2:$A$601,0))</f>
        <v>Batch 2026</v>
      </c>
      <c r="K2059" s="21" t="str">
        <f aca="false">INDEX(Students!$D$2:$D$601,MATCH(B2059,Students!$A$2:$A$601,0))</f>
        <v>Data Analytics</v>
      </c>
      <c r="L2059" s="21" t="str">
        <f aca="false">INDEX(Companies!$C$2:$C$31,MATCH(C2059,Companies!$A$2:$A$31,0))</f>
        <v>EdTech</v>
      </c>
      <c r="M2059" s="21" t="str">
        <f aca="false">INDEX(Companies!$D$2:$D$31,MATCH(C2059,Companies!$A$2:$A$31,0))</f>
        <v>Tier 2</v>
      </c>
      <c r="N2059" s="34" t="n">
        <f aca="false">MATCH(F2059,Assumptions!$K$4:$K$8,0)</f>
        <v>1</v>
      </c>
      <c r="O2059" s="21" t="str">
        <f aca="false">IF(H2059="Yes",MONTH(I2059),"")</f>
        <v/>
      </c>
      <c r="P2059" s="21" t="str">
        <f aca="false">IF(H2059="Yes",B2059,"")</f>
        <v/>
      </c>
    </row>
    <row r="2060" customFormat="false" ht="15" hidden="false" customHeight="false" outlineLevel="0" collapsed="false">
      <c r="A2060" s="21" t="s">
        <v>3275</v>
      </c>
      <c r="B2060" s="21" t="s">
        <v>1035</v>
      </c>
      <c r="C2060" s="21" t="s">
        <v>1177</v>
      </c>
      <c r="D2060" s="21" t="s">
        <v>1181</v>
      </c>
      <c r="E2060" s="33" t="n">
        <v>45883</v>
      </c>
      <c r="F2060" s="21" t="s">
        <v>1185</v>
      </c>
      <c r="G2060" s="32" t="n">
        <v>6.5</v>
      </c>
      <c r="H2060" s="21" t="s">
        <v>120</v>
      </c>
      <c r="I2060" s="33" t="n">
        <v>45926</v>
      </c>
      <c r="J2060" s="21" t="str">
        <f aca="false">INDEX(Students!$C$2:$C$601,MATCH(B2060,Students!$A$2:$A$601,0))</f>
        <v>Batch 2026</v>
      </c>
      <c r="K2060" s="21" t="str">
        <f aca="false">INDEX(Students!$D$2:$D$601,MATCH(B2060,Students!$A$2:$A$601,0))</f>
        <v>Full Stack Development</v>
      </c>
      <c r="L2060" s="21" t="str">
        <f aca="false">INDEX(Companies!$C$2:$C$31,MATCH(C2060,Companies!$A$2:$A$31,0))</f>
        <v>IT Services</v>
      </c>
      <c r="M2060" s="21" t="str">
        <f aca="false">INDEX(Companies!$D$2:$D$31,MATCH(C2060,Companies!$A$2:$A$31,0))</f>
        <v>Tier 3</v>
      </c>
      <c r="N2060" s="34" t="n">
        <f aca="false">MATCH(F2060,Assumptions!$K$4:$K$8,0)</f>
        <v>5</v>
      </c>
      <c r="O2060" s="21" t="n">
        <f aca="false">IF(H2060="Yes",MONTH(I2060),"")</f>
        <v>9</v>
      </c>
      <c r="P2060" s="21" t="str">
        <f aca="false">IF(H2060="Yes",B2060,"")</f>
        <v>S0522</v>
      </c>
    </row>
    <row r="2061" customFormat="false" ht="15" hidden="false" customHeight="false" outlineLevel="0" collapsed="false">
      <c r="A2061" s="21" t="s">
        <v>3276</v>
      </c>
      <c r="B2061" s="21" t="s">
        <v>997</v>
      </c>
      <c r="C2061" s="21" t="s">
        <v>1177</v>
      </c>
      <c r="D2061" s="21" t="s">
        <v>1194</v>
      </c>
      <c r="E2061" s="33" t="n">
        <v>45883</v>
      </c>
      <c r="F2061" s="21" t="s">
        <v>1175</v>
      </c>
      <c r="G2061" s="32"/>
      <c r="H2061" s="21"/>
      <c r="I2061" s="33"/>
      <c r="J2061" s="21" t="str">
        <f aca="false">INDEX(Students!$C$2:$C$601,MATCH(B2061,Students!$A$2:$A$601,0))</f>
        <v>Batch 2026</v>
      </c>
      <c r="K2061" s="21" t="str">
        <f aca="false">INDEX(Students!$D$2:$D$601,MATCH(B2061,Students!$A$2:$A$601,0))</f>
        <v>Data Science &amp; ML</v>
      </c>
      <c r="L2061" s="21" t="str">
        <f aca="false">INDEX(Companies!$C$2:$C$31,MATCH(C2061,Companies!$A$2:$A$31,0))</f>
        <v>IT Services</v>
      </c>
      <c r="M2061" s="21" t="str">
        <f aca="false">INDEX(Companies!$D$2:$D$31,MATCH(C2061,Companies!$A$2:$A$31,0))</f>
        <v>Tier 3</v>
      </c>
      <c r="N2061" s="34" t="n">
        <f aca="false">MATCH(F2061,Assumptions!$K$4:$K$8,0)</f>
        <v>1</v>
      </c>
      <c r="O2061" s="21" t="str">
        <f aca="false">IF(H2061="Yes",MONTH(I2061),"")</f>
        <v/>
      </c>
      <c r="P2061" s="21" t="str">
        <f aca="false">IF(H2061="Yes",B2061,"")</f>
        <v/>
      </c>
    </row>
    <row r="2062" customFormat="false" ht="15" hidden="false" customHeight="false" outlineLevel="0" collapsed="false">
      <c r="A2062" s="21" t="s">
        <v>3277</v>
      </c>
      <c r="B2062" s="21" t="s">
        <v>923</v>
      </c>
      <c r="C2062" s="21" t="s">
        <v>1222</v>
      </c>
      <c r="D2062" s="21" t="s">
        <v>1188</v>
      </c>
      <c r="E2062" s="33" t="n">
        <v>45883</v>
      </c>
      <c r="F2062" s="21" t="s">
        <v>1175</v>
      </c>
      <c r="G2062" s="32"/>
      <c r="H2062" s="21"/>
      <c r="I2062" s="33"/>
      <c r="J2062" s="21" t="str">
        <f aca="false">INDEX(Students!$C$2:$C$601,MATCH(B2062,Students!$A$2:$A$601,0))</f>
        <v>Batch 2026</v>
      </c>
      <c r="K2062" s="21" t="str">
        <f aca="false">INDEX(Students!$D$2:$D$601,MATCH(B2062,Students!$A$2:$A$601,0))</f>
        <v>Data Analytics</v>
      </c>
      <c r="L2062" s="21" t="str">
        <f aca="false">INDEX(Companies!$C$2:$C$31,MATCH(C2062,Companies!$A$2:$A$31,0))</f>
        <v>Product</v>
      </c>
      <c r="M2062" s="21" t="str">
        <f aca="false">INDEX(Companies!$D$2:$D$31,MATCH(C2062,Companies!$A$2:$A$31,0))</f>
        <v>Tier 2</v>
      </c>
      <c r="N2062" s="34" t="n">
        <f aca="false">MATCH(F2062,Assumptions!$K$4:$K$8,0)</f>
        <v>1</v>
      </c>
      <c r="O2062" s="21" t="str">
        <f aca="false">IF(H2062="Yes",MONTH(I2062),"")</f>
        <v/>
      </c>
      <c r="P2062" s="21" t="str">
        <f aca="false">IF(H2062="Yes",B2062,"")</f>
        <v/>
      </c>
    </row>
    <row r="2063" customFormat="false" ht="15" hidden="false" customHeight="false" outlineLevel="0" collapsed="false">
      <c r="A2063" s="21" t="s">
        <v>3278</v>
      </c>
      <c r="B2063" s="21" t="s">
        <v>1061</v>
      </c>
      <c r="C2063" s="21" t="s">
        <v>1230</v>
      </c>
      <c r="D2063" s="21" t="s">
        <v>1174</v>
      </c>
      <c r="E2063" s="33" t="n">
        <v>45883</v>
      </c>
      <c r="F2063" s="21" t="s">
        <v>1185</v>
      </c>
      <c r="G2063" s="32" t="n">
        <v>5.9</v>
      </c>
      <c r="H2063" s="21" t="s">
        <v>113</v>
      </c>
      <c r="I2063" s="33" t="n">
        <v>45930</v>
      </c>
      <c r="J2063" s="21" t="str">
        <f aca="false">INDEX(Students!$C$2:$C$601,MATCH(B2063,Students!$A$2:$A$601,0))</f>
        <v>Batch 2026</v>
      </c>
      <c r="K2063" s="21" t="str">
        <f aca="false">INDEX(Students!$D$2:$D$601,MATCH(B2063,Students!$A$2:$A$601,0))</f>
        <v>Full Stack Development</v>
      </c>
      <c r="L2063" s="21" t="str">
        <f aca="false">INDEX(Companies!$C$2:$C$31,MATCH(C2063,Companies!$A$2:$A$31,0))</f>
        <v>IT Services</v>
      </c>
      <c r="M2063" s="21" t="str">
        <f aca="false">INDEX(Companies!$D$2:$D$31,MATCH(C2063,Companies!$A$2:$A$31,0))</f>
        <v>Tier 3</v>
      </c>
      <c r="N2063" s="34" t="n">
        <f aca="false">MATCH(F2063,Assumptions!$K$4:$K$8,0)</f>
        <v>5</v>
      </c>
      <c r="O2063" s="21" t="str">
        <f aca="false">IF(H2063="Yes",MONTH(I2063),"")</f>
        <v/>
      </c>
      <c r="P2063" s="21" t="str">
        <f aca="false">IF(H2063="Yes",B2063,"")</f>
        <v/>
      </c>
    </row>
    <row r="2064" customFormat="false" ht="15" hidden="false" customHeight="false" outlineLevel="0" collapsed="false">
      <c r="A2064" s="21" t="s">
        <v>3279</v>
      </c>
      <c r="B2064" s="21" t="s">
        <v>1114</v>
      </c>
      <c r="C2064" s="21" t="s">
        <v>1201</v>
      </c>
      <c r="D2064" s="21" t="s">
        <v>1194</v>
      </c>
      <c r="E2064" s="33" t="n">
        <v>45883</v>
      </c>
      <c r="F2064" s="21" t="s">
        <v>1185</v>
      </c>
      <c r="G2064" s="32" t="n">
        <v>5.5</v>
      </c>
      <c r="H2064" s="21" t="s">
        <v>113</v>
      </c>
      <c r="I2064" s="33" t="n">
        <v>45927</v>
      </c>
      <c r="J2064" s="21" t="str">
        <f aca="false">INDEX(Students!$C$2:$C$601,MATCH(B2064,Students!$A$2:$A$601,0))</f>
        <v>Batch 2026</v>
      </c>
      <c r="K2064" s="21" t="str">
        <f aca="false">INDEX(Students!$D$2:$D$601,MATCH(B2064,Students!$A$2:$A$601,0))</f>
        <v>Data Science &amp; ML</v>
      </c>
      <c r="L2064" s="21" t="str">
        <f aca="false">INDEX(Companies!$C$2:$C$31,MATCH(C2064,Companies!$A$2:$A$31,0))</f>
        <v>IT Services</v>
      </c>
      <c r="M2064" s="21" t="str">
        <f aca="false">INDEX(Companies!$D$2:$D$31,MATCH(C2064,Companies!$A$2:$A$31,0))</f>
        <v>Tier 3</v>
      </c>
      <c r="N2064" s="34" t="n">
        <f aca="false">MATCH(F2064,Assumptions!$K$4:$K$8,0)</f>
        <v>5</v>
      </c>
      <c r="O2064" s="21" t="str">
        <f aca="false">IF(H2064="Yes",MONTH(I2064),"")</f>
        <v/>
      </c>
      <c r="P2064" s="21" t="str">
        <f aca="false">IF(H2064="Yes",B2064,"")</f>
        <v/>
      </c>
    </row>
    <row r="2065" customFormat="false" ht="15" hidden="false" customHeight="false" outlineLevel="0" collapsed="false">
      <c r="A2065" s="21" t="s">
        <v>3280</v>
      </c>
      <c r="B2065" s="21" t="s">
        <v>1133</v>
      </c>
      <c r="C2065" s="21" t="s">
        <v>1216</v>
      </c>
      <c r="D2065" s="21" t="s">
        <v>1209</v>
      </c>
      <c r="E2065" s="33" t="n">
        <v>45883</v>
      </c>
      <c r="F2065" s="21" t="s">
        <v>1175</v>
      </c>
      <c r="G2065" s="32"/>
      <c r="H2065" s="21"/>
      <c r="I2065" s="33"/>
      <c r="J2065" s="21" t="str">
        <f aca="false">INDEX(Students!$C$2:$C$601,MATCH(B2065,Students!$A$2:$A$601,0))</f>
        <v>Batch 2026</v>
      </c>
      <c r="K2065" s="21" t="str">
        <f aca="false">INDEX(Students!$D$2:$D$601,MATCH(B2065,Students!$A$2:$A$601,0))</f>
        <v>Data Analytics</v>
      </c>
      <c r="L2065" s="21" t="str">
        <f aca="false">INDEX(Companies!$C$2:$C$31,MATCH(C2065,Companies!$A$2:$A$31,0))</f>
        <v>IT Services</v>
      </c>
      <c r="M2065" s="21" t="str">
        <f aca="false">INDEX(Companies!$D$2:$D$31,MATCH(C2065,Companies!$A$2:$A$31,0))</f>
        <v>Tier 3</v>
      </c>
      <c r="N2065" s="34" t="n">
        <f aca="false">MATCH(F2065,Assumptions!$K$4:$K$8,0)</f>
        <v>1</v>
      </c>
      <c r="O2065" s="21" t="str">
        <f aca="false">IF(H2065="Yes",MONTH(I2065),"")</f>
        <v/>
      </c>
      <c r="P2065" s="21" t="str">
        <f aca="false">IF(H2065="Yes",B2065,"")</f>
        <v/>
      </c>
    </row>
    <row r="2066" customFormat="false" ht="15" hidden="false" customHeight="false" outlineLevel="0" collapsed="false">
      <c r="A2066" s="21" t="s">
        <v>3281</v>
      </c>
      <c r="B2066" s="21" t="s">
        <v>815</v>
      </c>
      <c r="C2066" s="21" t="s">
        <v>1275</v>
      </c>
      <c r="D2066" s="21" t="s">
        <v>1240</v>
      </c>
      <c r="E2066" s="33" t="n">
        <v>45883</v>
      </c>
      <c r="F2066" s="21" t="s">
        <v>1197</v>
      </c>
      <c r="G2066" s="32"/>
      <c r="H2066" s="21"/>
      <c r="I2066" s="33"/>
      <c r="J2066" s="21" t="str">
        <f aca="false">INDEX(Students!$C$2:$C$601,MATCH(B2066,Students!$A$2:$A$601,0))</f>
        <v>Batch 2026</v>
      </c>
      <c r="K2066" s="21" t="str">
        <f aca="false">INDEX(Students!$D$2:$D$601,MATCH(B2066,Students!$A$2:$A$601,0))</f>
        <v>Cybersecurity</v>
      </c>
      <c r="L2066" s="21" t="str">
        <f aca="false">INDEX(Companies!$C$2:$C$31,MATCH(C2066,Companies!$A$2:$A$31,0))</f>
        <v>Cybersecurity</v>
      </c>
      <c r="M2066" s="21" t="str">
        <f aca="false">INDEX(Companies!$D$2:$D$31,MATCH(C2066,Companies!$A$2:$A$31,0))</f>
        <v>Tier 2</v>
      </c>
      <c r="N2066" s="34" t="n">
        <f aca="false">MATCH(F2066,Assumptions!$K$4:$K$8,0)</f>
        <v>3</v>
      </c>
      <c r="O2066" s="21" t="str">
        <f aca="false">IF(H2066="Yes",MONTH(I2066),"")</f>
        <v/>
      </c>
      <c r="P2066" s="21" t="str">
        <f aca="false">IF(H2066="Yes",B2066,"")</f>
        <v/>
      </c>
    </row>
    <row r="2067" customFormat="false" ht="15" hidden="false" customHeight="false" outlineLevel="0" collapsed="false">
      <c r="A2067" s="21" t="s">
        <v>3282</v>
      </c>
      <c r="B2067" s="21" t="s">
        <v>902</v>
      </c>
      <c r="C2067" s="21" t="s">
        <v>1177</v>
      </c>
      <c r="D2067" s="21" t="s">
        <v>1209</v>
      </c>
      <c r="E2067" s="33" t="n">
        <v>45884</v>
      </c>
      <c r="F2067" s="21" t="s">
        <v>1197</v>
      </c>
      <c r="G2067" s="32"/>
      <c r="H2067" s="21"/>
      <c r="I2067" s="33"/>
      <c r="J2067" s="21" t="str">
        <f aca="false">INDEX(Students!$C$2:$C$601,MATCH(B2067,Students!$A$2:$A$601,0))</f>
        <v>Batch 2026</v>
      </c>
      <c r="K2067" s="21" t="str">
        <f aca="false">INDEX(Students!$D$2:$D$601,MATCH(B2067,Students!$A$2:$A$601,0))</f>
        <v>Data Analytics</v>
      </c>
      <c r="L2067" s="21" t="str">
        <f aca="false">INDEX(Companies!$C$2:$C$31,MATCH(C2067,Companies!$A$2:$A$31,0))</f>
        <v>IT Services</v>
      </c>
      <c r="M2067" s="21" t="str">
        <f aca="false">INDEX(Companies!$D$2:$D$31,MATCH(C2067,Companies!$A$2:$A$31,0))</f>
        <v>Tier 3</v>
      </c>
      <c r="N2067" s="34" t="n">
        <f aca="false">MATCH(F2067,Assumptions!$K$4:$K$8,0)</f>
        <v>3</v>
      </c>
      <c r="O2067" s="21" t="str">
        <f aca="false">IF(H2067="Yes",MONTH(I2067),"")</f>
        <v/>
      </c>
      <c r="P2067" s="21" t="str">
        <f aca="false">IF(H2067="Yes",B2067,"")</f>
        <v/>
      </c>
    </row>
    <row r="2068" customFormat="false" ht="15" hidden="false" customHeight="false" outlineLevel="0" collapsed="false">
      <c r="A2068" s="21" t="s">
        <v>3283</v>
      </c>
      <c r="B2068" s="21" t="s">
        <v>1131</v>
      </c>
      <c r="C2068" s="21" t="s">
        <v>1230</v>
      </c>
      <c r="D2068" s="21" t="s">
        <v>1188</v>
      </c>
      <c r="E2068" s="33" t="n">
        <v>45884</v>
      </c>
      <c r="F2068" s="21" t="s">
        <v>1178</v>
      </c>
      <c r="G2068" s="32"/>
      <c r="H2068" s="21"/>
      <c r="I2068" s="33"/>
      <c r="J2068" s="21" t="str">
        <f aca="false">INDEX(Students!$C$2:$C$601,MATCH(B2068,Students!$A$2:$A$601,0))</f>
        <v>Batch 2026</v>
      </c>
      <c r="K2068" s="21" t="str">
        <f aca="false">INDEX(Students!$D$2:$D$601,MATCH(B2068,Students!$A$2:$A$601,0))</f>
        <v>Data Analytics</v>
      </c>
      <c r="L2068" s="21" t="str">
        <f aca="false">INDEX(Companies!$C$2:$C$31,MATCH(C2068,Companies!$A$2:$A$31,0))</f>
        <v>IT Services</v>
      </c>
      <c r="M2068" s="21" t="str">
        <f aca="false">INDEX(Companies!$D$2:$D$31,MATCH(C2068,Companies!$A$2:$A$31,0))</f>
        <v>Tier 3</v>
      </c>
      <c r="N2068" s="34" t="n">
        <f aca="false">MATCH(F2068,Assumptions!$K$4:$K$8,0)</f>
        <v>2</v>
      </c>
      <c r="O2068" s="21" t="str">
        <f aca="false">IF(H2068="Yes",MONTH(I2068),"")</f>
        <v/>
      </c>
      <c r="P2068" s="21" t="str">
        <f aca="false">IF(H2068="Yes",B2068,"")</f>
        <v/>
      </c>
    </row>
    <row r="2069" customFormat="false" ht="15" hidden="false" customHeight="false" outlineLevel="0" collapsed="false">
      <c r="A2069" s="21" t="s">
        <v>3284</v>
      </c>
      <c r="B2069" s="21" t="s">
        <v>1152</v>
      </c>
      <c r="C2069" s="21" t="s">
        <v>1266</v>
      </c>
      <c r="D2069" s="21" t="s">
        <v>1191</v>
      </c>
      <c r="E2069" s="33" t="n">
        <v>45885</v>
      </c>
      <c r="F2069" s="21" t="s">
        <v>1185</v>
      </c>
      <c r="G2069" s="32" t="n">
        <v>6.5</v>
      </c>
      <c r="H2069" s="21" t="s">
        <v>113</v>
      </c>
      <c r="I2069" s="33" t="n">
        <v>45918</v>
      </c>
      <c r="J2069" s="21" t="str">
        <f aca="false">INDEX(Students!$C$2:$C$601,MATCH(B2069,Students!$A$2:$A$601,0))</f>
        <v>Batch 2026</v>
      </c>
      <c r="K2069" s="21" t="str">
        <f aca="false">INDEX(Students!$D$2:$D$601,MATCH(B2069,Students!$A$2:$A$601,0))</f>
        <v>DSA with Java</v>
      </c>
      <c r="L2069" s="21" t="str">
        <f aca="false">INDEX(Companies!$C$2:$C$31,MATCH(C2069,Companies!$A$2:$A$31,0))</f>
        <v>IT Services</v>
      </c>
      <c r="M2069" s="21" t="str">
        <f aca="false">INDEX(Companies!$D$2:$D$31,MATCH(C2069,Companies!$A$2:$A$31,0))</f>
        <v>Tier 3</v>
      </c>
      <c r="N2069" s="34" t="n">
        <f aca="false">MATCH(F2069,Assumptions!$K$4:$K$8,0)</f>
        <v>5</v>
      </c>
      <c r="O2069" s="21" t="str">
        <f aca="false">IF(H2069="Yes",MONTH(I2069),"")</f>
        <v/>
      </c>
      <c r="P2069" s="21" t="str">
        <f aca="false">IF(H2069="Yes",B2069,"")</f>
        <v/>
      </c>
    </row>
    <row r="2070" customFormat="false" ht="15" hidden="false" customHeight="false" outlineLevel="0" collapsed="false">
      <c r="A2070" s="21" t="s">
        <v>3285</v>
      </c>
      <c r="B2070" s="21" t="s">
        <v>977</v>
      </c>
      <c r="C2070" s="21" t="s">
        <v>1183</v>
      </c>
      <c r="D2070" s="21" t="s">
        <v>1174</v>
      </c>
      <c r="E2070" s="33" t="n">
        <v>45885</v>
      </c>
      <c r="F2070" s="21" t="s">
        <v>1185</v>
      </c>
      <c r="G2070" s="32" t="n">
        <v>11</v>
      </c>
      <c r="H2070" s="21" t="s">
        <v>120</v>
      </c>
      <c r="I2070" s="33" t="n">
        <v>45937</v>
      </c>
      <c r="J2070" s="21" t="str">
        <f aca="false">INDEX(Students!$C$2:$C$601,MATCH(B2070,Students!$A$2:$A$601,0))</f>
        <v>Batch 2026</v>
      </c>
      <c r="K2070" s="21" t="str">
        <f aca="false">INDEX(Students!$D$2:$D$601,MATCH(B2070,Students!$A$2:$A$601,0))</f>
        <v>Full Stack Development</v>
      </c>
      <c r="L2070" s="21" t="str">
        <f aca="false">INDEX(Companies!$C$2:$C$31,MATCH(C2070,Companies!$A$2:$A$31,0))</f>
        <v>E-commerce</v>
      </c>
      <c r="M2070" s="21" t="str">
        <f aca="false">INDEX(Companies!$D$2:$D$31,MATCH(C2070,Companies!$A$2:$A$31,0))</f>
        <v>Tier 2</v>
      </c>
      <c r="N2070" s="34" t="n">
        <f aca="false">MATCH(F2070,Assumptions!$K$4:$K$8,0)</f>
        <v>5</v>
      </c>
      <c r="O2070" s="21" t="n">
        <f aca="false">IF(H2070="Yes",MONTH(I2070),"")</f>
        <v>10</v>
      </c>
      <c r="P2070" s="21" t="str">
        <f aca="false">IF(H2070="Yes",B2070,"")</f>
        <v>S0486</v>
      </c>
    </row>
    <row r="2071" customFormat="false" ht="15" hidden="false" customHeight="false" outlineLevel="0" collapsed="false">
      <c r="A2071" s="21" t="s">
        <v>3286</v>
      </c>
      <c r="B2071" s="21" t="s">
        <v>979</v>
      </c>
      <c r="C2071" s="21" t="s">
        <v>1208</v>
      </c>
      <c r="D2071" s="21" t="s">
        <v>1184</v>
      </c>
      <c r="E2071" s="33" t="n">
        <v>45886</v>
      </c>
      <c r="F2071" s="21" t="s">
        <v>1175</v>
      </c>
      <c r="G2071" s="32"/>
      <c r="H2071" s="21"/>
      <c r="I2071" s="33"/>
      <c r="J2071" s="21" t="str">
        <f aca="false">INDEX(Students!$C$2:$C$601,MATCH(B2071,Students!$A$2:$A$601,0))</f>
        <v>Batch 2026</v>
      </c>
      <c r="K2071" s="21" t="str">
        <f aca="false">INDEX(Students!$D$2:$D$601,MATCH(B2071,Students!$A$2:$A$601,0))</f>
        <v>DSA with Java</v>
      </c>
      <c r="L2071" s="21" t="str">
        <f aca="false">INDEX(Companies!$C$2:$C$31,MATCH(C2071,Companies!$A$2:$A$31,0))</f>
        <v>E-commerce</v>
      </c>
      <c r="M2071" s="21" t="str">
        <f aca="false">INDEX(Companies!$D$2:$D$31,MATCH(C2071,Companies!$A$2:$A$31,0))</f>
        <v>Tier 1</v>
      </c>
      <c r="N2071" s="34" t="n">
        <f aca="false">MATCH(F2071,Assumptions!$K$4:$K$8,0)</f>
        <v>1</v>
      </c>
      <c r="O2071" s="21" t="str">
        <f aca="false">IF(H2071="Yes",MONTH(I2071),"")</f>
        <v/>
      </c>
      <c r="P2071" s="21" t="str">
        <f aca="false">IF(H2071="Yes",B2071,"")</f>
        <v/>
      </c>
    </row>
    <row r="2072" customFormat="false" ht="15" hidden="false" customHeight="false" outlineLevel="0" collapsed="false">
      <c r="A2072" s="21" t="s">
        <v>3287</v>
      </c>
      <c r="B2072" s="21" t="s">
        <v>1078</v>
      </c>
      <c r="C2072" s="21" t="s">
        <v>1177</v>
      </c>
      <c r="D2072" s="21" t="s">
        <v>1184</v>
      </c>
      <c r="E2072" s="33" t="n">
        <v>45886</v>
      </c>
      <c r="F2072" s="21" t="s">
        <v>1185</v>
      </c>
      <c r="G2072" s="32" t="n">
        <v>5.2</v>
      </c>
      <c r="H2072" s="21" t="s">
        <v>113</v>
      </c>
      <c r="I2072" s="33" t="n">
        <v>45928</v>
      </c>
      <c r="J2072" s="21" t="str">
        <f aca="false">INDEX(Students!$C$2:$C$601,MATCH(B2072,Students!$A$2:$A$601,0))</f>
        <v>Batch 2026</v>
      </c>
      <c r="K2072" s="21" t="str">
        <f aca="false">INDEX(Students!$D$2:$D$601,MATCH(B2072,Students!$A$2:$A$601,0))</f>
        <v>DSA with Java</v>
      </c>
      <c r="L2072" s="21" t="str">
        <f aca="false">INDEX(Companies!$C$2:$C$31,MATCH(C2072,Companies!$A$2:$A$31,0))</f>
        <v>IT Services</v>
      </c>
      <c r="M2072" s="21" t="str">
        <f aca="false">INDEX(Companies!$D$2:$D$31,MATCH(C2072,Companies!$A$2:$A$31,0))</f>
        <v>Tier 3</v>
      </c>
      <c r="N2072" s="34" t="n">
        <f aca="false">MATCH(F2072,Assumptions!$K$4:$K$8,0)</f>
        <v>5</v>
      </c>
      <c r="O2072" s="21" t="str">
        <f aca="false">IF(H2072="Yes",MONTH(I2072),"")</f>
        <v/>
      </c>
      <c r="P2072" s="21" t="str">
        <f aca="false">IF(H2072="Yes",B2072,"")</f>
        <v/>
      </c>
    </row>
    <row r="2073" customFormat="false" ht="15" hidden="false" customHeight="false" outlineLevel="0" collapsed="false">
      <c r="A2073" s="21" t="s">
        <v>3288</v>
      </c>
      <c r="B2073" s="21" t="s">
        <v>970</v>
      </c>
      <c r="C2073" s="21" t="s">
        <v>1234</v>
      </c>
      <c r="D2073" s="21" t="s">
        <v>1191</v>
      </c>
      <c r="E2073" s="33" t="n">
        <v>45886</v>
      </c>
      <c r="F2073" s="21" t="s">
        <v>1178</v>
      </c>
      <c r="G2073" s="32"/>
      <c r="H2073" s="21"/>
      <c r="I2073" s="33"/>
      <c r="J2073" s="21" t="str">
        <f aca="false">INDEX(Students!$C$2:$C$601,MATCH(B2073,Students!$A$2:$A$601,0))</f>
        <v>Batch 2026</v>
      </c>
      <c r="K2073" s="21" t="str">
        <f aca="false">INDEX(Students!$D$2:$D$601,MATCH(B2073,Students!$A$2:$A$601,0))</f>
        <v>DSA with Java</v>
      </c>
      <c r="L2073" s="21" t="str">
        <f aca="false">INDEX(Companies!$C$2:$C$31,MATCH(C2073,Companies!$A$2:$A$31,0))</f>
        <v>EdTech</v>
      </c>
      <c r="M2073" s="21" t="str">
        <f aca="false">INDEX(Companies!$D$2:$D$31,MATCH(C2073,Companies!$A$2:$A$31,0))</f>
        <v>Tier 3</v>
      </c>
      <c r="N2073" s="34" t="n">
        <f aca="false">MATCH(F2073,Assumptions!$K$4:$K$8,0)</f>
        <v>2</v>
      </c>
      <c r="O2073" s="21" t="str">
        <f aca="false">IF(H2073="Yes",MONTH(I2073),"")</f>
        <v/>
      </c>
      <c r="P2073" s="21" t="str">
        <f aca="false">IF(H2073="Yes",B2073,"")</f>
        <v/>
      </c>
    </row>
    <row r="2074" customFormat="false" ht="15" hidden="false" customHeight="false" outlineLevel="0" collapsed="false">
      <c r="A2074" s="21" t="s">
        <v>3289</v>
      </c>
      <c r="B2074" s="21" t="s">
        <v>1138</v>
      </c>
      <c r="C2074" s="21" t="s">
        <v>1275</v>
      </c>
      <c r="D2074" s="21" t="s">
        <v>1184</v>
      </c>
      <c r="E2074" s="33" t="n">
        <v>45886</v>
      </c>
      <c r="F2074" s="21" t="s">
        <v>1197</v>
      </c>
      <c r="G2074" s="32"/>
      <c r="H2074" s="21"/>
      <c r="I2074" s="33"/>
      <c r="J2074" s="21" t="str">
        <f aca="false">INDEX(Students!$C$2:$C$601,MATCH(B2074,Students!$A$2:$A$601,0))</f>
        <v>Batch 2026</v>
      </c>
      <c r="K2074" s="21" t="str">
        <f aca="false">INDEX(Students!$D$2:$D$601,MATCH(B2074,Students!$A$2:$A$601,0))</f>
        <v>DSA with Java</v>
      </c>
      <c r="L2074" s="21" t="str">
        <f aca="false">INDEX(Companies!$C$2:$C$31,MATCH(C2074,Companies!$A$2:$A$31,0))</f>
        <v>Cybersecurity</v>
      </c>
      <c r="M2074" s="21" t="str">
        <f aca="false">INDEX(Companies!$D$2:$D$31,MATCH(C2074,Companies!$A$2:$A$31,0))</f>
        <v>Tier 2</v>
      </c>
      <c r="N2074" s="34" t="n">
        <f aca="false">MATCH(F2074,Assumptions!$K$4:$K$8,0)</f>
        <v>3</v>
      </c>
      <c r="O2074" s="21" t="str">
        <f aca="false">IF(H2074="Yes",MONTH(I2074),"")</f>
        <v/>
      </c>
      <c r="P2074" s="21" t="str">
        <f aca="false">IF(H2074="Yes",B2074,"")</f>
        <v/>
      </c>
    </row>
    <row r="2075" customFormat="false" ht="15" hidden="false" customHeight="false" outlineLevel="0" collapsed="false">
      <c r="A2075" s="21" t="s">
        <v>3290</v>
      </c>
      <c r="B2075" s="21" t="s">
        <v>844</v>
      </c>
      <c r="C2075" s="21" t="s">
        <v>1173</v>
      </c>
      <c r="D2075" s="21" t="s">
        <v>1181</v>
      </c>
      <c r="E2075" s="33" t="n">
        <v>45886</v>
      </c>
      <c r="F2075" s="21" t="s">
        <v>1178</v>
      </c>
      <c r="G2075" s="32"/>
      <c r="H2075" s="21"/>
      <c r="I2075" s="33"/>
      <c r="J2075" s="21" t="str">
        <f aca="false">INDEX(Students!$C$2:$C$601,MATCH(B2075,Students!$A$2:$A$601,0))</f>
        <v>Batch 2026</v>
      </c>
      <c r="K2075" s="21" t="str">
        <f aca="false">INDEX(Students!$D$2:$D$601,MATCH(B2075,Students!$A$2:$A$601,0))</f>
        <v>Full Stack Development</v>
      </c>
      <c r="L2075" s="21" t="str">
        <f aca="false">INDEX(Companies!$C$2:$C$31,MATCH(C2075,Companies!$A$2:$A$31,0))</f>
        <v>Cybersecurity</v>
      </c>
      <c r="M2075" s="21" t="str">
        <f aca="false">INDEX(Companies!$D$2:$D$31,MATCH(C2075,Companies!$A$2:$A$31,0))</f>
        <v>Tier 1</v>
      </c>
      <c r="N2075" s="34" t="n">
        <f aca="false">MATCH(F2075,Assumptions!$K$4:$K$8,0)</f>
        <v>2</v>
      </c>
      <c r="O2075" s="21" t="str">
        <f aca="false">IF(H2075="Yes",MONTH(I2075),"")</f>
        <v/>
      </c>
      <c r="P2075" s="21" t="str">
        <f aca="false">IF(H2075="Yes",B2075,"")</f>
        <v/>
      </c>
    </row>
    <row r="2076" customFormat="false" ht="15" hidden="false" customHeight="false" outlineLevel="0" collapsed="false">
      <c r="A2076" s="21" t="s">
        <v>3291</v>
      </c>
      <c r="B2076" s="21" t="s">
        <v>1100</v>
      </c>
      <c r="C2076" s="21" t="s">
        <v>1216</v>
      </c>
      <c r="D2076" s="21" t="s">
        <v>1174</v>
      </c>
      <c r="E2076" s="33" t="n">
        <v>45887</v>
      </c>
      <c r="F2076" s="21" t="s">
        <v>1185</v>
      </c>
      <c r="G2076" s="32" t="n">
        <v>6.2</v>
      </c>
      <c r="H2076" s="21" t="s">
        <v>113</v>
      </c>
      <c r="I2076" s="33" t="n">
        <v>45939</v>
      </c>
      <c r="J2076" s="21" t="str">
        <f aca="false">INDEX(Students!$C$2:$C$601,MATCH(B2076,Students!$A$2:$A$601,0))</f>
        <v>Batch 2026</v>
      </c>
      <c r="K2076" s="21" t="str">
        <f aca="false">INDEX(Students!$D$2:$D$601,MATCH(B2076,Students!$A$2:$A$601,0))</f>
        <v>Full Stack Development</v>
      </c>
      <c r="L2076" s="21" t="str">
        <f aca="false">INDEX(Companies!$C$2:$C$31,MATCH(C2076,Companies!$A$2:$A$31,0))</f>
        <v>IT Services</v>
      </c>
      <c r="M2076" s="21" t="str">
        <f aca="false">INDEX(Companies!$D$2:$D$31,MATCH(C2076,Companies!$A$2:$A$31,0))</f>
        <v>Tier 3</v>
      </c>
      <c r="N2076" s="34" t="n">
        <f aca="false">MATCH(F2076,Assumptions!$K$4:$K$8,0)</f>
        <v>5</v>
      </c>
      <c r="O2076" s="21" t="str">
        <f aca="false">IF(H2076="Yes",MONTH(I2076),"")</f>
        <v/>
      </c>
      <c r="P2076" s="21" t="str">
        <f aca="false">IF(H2076="Yes",B2076,"")</f>
        <v/>
      </c>
    </row>
    <row r="2077" customFormat="false" ht="15" hidden="false" customHeight="false" outlineLevel="0" collapsed="false">
      <c r="A2077" s="21" t="s">
        <v>3292</v>
      </c>
      <c r="B2077" s="21" t="s">
        <v>1093</v>
      </c>
      <c r="C2077" s="21" t="s">
        <v>1225</v>
      </c>
      <c r="D2077" s="21" t="s">
        <v>1191</v>
      </c>
      <c r="E2077" s="33" t="n">
        <v>45887</v>
      </c>
      <c r="F2077" s="21" t="s">
        <v>1197</v>
      </c>
      <c r="G2077" s="32"/>
      <c r="H2077" s="21"/>
      <c r="I2077" s="33"/>
      <c r="J2077" s="21" t="str">
        <f aca="false">INDEX(Students!$C$2:$C$601,MATCH(B2077,Students!$A$2:$A$601,0))</f>
        <v>Batch 2026</v>
      </c>
      <c r="K2077" s="21" t="str">
        <f aca="false">INDEX(Students!$D$2:$D$601,MATCH(B2077,Students!$A$2:$A$601,0))</f>
        <v>DSA with Java</v>
      </c>
      <c r="L2077" s="21" t="str">
        <f aca="false">INDEX(Companies!$C$2:$C$31,MATCH(C2077,Companies!$A$2:$A$31,0))</f>
        <v>EdTech</v>
      </c>
      <c r="M2077" s="21" t="str">
        <f aca="false">INDEX(Companies!$D$2:$D$31,MATCH(C2077,Companies!$A$2:$A$31,0))</f>
        <v>Tier 2</v>
      </c>
      <c r="N2077" s="34" t="n">
        <f aca="false">MATCH(F2077,Assumptions!$K$4:$K$8,0)</f>
        <v>3</v>
      </c>
      <c r="O2077" s="21" t="str">
        <f aca="false">IF(H2077="Yes",MONTH(I2077),"")</f>
        <v/>
      </c>
      <c r="P2077" s="21" t="str">
        <f aca="false">IF(H2077="Yes",B2077,"")</f>
        <v/>
      </c>
    </row>
    <row r="2078" customFormat="false" ht="15" hidden="false" customHeight="false" outlineLevel="0" collapsed="false">
      <c r="A2078" s="21" t="s">
        <v>3293</v>
      </c>
      <c r="B2078" s="21" t="s">
        <v>1061</v>
      </c>
      <c r="C2078" s="21" t="s">
        <v>1309</v>
      </c>
      <c r="D2078" s="21" t="s">
        <v>1181</v>
      </c>
      <c r="E2078" s="33" t="n">
        <v>45887</v>
      </c>
      <c r="F2078" s="21" t="s">
        <v>1178</v>
      </c>
      <c r="G2078" s="32"/>
      <c r="H2078" s="21"/>
      <c r="I2078" s="33"/>
      <c r="J2078" s="21" t="str">
        <f aca="false">INDEX(Students!$C$2:$C$601,MATCH(B2078,Students!$A$2:$A$601,0))</f>
        <v>Batch 2026</v>
      </c>
      <c r="K2078" s="21" t="str">
        <f aca="false">INDEX(Students!$D$2:$D$601,MATCH(B2078,Students!$A$2:$A$601,0))</f>
        <v>Full Stack Development</v>
      </c>
      <c r="L2078" s="21" t="str">
        <f aca="false">INDEX(Companies!$C$2:$C$31,MATCH(C2078,Companies!$A$2:$A$31,0))</f>
        <v>EdTech</v>
      </c>
      <c r="M2078" s="21" t="str">
        <f aca="false">INDEX(Companies!$D$2:$D$31,MATCH(C2078,Companies!$A$2:$A$31,0))</f>
        <v>Tier 2</v>
      </c>
      <c r="N2078" s="34" t="n">
        <f aca="false">MATCH(F2078,Assumptions!$K$4:$K$8,0)</f>
        <v>2</v>
      </c>
      <c r="O2078" s="21" t="str">
        <f aca="false">IF(H2078="Yes",MONTH(I2078),"")</f>
        <v/>
      </c>
      <c r="P2078" s="21" t="str">
        <f aca="false">IF(H2078="Yes",B2078,"")</f>
        <v/>
      </c>
    </row>
    <row r="2079" customFormat="false" ht="15" hidden="false" customHeight="false" outlineLevel="0" collapsed="false">
      <c r="A2079" s="21" t="s">
        <v>3294</v>
      </c>
      <c r="B2079" s="21" t="s">
        <v>895</v>
      </c>
      <c r="C2079" s="21" t="s">
        <v>1239</v>
      </c>
      <c r="D2079" s="21" t="s">
        <v>1174</v>
      </c>
      <c r="E2079" s="33" t="n">
        <v>45887</v>
      </c>
      <c r="F2079" s="21" t="s">
        <v>1178</v>
      </c>
      <c r="G2079" s="32"/>
      <c r="H2079" s="21"/>
      <c r="I2079" s="33"/>
      <c r="J2079" s="21" t="str">
        <f aca="false">INDEX(Students!$C$2:$C$601,MATCH(B2079,Students!$A$2:$A$601,0))</f>
        <v>Batch 2026</v>
      </c>
      <c r="K2079" s="21" t="str">
        <f aca="false">INDEX(Students!$D$2:$D$601,MATCH(B2079,Students!$A$2:$A$601,0))</f>
        <v>Full Stack Development</v>
      </c>
      <c r="L2079" s="21" t="str">
        <f aca="false">INDEX(Companies!$C$2:$C$31,MATCH(C2079,Companies!$A$2:$A$31,0))</f>
        <v>E-commerce</v>
      </c>
      <c r="M2079" s="21" t="str">
        <f aca="false">INDEX(Companies!$D$2:$D$31,MATCH(C2079,Companies!$A$2:$A$31,0))</f>
        <v>Tier 3</v>
      </c>
      <c r="N2079" s="34" t="n">
        <f aca="false">MATCH(F2079,Assumptions!$K$4:$K$8,0)</f>
        <v>2</v>
      </c>
      <c r="O2079" s="21" t="str">
        <f aca="false">IF(H2079="Yes",MONTH(I2079),"")</f>
        <v/>
      </c>
      <c r="P2079" s="21" t="str">
        <f aca="false">IF(H2079="Yes",B2079,"")</f>
        <v/>
      </c>
    </row>
    <row r="2080" customFormat="false" ht="15" hidden="false" customHeight="false" outlineLevel="0" collapsed="false">
      <c r="A2080" s="21" t="s">
        <v>3295</v>
      </c>
      <c r="B2080" s="21" t="s">
        <v>1059</v>
      </c>
      <c r="C2080" s="21" t="s">
        <v>1234</v>
      </c>
      <c r="D2080" s="21" t="s">
        <v>1174</v>
      </c>
      <c r="E2080" s="33" t="n">
        <v>45887</v>
      </c>
      <c r="F2080" s="21" t="s">
        <v>1185</v>
      </c>
      <c r="G2080" s="32" t="n">
        <v>7.8</v>
      </c>
      <c r="H2080" s="21" t="s">
        <v>120</v>
      </c>
      <c r="I2080" s="33" t="n">
        <v>45934</v>
      </c>
      <c r="J2080" s="21" t="str">
        <f aca="false">INDEX(Students!$C$2:$C$601,MATCH(B2080,Students!$A$2:$A$601,0))</f>
        <v>Batch 2026</v>
      </c>
      <c r="K2080" s="21" t="str">
        <f aca="false">INDEX(Students!$D$2:$D$601,MATCH(B2080,Students!$A$2:$A$601,0))</f>
        <v>Full Stack Development</v>
      </c>
      <c r="L2080" s="21" t="str">
        <f aca="false">INDEX(Companies!$C$2:$C$31,MATCH(C2080,Companies!$A$2:$A$31,0))</f>
        <v>EdTech</v>
      </c>
      <c r="M2080" s="21" t="str">
        <f aca="false">INDEX(Companies!$D$2:$D$31,MATCH(C2080,Companies!$A$2:$A$31,0))</f>
        <v>Tier 3</v>
      </c>
      <c r="N2080" s="34" t="n">
        <f aca="false">MATCH(F2080,Assumptions!$K$4:$K$8,0)</f>
        <v>5</v>
      </c>
      <c r="O2080" s="21" t="n">
        <f aca="false">IF(H2080="Yes",MONTH(I2080),"")</f>
        <v>10</v>
      </c>
      <c r="P2080" s="21" t="str">
        <f aca="false">IF(H2080="Yes",B2080,"")</f>
        <v>S0536</v>
      </c>
    </row>
    <row r="2081" customFormat="false" ht="15" hidden="false" customHeight="false" outlineLevel="0" collapsed="false">
      <c r="A2081" s="21" t="s">
        <v>3296</v>
      </c>
      <c r="B2081" s="21" t="s">
        <v>1049</v>
      </c>
      <c r="C2081" s="21" t="s">
        <v>1255</v>
      </c>
      <c r="D2081" s="21" t="s">
        <v>1181</v>
      </c>
      <c r="E2081" s="33" t="n">
        <v>45887</v>
      </c>
      <c r="F2081" s="21" t="s">
        <v>1175</v>
      </c>
      <c r="G2081" s="32"/>
      <c r="H2081" s="21"/>
      <c r="I2081" s="33"/>
      <c r="J2081" s="21" t="str">
        <f aca="false">INDEX(Students!$C$2:$C$601,MATCH(B2081,Students!$A$2:$A$601,0))</f>
        <v>Batch 2026</v>
      </c>
      <c r="K2081" s="21" t="str">
        <f aca="false">INDEX(Students!$D$2:$D$601,MATCH(B2081,Students!$A$2:$A$601,0))</f>
        <v>Full Stack Development</v>
      </c>
      <c r="L2081" s="21" t="str">
        <f aca="false">INDEX(Companies!$C$2:$C$31,MATCH(C2081,Companies!$A$2:$A$31,0))</f>
        <v>IT Services</v>
      </c>
      <c r="M2081" s="21" t="str">
        <f aca="false">INDEX(Companies!$D$2:$D$31,MATCH(C2081,Companies!$A$2:$A$31,0))</f>
        <v>Tier 3</v>
      </c>
      <c r="N2081" s="34" t="n">
        <f aca="false">MATCH(F2081,Assumptions!$K$4:$K$8,0)</f>
        <v>1</v>
      </c>
      <c r="O2081" s="21" t="str">
        <f aca="false">IF(H2081="Yes",MONTH(I2081),"")</f>
        <v/>
      </c>
      <c r="P2081" s="21" t="str">
        <f aca="false">IF(H2081="Yes",B2081,"")</f>
        <v/>
      </c>
    </row>
    <row r="2082" customFormat="false" ht="15" hidden="false" customHeight="false" outlineLevel="0" collapsed="false">
      <c r="A2082" s="21" t="s">
        <v>3297</v>
      </c>
      <c r="B2082" s="21" t="s">
        <v>956</v>
      </c>
      <c r="C2082" s="21" t="s">
        <v>1205</v>
      </c>
      <c r="D2082" s="21" t="s">
        <v>1209</v>
      </c>
      <c r="E2082" s="33" t="n">
        <v>45887</v>
      </c>
      <c r="F2082" s="21" t="s">
        <v>1185</v>
      </c>
      <c r="G2082" s="32" t="n">
        <v>7.3</v>
      </c>
      <c r="H2082" s="21" t="s">
        <v>120</v>
      </c>
      <c r="I2082" s="33" t="n">
        <v>45907</v>
      </c>
      <c r="J2082" s="21" t="str">
        <f aca="false">INDEX(Students!$C$2:$C$601,MATCH(B2082,Students!$A$2:$A$601,0))</f>
        <v>Batch 2026</v>
      </c>
      <c r="K2082" s="21" t="str">
        <f aca="false">INDEX(Students!$D$2:$D$601,MATCH(B2082,Students!$A$2:$A$601,0))</f>
        <v>Data Analytics</v>
      </c>
      <c r="L2082" s="21" t="str">
        <f aca="false">INDEX(Companies!$C$2:$C$31,MATCH(C2082,Companies!$A$2:$A$31,0))</f>
        <v>Healthtech</v>
      </c>
      <c r="M2082" s="21" t="str">
        <f aca="false">INDEX(Companies!$D$2:$D$31,MATCH(C2082,Companies!$A$2:$A$31,0))</f>
        <v>Tier 3</v>
      </c>
      <c r="N2082" s="34" t="n">
        <f aca="false">MATCH(F2082,Assumptions!$K$4:$K$8,0)</f>
        <v>5</v>
      </c>
      <c r="O2082" s="21" t="n">
        <f aca="false">IF(H2082="Yes",MONTH(I2082),"")</f>
        <v>9</v>
      </c>
      <c r="P2082" s="21" t="str">
        <f aca="false">IF(H2082="Yes",B2082,"")</f>
        <v>S0473</v>
      </c>
    </row>
    <row r="2083" customFormat="false" ht="15" hidden="false" customHeight="false" outlineLevel="0" collapsed="false">
      <c r="A2083" s="21" t="s">
        <v>3298</v>
      </c>
      <c r="B2083" s="21" t="s">
        <v>831</v>
      </c>
      <c r="C2083" s="21" t="s">
        <v>1193</v>
      </c>
      <c r="D2083" s="21" t="s">
        <v>1194</v>
      </c>
      <c r="E2083" s="33" t="n">
        <v>45888</v>
      </c>
      <c r="F2083" s="21" t="s">
        <v>1175</v>
      </c>
      <c r="G2083" s="32"/>
      <c r="H2083" s="21"/>
      <c r="I2083" s="33"/>
      <c r="J2083" s="21" t="str">
        <f aca="false">INDEX(Students!$C$2:$C$601,MATCH(B2083,Students!$A$2:$A$601,0))</f>
        <v>Batch 2026</v>
      </c>
      <c r="K2083" s="21" t="str">
        <f aca="false">INDEX(Students!$D$2:$D$601,MATCH(B2083,Students!$A$2:$A$601,0))</f>
        <v>Data Science &amp; ML</v>
      </c>
      <c r="L2083" s="21" t="str">
        <f aca="false">INDEX(Companies!$C$2:$C$31,MATCH(C2083,Companies!$A$2:$A$31,0))</f>
        <v>Analytics &amp; Consulting</v>
      </c>
      <c r="M2083" s="21" t="str">
        <f aca="false">INDEX(Companies!$D$2:$D$31,MATCH(C2083,Companies!$A$2:$A$31,0))</f>
        <v>Tier 2</v>
      </c>
      <c r="N2083" s="34" t="n">
        <f aca="false">MATCH(F2083,Assumptions!$K$4:$K$8,0)</f>
        <v>1</v>
      </c>
      <c r="O2083" s="21" t="str">
        <f aca="false">IF(H2083="Yes",MONTH(I2083),"")</f>
        <v/>
      </c>
      <c r="P2083" s="21" t="str">
        <f aca="false">IF(H2083="Yes",B2083,"")</f>
        <v/>
      </c>
    </row>
    <row r="2084" customFormat="false" ht="15" hidden="false" customHeight="false" outlineLevel="0" collapsed="false">
      <c r="A2084" s="21" t="s">
        <v>3299</v>
      </c>
      <c r="B2084" s="21" t="s">
        <v>861</v>
      </c>
      <c r="C2084" s="21" t="s">
        <v>1190</v>
      </c>
      <c r="D2084" s="21" t="s">
        <v>1191</v>
      </c>
      <c r="E2084" s="33" t="n">
        <v>45888</v>
      </c>
      <c r="F2084" s="21" t="s">
        <v>1178</v>
      </c>
      <c r="G2084" s="32"/>
      <c r="H2084" s="21"/>
      <c r="I2084" s="33"/>
      <c r="J2084" s="21" t="str">
        <f aca="false">INDEX(Students!$C$2:$C$601,MATCH(B2084,Students!$A$2:$A$601,0))</f>
        <v>Batch 2026</v>
      </c>
      <c r="K2084" s="21" t="str">
        <f aca="false">INDEX(Students!$D$2:$D$601,MATCH(B2084,Students!$A$2:$A$601,0))</f>
        <v>DSA with Java</v>
      </c>
      <c r="L2084" s="21" t="str">
        <f aca="false">INDEX(Companies!$C$2:$C$31,MATCH(C2084,Companies!$A$2:$A$31,0))</f>
        <v>Analytics &amp; Consulting</v>
      </c>
      <c r="M2084" s="21" t="str">
        <f aca="false">INDEX(Companies!$D$2:$D$31,MATCH(C2084,Companies!$A$2:$A$31,0))</f>
        <v>Tier 1</v>
      </c>
      <c r="N2084" s="34" t="n">
        <f aca="false">MATCH(F2084,Assumptions!$K$4:$K$8,0)</f>
        <v>2</v>
      </c>
      <c r="O2084" s="21" t="str">
        <f aca="false">IF(H2084="Yes",MONTH(I2084),"")</f>
        <v/>
      </c>
      <c r="P2084" s="21" t="str">
        <f aca="false">IF(H2084="Yes",B2084,"")</f>
        <v/>
      </c>
    </row>
    <row r="2085" customFormat="false" ht="15" hidden="false" customHeight="false" outlineLevel="0" collapsed="false">
      <c r="A2085" s="21" t="s">
        <v>3300</v>
      </c>
      <c r="B2085" s="21" t="s">
        <v>977</v>
      </c>
      <c r="C2085" s="21" t="s">
        <v>1225</v>
      </c>
      <c r="D2085" s="21" t="s">
        <v>1174</v>
      </c>
      <c r="E2085" s="33" t="n">
        <v>45888</v>
      </c>
      <c r="F2085" s="21" t="s">
        <v>1218</v>
      </c>
      <c r="G2085" s="32"/>
      <c r="H2085" s="21"/>
      <c r="I2085" s="33"/>
      <c r="J2085" s="21" t="str">
        <f aca="false">INDEX(Students!$C$2:$C$601,MATCH(B2085,Students!$A$2:$A$601,0))</f>
        <v>Batch 2026</v>
      </c>
      <c r="K2085" s="21" t="str">
        <f aca="false">INDEX(Students!$D$2:$D$601,MATCH(B2085,Students!$A$2:$A$601,0))</f>
        <v>Full Stack Development</v>
      </c>
      <c r="L2085" s="21" t="str">
        <f aca="false">INDEX(Companies!$C$2:$C$31,MATCH(C2085,Companies!$A$2:$A$31,0))</f>
        <v>EdTech</v>
      </c>
      <c r="M2085" s="21" t="str">
        <f aca="false">INDEX(Companies!$D$2:$D$31,MATCH(C2085,Companies!$A$2:$A$31,0))</f>
        <v>Tier 2</v>
      </c>
      <c r="N2085" s="34" t="n">
        <f aca="false">MATCH(F2085,Assumptions!$K$4:$K$8,0)</f>
        <v>4</v>
      </c>
      <c r="O2085" s="21" t="str">
        <f aca="false">IF(H2085="Yes",MONTH(I2085),"")</f>
        <v/>
      </c>
      <c r="P2085" s="21" t="str">
        <f aca="false">IF(H2085="Yes",B2085,"")</f>
        <v/>
      </c>
    </row>
    <row r="2086" customFormat="false" ht="15" hidden="false" customHeight="false" outlineLevel="0" collapsed="false">
      <c r="A2086" s="21" t="s">
        <v>3301</v>
      </c>
      <c r="B2086" s="21" t="s">
        <v>961</v>
      </c>
      <c r="C2086" s="21" t="s">
        <v>1322</v>
      </c>
      <c r="D2086" s="21" t="s">
        <v>1209</v>
      </c>
      <c r="E2086" s="33" t="n">
        <v>45888</v>
      </c>
      <c r="F2086" s="21" t="s">
        <v>1185</v>
      </c>
      <c r="G2086" s="32" t="n">
        <v>9.7</v>
      </c>
      <c r="H2086" s="21" t="s">
        <v>113</v>
      </c>
      <c r="I2086" s="33" t="n">
        <v>45933</v>
      </c>
      <c r="J2086" s="21" t="str">
        <f aca="false">INDEX(Students!$C$2:$C$601,MATCH(B2086,Students!$A$2:$A$601,0))</f>
        <v>Batch 2026</v>
      </c>
      <c r="K2086" s="21" t="str">
        <f aca="false">INDEX(Students!$D$2:$D$601,MATCH(B2086,Students!$A$2:$A$601,0))</f>
        <v>Data Analytics</v>
      </c>
      <c r="L2086" s="21" t="str">
        <f aca="false">INDEX(Companies!$C$2:$C$31,MATCH(C2086,Companies!$A$2:$A$31,0))</f>
        <v>Healthtech</v>
      </c>
      <c r="M2086" s="21" t="str">
        <f aca="false">INDEX(Companies!$D$2:$D$31,MATCH(C2086,Companies!$A$2:$A$31,0))</f>
        <v>Tier 2</v>
      </c>
      <c r="N2086" s="34" t="n">
        <f aca="false">MATCH(F2086,Assumptions!$K$4:$K$8,0)</f>
        <v>5</v>
      </c>
      <c r="O2086" s="21" t="str">
        <f aca="false">IF(H2086="Yes",MONTH(I2086),"")</f>
        <v/>
      </c>
      <c r="P2086" s="21" t="str">
        <f aca="false">IF(H2086="Yes",B2086,"")</f>
        <v/>
      </c>
    </row>
    <row r="2087" customFormat="false" ht="15" hidden="false" customHeight="false" outlineLevel="0" collapsed="false">
      <c r="A2087" s="21" t="s">
        <v>3302</v>
      </c>
      <c r="B2087" s="21" t="s">
        <v>1070</v>
      </c>
      <c r="C2087" s="21" t="s">
        <v>1266</v>
      </c>
      <c r="D2087" s="21" t="s">
        <v>1181</v>
      </c>
      <c r="E2087" s="33" t="n">
        <v>45888</v>
      </c>
      <c r="F2087" s="21" t="s">
        <v>1175</v>
      </c>
      <c r="G2087" s="32"/>
      <c r="H2087" s="21"/>
      <c r="I2087" s="33"/>
      <c r="J2087" s="21" t="str">
        <f aca="false">INDEX(Students!$C$2:$C$601,MATCH(B2087,Students!$A$2:$A$601,0))</f>
        <v>Batch 2026</v>
      </c>
      <c r="K2087" s="21" t="str">
        <f aca="false">INDEX(Students!$D$2:$D$601,MATCH(B2087,Students!$A$2:$A$601,0))</f>
        <v>Full Stack Development</v>
      </c>
      <c r="L2087" s="21" t="str">
        <f aca="false">INDEX(Companies!$C$2:$C$31,MATCH(C2087,Companies!$A$2:$A$31,0))</f>
        <v>IT Services</v>
      </c>
      <c r="M2087" s="21" t="str">
        <f aca="false">INDEX(Companies!$D$2:$D$31,MATCH(C2087,Companies!$A$2:$A$31,0))</f>
        <v>Tier 3</v>
      </c>
      <c r="N2087" s="34" t="n">
        <f aca="false">MATCH(F2087,Assumptions!$K$4:$K$8,0)</f>
        <v>1</v>
      </c>
      <c r="O2087" s="21" t="str">
        <f aca="false">IF(H2087="Yes",MONTH(I2087),"")</f>
        <v/>
      </c>
      <c r="P2087" s="21" t="str">
        <f aca="false">IF(H2087="Yes",B2087,"")</f>
        <v/>
      </c>
    </row>
    <row r="2088" customFormat="false" ht="15" hidden="false" customHeight="false" outlineLevel="0" collapsed="false">
      <c r="A2088" s="21" t="s">
        <v>3303</v>
      </c>
      <c r="B2088" s="21" t="s">
        <v>935</v>
      </c>
      <c r="C2088" s="21" t="s">
        <v>1230</v>
      </c>
      <c r="D2088" s="21" t="s">
        <v>1209</v>
      </c>
      <c r="E2088" s="33" t="n">
        <v>45888</v>
      </c>
      <c r="F2088" s="21" t="s">
        <v>1185</v>
      </c>
      <c r="G2088" s="32" t="n">
        <v>5</v>
      </c>
      <c r="H2088" s="21" t="s">
        <v>113</v>
      </c>
      <c r="I2088" s="33" t="n">
        <v>45939</v>
      </c>
      <c r="J2088" s="21" t="str">
        <f aca="false">INDEX(Students!$C$2:$C$601,MATCH(B2088,Students!$A$2:$A$601,0))</f>
        <v>Batch 2026</v>
      </c>
      <c r="K2088" s="21" t="str">
        <f aca="false">INDEX(Students!$D$2:$D$601,MATCH(B2088,Students!$A$2:$A$601,0))</f>
        <v>Data Analytics</v>
      </c>
      <c r="L2088" s="21" t="str">
        <f aca="false">INDEX(Companies!$C$2:$C$31,MATCH(C2088,Companies!$A$2:$A$31,0))</f>
        <v>IT Services</v>
      </c>
      <c r="M2088" s="21" t="str">
        <f aca="false">INDEX(Companies!$D$2:$D$31,MATCH(C2088,Companies!$A$2:$A$31,0))</f>
        <v>Tier 3</v>
      </c>
      <c r="N2088" s="34" t="n">
        <f aca="false">MATCH(F2088,Assumptions!$K$4:$K$8,0)</f>
        <v>5</v>
      </c>
      <c r="O2088" s="21" t="str">
        <f aca="false">IF(H2088="Yes",MONTH(I2088),"")</f>
        <v/>
      </c>
      <c r="P2088" s="21" t="str">
        <f aca="false">IF(H2088="Yes",B2088,"")</f>
        <v/>
      </c>
    </row>
    <row r="2089" customFormat="false" ht="15" hidden="false" customHeight="false" outlineLevel="0" collapsed="false">
      <c r="A2089" s="21" t="s">
        <v>3304</v>
      </c>
      <c r="B2089" s="21" t="s">
        <v>1069</v>
      </c>
      <c r="C2089" s="21" t="s">
        <v>1177</v>
      </c>
      <c r="D2089" s="21" t="s">
        <v>1194</v>
      </c>
      <c r="E2089" s="33" t="n">
        <v>45889</v>
      </c>
      <c r="F2089" s="21" t="s">
        <v>1185</v>
      </c>
      <c r="G2089" s="32" t="n">
        <v>6</v>
      </c>
      <c r="H2089" s="21" t="s">
        <v>113</v>
      </c>
      <c r="I2089" s="33" t="n">
        <v>45933</v>
      </c>
      <c r="J2089" s="21" t="str">
        <f aca="false">INDEX(Students!$C$2:$C$601,MATCH(B2089,Students!$A$2:$A$601,0))</f>
        <v>Batch 2026</v>
      </c>
      <c r="K2089" s="21" t="str">
        <f aca="false">INDEX(Students!$D$2:$D$601,MATCH(B2089,Students!$A$2:$A$601,0))</f>
        <v>Data Science &amp; ML</v>
      </c>
      <c r="L2089" s="21" t="str">
        <f aca="false">INDEX(Companies!$C$2:$C$31,MATCH(C2089,Companies!$A$2:$A$31,0))</f>
        <v>IT Services</v>
      </c>
      <c r="M2089" s="21" t="str">
        <f aca="false">INDEX(Companies!$D$2:$D$31,MATCH(C2089,Companies!$A$2:$A$31,0))</f>
        <v>Tier 3</v>
      </c>
      <c r="N2089" s="34" t="n">
        <f aca="false">MATCH(F2089,Assumptions!$K$4:$K$8,0)</f>
        <v>5</v>
      </c>
      <c r="O2089" s="21" t="str">
        <f aca="false">IF(H2089="Yes",MONTH(I2089),"")</f>
        <v/>
      </c>
      <c r="P2089" s="21" t="str">
        <f aca="false">IF(H2089="Yes",B2089,"")</f>
        <v/>
      </c>
    </row>
    <row r="2090" customFormat="false" ht="15" hidden="false" customHeight="false" outlineLevel="0" collapsed="false">
      <c r="A2090" s="21" t="s">
        <v>3305</v>
      </c>
      <c r="B2090" s="21" t="s">
        <v>1159</v>
      </c>
      <c r="C2090" s="21" t="s">
        <v>1309</v>
      </c>
      <c r="D2090" s="21" t="s">
        <v>1243</v>
      </c>
      <c r="E2090" s="33" t="n">
        <v>45889</v>
      </c>
      <c r="F2090" s="21" t="s">
        <v>1197</v>
      </c>
      <c r="G2090" s="32"/>
      <c r="H2090" s="21"/>
      <c r="I2090" s="33"/>
      <c r="J2090" s="21" t="str">
        <f aca="false">INDEX(Students!$C$2:$C$601,MATCH(B2090,Students!$A$2:$A$601,0))</f>
        <v>Batch 2026</v>
      </c>
      <c r="K2090" s="21" t="str">
        <f aca="false">INDEX(Students!$D$2:$D$601,MATCH(B2090,Students!$A$2:$A$601,0))</f>
        <v>Data Science &amp; ML</v>
      </c>
      <c r="L2090" s="21" t="str">
        <f aca="false">INDEX(Companies!$C$2:$C$31,MATCH(C2090,Companies!$A$2:$A$31,0))</f>
        <v>EdTech</v>
      </c>
      <c r="M2090" s="21" t="str">
        <f aca="false">INDEX(Companies!$D$2:$D$31,MATCH(C2090,Companies!$A$2:$A$31,0))</f>
        <v>Tier 2</v>
      </c>
      <c r="N2090" s="34" t="n">
        <f aca="false">MATCH(F2090,Assumptions!$K$4:$K$8,0)</f>
        <v>3</v>
      </c>
      <c r="O2090" s="21" t="str">
        <f aca="false">IF(H2090="Yes",MONTH(I2090),"")</f>
        <v/>
      </c>
      <c r="P2090" s="21" t="str">
        <f aca="false">IF(H2090="Yes",B2090,"")</f>
        <v/>
      </c>
    </row>
    <row r="2091" customFormat="false" ht="15" hidden="false" customHeight="false" outlineLevel="0" collapsed="false">
      <c r="A2091" s="21" t="s">
        <v>3306</v>
      </c>
      <c r="B2091" s="21" t="s">
        <v>1083</v>
      </c>
      <c r="C2091" s="21" t="s">
        <v>1234</v>
      </c>
      <c r="D2091" s="21" t="s">
        <v>1174</v>
      </c>
      <c r="E2091" s="33" t="n">
        <v>45890</v>
      </c>
      <c r="F2091" s="21" t="s">
        <v>1197</v>
      </c>
      <c r="G2091" s="32"/>
      <c r="H2091" s="21"/>
      <c r="I2091" s="33"/>
      <c r="J2091" s="21" t="str">
        <f aca="false">INDEX(Students!$C$2:$C$601,MATCH(B2091,Students!$A$2:$A$601,0))</f>
        <v>Batch 2026</v>
      </c>
      <c r="K2091" s="21" t="str">
        <f aca="false">INDEX(Students!$D$2:$D$601,MATCH(B2091,Students!$A$2:$A$601,0))</f>
        <v>Full Stack Development</v>
      </c>
      <c r="L2091" s="21" t="str">
        <f aca="false">INDEX(Companies!$C$2:$C$31,MATCH(C2091,Companies!$A$2:$A$31,0))</f>
        <v>EdTech</v>
      </c>
      <c r="M2091" s="21" t="str">
        <f aca="false">INDEX(Companies!$D$2:$D$31,MATCH(C2091,Companies!$A$2:$A$31,0))</f>
        <v>Tier 3</v>
      </c>
      <c r="N2091" s="34" t="n">
        <f aca="false">MATCH(F2091,Assumptions!$K$4:$K$8,0)</f>
        <v>3</v>
      </c>
      <c r="O2091" s="21" t="str">
        <f aca="false">IF(H2091="Yes",MONTH(I2091),"")</f>
        <v/>
      </c>
      <c r="P2091" s="21" t="str">
        <f aca="false">IF(H2091="Yes",B2091,"")</f>
        <v/>
      </c>
    </row>
    <row r="2092" customFormat="false" ht="15" hidden="false" customHeight="false" outlineLevel="0" collapsed="false">
      <c r="A2092" s="21" t="s">
        <v>3307</v>
      </c>
      <c r="B2092" s="21" t="s">
        <v>1095</v>
      </c>
      <c r="C2092" s="21" t="s">
        <v>1203</v>
      </c>
      <c r="D2092" s="21" t="s">
        <v>1184</v>
      </c>
      <c r="E2092" s="33" t="n">
        <v>45890</v>
      </c>
      <c r="F2092" s="21" t="s">
        <v>1197</v>
      </c>
      <c r="G2092" s="32"/>
      <c r="H2092" s="21"/>
      <c r="I2092" s="33"/>
      <c r="J2092" s="21" t="str">
        <f aca="false">INDEX(Students!$C$2:$C$601,MATCH(B2092,Students!$A$2:$A$601,0))</f>
        <v>Batch 2026</v>
      </c>
      <c r="K2092" s="21" t="str">
        <f aca="false">INDEX(Students!$D$2:$D$601,MATCH(B2092,Students!$A$2:$A$601,0))</f>
        <v>DSA with Java</v>
      </c>
      <c r="L2092" s="21" t="str">
        <f aca="false">INDEX(Companies!$C$2:$C$31,MATCH(C2092,Companies!$A$2:$A$31,0))</f>
        <v>Healthtech</v>
      </c>
      <c r="M2092" s="21" t="str">
        <f aca="false">INDEX(Companies!$D$2:$D$31,MATCH(C2092,Companies!$A$2:$A$31,0))</f>
        <v>Tier 2</v>
      </c>
      <c r="N2092" s="34" t="n">
        <f aca="false">MATCH(F2092,Assumptions!$K$4:$K$8,0)</f>
        <v>3</v>
      </c>
      <c r="O2092" s="21" t="str">
        <f aca="false">IF(H2092="Yes",MONTH(I2092),"")</f>
        <v/>
      </c>
      <c r="P2092" s="21" t="str">
        <f aca="false">IF(H2092="Yes",B2092,"")</f>
        <v/>
      </c>
    </row>
    <row r="2093" customFormat="false" ht="15" hidden="false" customHeight="false" outlineLevel="0" collapsed="false">
      <c r="A2093" s="21" t="s">
        <v>3308</v>
      </c>
      <c r="B2093" s="21" t="s">
        <v>950</v>
      </c>
      <c r="C2093" s="21" t="s">
        <v>1211</v>
      </c>
      <c r="D2093" s="21" t="s">
        <v>1191</v>
      </c>
      <c r="E2093" s="33" t="n">
        <v>45890</v>
      </c>
      <c r="F2093" s="21" t="s">
        <v>1197</v>
      </c>
      <c r="G2093" s="32"/>
      <c r="H2093" s="21"/>
      <c r="I2093" s="33"/>
      <c r="J2093" s="21" t="str">
        <f aca="false">INDEX(Students!$C$2:$C$601,MATCH(B2093,Students!$A$2:$A$601,0))</f>
        <v>Batch 2026</v>
      </c>
      <c r="K2093" s="21" t="str">
        <f aca="false">INDEX(Students!$D$2:$D$601,MATCH(B2093,Students!$A$2:$A$601,0))</f>
        <v>DSA with Java</v>
      </c>
      <c r="L2093" s="21" t="str">
        <f aca="false">INDEX(Companies!$C$2:$C$31,MATCH(C2093,Companies!$A$2:$A$31,0))</f>
        <v>Analytics &amp; Consulting</v>
      </c>
      <c r="M2093" s="21" t="str">
        <f aca="false">INDEX(Companies!$D$2:$D$31,MATCH(C2093,Companies!$A$2:$A$31,0))</f>
        <v>Tier 3</v>
      </c>
      <c r="N2093" s="34" t="n">
        <f aca="false">MATCH(F2093,Assumptions!$K$4:$K$8,0)</f>
        <v>3</v>
      </c>
      <c r="O2093" s="21" t="str">
        <f aca="false">IF(H2093="Yes",MONTH(I2093),"")</f>
        <v/>
      </c>
      <c r="P2093" s="21" t="str">
        <f aca="false">IF(H2093="Yes",B2093,"")</f>
        <v/>
      </c>
    </row>
    <row r="2094" customFormat="false" ht="15" hidden="false" customHeight="false" outlineLevel="0" collapsed="false">
      <c r="A2094" s="21" t="s">
        <v>3309</v>
      </c>
      <c r="B2094" s="21" t="s">
        <v>819</v>
      </c>
      <c r="C2094" s="21" t="s">
        <v>1190</v>
      </c>
      <c r="D2094" s="21" t="s">
        <v>1184</v>
      </c>
      <c r="E2094" s="33" t="n">
        <v>45890</v>
      </c>
      <c r="F2094" s="21" t="s">
        <v>1178</v>
      </c>
      <c r="G2094" s="32"/>
      <c r="H2094" s="21"/>
      <c r="I2094" s="33"/>
      <c r="J2094" s="21" t="str">
        <f aca="false">INDEX(Students!$C$2:$C$601,MATCH(B2094,Students!$A$2:$A$601,0))</f>
        <v>Batch 2026</v>
      </c>
      <c r="K2094" s="21" t="str">
        <f aca="false">INDEX(Students!$D$2:$D$601,MATCH(B2094,Students!$A$2:$A$601,0))</f>
        <v>DSA with Java</v>
      </c>
      <c r="L2094" s="21" t="str">
        <f aca="false">INDEX(Companies!$C$2:$C$31,MATCH(C2094,Companies!$A$2:$A$31,0))</f>
        <v>Analytics &amp; Consulting</v>
      </c>
      <c r="M2094" s="21" t="str">
        <f aca="false">INDEX(Companies!$D$2:$D$31,MATCH(C2094,Companies!$A$2:$A$31,0))</f>
        <v>Tier 1</v>
      </c>
      <c r="N2094" s="34" t="n">
        <f aca="false">MATCH(F2094,Assumptions!$K$4:$K$8,0)</f>
        <v>2</v>
      </c>
      <c r="O2094" s="21" t="str">
        <f aca="false">IF(H2094="Yes",MONTH(I2094),"")</f>
        <v/>
      </c>
      <c r="P2094" s="21" t="str">
        <f aca="false">IF(H2094="Yes",B2094,"")</f>
        <v/>
      </c>
    </row>
    <row r="2095" customFormat="false" ht="15" hidden="false" customHeight="false" outlineLevel="0" collapsed="false">
      <c r="A2095" s="21" t="s">
        <v>3310</v>
      </c>
      <c r="B2095" s="21" t="s">
        <v>853</v>
      </c>
      <c r="C2095" s="21" t="s">
        <v>1290</v>
      </c>
      <c r="D2095" s="21" t="s">
        <v>1243</v>
      </c>
      <c r="E2095" s="33" t="n">
        <v>45890</v>
      </c>
      <c r="F2095" s="21" t="s">
        <v>1218</v>
      </c>
      <c r="G2095" s="32"/>
      <c r="H2095" s="21"/>
      <c r="I2095" s="33"/>
      <c r="J2095" s="21" t="str">
        <f aca="false">INDEX(Students!$C$2:$C$601,MATCH(B2095,Students!$A$2:$A$601,0))</f>
        <v>Batch 2026</v>
      </c>
      <c r="K2095" s="21" t="str">
        <f aca="false">INDEX(Students!$D$2:$D$601,MATCH(B2095,Students!$A$2:$A$601,0))</f>
        <v>Data Science &amp; ML</v>
      </c>
      <c r="L2095" s="21" t="str">
        <f aca="false">INDEX(Companies!$C$2:$C$31,MATCH(C2095,Companies!$A$2:$A$31,0))</f>
        <v>Fintech</v>
      </c>
      <c r="M2095" s="21" t="str">
        <f aca="false">INDEX(Companies!$D$2:$D$31,MATCH(C2095,Companies!$A$2:$A$31,0))</f>
        <v>Tier 2</v>
      </c>
      <c r="N2095" s="34" t="n">
        <f aca="false">MATCH(F2095,Assumptions!$K$4:$K$8,0)</f>
        <v>4</v>
      </c>
      <c r="O2095" s="21" t="str">
        <f aca="false">IF(H2095="Yes",MONTH(I2095),"")</f>
        <v/>
      </c>
      <c r="P2095" s="21" t="str">
        <f aca="false">IF(H2095="Yes",B2095,"")</f>
        <v/>
      </c>
    </row>
    <row r="2096" customFormat="false" ht="15" hidden="false" customHeight="false" outlineLevel="0" collapsed="false">
      <c r="A2096" s="21" t="s">
        <v>3311</v>
      </c>
      <c r="B2096" s="21" t="s">
        <v>997</v>
      </c>
      <c r="C2096" s="21" t="s">
        <v>1199</v>
      </c>
      <c r="D2096" s="21" t="s">
        <v>1194</v>
      </c>
      <c r="E2096" s="33" t="n">
        <v>45890</v>
      </c>
      <c r="F2096" s="21" t="s">
        <v>1175</v>
      </c>
      <c r="G2096" s="32"/>
      <c r="H2096" s="21"/>
      <c r="I2096" s="33"/>
      <c r="J2096" s="21" t="str">
        <f aca="false">INDEX(Students!$C$2:$C$601,MATCH(B2096,Students!$A$2:$A$601,0))</f>
        <v>Batch 2026</v>
      </c>
      <c r="K2096" s="21" t="str">
        <f aca="false">INDEX(Students!$D$2:$D$601,MATCH(B2096,Students!$A$2:$A$601,0))</f>
        <v>Data Science &amp; ML</v>
      </c>
      <c r="L2096" s="21" t="str">
        <f aca="false">INDEX(Companies!$C$2:$C$31,MATCH(C2096,Companies!$A$2:$A$31,0))</f>
        <v>E-commerce</v>
      </c>
      <c r="M2096" s="21" t="str">
        <f aca="false">INDEX(Companies!$D$2:$D$31,MATCH(C2096,Companies!$A$2:$A$31,0))</f>
        <v>Tier 2</v>
      </c>
      <c r="N2096" s="34" t="n">
        <f aca="false">MATCH(F2096,Assumptions!$K$4:$K$8,0)</f>
        <v>1</v>
      </c>
      <c r="O2096" s="21" t="str">
        <f aca="false">IF(H2096="Yes",MONTH(I2096),"")</f>
        <v/>
      </c>
      <c r="P2096" s="21" t="str">
        <f aca="false">IF(H2096="Yes",B2096,"")</f>
        <v/>
      </c>
    </row>
    <row r="2097" customFormat="false" ht="15" hidden="false" customHeight="false" outlineLevel="0" collapsed="false">
      <c r="A2097" s="21" t="s">
        <v>3312</v>
      </c>
      <c r="B2097" s="21" t="s">
        <v>880</v>
      </c>
      <c r="C2097" s="21" t="s">
        <v>1177</v>
      </c>
      <c r="D2097" s="21" t="s">
        <v>1191</v>
      </c>
      <c r="E2097" s="33" t="n">
        <v>45890</v>
      </c>
      <c r="F2097" s="21" t="s">
        <v>1175</v>
      </c>
      <c r="G2097" s="32"/>
      <c r="H2097" s="21"/>
      <c r="I2097" s="33"/>
      <c r="J2097" s="21" t="str">
        <f aca="false">INDEX(Students!$C$2:$C$601,MATCH(B2097,Students!$A$2:$A$601,0))</f>
        <v>Batch 2026</v>
      </c>
      <c r="K2097" s="21" t="str">
        <f aca="false">INDEX(Students!$D$2:$D$601,MATCH(B2097,Students!$A$2:$A$601,0))</f>
        <v>DSA with Java</v>
      </c>
      <c r="L2097" s="21" t="str">
        <f aca="false">INDEX(Companies!$C$2:$C$31,MATCH(C2097,Companies!$A$2:$A$31,0))</f>
        <v>IT Services</v>
      </c>
      <c r="M2097" s="21" t="str">
        <f aca="false">INDEX(Companies!$D$2:$D$31,MATCH(C2097,Companies!$A$2:$A$31,0))</f>
        <v>Tier 3</v>
      </c>
      <c r="N2097" s="34" t="n">
        <f aca="false">MATCH(F2097,Assumptions!$K$4:$K$8,0)</f>
        <v>1</v>
      </c>
      <c r="O2097" s="21" t="str">
        <f aca="false">IF(H2097="Yes",MONTH(I2097),"")</f>
        <v/>
      </c>
      <c r="P2097" s="21" t="str">
        <f aca="false">IF(H2097="Yes",B2097,"")</f>
        <v/>
      </c>
    </row>
    <row r="2098" customFormat="false" ht="15" hidden="false" customHeight="false" outlineLevel="0" collapsed="false">
      <c r="A2098" s="21" t="s">
        <v>3313</v>
      </c>
      <c r="B2098" s="21" t="s">
        <v>1136</v>
      </c>
      <c r="C2098" s="21" t="s">
        <v>1205</v>
      </c>
      <c r="D2098" s="21" t="s">
        <v>1188</v>
      </c>
      <c r="E2098" s="33" t="n">
        <v>45891</v>
      </c>
      <c r="F2098" s="21" t="s">
        <v>1197</v>
      </c>
      <c r="G2098" s="32"/>
      <c r="H2098" s="21"/>
      <c r="I2098" s="33"/>
      <c r="J2098" s="21" t="str">
        <f aca="false">INDEX(Students!$C$2:$C$601,MATCH(B2098,Students!$A$2:$A$601,0))</f>
        <v>Batch 2026</v>
      </c>
      <c r="K2098" s="21" t="str">
        <f aca="false">INDEX(Students!$D$2:$D$601,MATCH(B2098,Students!$A$2:$A$601,0))</f>
        <v>Data Analytics</v>
      </c>
      <c r="L2098" s="21" t="str">
        <f aca="false">INDEX(Companies!$C$2:$C$31,MATCH(C2098,Companies!$A$2:$A$31,0))</f>
        <v>Healthtech</v>
      </c>
      <c r="M2098" s="21" t="str">
        <f aca="false">INDEX(Companies!$D$2:$D$31,MATCH(C2098,Companies!$A$2:$A$31,0))</f>
        <v>Tier 3</v>
      </c>
      <c r="N2098" s="34" t="n">
        <f aca="false">MATCH(F2098,Assumptions!$K$4:$K$8,0)</f>
        <v>3</v>
      </c>
      <c r="O2098" s="21" t="str">
        <f aca="false">IF(H2098="Yes",MONTH(I2098),"")</f>
        <v/>
      </c>
      <c r="P2098" s="21" t="str">
        <f aca="false">IF(H2098="Yes",B2098,"")</f>
        <v/>
      </c>
    </row>
    <row r="2099" customFormat="false" ht="15" hidden="false" customHeight="false" outlineLevel="0" collapsed="false">
      <c r="A2099" s="21" t="s">
        <v>3314</v>
      </c>
      <c r="B2099" s="21" t="s">
        <v>1116</v>
      </c>
      <c r="C2099" s="21" t="s">
        <v>1234</v>
      </c>
      <c r="D2099" s="21" t="s">
        <v>1194</v>
      </c>
      <c r="E2099" s="33" t="n">
        <v>45891</v>
      </c>
      <c r="F2099" s="21" t="s">
        <v>1185</v>
      </c>
      <c r="G2099" s="32" t="n">
        <v>6.6</v>
      </c>
      <c r="H2099" s="21" t="s">
        <v>113</v>
      </c>
      <c r="I2099" s="33" t="n">
        <v>45912</v>
      </c>
      <c r="J2099" s="21" t="str">
        <f aca="false">INDEX(Students!$C$2:$C$601,MATCH(B2099,Students!$A$2:$A$601,0))</f>
        <v>Batch 2026</v>
      </c>
      <c r="K2099" s="21" t="str">
        <f aca="false">INDEX(Students!$D$2:$D$601,MATCH(B2099,Students!$A$2:$A$601,0))</f>
        <v>Data Science &amp; ML</v>
      </c>
      <c r="L2099" s="21" t="str">
        <f aca="false">INDEX(Companies!$C$2:$C$31,MATCH(C2099,Companies!$A$2:$A$31,0))</f>
        <v>EdTech</v>
      </c>
      <c r="M2099" s="21" t="str">
        <f aca="false">INDEX(Companies!$D$2:$D$31,MATCH(C2099,Companies!$A$2:$A$31,0))</f>
        <v>Tier 3</v>
      </c>
      <c r="N2099" s="34" t="n">
        <f aca="false">MATCH(F2099,Assumptions!$K$4:$K$8,0)</f>
        <v>5</v>
      </c>
      <c r="O2099" s="21" t="str">
        <f aca="false">IF(H2099="Yes",MONTH(I2099),"")</f>
        <v/>
      </c>
      <c r="P2099" s="21" t="str">
        <f aca="false">IF(H2099="Yes",B2099,"")</f>
        <v/>
      </c>
    </row>
    <row r="2100" customFormat="false" ht="15" hidden="false" customHeight="false" outlineLevel="0" collapsed="false">
      <c r="A2100" s="21" t="s">
        <v>3315</v>
      </c>
      <c r="B2100" s="21" t="s">
        <v>1152</v>
      </c>
      <c r="C2100" s="21" t="s">
        <v>1201</v>
      </c>
      <c r="D2100" s="21" t="s">
        <v>1184</v>
      </c>
      <c r="E2100" s="33" t="n">
        <v>45891</v>
      </c>
      <c r="F2100" s="21" t="s">
        <v>1185</v>
      </c>
      <c r="G2100" s="32" t="n">
        <v>5.7</v>
      </c>
      <c r="H2100" s="21" t="s">
        <v>113</v>
      </c>
      <c r="I2100" s="33" t="n">
        <v>45932</v>
      </c>
      <c r="J2100" s="21" t="str">
        <f aca="false">INDEX(Students!$C$2:$C$601,MATCH(B2100,Students!$A$2:$A$601,0))</f>
        <v>Batch 2026</v>
      </c>
      <c r="K2100" s="21" t="str">
        <f aca="false">INDEX(Students!$D$2:$D$601,MATCH(B2100,Students!$A$2:$A$601,0))</f>
        <v>DSA with Java</v>
      </c>
      <c r="L2100" s="21" t="str">
        <f aca="false">INDEX(Companies!$C$2:$C$31,MATCH(C2100,Companies!$A$2:$A$31,0))</f>
        <v>IT Services</v>
      </c>
      <c r="M2100" s="21" t="str">
        <f aca="false">INDEX(Companies!$D$2:$D$31,MATCH(C2100,Companies!$A$2:$A$31,0))</f>
        <v>Tier 3</v>
      </c>
      <c r="N2100" s="34" t="n">
        <f aca="false">MATCH(F2100,Assumptions!$K$4:$K$8,0)</f>
        <v>5</v>
      </c>
      <c r="O2100" s="21" t="str">
        <f aca="false">IF(H2100="Yes",MONTH(I2100),"")</f>
        <v/>
      </c>
      <c r="P2100" s="21" t="str">
        <f aca="false">IF(H2100="Yes",B2100,"")</f>
        <v/>
      </c>
    </row>
    <row r="2101" customFormat="false" ht="15" hidden="false" customHeight="false" outlineLevel="0" collapsed="false">
      <c r="A2101" s="21" t="s">
        <v>3316</v>
      </c>
      <c r="B2101" s="21" t="s">
        <v>1088</v>
      </c>
      <c r="C2101" s="21" t="s">
        <v>1183</v>
      </c>
      <c r="D2101" s="21" t="s">
        <v>1174</v>
      </c>
      <c r="E2101" s="33" t="n">
        <v>45891</v>
      </c>
      <c r="F2101" s="21" t="s">
        <v>1178</v>
      </c>
      <c r="G2101" s="32"/>
      <c r="H2101" s="21"/>
      <c r="I2101" s="33"/>
      <c r="J2101" s="21" t="str">
        <f aca="false">INDEX(Students!$C$2:$C$601,MATCH(B2101,Students!$A$2:$A$601,0))</f>
        <v>Batch 2026</v>
      </c>
      <c r="K2101" s="21" t="str">
        <f aca="false">INDEX(Students!$D$2:$D$601,MATCH(B2101,Students!$A$2:$A$601,0))</f>
        <v>Full Stack Development</v>
      </c>
      <c r="L2101" s="21" t="str">
        <f aca="false">INDEX(Companies!$C$2:$C$31,MATCH(C2101,Companies!$A$2:$A$31,0))</f>
        <v>E-commerce</v>
      </c>
      <c r="M2101" s="21" t="str">
        <f aca="false">INDEX(Companies!$D$2:$D$31,MATCH(C2101,Companies!$A$2:$A$31,0))</f>
        <v>Tier 2</v>
      </c>
      <c r="N2101" s="34" t="n">
        <f aca="false">MATCH(F2101,Assumptions!$K$4:$K$8,0)</f>
        <v>2</v>
      </c>
      <c r="O2101" s="21" t="str">
        <f aca="false">IF(H2101="Yes",MONTH(I2101),"")</f>
        <v/>
      </c>
      <c r="P2101" s="21" t="str">
        <f aca="false">IF(H2101="Yes",B2101,"")</f>
        <v/>
      </c>
    </row>
    <row r="2102" customFormat="false" ht="15" hidden="false" customHeight="false" outlineLevel="0" collapsed="false">
      <c r="A2102" s="21" t="s">
        <v>3317</v>
      </c>
      <c r="B2102" s="21" t="s">
        <v>1133</v>
      </c>
      <c r="C2102" s="21" t="s">
        <v>1230</v>
      </c>
      <c r="D2102" s="21" t="s">
        <v>1209</v>
      </c>
      <c r="E2102" s="33" t="n">
        <v>45891</v>
      </c>
      <c r="F2102" s="21" t="s">
        <v>1197</v>
      </c>
      <c r="G2102" s="32"/>
      <c r="H2102" s="21"/>
      <c r="I2102" s="33"/>
      <c r="J2102" s="21" t="str">
        <f aca="false">INDEX(Students!$C$2:$C$601,MATCH(B2102,Students!$A$2:$A$601,0))</f>
        <v>Batch 2026</v>
      </c>
      <c r="K2102" s="21" t="str">
        <f aca="false">INDEX(Students!$D$2:$D$601,MATCH(B2102,Students!$A$2:$A$601,0))</f>
        <v>Data Analytics</v>
      </c>
      <c r="L2102" s="21" t="str">
        <f aca="false">INDEX(Companies!$C$2:$C$31,MATCH(C2102,Companies!$A$2:$A$31,0))</f>
        <v>IT Services</v>
      </c>
      <c r="M2102" s="21" t="str">
        <f aca="false">INDEX(Companies!$D$2:$D$31,MATCH(C2102,Companies!$A$2:$A$31,0))</f>
        <v>Tier 3</v>
      </c>
      <c r="N2102" s="34" t="n">
        <f aca="false">MATCH(F2102,Assumptions!$K$4:$K$8,0)</f>
        <v>3</v>
      </c>
      <c r="O2102" s="21" t="str">
        <f aca="false">IF(H2102="Yes",MONTH(I2102),"")</f>
        <v/>
      </c>
      <c r="P2102" s="21" t="str">
        <f aca="false">IF(H2102="Yes",B2102,"")</f>
        <v/>
      </c>
    </row>
    <row r="2103" customFormat="false" ht="15" hidden="false" customHeight="false" outlineLevel="0" collapsed="false">
      <c r="A2103" s="21" t="s">
        <v>3318</v>
      </c>
      <c r="B2103" s="21" t="s">
        <v>1114</v>
      </c>
      <c r="C2103" s="21" t="s">
        <v>1193</v>
      </c>
      <c r="D2103" s="21" t="s">
        <v>1243</v>
      </c>
      <c r="E2103" s="33" t="n">
        <v>45891</v>
      </c>
      <c r="F2103" s="21" t="s">
        <v>1175</v>
      </c>
      <c r="G2103" s="32"/>
      <c r="H2103" s="21"/>
      <c r="I2103" s="33"/>
      <c r="J2103" s="21" t="str">
        <f aca="false">INDEX(Students!$C$2:$C$601,MATCH(B2103,Students!$A$2:$A$601,0))</f>
        <v>Batch 2026</v>
      </c>
      <c r="K2103" s="21" t="str">
        <f aca="false">INDEX(Students!$D$2:$D$601,MATCH(B2103,Students!$A$2:$A$601,0))</f>
        <v>Data Science &amp; ML</v>
      </c>
      <c r="L2103" s="21" t="str">
        <f aca="false">INDEX(Companies!$C$2:$C$31,MATCH(C2103,Companies!$A$2:$A$31,0))</f>
        <v>Analytics &amp; Consulting</v>
      </c>
      <c r="M2103" s="21" t="str">
        <f aca="false">INDEX(Companies!$D$2:$D$31,MATCH(C2103,Companies!$A$2:$A$31,0))</f>
        <v>Tier 2</v>
      </c>
      <c r="N2103" s="34" t="n">
        <f aca="false">MATCH(F2103,Assumptions!$K$4:$K$8,0)</f>
        <v>1</v>
      </c>
      <c r="O2103" s="21" t="str">
        <f aca="false">IF(H2103="Yes",MONTH(I2103),"")</f>
        <v/>
      </c>
      <c r="P2103" s="21" t="str">
        <f aca="false">IF(H2103="Yes",B2103,"")</f>
        <v/>
      </c>
    </row>
    <row r="2104" customFormat="false" ht="15" hidden="false" customHeight="false" outlineLevel="0" collapsed="false">
      <c r="A2104" s="21" t="s">
        <v>3319</v>
      </c>
      <c r="B2104" s="21" t="s">
        <v>1005</v>
      </c>
      <c r="C2104" s="21" t="s">
        <v>1290</v>
      </c>
      <c r="D2104" s="21" t="s">
        <v>1243</v>
      </c>
      <c r="E2104" s="33" t="n">
        <v>45891</v>
      </c>
      <c r="F2104" s="21" t="s">
        <v>1175</v>
      </c>
      <c r="G2104" s="32"/>
      <c r="H2104" s="21"/>
      <c r="I2104" s="33"/>
      <c r="J2104" s="21" t="str">
        <f aca="false">INDEX(Students!$C$2:$C$601,MATCH(B2104,Students!$A$2:$A$601,0))</f>
        <v>Batch 2026</v>
      </c>
      <c r="K2104" s="21" t="str">
        <f aca="false">INDEX(Students!$D$2:$D$601,MATCH(B2104,Students!$A$2:$A$601,0))</f>
        <v>Data Science &amp; ML</v>
      </c>
      <c r="L2104" s="21" t="str">
        <f aca="false">INDEX(Companies!$C$2:$C$31,MATCH(C2104,Companies!$A$2:$A$31,0))</f>
        <v>Fintech</v>
      </c>
      <c r="M2104" s="21" t="str">
        <f aca="false">INDEX(Companies!$D$2:$D$31,MATCH(C2104,Companies!$A$2:$A$31,0))</f>
        <v>Tier 2</v>
      </c>
      <c r="N2104" s="34" t="n">
        <f aca="false">MATCH(F2104,Assumptions!$K$4:$K$8,0)</f>
        <v>1</v>
      </c>
      <c r="O2104" s="21" t="str">
        <f aca="false">IF(H2104="Yes",MONTH(I2104),"")</f>
        <v/>
      </c>
      <c r="P2104" s="21" t="str">
        <f aca="false">IF(H2104="Yes",B2104,"")</f>
        <v/>
      </c>
    </row>
    <row r="2105" customFormat="false" ht="15" hidden="false" customHeight="false" outlineLevel="0" collapsed="false">
      <c r="A2105" s="21" t="s">
        <v>3320</v>
      </c>
      <c r="B2105" s="21" t="s">
        <v>847</v>
      </c>
      <c r="C2105" s="21" t="s">
        <v>1203</v>
      </c>
      <c r="D2105" s="21" t="s">
        <v>1188</v>
      </c>
      <c r="E2105" s="33" t="n">
        <v>45891</v>
      </c>
      <c r="F2105" s="21" t="s">
        <v>1175</v>
      </c>
      <c r="G2105" s="32"/>
      <c r="H2105" s="21"/>
      <c r="I2105" s="33"/>
      <c r="J2105" s="21" t="str">
        <f aca="false">INDEX(Students!$C$2:$C$601,MATCH(B2105,Students!$A$2:$A$601,0))</f>
        <v>Batch 2026</v>
      </c>
      <c r="K2105" s="21" t="str">
        <f aca="false">INDEX(Students!$D$2:$D$601,MATCH(B2105,Students!$A$2:$A$601,0))</f>
        <v>Data Analytics</v>
      </c>
      <c r="L2105" s="21" t="str">
        <f aca="false">INDEX(Companies!$C$2:$C$31,MATCH(C2105,Companies!$A$2:$A$31,0))</f>
        <v>Healthtech</v>
      </c>
      <c r="M2105" s="21" t="str">
        <f aca="false">INDEX(Companies!$D$2:$D$31,MATCH(C2105,Companies!$A$2:$A$31,0))</f>
        <v>Tier 2</v>
      </c>
      <c r="N2105" s="34" t="n">
        <f aca="false">MATCH(F2105,Assumptions!$K$4:$K$8,0)</f>
        <v>1</v>
      </c>
      <c r="O2105" s="21" t="str">
        <f aca="false">IF(H2105="Yes",MONTH(I2105),"")</f>
        <v/>
      </c>
      <c r="P2105" s="21" t="str">
        <f aca="false">IF(H2105="Yes",B2105,"")</f>
        <v/>
      </c>
    </row>
    <row r="2106" customFormat="false" ht="15" hidden="false" customHeight="false" outlineLevel="0" collapsed="false">
      <c r="A2106" s="21" t="s">
        <v>3321</v>
      </c>
      <c r="B2106" s="21" t="s">
        <v>1141</v>
      </c>
      <c r="C2106" s="21" t="s">
        <v>1309</v>
      </c>
      <c r="D2106" s="21" t="s">
        <v>1191</v>
      </c>
      <c r="E2106" s="33" t="n">
        <v>45891</v>
      </c>
      <c r="F2106" s="21" t="s">
        <v>1178</v>
      </c>
      <c r="G2106" s="32"/>
      <c r="H2106" s="21"/>
      <c r="I2106" s="33"/>
      <c r="J2106" s="21" t="str">
        <f aca="false">INDEX(Students!$C$2:$C$601,MATCH(B2106,Students!$A$2:$A$601,0))</f>
        <v>Batch 2026</v>
      </c>
      <c r="K2106" s="21" t="str">
        <f aca="false">INDEX(Students!$D$2:$D$601,MATCH(B2106,Students!$A$2:$A$601,0))</f>
        <v>DSA with Java</v>
      </c>
      <c r="L2106" s="21" t="str">
        <f aca="false">INDEX(Companies!$C$2:$C$31,MATCH(C2106,Companies!$A$2:$A$31,0))</f>
        <v>EdTech</v>
      </c>
      <c r="M2106" s="21" t="str">
        <f aca="false">INDEX(Companies!$D$2:$D$31,MATCH(C2106,Companies!$A$2:$A$31,0))</f>
        <v>Tier 2</v>
      </c>
      <c r="N2106" s="34" t="n">
        <f aca="false">MATCH(F2106,Assumptions!$K$4:$K$8,0)</f>
        <v>2</v>
      </c>
      <c r="O2106" s="21" t="str">
        <f aca="false">IF(H2106="Yes",MONTH(I2106),"")</f>
        <v/>
      </c>
      <c r="P2106" s="21" t="str">
        <f aca="false">IF(H2106="Yes",B2106,"")</f>
        <v/>
      </c>
    </row>
    <row r="2107" customFormat="false" ht="15" hidden="false" customHeight="false" outlineLevel="0" collapsed="false">
      <c r="A2107" s="21" t="s">
        <v>3322</v>
      </c>
      <c r="B2107" s="21" t="s">
        <v>1007</v>
      </c>
      <c r="C2107" s="21" t="s">
        <v>1222</v>
      </c>
      <c r="D2107" s="21" t="s">
        <v>1181</v>
      </c>
      <c r="E2107" s="33" t="n">
        <v>45891</v>
      </c>
      <c r="F2107" s="21" t="s">
        <v>1175</v>
      </c>
      <c r="G2107" s="32"/>
      <c r="H2107" s="21"/>
      <c r="I2107" s="33"/>
      <c r="J2107" s="21" t="str">
        <f aca="false">INDEX(Students!$C$2:$C$601,MATCH(B2107,Students!$A$2:$A$601,0))</f>
        <v>Batch 2026</v>
      </c>
      <c r="K2107" s="21" t="str">
        <f aca="false">INDEX(Students!$D$2:$D$601,MATCH(B2107,Students!$A$2:$A$601,0))</f>
        <v>Full Stack Development</v>
      </c>
      <c r="L2107" s="21" t="str">
        <f aca="false">INDEX(Companies!$C$2:$C$31,MATCH(C2107,Companies!$A$2:$A$31,0))</f>
        <v>Product</v>
      </c>
      <c r="M2107" s="21" t="str">
        <f aca="false">INDEX(Companies!$D$2:$D$31,MATCH(C2107,Companies!$A$2:$A$31,0))</f>
        <v>Tier 2</v>
      </c>
      <c r="N2107" s="34" t="n">
        <f aca="false">MATCH(F2107,Assumptions!$K$4:$K$8,0)</f>
        <v>1</v>
      </c>
      <c r="O2107" s="21" t="str">
        <f aca="false">IF(H2107="Yes",MONTH(I2107),"")</f>
        <v/>
      </c>
      <c r="P2107" s="21" t="str">
        <f aca="false">IF(H2107="Yes",B2107,"")</f>
        <v/>
      </c>
    </row>
    <row r="2108" customFormat="false" ht="15" hidden="false" customHeight="false" outlineLevel="0" collapsed="false">
      <c r="A2108" s="21" t="s">
        <v>3323</v>
      </c>
      <c r="B2108" s="21" t="s">
        <v>915</v>
      </c>
      <c r="C2108" s="21" t="s">
        <v>1275</v>
      </c>
      <c r="D2108" s="21" t="s">
        <v>1209</v>
      </c>
      <c r="E2108" s="33" t="n">
        <v>45891</v>
      </c>
      <c r="F2108" s="21" t="s">
        <v>1175</v>
      </c>
      <c r="G2108" s="32"/>
      <c r="H2108" s="21"/>
      <c r="I2108" s="33"/>
      <c r="J2108" s="21" t="str">
        <f aca="false">INDEX(Students!$C$2:$C$601,MATCH(B2108,Students!$A$2:$A$601,0))</f>
        <v>Batch 2026</v>
      </c>
      <c r="K2108" s="21" t="str">
        <f aca="false">INDEX(Students!$D$2:$D$601,MATCH(B2108,Students!$A$2:$A$601,0))</f>
        <v>Data Analytics</v>
      </c>
      <c r="L2108" s="21" t="str">
        <f aca="false">INDEX(Companies!$C$2:$C$31,MATCH(C2108,Companies!$A$2:$A$31,0))</f>
        <v>Cybersecurity</v>
      </c>
      <c r="M2108" s="21" t="str">
        <f aca="false">INDEX(Companies!$D$2:$D$31,MATCH(C2108,Companies!$A$2:$A$31,0))</f>
        <v>Tier 2</v>
      </c>
      <c r="N2108" s="34" t="n">
        <f aca="false">MATCH(F2108,Assumptions!$K$4:$K$8,0)</f>
        <v>1</v>
      </c>
      <c r="O2108" s="21" t="str">
        <f aca="false">IF(H2108="Yes",MONTH(I2108),"")</f>
        <v/>
      </c>
      <c r="P2108" s="21" t="str">
        <f aca="false">IF(H2108="Yes",B2108,"")</f>
        <v/>
      </c>
    </row>
    <row r="2109" customFormat="false" ht="15" hidden="false" customHeight="false" outlineLevel="0" collapsed="false">
      <c r="A2109" s="21" t="s">
        <v>3324</v>
      </c>
      <c r="B2109" s="21" t="s">
        <v>808</v>
      </c>
      <c r="C2109" s="21" t="s">
        <v>1216</v>
      </c>
      <c r="D2109" s="21" t="s">
        <v>1184</v>
      </c>
      <c r="E2109" s="33" t="n">
        <v>45891</v>
      </c>
      <c r="F2109" s="21" t="s">
        <v>1175</v>
      </c>
      <c r="G2109" s="32"/>
      <c r="H2109" s="21"/>
      <c r="I2109" s="33"/>
      <c r="J2109" s="21" t="str">
        <f aca="false">INDEX(Students!$C$2:$C$601,MATCH(B2109,Students!$A$2:$A$601,0))</f>
        <v>Batch 2026</v>
      </c>
      <c r="K2109" s="21" t="str">
        <f aca="false">INDEX(Students!$D$2:$D$601,MATCH(B2109,Students!$A$2:$A$601,0))</f>
        <v>DSA with Java</v>
      </c>
      <c r="L2109" s="21" t="str">
        <f aca="false">INDEX(Companies!$C$2:$C$31,MATCH(C2109,Companies!$A$2:$A$31,0))</f>
        <v>IT Services</v>
      </c>
      <c r="M2109" s="21" t="str">
        <f aca="false">INDEX(Companies!$D$2:$D$31,MATCH(C2109,Companies!$A$2:$A$31,0))</f>
        <v>Tier 3</v>
      </c>
      <c r="N2109" s="34" t="n">
        <f aca="false">MATCH(F2109,Assumptions!$K$4:$K$8,0)</f>
        <v>1</v>
      </c>
      <c r="O2109" s="21" t="str">
        <f aca="false">IF(H2109="Yes",MONTH(I2109),"")</f>
        <v/>
      </c>
      <c r="P2109" s="21" t="str">
        <f aca="false">IF(H2109="Yes",B2109,"")</f>
        <v/>
      </c>
    </row>
    <row r="2110" customFormat="false" ht="15" hidden="false" customHeight="false" outlineLevel="0" collapsed="false">
      <c r="A2110" s="21" t="s">
        <v>3325</v>
      </c>
      <c r="B2110" s="21" t="s">
        <v>852</v>
      </c>
      <c r="C2110" s="21" t="s">
        <v>1222</v>
      </c>
      <c r="D2110" s="21" t="s">
        <v>1243</v>
      </c>
      <c r="E2110" s="33" t="n">
        <v>45891</v>
      </c>
      <c r="F2110" s="21" t="s">
        <v>1175</v>
      </c>
      <c r="G2110" s="32"/>
      <c r="H2110" s="21"/>
      <c r="I2110" s="33"/>
      <c r="J2110" s="21" t="str">
        <f aca="false">INDEX(Students!$C$2:$C$601,MATCH(B2110,Students!$A$2:$A$601,0))</f>
        <v>Batch 2026</v>
      </c>
      <c r="K2110" s="21" t="str">
        <f aca="false">INDEX(Students!$D$2:$D$601,MATCH(B2110,Students!$A$2:$A$601,0))</f>
        <v>Data Science &amp; ML</v>
      </c>
      <c r="L2110" s="21" t="str">
        <f aca="false">INDEX(Companies!$C$2:$C$31,MATCH(C2110,Companies!$A$2:$A$31,0))</f>
        <v>Product</v>
      </c>
      <c r="M2110" s="21" t="str">
        <f aca="false">INDEX(Companies!$D$2:$D$31,MATCH(C2110,Companies!$A$2:$A$31,0))</f>
        <v>Tier 2</v>
      </c>
      <c r="N2110" s="34" t="n">
        <f aca="false">MATCH(F2110,Assumptions!$K$4:$K$8,0)</f>
        <v>1</v>
      </c>
      <c r="O2110" s="21" t="str">
        <f aca="false">IF(H2110="Yes",MONTH(I2110),"")</f>
        <v/>
      </c>
      <c r="P2110" s="21" t="str">
        <f aca="false">IF(H2110="Yes",B2110,"")</f>
        <v/>
      </c>
    </row>
    <row r="2111" customFormat="false" ht="15" hidden="false" customHeight="false" outlineLevel="0" collapsed="false">
      <c r="A2111" s="21" t="s">
        <v>3326</v>
      </c>
      <c r="B2111" s="21" t="s">
        <v>989</v>
      </c>
      <c r="C2111" s="21" t="s">
        <v>1275</v>
      </c>
      <c r="D2111" s="21" t="s">
        <v>1174</v>
      </c>
      <c r="E2111" s="33" t="n">
        <v>45892</v>
      </c>
      <c r="F2111" s="21" t="s">
        <v>1197</v>
      </c>
      <c r="G2111" s="32"/>
      <c r="H2111" s="21"/>
      <c r="I2111" s="33"/>
      <c r="J2111" s="21" t="str">
        <f aca="false">INDEX(Students!$C$2:$C$601,MATCH(B2111,Students!$A$2:$A$601,0))</f>
        <v>Batch 2026</v>
      </c>
      <c r="K2111" s="21" t="str">
        <f aca="false">INDEX(Students!$D$2:$D$601,MATCH(B2111,Students!$A$2:$A$601,0))</f>
        <v>Full Stack Development</v>
      </c>
      <c r="L2111" s="21" t="str">
        <f aca="false">INDEX(Companies!$C$2:$C$31,MATCH(C2111,Companies!$A$2:$A$31,0))</f>
        <v>Cybersecurity</v>
      </c>
      <c r="M2111" s="21" t="str">
        <f aca="false">INDEX(Companies!$D$2:$D$31,MATCH(C2111,Companies!$A$2:$A$31,0))</f>
        <v>Tier 2</v>
      </c>
      <c r="N2111" s="34" t="n">
        <f aca="false">MATCH(F2111,Assumptions!$K$4:$K$8,0)</f>
        <v>3</v>
      </c>
      <c r="O2111" s="21" t="str">
        <f aca="false">IF(H2111="Yes",MONTH(I2111),"")</f>
        <v/>
      </c>
      <c r="P2111" s="21" t="str">
        <f aca="false">IF(H2111="Yes",B2111,"")</f>
        <v/>
      </c>
    </row>
    <row r="2112" customFormat="false" ht="15" hidden="false" customHeight="false" outlineLevel="0" collapsed="false">
      <c r="A2112" s="21" t="s">
        <v>3327</v>
      </c>
      <c r="B2112" s="21" t="s">
        <v>884</v>
      </c>
      <c r="C2112" s="21" t="s">
        <v>1255</v>
      </c>
      <c r="D2112" s="21" t="s">
        <v>1174</v>
      </c>
      <c r="E2112" s="33" t="n">
        <v>45892</v>
      </c>
      <c r="F2112" s="21" t="s">
        <v>1197</v>
      </c>
      <c r="G2112" s="32"/>
      <c r="H2112" s="21"/>
      <c r="I2112" s="33"/>
      <c r="J2112" s="21" t="str">
        <f aca="false">INDEX(Students!$C$2:$C$601,MATCH(B2112,Students!$A$2:$A$601,0))</f>
        <v>Batch 2026</v>
      </c>
      <c r="K2112" s="21" t="str">
        <f aca="false">INDEX(Students!$D$2:$D$601,MATCH(B2112,Students!$A$2:$A$601,0))</f>
        <v>Full Stack Development</v>
      </c>
      <c r="L2112" s="21" t="str">
        <f aca="false">INDEX(Companies!$C$2:$C$31,MATCH(C2112,Companies!$A$2:$A$31,0))</f>
        <v>IT Services</v>
      </c>
      <c r="M2112" s="21" t="str">
        <f aca="false">INDEX(Companies!$D$2:$D$31,MATCH(C2112,Companies!$A$2:$A$31,0))</f>
        <v>Tier 3</v>
      </c>
      <c r="N2112" s="34" t="n">
        <f aca="false">MATCH(F2112,Assumptions!$K$4:$K$8,0)</f>
        <v>3</v>
      </c>
      <c r="O2112" s="21" t="str">
        <f aca="false">IF(H2112="Yes",MONTH(I2112),"")</f>
        <v/>
      </c>
      <c r="P2112" s="21" t="str">
        <f aca="false">IF(H2112="Yes",B2112,"")</f>
        <v/>
      </c>
    </row>
    <row r="2113" customFormat="false" ht="15" hidden="false" customHeight="false" outlineLevel="0" collapsed="false">
      <c r="A2113" s="21" t="s">
        <v>3328</v>
      </c>
      <c r="B2113" s="21" t="s">
        <v>856</v>
      </c>
      <c r="C2113" s="21" t="s">
        <v>1208</v>
      </c>
      <c r="D2113" s="21" t="s">
        <v>1240</v>
      </c>
      <c r="E2113" s="33" t="n">
        <v>45892</v>
      </c>
      <c r="F2113" s="21" t="s">
        <v>1175</v>
      </c>
      <c r="G2113" s="32"/>
      <c r="H2113" s="21"/>
      <c r="I2113" s="33"/>
      <c r="J2113" s="21" t="str">
        <f aca="false">INDEX(Students!$C$2:$C$601,MATCH(B2113,Students!$A$2:$A$601,0))</f>
        <v>Batch 2026</v>
      </c>
      <c r="K2113" s="21" t="str">
        <f aca="false">INDEX(Students!$D$2:$D$601,MATCH(B2113,Students!$A$2:$A$601,0))</f>
        <v>Cybersecurity</v>
      </c>
      <c r="L2113" s="21" t="str">
        <f aca="false">INDEX(Companies!$C$2:$C$31,MATCH(C2113,Companies!$A$2:$A$31,0))</f>
        <v>E-commerce</v>
      </c>
      <c r="M2113" s="21" t="str">
        <f aca="false">INDEX(Companies!$D$2:$D$31,MATCH(C2113,Companies!$A$2:$A$31,0))</f>
        <v>Tier 1</v>
      </c>
      <c r="N2113" s="34" t="n">
        <f aca="false">MATCH(F2113,Assumptions!$K$4:$K$8,0)</f>
        <v>1</v>
      </c>
      <c r="O2113" s="21" t="str">
        <f aca="false">IF(H2113="Yes",MONTH(I2113),"")</f>
        <v/>
      </c>
      <c r="P2113" s="21" t="str">
        <f aca="false">IF(H2113="Yes",B2113,"")</f>
        <v/>
      </c>
    </row>
    <row r="2114" customFormat="false" ht="15" hidden="false" customHeight="false" outlineLevel="0" collapsed="false">
      <c r="A2114" s="21" t="s">
        <v>3329</v>
      </c>
      <c r="B2114" s="21" t="s">
        <v>1073</v>
      </c>
      <c r="C2114" s="21" t="s">
        <v>1309</v>
      </c>
      <c r="D2114" s="21" t="s">
        <v>1174</v>
      </c>
      <c r="E2114" s="33" t="n">
        <v>45892</v>
      </c>
      <c r="F2114" s="21" t="s">
        <v>1175</v>
      </c>
      <c r="G2114" s="32"/>
      <c r="H2114" s="21"/>
      <c r="I2114" s="33"/>
      <c r="J2114" s="21" t="str">
        <f aca="false">INDEX(Students!$C$2:$C$601,MATCH(B2114,Students!$A$2:$A$601,0))</f>
        <v>Batch 2026</v>
      </c>
      <c r="K2114" s="21" t="str">
        <f aca="false">INDEX(Students!$D$2:$D$601,MATCH(B2114,Students!$A$2:$A$601,0))</f>
        <v>Full Stack Development</v>
      </c>
      <c r="L2114" s="21" t="str">
        <f aca="false">INDEX(Companies!$C$2:$C$31,MATCH(C2114,Companies!$A$2:$A$31,0))</f>
        <v>EdTech</v>
      </c>
      <c r="M2114" s="21" t="str">
        <f aca="false">INDEX(Companies!$D$2:$D$31,MATCH(C2114,Companies!$A$2:$A$31,0))</f>
        <v>Tier 2</v>
      </c>
      <c r="N2114" s="34" t="n">
        <f aca="false">MATCH(F2114,Assumptions!$K$4:$K$8,0)</f>
        <v>1</v>
      </c>
      <c r="O2114" s="21" t="str">
        <f aca="false">IF(H2114="Yes",MONTH(I2114),"")</f>
        <v/>
      </c>
      <c r="P2114" s="21" t="str">
        <f aca="false">IF(H2114="Yes",B2114,"")</f>
        <v/>
      </c>
    </row>
    <row r="2115" customFormat="false" ht="15" hidden="false" customHeight="false" outlineLevel="0" collapsed="false">
      <c r="A2115" s="21" t="s">
        <v>3330</v>
      </c>
      <c r="B2115" s="21" t="s">
        <v>822</v>
      </c>
      <c r="C2115" s="21" t="s">
        <v>1222</v>
      </c>
      <c r="D2115" s="21" t="s">
        <v>1188</v>
      </c>
      <c r="E2115" s="33" t="n">
        <v>45892</v>
      </c>
      <c r="F2115" s="21" t="s">
        <v>1175</v>
      </c>
      <c r="G2115" s="32"/>
      <c r="H2115" s="21"/>
      <c r="I2115" s="33"/>
      <c r="J2115" s="21" t="str">
        <f aca="false">INDEX(Students!$C$2:$C$601,MATCH(B2115,Students!$A$2:$A$601,0))</f>
        <v>Batch 2026</v>
      </c>
      <c r="K2115" s="21" t="str">
        <f aca="false">INDEX(Students!$D$2:$D$601,MATCH(B2115,Students!$A$2:$A$601,0))</f>
        <v>Data Analytics</v>
      </c>
      <c r="L2115" s="21" t="str">
        <f aca="false">INDEX(Companies!$C$2:$C$31,MATCH(C2115,Companies!$A$2:$A$31,0))</f>
        <v>Product</v>
      </c>
      <c r="M2115" s="21" t="str">
        <f aca="false">INDEX(Companies!$D$2:$D$31,MATCH(C2115,Companies!$A$2:$A$31,0))</f>
        <v>Tier 2</v>
      </c>
      <c r="N2115" s="34" t="n">
        <f aca="false">MATCH(F2115,Assumptions!$K$4:$K$8,0)</f>
        <v>1</v>
      </c>
      <c r="O2115" s="21" t="str">
        <f aca="false">IF(H2115="Yes",MONTH(I2115),"")</f>
        <v/>
      </c>
      <c r="P2115" s="21" t="str">
        <f aca="false">IF(H2115="Yes",B2115,"")</f>
        <v/>
      </c>
    </row>
    <row r="2116" customFormat="false" ht="15" hidden="false" customHeight="false" outlineLevel="0" collapsed="false">
      <c r="A2116" s="21" t="s">
        <v>3331</v>
      </c>
      <c r="B2116" s="21" t="s">
        <v>868</v>
      </c>
      <c r="C2116" s="21" t="s">
        <v>1234</v>
      </c>
      <c r="D2116" s="21" t="s">
        <v>1240</v>
      </c>
      <c r="E2116" s="33" t="n">
        <v>45892</v>
      </c>
      <c r="F2116" s="21" t="s">
        <v>1185</v>
      </c>
      <c r="G2116" s="32" t="n">
        <v>5.8</v>
      </c>
      <c r="H2116" s="21" t="s">
        <v>120</v>
      </c>
      <c r="I2116" s="33" t="n">
        <v>45922</v>
      </c>
      <c r="J2116" s="21" t="str">
        <f aca="false">INDEX(Students!$C$2:$C$601,MATCH(B2116,Students!$A$2:$A$601,0))</f>
        <v>Batch 2026</v>
      </c>
      <c r="K2116" s="21" t="str">
        <f aca="false">INDEX(Students!$D$2:$D$601,MATCH(B2116,Students!$A$2:$A$601,0))</f>
        <v>Cybersecurity</v>
      </c>
      <c r="L2116" s="21" t="str">
        <f aca="false">INDEX(Companies!$C$2:$C$31,MATCH(C2116,Companies!$A$2:$A$31,0))</f>
        <v>EdTech</v>
      </c>
      <c r="M2116" s="21" t="str">
        <f aca="false">INDEX(Companies!$D$2:$D$31,MATCH(C2116,Companies!$A$2:$A$31,0))</f>
        <v>Tier 3</v>
      </c>
      <c r="N2116" s="34" t="n">
        <f aca="false">MATCH(F2116,Assumptions!$K$4:$K$8,0)</f>
        <v>5</v>
      </c>
      <c r="O2116" s="21" t="n">
        <f aca="false">IF(H2116="Yes",MONTH(I2116),"")</f>
        <v>9</v>
      </c>
      <c r="P2116" s="21" t="str">
        <f aca="false">IF(H2116="Yes",B2116,"")</f>
        <v>S0418</v>
      </c>
    </row>
    <row r="2117" customFormat="false" ht="15" hidden="false" customHeight="false" outlineLevel="0" collapsed="false">
      <c r="A2117" s="21" t="s">
        <v>3332</v>
      </c>
      <c r="B2117" s="21" t="s">
        <v>821</v>
      </c>
      <c r="C2117" s="21" t="s">
        <v>1266</v>
      </c>
      <c r="D2117" s="21" t="s">
        <v>1184</v>
      </c>
      <c r="E2117" s="33" t="n">
        <v>45892</v>
      </c>
      <c r="F2117" s="21" t="s">
        <v>1185</v>
      </c>
      <c r="G2117" s="32" t="n">
        <v>7.9</v>
      </c>
      <c r="H2117" s="21" t="s">
        <v>120</v>
      </c>
      <c r="I2117" s="33" t="n">
        <v>45915</v>
      </c>
      <c r="J2117" s="21" t="str">
        <f aca="false">INDEX(Students!$C$2:$C$601,MATCH(B2117,Students!$A$2:$A$601,0))</f>
        <v>Batch 2026</v>
      </c>
      <c r="K2117" s="21" t="str">
        <f aca="false">INDEX(Students!$D$2:$D$601,MATCH(B2117,Students!$A$2:$A$601,0))</f>
        <v>DSA with Java</v>
      </c>
      <c r="L2117" s="21" t="str">
        <f aca="false">INDEX(Companies!$C$2:$C$31,MATCH(C2117,Companies!$A$2:$A$31,0))</f>
        <v>IT Services</v>
      </c>
      <c r="M2117" s="21" t="str">
        <f aca="false">INDEX(Companies!$D$2:$D$31,MATCH(C2117,Companies!$A$2:$A$31,0))</f>
        <v>Tier 3</v>
      </c>
      <c r="N2117" s="34" t="n">
        <f aca="false">MATCH(F2117,Assumptions!$K$4:$K$8,0)</f>
        <v>5</v>
      </c>
      <c r="O2117" s="21" t="n">
        <f aca="false">IF(H2117="Yes",MONTH(I2117),"")</f>
        <v>9</v>
      </c>
      <c r="P2117" s="21" t="str">
        <f aca="false">IF(H2117="Yes",B2117,"")</f>
        <v>S0389</v>
      </c>
    </row>
    <row r="2118" customFormat="false" ht="15" hidden="false" customHeight="false" outlineLevel="0" collapsed="false">
      <c r="A2118" s="21" t="s">
        <v>3333</v>
      </c>
      <c r="B2118" s="21" t="s">
        <v>909</v>
      </c>
      <c r="C2118" s="21" t="s">
        <v>1309</v>
      </c>
      <c r="D2118" s="21" t="s">
        <v>1181</v>
      </c>
      <c r="E2118" s="33" t="n">
        <v>45893</v>
      </c>
      <c r="F2118" s="21" t="s">
        <v>1175</v>
      </c>
      <c r="G2118" s="32"/>
      <c r="H2118" s="21"/>
      <c r="I2118" s="33"/>
      <c r="J2118" s="21" t="str">
        <f aca="false">INDEX(Students!$C$2:$C$601,MATCH(B2118,Students!$A$2:$A$601,0))</f>
        <v>Batch 2026</v>
      </c>
      <c r="K2118" s="21" t="str">
        <f aca="false">INDEX(Students!$D$2:$D$601,MATCH(B2118,Students!$A$2:$A$601,0))</f>
        <v>Full Stack Development</v>
      </c>
      <c r="L2118" s="21" t="str">
        <f aca="false">INDEX(Companies!$C$2:$C$31,MATCH(C2118,Companies!$A$2:$A$31,0))</f>
        <v>EdTech</v>
      </c>
      <c r="M2118" s="21" t="str">
        <f aca="false">INDEX(Companies!$D$2:$D$31,MATCH(C2118,Companies!$A$2:$A$31,0))</f>
        <v>Tier 2</v>
      </c>
      <c r="N2118" s="34" t="n">
        <f aca="false">MATCH(F2118,Assumptions!$K$4:$K$8,0)</f>
        <v>1</v>
      </c>
      <c r="O2118" s="21" t="str">
        <f aca="false">IF(H2118="Yes",MONTH(I2118),"")</f>
        <v/>
      </c>
      <c r="P2118" s="21" t="str">
        <f aca="false">IF(H2118="Yes",B2118,"")</f>
        <v/>
      </c>
    </row>
    <row r="2119" customFormat="false" ht="15" hidden="false" customHeight="false" outlineLevel="0" collapsed="false">
      <c r="A2119" s="21" t="s">
        <v>3334</v>
      </c>
      <c r="B2119" s="21" t="s">
        <v>1091</v>
      </c>
      <c r="C2119" s="21" t="s">
        <v>1322</v>
      </c>
      <c r="D2119" s="21" t="s">
        <v>1181</v>
      </c>
      <c r="E2119" s="33" t="n">
        <v>45893</v>
      </c>
      <c r="F2119" s="21" t="s">
        <v>1218</v>
      </c>
      <c r="G2119" s="32"/>
      <c r="H2119" s="21"/>
      <c r="I2119" s="33"/>
      <c r="J2119" s="21" t="str">
        <f aca="false">INDEX(Students!$C$2:$C$601,MATCH(B2119,Students!$A$2:$A$601,0))</f>
        <v>Batch 2026</v>
      </c>
      <c r="K2119" s="21" t="str">
        <f aca="false">INDEX(Students!$D$2:$D$601,MATCH(B2119,Students!$A$2:$A$601,0))</f>
        <v>Full Stack Development</v>
      </c>
      <c r="L2119" s="21" t="str">
        <f aca="false">INDEX(Companies!$C$2:$C$31,MATCH(C2119,Companies!$A$2:$A$31,0))</f>
        <v>Healthtech</v>
      </c>
      <c r="M2119" s="21" t="str">
        <f aca="false">INDEX(Companies!$D$2:$D$31,MATCH(C2119,Companies!$A$2:$A$31,0))</f>
        <v>Tier 2</v>
      </c>
      <c r="N2119" s="34" t="n">
        <f aca="false">MATCH(F2119,Assumptions!$K$4:$K$8,0)</f>
        <v>4</v>
      </c>
      <c r="O2119" s="21" t="str">
        <f aca="false">IF(H2119="Yes",MONTH(I2119),"")</f>
        <v/>
      </c>
      <c r="P2119" s="21" t="str">
        <f aca="false">IF(H2119="Yes",B2119,"")</f>
        <v/>
      </c>
    </row>
    <row r="2120" customFormat="false" ht="15" hidden="false" customHeight="false" outlineLevel="0" collapsed="false">
      <c r="A2120" s="21" t="s">
        <v>3335</v>
      </c>
      <c r="B2120" s="21" t="s">
        <v>1058</v>
      </c>
      <c r="C2120" s="21" t="s">
        <v>1177</v>
      </c>
      <c r="D2120" s="21" t="s">
        <v>1174</v>
      </c>
      <c r="E2120" s="33" t="n">
        <v>45893</v>
      </c>
      <c r="F2120" s="21" t="s">
        <v>1175</v>
      </c>
      <c r="G2120" s="32"/>
      <c r="H2120" s="21"/>
      <c r="I2120" s="33"/>
      <c r="J2120" s="21" t="str">
        <f aca="false">INDEX(Students!$C$2:$C$601,MATCH(B2120,Students!$A$2:$A$601,0))</f>
        <v>Batch 2026</v>
      </c>
      <c r="K2120" s="21" t="str">
        <f aca="false">INDEX(Students!$D$2:$D$601,MATCH(B2120,Students!$A$2:$A$601,0))</f>
        <v>Full Stack Development</v>
      </c>
      <c r="L2120" s="21" t="str">
        <f aca="false">INDEX(Companies!$C$2:$C$31,MATCH(C2120,Companies!$A$2:$A$31,0))</f>
        <v>IT Services</v>
      </c>
      <c r="M2120" s="21" t="str">
        <f aca="false">INDEX(Companies!$D$2:$D$31,MATCH(C2120,Companies!$A$2:$A$31,0))</f>
        <v>Tier 3</v>
      </c>
      <c r="N2120" s="34" t="n">
        <f aca="false">MATCH(F2120,Assumptions!$K$4:$K$8,0)</f>
        <v>1</v>
      </c>
      <c r="O2120" s="21" t="str">
        <f aca="false">IF(H2120="Yes",MONTH(I2120),"")</f>
        <v/>
      </c>
      <c r="P2120" s="21" t="str">
        <f aca="false">IF(H2120="Yes",B2120,"")</f>
        <v/>
      </c>
    </row>
    <row r="2121" customFormat="false" ht="15" hidden="false" customHeight="false" outlineLevel="0" collapsed="false">
      <c r="A2121" s="21" t="s">
        <v>3336</v>
      </c>
      <c r="B2121" s="21" t="s">
        <v>822</v>
      </c>
      <c r="C2121" s="21" t="s">
        <v>1183</v>
      </c>
      <c r="D2121" s="21" t="s">
        <v>1209</v>
      </c>
      <c r="E2121" s="33" t="n">
        <v>45893</v>
      </c>
      <c r="F2121" s="21" t="s">
        <v>1175</v>
      </c>
      <c r="G2121" s="32"/>
      <c r="H2121" s="21"/>
      <c r="I2121" s="33"/>
      <c r="J2121" s="21" t="str">
        <f aca="false">INDEX(Students!$C$2:$C$601,MATCH(B2121,Students!$A$2:$A$601,0))</f>
        <v>Batch 2026</v>
      </c>
      <c r="K2121" s="21" t="str">
        <f aca="false">INDEX(Students!$D$2:$D$601,MATCH(B2121,Students!$A$2:$A$601,0))</f>
        <v>Data Analytics</v>
      </c>
      <c r="L2121" s="21" t="str">
        <f aca="false">INDEX(Companies!$C$2:$C$31,MATCH(C2121,Companies!$A$2:$A$31,0))</f>
        <v>E-commerce</v>
      </c>
      <c r="M2121" s="21" t="str">
        <f aca="false">INDEX(Companies!$D$2:$D$31,MATCH(C2121,Companies!$A$2:$A$31,0))</f>
        <v>Tier 2</v>
      </c>
      <c r="N2121" s="34" t="n">
        <f aca="false">MATCH(F2121,Assumptions!$K$4:$K$8,0)</f>
        <v>1</v>
      </c>
      <c r="O2121" s="21" t="str">
        <f aca="false">IF(H2121="Yes",MONTH(I2121),"")</f>
        <v/>
      </c>
      <c r="P2121" s="21" t="str">
        <f aca="false">IF(H2121="Yes",B2121,"")</f>
        <v/>
      </c>
    </row>
    <row r="2122" customFormat="false" ht="15" hidden="false" customHeight="false" outlineLevel="0" collapsed="false">
      <c r="A2122" s="21" t="s">
        <v>3337</v>
      </c>
      <c r="B2122" s="21" t="s">
        <v>1130</v>
      </c>
      <c r="C2122" s="21" t="s">
        <v>1263</v>
      </c>
      <c r="D2122" s="21" t="s">
        <v>1209</v>
      </c>
      <c r="E2122" s="33" t="n">
        <v>45893</v>
      </c>
      <c r="F2122" s="21" t="s">
        <v>1197</v>
      </c>
      <c r="G2122" s="32"/>
      <c r="H2122" s="21"/>
      <c r="I2122" s="33"/>
      <c r="J2122" s="21" t="str">
        <f aca="false">INDEX(Students!$C$2:$C$601,MATCH(B2122,Students!$A$2:$A$601,0))</f>
        <v>Batch 2026</v>
      </c>
      <c r="K2122" s="21" t="str">
        <f aca="false">INDEX(Students!$D$2:$D$601,MATCH(B2122,Students!$A$2:$A$601,0))</f>
        <v>Data Analytics</v>
      </c>
      <c r="L2122" s="21" t="str">
        <f aca="false">INDEX(Companies!$C$2:$C$31,MATCH(C2122,Companies!$A$2:$A$31,0))</f>
        <v>Analytics &amp; Consulting</v>
      </c>
      <c r="M2122" s="21" t="str">
        <f aca="false">INDEX(Companies!$D$2:$D$31,MATCH(C2122,Companies!$A$2:$A$31,0))</f>
        <v>Tier 2</v>
      </c>
      <c r="N2122" s="34" t="n">
        <f aca="false">MATCH(F2122,Assumptions!$K$4:$K$8,0)</f>
        <v>3</v>
      </c>
      <c r="O2122" s="21" t="str">
        <f aca="false">IF(H2122="Yes",MONTH(I2122),"")</f>
        <v/>
      </c>
      <c r="P2122" s="21" t="str">
        <f aca="false">IF(H2122="Yes",B2122,"")</f>
        <v/>
      </c>
    </row>
    <row r="2123" customFormat="false" ht="15" hidden="false" customHeight="false" outlineLevel="0" collapsed="false">
      <c r="A2123" s="21" t="s">
        <v>3338</v>
      </c>
      <c r="B2123" s="21" t="s">
        <v>828</v>
      </c>
      <c r="C2123" s="21" t="s">
        <v>1225</v>
      </c>
      <c r="D2123" s="21" t="s">
        <v>1174</v>
      </c>
      <c r="E2123" s="33" t="n">
        <v>45893</v>
      </c>
      <c r="F2123" s="21" t="s">
        <v>1218</v>
      </c>
      <c r="G2123" s="32"/>
      <c r="H2123" s="21"/>
      <c r="I2123" s="33"/>
      <c r="J2123" s="21" t="str">
        <f aca="false">INDEX(Students!$C$2:$C$601,MATCH(B2123,Students!$A$2:$A$601,0))</f>
        <v>Batch 2026</v>
      </c>
      <c r="K2123" s="21" t="str">
        <f aca="false">INDEX(Students!$D$2:$D$601,MATCH(B2123,Students!$A$2:$A$601,0))</f>
        <v>Full Stack Development</v>
      </c>
      <c r="L2123" s="21" t="str">
        <f aca="false">INDEX(Companies!$C$2:$C$31,MATCH(C2123,Companies!$A$2:$A$31,0))</f>
        <v>EdTech</v>
      </c>
      <c r="M2123" s="21" t="str">
        <f aca="false">INDEX(Companies!$D$2:$D$31,MATCH(C2123,Companies!$A$2:$A$31,0))</f>
        <v>Tier 2</v>
      </c>
      <c r="N2123" s="34" t="n">
        <f aca="false">MATCH(F2123,Assumptions!$K$4:$K$8,0)</f>
        <v>4</v>
      </c>
      <c r="O2123" s="21" t="str">
        <f aca="false">IF(H2123="Yes",MONTH(I2123),"")</f>
        <v/>
      </c>
      <c r="P2123" s="21" t="str">
        <f aca="false">IF(H2123="Yes",B2123,"")</f>
        <v/>
      </c>
    </row>
    <row r="2124" customFormat="false" ht="15" hidden="false" customHeight="false" outlineLevel="0" collapsed="false">
      <c r="A2124" s="21" t="s">
        <v>3339</v>
      </c>
      <c r="B2124" s="21" t="s">
        <v>1040</v>
      </c>
      <c r="C2124" s="21" t="s">
        <v>1263</v>
      </c>
      <c r="D2124" s="21" t="s">
        <v>1191</v>
      </c>
      <c r="E2124" s="33" t="n">
        <v>45893</v>
      </c>
      <c r="F2124" s="21" t="s">
        <v>1197</v>
      </c>
      <c r="G2124" s="32"/>
      <c r="H2124" s="21"/>
      <c r="I2124" s="33"/>
      <c r="J2124" s="21" t="str">
        <f aca="false">INDEX(Students!$C$2:$C$601,MATCH(B2124,Students!$A$2:$A$601,0))</f>
        <v>Batch 2026</v>
      </c>
      <c r="K2124" s="21" t="str">
        <f aca="false">INDEX(Students!$D$2:$D$601,MATCH(B2124,Students!$A$2:$A$601,0))</f>
        <v>DSA with Java</v>
      </c>
      <c r="L2124" s="21" t="str">
        <f aca="false">INDEX(Companies!$C$2:$C$31,MATCH(C2124,Companies!$A$2:$A$31,0))</f>
        <v>Analytics &amp; Consulting</v>
      </c>
      <c r="M2124" s="21" t="str">
        <f aca="false">INDEX(Companies!$D$2:$D$31,MATCH(C2124,Companies!$A$2:$A$31,0))</f>
        <v>Tier 2</v>
      </c>
      <c r="N2124" s="34" t="n">
        <f aca="false">MATCH(F2124,Assumptions!$K$4:$K$8,0)</f>
        <v>3</v>
      </c>
      <c r="O2124" s="21" t="str">
        <f aca="false">IF(H2124="Yes",MONTH(I2124),"")</f>
        <v/>
      </c>
      <c r="P2124" s="21" t="str">
        <f aca="false">IF(H2124="Yes",B2124,"")</f>
        <v/>
      </c>
    </row>
    <row r="2125" customFormat="false" ht="15" hidden="false" customHeight="false" outlineLevel="0" collapsed="false">
      <c r="A2125" s="21" t="s">
        <v>3340</v>
      </c>
      <c r="B2125" s="21" t="s">
        <v>1013</v>
      </c>
      <c r="C2125" s="21" t="s">
        <v>1177</v>
      </c>
      <c r="D2125" s="21" t="s">
        <v>1188</v>
      </c>
      <c r="E2125" s="33" t="n">
        <v>45894</v>
      </c>
      <c r="F2125" s="21" t="s">
        <v>1185</v>
      </c>
      <c r="G2125" s="32" t="n">
        <v>6.2</v>
      </c>
      <c r="H2125" s="21" t="s">
        <v>113</v>
      </c>
      <c r="I2125" s="33" t="n">
        <v>45932</v>
      </c>
      <c r="J2125" s="21" t="str">
        <f aca="false">INDEX(Students!$C$2:$C$601,MATCH(B2125,Students!$A$2:$A$601,0))</f>
        <v>Batch 2026</v>
      </c>
      <c r="K2125" s="21" t="str">
        <f aca="false">INDEX(Students!$D$2:$D$601,MATCH(B2125,Students!$A$2:$A$601,0))</f>
        <v>Data Analytics</v>
      </c>
      <c r="L2125" s="21" t="str">
        <f aca="false">INDEX(Companies!$C$2:$C$31,MATCH(C2125,Companies!$A$2:$A$31,0))</f>
        <v>IT Services</v>
      </c>
      <c r="M2125" s="21" t="str">
        <f aca="false">INDEX(Companies!$D$2:$D$31,MATCH(C2125,Companies!$A$2:$A$31,0))</f>
        <v>Tier 3</v>
      </c>
      <c r="N2125" s="34" t="n">
        <f aca="false">MATCH(F2125,Assumptions!$K$4:$K$8,0)</f>
        <v>5</v>
      </c>
      <c r="O2125" s="21" t="str">
        <f aca="false">IF(H2125="Yes",MONTH(I2125),"")</f>
        <v/>
      </c>
      <c r="P2125" s="21" t="str">
        <f aca="false">IF(H2125="Yes",B2125,"")</f>
        <v/>
      </c>
    </row>
    <row r="2126" customFormat="false" ht="15" hidden="false" customHeight="false" outlineLevel="0" collapsed="false">
      <c r="A2126" s="21" t="s">
        <v>3341</v>
      </c>
      <c r="B2126" s="21" t="s">
        <v>813</v>
      </c>
      <c r="C2126" s="21" t="s">
        <v>1228</v>
      </c>
      <c r="D2126" s="21" t="s">
        <v>1191</v>
      </c>
      <c r="E2126" s="33" t="n">
        <v>45894</v>
      </c>
      <c r="F2126" s="21" t="s">
        <v>1185</v>
      </c>
      <c r="G2126" s="32" t="n">
        <v>24.7</v>
      </c>
      <c r="H2126" s="21" t="s">
        <v>120</v>
      </c>
      <c r="I2126" s="33" t="n">
        <v>45930</v>
      </c>
      <c r="J2126" s="21" t="str">
        <f aca="false">INDEX(Students!$C$2:$C$601,MATCH(B2126,Students!$A$2:$A$601,0))</f>
        <v>Batch 2026</v>
      </c>
      <c r="K2126" s="21" t="str">
        <f aca="false">INDEX(Students!$D$2:$D$601,MATCH(B2126,Students!$A$2:$A$601,0))</f>
        <v>DSA with Java</v>
      </c>
      <c r="L2126" s="21" t="str">
        <f aca="false">INDEX(Companies!$C$2:$C$31,MATCH(C2126,Companies!$A$2:$A$31,0))</f>
        <v>Fintech</v>
      </c>
      <c r="M2126" s="21" t="str">
        <f aca="false">INDEX(Companies!$D$2:$D$31,MATCH(C2126,Companies!$A$2:$A$31,0))</f>
        <v>Tier 1</v>
      </c>
      <c r="N2126" s="34" t="n">
        <f aca="false">MATCH(F2126,Assumptions!$K$4:$K$8,0)</f>
        <v>5</v>
      </c>
      <c r="O2126" s="21" t="n">
        <f aca="false">IF(H2126="Yes",MONTH(I2126),"")</f>
        <v>9</v>
      </c>
      <c r="P2126" s="21" t="str">
        <f aca="false">IF(H2126="Yes",B2126,"")</f>
        <v>S0384</v>
      </c>
    </row>
    <row r="2127" customFormat="false" ht="15" hidden="false" customHeight="false" outlineLevel="0" collapsed="false">
      <c r="A2127" s="21" t="s">
        <v>3342</v>
      </c>
      <c r="B2127" s="21" t="s">
        <v>943</v>
      </c>
      <c r="C2127" s="21" t="s">
        <v>1205</v>
      </c>
      <c r="D2127" s="21" t="s">
        <v>1174</v>
      </c>
      <c r="E2127" s="33" t="n">
        <v>45894</v>
      </c>
      <c r="F2127" s="21" t="s">
        <v>1185</v>
      </c>
      <c r="G2127" s="32" t="n">
        <v>4.3</v>
      </c>
      <c r="H2127" s="21" t="s">
        <v>120</v>
      </c>
      <c r="I2127" s="33" t="n">
        <v>45915</v>
      </c>
      <c r="J2127" s="21" t="str">
        <f aca="false">INDEX(Students!$C$2:$C$601,MATCH(B2127,Students!$A$2:$A$601,0))</f>
        <v>Batch 2026</v>
      </c>
      <c r="K2127" s="21" t="str">
        <f aca="false">INDEX(Students!$D$2:$D$601,MATCH(B2127,Students!$A$2:$A$601,0))</f>
        <v>Full Stack Development</v>
      </c>
      <c r="L2127" s="21" t="str">
        <f aca="false">INDEX(Companies!$C$2:$C$31,MATCH(C2127,Companies!$A$2:$A$31,0))</f>
        <v>Healthtech</v>
      </c>
      <c r="M2127" s="21" t="str">
        <f aca="false">INDEX(Companies!$D$2:$D$31,MATCH(C2127,Companies!$A$2:$A$31,0))</f>
        <v>Tier 3</v>
      </c>
      <c r="N2127" s="34" t="n">
        <f aca="false">MATCH(F2127,Assumptions!$K$4:$K$8,0)</f>
        <v>5</v>
      </c>
      <c r="O2127" s="21" t="n">
        <f aca="false">IF(H2127="Yes",MONTH(I2127),"")</f>
        <v>9</v>
      </c>
      <c r="P2127" s="21" t="str">
        <f aca="false">IF(H2127="Yes",B2127,"")</f>
        <v>S0466</v>
      </c>
    </row>
    <row r="2128" customFormat="false" ht="15" hidden="false" customHeight="false" outlineLevel="0" collapsed="false">
      <c r="A2128" s="21" t="s">
        <v>3343</v>
      </c>
      <c r="B2128" s="21" t="s">
        <v>957</v>
      </c>
      <c r="C2128" s="21" t="s">
        <v>1180</v>
      </c>
      <c r="D2128" s="21" t="s">
        <v>1191</v>
      </c>
      <c r="E2128" s="33" t="n">
        <v>45894</v>
      </c>
      <c r="F2128" s="21" t="s">
        <v>1185</v>
      </c>
      <c r="G2128" s="32" t="n">
        <v>5.2</v>
      </c>
      <c r="H2128" s="21" t="s">
        <v>113</v>
      </c>
      <c r="I2128" s="33" t="n">
        <v>45940</v>
      </c>
      <c r="J2128" s="21" t="str">
        <f aca="false">INDEX(Students!$C$2:$C$601,MATCH(B2128,Students!$A$2:$A$601,0))</f>
        <v>Batch 2026</v>
      </c>
      <c r="K2128" s="21" t="str">
        <f aca="false">INDEX(Students!$D$2:$D$601,MATCH(B2128,Students!$A$2:$A$601,0))</f>
        <v>DSA with Java</v>
      </c>
      <c r="L2128" s="21" t="str">
        <f aca="false">INDEX(Companies!$C$2:$C$31,MATCH(C2128,Companies!$A$2:$A$31,0))</f>
        <v>IT Services</v>
      </c>
      <c r="M2128" s="21" t="str">
        <f aca="false">INDEX(Companies!$D$2:$D$31,MATCH(C2128,Companies!$A$2:$A$31,0))</f>
        <v>Tier 3</v>
      </c>
      <c r="N2128" s="34" t="n">
        <f aca="false">MATCH(F2128,Assumptions!$K$4:$K$8,0)</f>
        <v>5</v>
      </c>
      <c r="O2128" s="21" t="str">
        <f aca="false">IF(H2128="Yes",MONTH(I2128),"")</f>
        <v/>
      </c>
      <c r="P2128" s="21" t="str">
        <f aca="false">IF(H2128="Yes",B2128,"")</f>
        <v/>
      </c>
    </row>
    <row r="2129" customFormat="false" ht="15" hidden="false" customHeight="false" outlineLevel="0" collapsed="false">
      <c r="A2129" s="21" t="s">
        <v>3344</v>
      </c>
      <c r="B2129" s="21" t="s">
        <v>898</v>
      </c>
      <c r="C2129" s="21" t="s">
        <v>1230</v>
      </c>
      <c r="D2129" s="21" t="s">
        <v>1181</v>
      </c>
      <c r="E2129" s="33" t="n">
        <v>45894</v>
      </c>
      <c r="F2129" s="21" t="s">
        <v>1178</v>
      </c>
      <c r="G2129" s="32"/>
      <c r="H2129" s="21"/>
      <c r="I2129" s="33"/>
      <c r="J2129" s="21" t="str">
        <f aca="false">INDEX(Students!$C$2:$C$601,MATCH(B2129,Students!$A$2:$A$601,0))</f>
        <v>Batch 2026</v>
      </c>
      <c r="K2129" s="21" t="str">
        <f aca="false">INDEX(Students!$D$2:$D$601,MATCH(B2129,Students!$A$2:$A$601,0))</f>
        <v>Full Stack Development</v>
      </c>
      <c r="L2129" s="21" t="str">
        <f aca="false">INDEX(Companies!$C$2:$C$31,MATCH(C2129,Companies!$A$2:$A$31,0))</f>
        <v>IT Services</v>
      </c>
      <c r="M2129" s="21" t="str">
        <f aca="false">INDEX(Companies!$D$2:$D$31,MATCH(C2129,Companies!$A$2:$A$31,0))</f>
        <v>Tier 3</v>
      </c>
      <c r="N2129" s="34" t="n">
        <f aca="false">MATCH(F2129,Assumptions!$K$4:$K$8,0)</f>
        <v>2</v>
      </c>
      <c r="O2129" s="21" t="str">
        <f aca="false">IF(H2129="Yes",MONTH(I2129),"")</f>
        <v/>
      </c>
      <c r="P2129" s="21" t="str">
        <f aca="false">IF(H2129="Yes",B2129,"")</f>
        <v/>
      </c>
    </row>
    <row r="2130" customFormat="false" ht="15" hidden="false" customHeight="false" outlineLevel="0" collapsed="false">
      <c r="A2130" s="21" t="s">
        <v>3345</v>
      </c>
      <c r="B2130" s="21" t="s">
        <v>1152</v>
      </c>
      <c r="C2130" s="21" t="s">
        <v>1298</v>
      </c>
      <c r="D2130" s="21" t="s">
        <v>1191</v>
      </c>
      <c r="E2130" s="33" t="n">
        <v>45895</v>
      </c>
      <c r="F2130" s="21" t="s">
        <v>1185</v>
      </c>
      <c r="G2130" s="32" t="n">
        <v>13.3</v>
      </c>
      <c r="H2130" s="21" t="s">
        <v>113</v>
      </c>
      <c r="I2130" s="33" t="n">
        <v>45931</v>
      </c>
      <c r="J2130" s="21" t="str">
        <f aca="false">INDEX(Students!$C$2:$C$601,MATCH(B2130,Students!$A$2:$A$601,0))</f>
        <v>Batch 2026</v>
      </c>
      <c r="K2130" s="21" t="str">
        <f aca="false">INDEX(Students!$D$2:$D$601,MATCH(B2130,Students!$A$2:$A$601,0))</f>
        <v>DSA with Java</v>
      </c>
      <c r="L2130" s="21" t="str">
        <f aca="false">INDEX(Companies!$C$2:$C$31,MATCH(C2130,Companies!$A$2:$A$31,0))</f>
        <v>Fintech</v>
      </c>
      <c r="M2130" s="21" t="str">
        <f aca="false">INDEX(Companies!$D$2:$D$31,MATCH(C2130,Companies!$A$2:$A$31,0))</f>
        <v>Tier 2</v>
      </c>
      <c r="N2130" s="34" t="n">
        <f aca="false">MATCH(F2130,Assumptions!$K$4:$K$8,0)</f>
        <v>5</v>
      </c>
      <c r="O2130" s="21" t="str">
        <f aca="false">IF(H2130="Yes",MONTH(I2130),"")</f>
        <v/>
      </c>
      <c r="P2130" s="21" t="str">
        <f aca="false">IF(H2130="Yes",B2130,"")</f>
        <v/>
      </c>
    </row>
    <row r="2131" customFormat="false" ht="15" hidden="false" customHeight="false" outlineLevel="0" collapsed="false">
      <c r="A2131" s="21" t="s">
        <v>3346</v>
      </c>
      <c r="B2131" s="21" t="s">
        <v>898</v>
      </c>
      <c r="C2131" s="21" t="s">
        <v>1201</v>
      </c>
      <c r="D2131" s="21" t="s">
        <v>1174</v>
      </c>
      <c r="E2131" s="33" t="n">
        <v>45895</v>
      </c>
      <c r="F2131" s="21" t="s">
        <v>1175</v>
      </c>
      <c r="G2131" s="32"/>
      <c r="H2131" s="21"/>
      <c r="I2131" s="33"/>
      <c r="J2131" s="21" t="str">
        <f aca="false">INDEX(Students!$C$2:$C$601,MATCH(B2131,Students!$A$2:$A$601,0))</f>
        <v>Batch 2026</v>
      </c>
      <c r="K2131" s="21" t="str">
        <f aca="false">INDEX(Students!$D$2:$D$601,MATCH(B2131,Students!$A$2:$A$601,0))</f>
        <v>Full Stack Development</v>
      </c>
      <c r="L2131" s="21" t="str">
        <f aca="false">INDEX(Companies!$C$2:$C$31,MATCH(C2131,Companies!$A$2:$A$31,0))</f>
        <v>IT Services</v>
      </c>
      <c r="M2131" s="21" t="str">
        <f aca="false">INDEX(Companies!$D$2:$D$31,MATCH(C2131,Companies!$A$2:$A$31,0))</f>
        <v>Tier 3</v>
      </c>
      <c r="N2131" s="34" t="n">
        <f aca="false">MATCH(F2131,Assumptions!$K$4:$K$8,0)</f>
        <v>1</v>
      </c>
      <c r="O2131" s="21" t="str">
        <f aca="false">IF(H2131="Yes",MONTH(I2131),"")</f>
        <v/>
      </c>
      <c r="P2131" s="21" t="str">
        <f aca="false">IF(H2131="Yes",B2131,"")</f>
        <v/>
      </c>
    </row>
    <row r="2132" customFormat="false" ht="15" hidden="false" customHeight="false" outlineLevel="0" collapsed="false">
      <c r="A2132" s="21" t="s">
        <v>3347</v>
      </c>
      <c r="B2132" s="21" t="s">
        <v>1026</v>
      </c>
      <c r="C2132" s="21" t="s">
        <v>1275</v>
      </c>
      <c r="D2132" s="21" t="s">
        <v>1181</v>
      </c>
      <c r="E2132" s="33" t="n">
        <v>45895</v>
      </c>
      <c r="F2132" s="21" t="s">
        <v>1175</v>
      </c>
      <c r="G2132" s="32"/>
      <c r="H2132" s="21"/>
      <c r="I2132" s="33"/>
      <c r="J2132" s="21" t="str">
        <f aca="false">INDEX(Students!$C$2:$C$601,MATCH(B2132,Students!$A$2:$A$601,0))</f>
        <v>Batch 2026</v>
      </c>
      <c r="K2132" s="21" t="str">
        <f aca="false">INDEX(Students!$D$2:$D$601,MATCH(B2132,Students!$A$2:$A$601,0))</f>
        <v>Full Stack Development</v>
      </c>
      <c r="L2132" s="21" t="str">
        <f aca="false">INDEX(Companies!$C$2:$C$31,MATCH(C2132,Companies!$A$2:$A$31,0))</f>
        <v>Cybersecurity</v>
      </c>
      <c r="M2132" s="21" t="str">
        <f aca="false">INDEX(Companies!$D$2:$D$31,MATCH(C2132,Companies!$A$2:$A$31,0))</f>
        <v>Tier 2</v>
      </c>
      <c r="N2132" s="34" t="n">
        <f aca="false">MATCH(F2132,Assumptions!$K$4:$K$8,0)</f>
        <v>1</v>
      </c>
      <c r="O2132" s="21" t="str">
        <f aca="false">IF(H2132="Yes",MONTH(I2132),"")</f>
        <v/>
      </c>
      <c r="P2132" s="21" t="str">
        <f aca="false">IF(H2132="Yes",B2132,"")</f>
        <v/>
      </c>
    </row>
    <row r="2133" customFormat="false" ht="15" hidden="false" customHeight="false" outlineLevel="0" collapsed="false">
      <c r="A2133" s="21" t="s">
        <v>3348</v>
      </c>
      <c r="B2133" s="21" t="s">
        <v>998</v>
      </c>
      <c r="C2133" s="21" t="s">
        <v>1214</v>
      </c>
      <c r="D2133" s="21" t="s">
        <v>1240</v>
      </c>
      <c r="E2133" s="33" t="n">
        <v>45896</v>
      </c>
      <c r="F2133" s="21" t="s">
        <v>1197</v>
      </c>
      <c r="G2133" s="32"/>
      <c r="H2133" s="21"/>
      <c r="I2133" s="33"/>
      <c r="J2133" s="21" t="str">
        <f aca="false">INDEX(Students!$C$2:$C$601,MATCH(B2133,Students!$A$2:$A$601,0))</f>
        <v>Batch 2026</v>
      </c>
      <c r="K2133" s="21" t="str">
        <f aca="false">INDEX(Students!$D$2:$D$601,MATCH(B2133,Students!$A$2:$A$601,0))</f>
        <v>Cybersecurity</v>
      </c>
      <c r="L2133" s="21" t="str">
        <f aca="false">INDEX(Companies!$C$2:$C$31,MATCH(C2133,Companies!$A$2:$A$31,0))</f>
        <v>Product</v>
      </c>
      <c r="M2133" s="21" t="str">
        <f aca="false">INDEX(Companies!$D$2:$D$31,MATCH(C2133,Companies!$A$2:$A$31,0))</f>
        <v>Tier 1</v>
      </c>
      <c r="N2133" s="34" t="n">
        <f aca="false">MATCH(F2133,Assumptions!$K$4:$K$8,0)</f>
        <v>3</v>
      </c>
      <c r="O2133" s="21" t="str">
        <f aca="false">IF(H2133="Yes",MONTH(I2133),"")</f>
        <v/>
      </c>
      <c r="P2133" s="21" t="str">
        <f aca="false">IF(H2133="Yes",B2133,"")</f>
        <v/>
      </c>
    </row>
    <row r="2134" customFormat="false" ht="15" hidden="false" customHeight="false" outlineLevel="0" collapsed="false">
      <c r="A2134" s="21" t="s">
        <v>3349</v>
      </c>
      <c r="B2134" s="21" t="s">
        <v>819</v>
      </c>
      <c r="C2134" s="21" t="s">
        <v>1173</v>
      </c>
      <c r="D2134" s="21" t="s">
        <v>1184</v>
      </c>
      <c r="E2134" s="33" t="n">
        <v>45896</v>
      </c>
      <c r="F2134" s="21" t="s">
        <v>1178</v>
      </c>
      <c r="G2134" s="32"/>
      <c r="H2134" s="21"/>
      <c r="I2134" s="33"/>
      <c r="J2134" s="21" t="str">
        <f aca="false">INDEX(Students!$C$2:$C$601,MATCH(B2134,Students!$A$2:$A$601,0))</f>
        <v>Batch 2026</v>
      </c>
      <c r="K2134" s="21" t="str">
        <f aca="false">INDEX(Students!$D$2:$D$601,MATCH(B2134,Students!$A$2:$A$601,0))</f>
        <v>DSA with Java</v>
      </c>
      <c r="L2134" s="21" t="str">
        <f aca="false">INDEX(Companies!$C$2:$C$31,MATCH(C2134,Companies!$A$2:$A$31,0))</f>
        <v>Cybersecurity</v>
      </c>
      <c r="M2134" s="21" t="str">
        <f aca="false">INDEX(Companies!$D$2:$D$31,MATCH(C2134,Companies!$A$2:$A$31,0))</f>
        <v>Tier 1</v>
      </c>
      <c r="N2134" s="34" t="n">
        <f aca="false">MATCH(F2134,Assumptions!$K$4:$K$8,0)</f>
        <v>2</v>
      </c>
      <c r="O2134" s="21" t="str">
        <f aca="false">IF(H2134="Yes",MONTH(I2134),"")</f>
        <v/>
      </c>
      <c r="P2134" s="21" t="str">
        <f aca="false">IF(H2134="Yes",B2134,"")</f>
        <v/>
      </c>
    </row>
    <row r="2135" customFormat="false" ht="15" hidden="false" customHeight="false" outlineLevel="0" collapsed="false">
      <c r="A2135" s="21" t="s">
        <v>3350</v>
      </c>
      <c r="B2135" s="21" t="s">
        <v>975</v>
      </c>
      <c r="C2135" s="21" t="s">
        <v>1230</v>
      </c>
      <c r="D2135" s="21" t="s">
        <v>1181</v>
      </c>
      <c r="E2135" s="33" t="n">
        <v>45897</v>
      </c>
      <c r="F2135" s="21" t="s">
        <v>1185</v>
      </c>
      <c r="G2135" s="32" t="n">
        <v>6.5</v>
      </c>
      <c r="H2135" s="21" t="s">
        <v>113</v>
      </c>
      <c r="I2135" s="33" t="n">
        <v>45923</v>
      </c>
      <c r="J2135" s="21" t="str">
        <f aca="false">INDEX(Students!$C$2:$C$601,MATCH(B2135,Students!$A$2:$A$601,0))</f>
        <v>Batch 2026</v>
      </c>
      <c r="K2135" s="21" t="str">
        <f aca="false">INDEX(Students!$D$2:$D$601,MATCH(B2135,Students!$A$2:$A$601,0))</f>
        <v>Full Stack Development</v>
      </c>
      <c r="L2135" s="21" t="str">
        <f aca="false">INDEX(Companies!$C$2:$C$31,MATCH(C2135,Companies!$A$2:$A$31,0))</f>
        <v>IT Services</v>
      </c>
      <c r="M2135" s="21" t="str">
        <f aca="false">INDEX(Companies!$D$2:$D$31,MATCH(C2135,Companies!$A$2:$A$31,0))</f>
        <v>Tier 3</v>
      </c>
      <c r="N2135" s="34" t="n">
        <f aca="false">MATCH(F2135,Assumptions!$K$4:$K$8,0)</f>
        <v>5</v>
      </c>
      <c r="O2135" s="21" t="str">
        <f aca="false">IF(H2135="Yes",MONTH(I2135),"")</f>
        <v/>
      </c>
      <c r="P2135" s="21" t="str">
        <f aca="false">IF(H2135="Yes",B2135,"")</f>
        <v/>
      </c>
    </row>
    <row r="2136" customFormat="false" ht="15" hidden="false" customHeight="false" outlineLevel="0" collapsed="false">
      <c r="A2136" s="21" t="s">
        <v>3351</v>
      </c>
      <c r="B2136" s="21" t="s">
        <v>824</v>
      </c>
      <c r="C2136" s="21" t="s">
        <v>1216</v>
      </c>
      <c r="D2136" s="21" t="s">
        <v>1191</v>
      </c>
      <c r="E2136" s="33" t="n">
        <v>45897</v>
      </c>
      <c r="F2136" s="21" t="s">
        <v>1185</v>
      </c>
      <c r="G2136" s="32" t="n">
        <v>5.8</v>
      </c>
      <c r="H2136" s="21" t="s">
        <v>113</v>
      </c>
      <c r="I2136" s="33" t="n">
        <v>45924</v>
      </c>
      <c r="J2136" s="21" t="str">
        <f aca="false">INDEX(Students!$C$2:$C$601,MATCH(B2136,Students!$A$2:$A$601,0))</f>
        <v>Batch 2026</v>
      </c>
      <c r="K2136" s="21" t="str">
        <f aca="false">INDEX(Students!$D$2:$D$601,MATCH(B2136,Students!$A$2:$A$601,0))</f>
        <v>DSA with Java</v>
      </c>
      <c r="L2136" s="21" t="str">
        <f aca="false">INDEX(Companies!$C$2:$C$31,MATCH(C2136,Companies!$A$2:$A$31,0))</f>
        <v>IT Services</v>
      </c>
      <c r="M2136" s="21" t="str">
        <f aca="false">INDEX(Companies!$D$2:$D$31,MATCH(C2136,Companies!$A$2:$A$31,0))</f>
        <v>Tier 3</v>
      </c>
      <c r="N2136" s="34" t="n">
        <f aca="false">MATCH(F2136,Assumptions!$K$4:$K$8,0)</f>
        <v>5</v>
      </c>
      <c r="O2136" s="21" t="str">
        <f aca="false">IF(H2136="Yes",MONTH(I2136),"")</f>
        <v/>
      </c>
      <c r="P2136" s="21" t="str">
        <f aca="false">IF(H2136="Yes",B2136,"")</f>
        <v/>
      </c>
    </row>
    <row r="2137" customFormat="false" ht="15" hidden="false" customHeight="false" outlineLevel="0" collapsed="false">
      <c r="A2137" s="21" t="s">
        <v>3352</v>
      </c>
      <c r="B2137" s="21" t="s">
        <v>915</v>
      </c>
      <c r="C2137" s="21" t="s">
        <v>1180</v>
      </c>
      <c r="D2137" s="21" t="s">
        <v>1209</v>
      </c>
      <c r="E2137" s="33" t="n">
        <v>45897</v>
      </c>
      <c r="F2137" s="21" t="s">
        <v>1185</v>
      </c>
      <c r="G2137" s="32" t="n">
        <v>5.4</v>
      </c>
      <c r="H2137" s="21" t="s">
        <v>113</v>
      </c>
      <c r="I2137" s="33" t="n">
        <v>45925</v>
      </c>
      <c r="J2137" s="21" t="str">
        <f aca="false">INDEX(Students!$C$2:$C$601,MATCH(B2137,Students!$A$2:$A$601,0))</f>
        <v>Batch 2026</v>
      </c>
      <c r="K2137" s="21" t="str">
        <f aca="false">INDEX(Students!$D$2:$D$601,MATCH(B2137,Students!$A$2:$A$601,0))</f>
        <v>Data Analytics</v>
      </c>
      <c r="L2137" s="21" t="str">
        <f aca="false">INDEX(Companies!$C$2:$C$31,MATCH(C2137,Companies!$A$2:$A$31,0))</f>
        <v>IT Services</v>
      </c>
      <c r="M2137" s="21" t="str">
        <f aca="false">INDEX(Companies!$D$2:$D$31,MATCH(C2137,Companies!$A$2:$A$31,0))</f>
        <v>Tier 3</v>
      </c>
      <c r="N2137" s="34" t="n">
        <f aca="false">MATCH(F2137,Assumptions!$K$4:$K$8,0)</f>
        <v>5</v>
      </c>
      <c r="O2137" s="21" t="str">
        <f aca="false">IF(H2137="Yes",MONTH(I2137),"")</f>
        <v/>
      </c>
      <c r="P2137" s="21" t="str">
        <f aca="false">IF(H2137="Yes",B2137,"")</f>
        <v/>
      </c>
    </row>
    <row r="2138" customFormat="false" ht="15" hidden="false" customHeight="false" outlineLevel="0" collapsed="false">
      <c r="A2138" s="21" t="s">
        <v>3353</v>
      </c>
      <c r="B2138" s="21" t="s">
        <v>930</v>
      </c>
      <c r="C2138" s="21" t="s">
        <v>1230</v>
      </c>
      <c r="D2138" s="21" t="s">
        <v>1209</v>
      </c>
      <c r="E2138" s="33" t="n">
        <v>45897</v>
      </c>
      <c r="F2138" s="21" t="s">
        <v>1185</v>
      </c>
      <c r="G2138" s="32" t="n">
        <v>4.6</v>
      </c>
      <c r="H2138" s="21" t="s">
        <v>120</v>
      </c>
      <c r="I2138" s="33" t="n">
        <v>45940</v>
      </c>
      <c r="J2138" s="21" t="str">
        <f aca="false">INDEX(Students!$C$2:$C$601,MATCH(B2138,Students!$A$2:$A$601,0))</f>
        <v>Batch 2026</v>
      </c>
      <c r="K2138" s="21" t="str">
        <f aca="false">INDEX(Students!$D$2:$D$601,MATCH(B2138,Students!$A$2:$A$601,0))</f>
        <v>Data Analytics</v>
      </c>
      <c r="L2138" s="21" t="str">
        <f aca="false">INDEX(Companies!$C$2:$C$31,MATCH(C2138,Companies!$A$2:$A$31,0))</f>
        <v>IT Services</v>
      </c>
      <c r="M2138" s="21" t="str">
        <f aca="false">INDEX(Companies!$D$2:$D$31,MATCH(C2138,Companies!$A$2:$A$31,0))</f>
        <v>Tier 3</v>
      </c>
      <c r="N2138" s="34" t="n">
        <f aca="false">MATCH(F2138,Assumptions!$K$4:$K$8,0)</f>
        <v>5</v>
      </c>
      <c r="O2138" s="21" t="n">
        <f aca="false">IF(H2138="Yes",MONTH(I2138),"")</f>
        <v>10</v>
      </c>
      <c r="P2138" s="21" t="str">
        <f aca="false">IF(H2138="Yes",B2138,"")</f>
        <v>S0457</v>
      </c>
    </row>
    <row r="2139" customFormat="false" ht="15" hidden="false" customHeight="false" outlineLevel="0" collapsed="false">
      <c r="A2139" s="21" t="s">
        <v>3354</v>
      </c>
      <c r="B2139" s="21" t="s">
        <v>1008</v>
      </c>
      <c r="C2139" s="21" t="s">
        <v>1255</v>
      </c>
      <c r="D2139" s="21" t="s">
        <v>1184</v>
      </c>
      <c r="E2139" s="33" t="n">
        <v>45897</v>
      </c>
      <c r="F2139" s="21" t="s">
        <v>1185</v>
      </c>
      <c r="G2139" s="32" t="n">
        <v>5.7</v>
      </c>
      <c r="H2139" s="21" t="s">
        <v>120</v>
      </c>
      <c r="I2139" s="33" t="n">
        <v>45931</v>
      </c>
      <c r="J2139" s="21" t="str">
        <f aca="false">INDEX(Students!$C$2:$C$601,MATCH(B2139,Students!$A$2:$A$601,0))</f>
        <v>Batch 2026</v>
      </c>
      <c r="K2139" s="21" t="str">
        <f aca="false">INDEX(Students!$D$2:$D$601,MATCH(B2139,Students!$A$2:$A$601,0))</f>
        <v>DSA with Java</v>
      </c>
      <c r="L2139" s="21" t="str">
        <f aca="false">INDEX(Companies!$C$2:$C$31,MATCH(C2139,Companies!$A$2:$A$31,0))</f>
        <v>IT Services</v>
      </c>
      <c r="M2139" s="21" t="str">
        <f aca="false">INDEX(Companies!$D$2:$D$31,MATCH(C2139,Companies!$A$2:$A$31,0))</f>
        <v>Tier 3</v>
      </c>
      <c r="N2139" s="34" t="n">
        <f aca="false">MATCH(F2139,Assumptions!$K$4:$K$8,0)</f>
        <v>5</v>
      </c>
      <c r="O2139" s="21" t="n">
        <f aca="false">IF(H2139="Yes",MONTH(I2139),"")</f>
        <v>10</v>
      </c>
      <c r="P2139" s="21" t="str">
        <f aca="false">IF(H2139="Yes",B2139,"")</f>
        <v>S0505</v>
      </c>
    </row>
    <row r="2140" customFormat="false" ht="15" hidden="false" customHeight="false" outlineLevel="0" collapsed="false">
      <c r="A2140" s="21" t="s">
        <v>3355</v>
      </c>
      <c r="B2140" s="21" t="s">
        <v>1086</v>
      </c>
      <c r="C2140" s="21" t="s">
        <v>1205</v>
      </c>
      <c r="D2140" s="21" t="s">
        <v>1240</v>
      </c>
      <c r="E2140" s="33" t="n">
        <v>45897</v>
      </c>
      <c r="F2140" s="21" t="s">
        <v>1178</v>
      </c>
      <c r="G2140" s="32"/>
      <c r="H2140" s="21"/>
      <c r="I2140" s="33"/>
      <c r="J2140" s="21" t="str">
        <f aca="false">INDEX(Students!$C$2:$C$601,MATCH(B2140,Students!$A$2:$A$601,0))</f>
        <v>Batch 2026</v>
      </c>
      <c r="K2140" s="21" t="str">
        <f aca="false">INDEX(Students!$D$2:$D$601,MATCH(B2140,Students!$A$2:$A$601,0))</f>
        <v>Cybersecurity</v>
      </c>
      <c r="L2140" s="21" t="str">
        <f aca="false">INDEX(Companies!$C$2:$C$31,MATCH(C2140,Companies!$A$2:$A$31,0))</f>
        <v>Healthtech</v>
      </c>
      <c r="M2140" s="21" t="str">
        <f aca="false">INDEX(Companies!$D$2:$D$31,MATCH(C2140,Companies!$A$2:$A$31,0))</f>
        <v>Tier 3</v>
      </c>
      <c r="N2140" s="34" t="n">
        <f aca="false">MATCH(F2140,Assumptions!$K$4:$K$8,0)</f>
        <v>2</v>
      </c>
      <c r="O2140" s="21" t="str">
        <f aca="false">IF(H2140="Yes",MONTH(I2140),"")</f>
        <v/>
      </c>
      <c r="P2140" s="21" t="str">
        <f aca="false">IF(H2140="Yes",B2140,"")</f>
        <v/>
      </c>
    </row>
    <row r="2141" customFormat="false" ht="15" hidden="false" customHeight="false" outlineLevel="0" collapsed="false">
      <c r="A2141" s="21" t="s">
        <v>3356</v>
      </c>
      <c r="B2141" s="21" t="s">
        <v>1119</v>
      </c>
      <c r="C2141" s="21" t="s">
        <v>1199</v>
      </c>
      <c r="D2141" s="21" t="s">
        <v>1209</v>
      </c>
      <c r="E2141" s="33" t="n">
        <v>45897</v>
      </c>
      <c r="F2141" s="21" t="s">
        <v>1175</v>
      </c>
      <c r="G2141" s="32"/>
      <c r="H2141" s="21"/>
      <c r="I2141" s="33"/>
      <c r="J2141" s="21" t="str">
        <f aca="false">INDEX(Students!$C$2:$C$601,MATCH(B2141,Students!$A$2:$A$601,0))</f>
        <v>Batch 2026</v>
      </c>
      <c r="K2141" s="21" t="str">
        <f aca="false">INDEX(Students!$D$2:$D$601,MATCH(B2141,Students!$A$2:$A$601,0))</f>
        <v>Data Analytics</v>
      </c>
      <c r="L2141" s="21" t="str">
        <f aca="false">INDEX(Companies!$C$2:$C$31,MATCH(C2141,Companies!$A$2:$A$31,0))</f>
        <v>E-commerce</v>
      </c>
      <c r="M2141" s="21" t="str">
        <f aca="false">INDEX(Companies!$D$2:$D$31,MATCH(C2141,Companies!$A$2:$A$31,0))</f>
        <v>Tier 2</v>
      </c>
      <c r="N2141" s="34" t="n">
        <f aca="false">MATCH(F2141,Assumptions!$K$4:$K$8,0)</f>
        <v>1</v>
      </c>
      <c r="O2141" s="21" t="str">
        <f aca="false">IF(H2141="Yes",MONTH(I2141),"")</f>
        <v/>
      </c>
      <c r="P2141" s="21" t="str">
        <f aca="false">IF(H2141="Yes",B2141,"")</f>
        <v/>
      </c>
    </row>
    <row r="2142" customFormat="false" ht="15" hidden="false" customHeight="false" outlineLevel="0" collapsed="false">
      <c r="A2142" s="21" t="s">
        <v>3357</v>
      </c>
      <c r="B2142" s="21" t="s">
        <v>910</v>
      </c>
      <c r="C2142" s="21" t="s">
        <v>1228</v>
      </c>
      <c r="D2142" s="21" t="s">
        <v>1181</v>
      </c>
      <c r="E2142" s="33" t="n">
        <v>45898</v>
      </c>
      <c r="F2142" s="21" t="s">
        <v>1178</v>
      </c>
      <c r="G2142" s="32"/>
      <c r="H2142" s="21"/>
      <c r="I2142" s="33"/>
      <c r="J2142" s="21" t="str">
        <f aca="false">INDEX(Students!$C$2:$C$601,MATCH(B2142,Students!$A$2:$A$601,0))</f>
        <v>Batch 2026</v>
      </c>
      <c r="K2142" s="21" t="str">
        <f aca="false">INDEX(Students!$D$2:$D$601,MATCH(B2142,Students!$A$2:$A$601,0))</f>
        <v>Full Stack Development</v>
      </c>
      <c r="L2142" s="21" t="str">
        <f aca="false">INDEX(Companies!$C$2:$C$31,MATCH(C2142,Companies!$A$2:$A$31,0))</f>
        <v>Fintech</v>
      </c>
      <c r="M2142" s="21" t="str">
        <f aca="false">INDEX(Companies!$D$2:$D$31,MATCH(C2142,Companies!$A$2:$A$31,0))</f>
        <v>Tier 1</v>
      </c>
      <c r="N2142" s="34" t="n">
        <f aca="false">MATCH(F2142,Assumptions!$K$4:$K$8,0)</f>
        <v>2</v>
      </c>
      <c r="O2142" s="21" t="str">
        <f aca="false">IF(H2142="Yes",MONTH(I2142),"")</f>
        <v/>
      </c>
      <c r="P2142" s="21" t="str">
        <f aca="false">IF(H2142="Yes",B2142,"")</f>
        <v/>
      </c>
    </row>
    <row r="2143" customFormat="false" ht="15" hidden="false" customHeight="false" outlineLevel="0" collapsed="false">
      <c r="A2143" s="21" t="s">
        <v>3358</v>
      </c>
      <c r="B2143" s="21" t="s">
        <v>1048</v>
      </c>
      <c r="C2143" s="21" t="s">
        <v>1208</v>
      </c>
      <c r="D2143" s="21" t="s">
        <v>1243</v>
      </c>
      <c r="E2143" s="33" t="n">
        <v>45899</v>
      </c>
      <c r="F2143" s="21" t="s">
        <v>1178</v>
      </c>
      <c r="G2143" s="32"/>
      <c r="H2143" s="21"/>
      <c r="I2143" s="33"/>
      <c r="J2143" s="21" t="str">
        <f aca="false">INDEX(Students!$C$2:$C$601,MATCH(B2143,Students!$A$2:$A$601,0))</f>
        <v>Batch 2026</v>
      </c>
      <c r="K2143" s="21" t="str">
        <f aca="false">INDEX(Students!$D$2:$D$601,MATCH(B2143,Students!$A$2:$A$601,0))</f>
        <v>Data Science &amp; ML</v>
      </c>
      <c r="L2143" s="21" t="str">
        <f aca="false">INDEX(Companies!$C$2:$C$31,MATCH(C2143,Companies!$A$2:$A$31,0))</f>
        <v>E-commerce</v>
      </c>
      <c r="M2143" s="21" t="str">
        <f aca="false">INDEX(Companies!$D$2:$D$31,MATCH(C2143,Companies!$A$2:$A$31,0))</f>
        <v>Tier 1</v>
      </c>
      <c r="N2143" s="34" t="n">
        <f aca="false">MATCH(F2143,Assumptions!$K$4:$K$8,0)</f>
        <v>2</v>
      </c>
      <c r="O2143" s="21" t="str">
        <f aca="false">IF(H2143="Yes",MONTH(I2143),"")</f>
        <v/>
      </c>
      <c r="P2143" s="21" t="str">
        <f aca="false">IF(H2143="Yes",B2143,"")</f>
        <v/>
      </c>
    </row>
    <row r="2144" customFormat="false" ht="15" hidden="false" customHeight="false" outlineLevel="0" collapsed="false">
      <c r="A2144" s="21" t="s">
        <v>3359</v>
      </c>
      <c r="B2144" s="21" t="s">
        <v>872</v>
      </c>
      <c r="C2144" s="21" t="s">
        <v>1187</v>
      </c>
      <c r="D2144" s="21" t="s">
        <v>1243</v>
      </c>
      <c r="E2144" s="33" t="n">
        <v>45899</v>
      </c>
      <c r="F2144" s="21" t="s">
        <v>1185</v>
      </c>
      <c r="G2144" s="32" t="n">
        <v>22</v>
      </c>
      <c r="H2144" s="21" t="s">
        <v>120</v>
      </c>
      <c r="I2144" s="33" t="n">
        <v>45920</v>
      </c>
      <c r="J2144" s="21" t="str">
        <f aca="false">INDEX(Students!$C$2:$C$601,MATCH(B2144,Students!$A$2:$A$601,0))</f>
        <v>Batch 2026</v>
      </c>
      <c r="K2144" s="21" t="str">
        <f aca="false">INDEX(Students!$D$2:$D$601,MATCH(B2144,Students!$A$2:$A$601,0))</f>
        <v>Data Science &amp; ML</v>
      </c>
      <c r="L2144" s="21" t="str">
        <f aca="false">INDEX(Companies!$C$2:$C$31,MATCH(C2144,Companies!$A$2:$A$31,0))</f>
        <v>Product</v>
      </c>
      <c r="M2144" s="21" t="str">
        <f aca="false">INDEX(Companies!$D$2:$D$31,MATCH(C2144,Companies!$A$2:$A$31,0))</f>
        <v>Tier 1</v>
      </c>
      <c r="N2144" s="34" t="n">
        <f aca="false">MATCH(F2144,Assumptions!$K$4:$K$8,0)</f>
        <v>5</v>
      </c>
      <c r="O2144" s="21" t="n">
        <f aca="false">IF(H2144="Yes",MONTH(I2144),"")</f>
        <v>9</v>
      </c>
      <c r="P2144" s="21" t="str">
        <f aca="false">IF(H2144="Yes",B2144,"")</f>
        <v>S0421</v>
      </c>
    </row>
    <row r="2145" customFormat="false" ht="15" hidden="false" customHeight="false" outlineLevel="0" collapsed="false">
      <c r="A2145" s="21" t="s">
        <v>3360</v>
      </c>
      <c r="B2145" s="21" t="s">
        <v>821</v>
      </c>
      <c r="C2145" s="21" t="s">
        <v>1216</v>
      </c>
      <c r="D2145" s="21" t="s">
        <v>1184</v>
      </c>
      <c r="E2145" s="33" t="n">
        <v>45899</v>
      </c>
      <c r="F2145" s="21" t="s">
        <v>1185</v>
      </c>
      <c r="G2145" s="32" t="n">
        <v>5.9</v>
      </c>
      <c r="H2145" s="21" t="s">
        <v>113</v>
      </c>
      <c r="I2145" s="33" t="n">
        <v>45929</v>
      </c>
      <c r="J2145" s="21" t="str">
        <f aca="false">INDEX(Students!$C$2:$C$601,MATCH(B2145,Students!$A$2:$A$601,0))</f>
        <v>Batch 2026</v>
      </c>
      <c r="K2145" s="21" t="str">
        <f aca="false">INDEX(Students!$D$2:$D$601,MATCH(B2145,Students!$A$2:$A$601,0))</f>
        <v>DSA with Java</v>
      </c>
      <c r="L2145" s="21" t="str">
        <f aca="false">INDEX(Companies!$C$2:$C$31,MATCH(C2145,Companies!$A$2:$A$31,0))</f>
        <v>IT Services</v>
      </c>
      <c r="M2145" s="21" t="str">
        <f aca="false">INDEX(Companies!$D$2:$D$31,MATCH(C2145,Companies!$A$2:$A$31,0))</f>
        <v>Tier 3</v>
      </c>
      <c r="N2145" s="34" t="n">
        <f aca="false">MATCH(F2145,Assumptions!$K$4:$K$8,0)</f>
        <v>5</v>
      </c>
      <c r="O2145" s="21" t="str">
        <f aca="false">IF(H2145="Yes",MONTH(I2145),"")</f>
        <v/>
      </c>
      <c r="P2145" s="21" t="str">
        <f aca="false">IF(H2145="Yes",B2145,"")</f>
        <v/>
      </c>
    </row>
    <row r="2146" customFormat="false" ht="15" hidden="false" customHeight="false" outlineLevel="0" collapsed="false">
      <c r="A2146" s="21" t="s">
        <v>3361</v>
      </c>
      <c r="B2146" s="21" t="s">
        <v>890</v>
      </c>
      <c r="C2146" s="21" t="s">
        <v>1275</v>
      </c>
      <c r="D2146" s="21" t="s">
        <v>1191</v>
      </c>
      <c r="E2146" s="33" t="n">
        <v>45899</v>
      </c>
      <c r="F2146" s="21" t="s">
        <v>1185</v>
      </c>
      <c r="G2146" s="32" t="n">
        <v>15</v>
      </c>
      <c r="H2146" s="21" t="s">
        <v>120</v>
      </c>
      <c r="I2146" s="33" t="n">
        <v>45932</v>
      </c>
      <c r="J2146" s="21" t="str">
        <f aca="false">INDEX(Students!$C$2:$C$601,MATCH(B2146,Students!$A$2:$A$601,0))</f>
        <v>Batch 2026</v>
      </c>
      <c r="K2146" s="21" t="str">
        <f aca="false">INDEX(Students!$D$2:$D$601,MATCH(B2146,Students!$A$2:$A$601,0))</f>
        <v>DSA with Java</v>
      </c>
      <c r="L2146" s="21" t="str">
        <f aca="false">INDEX(Companies!$C$2:$C$31,MATCH(C2146,Companies!$A$2:$A$31,0))</f>
        <v>Cybersecurity</v>
      </c>
      <c r="M2146" s="21" t="str">
        <f aca="false">INDEX(Companies!$D$2:$D$31,MATCH(C2146,Companies!$A$2:$A$31,0))</f>
        <v>Tier 2</v>
      </c>
      <c r="N2146" s="34" t="n">
        <f aca="false">MATCH(F2146,Assumptions!$K$4:$K$8,0)</f>
        <v>5</v>
      </c>
      <c r="O2146" s="21" t="n">
        <f aca="false">IF(H2146="Yes",MONTH(I2146),"")</f>
        <v>10</v>
      </c>
      <c r="P2146" s="21" t="str">
        <f aca="false">IF(H2146="Yes",B2146,"")</f>
        <v>S0430</v>
      </c>
    </row>
    <row r="2147" customFormat="false" ht="15" hidden="false" customHeight="false" outlineLevel="0" collapsed="false">
      <c r="A2147" s="21" t="s">
        <v>3362</v>
      </c>
      <c r="B2147" s="21" t="s">
        <v>1154</v>
      </c>
      <c r="C2147" s="21" t="s">
        <v>1180</v>
      </c>
      <c r="D2147" s="21" t="s">
        <v>1188</v>
      </c>
      <c r="E2147" s="33" t="n">
        <v>45900</v>
      </c>
      <c r="F2147" s="21" t="s">
        <v>1178</v>
      </c>
      <c r="G2147" s="32"/>
      <c r="H2147" s="21"/>
      <c r="I2147" s="33"/>
      <c r="J2147" s="21" t="str">
        <f aca="false">INDEX(Students!$C$2:$C$601,MATCH(B2147,Students!$A$2:$A$601,0))</f>
        <v>Batch 2026</v>
      </c>
      <c r="K2147" s="21" t="str">
        <f aca="false">INDEX(Students!$D$2:$D$601,MATCH(B2147,Students!$A$2:$A$601,0))</f>
        <v>Data Analytics</v>
      </c>
      <c r="L2147" s="21" t="str">
        <f aca="false">INDEX(Companies!$C$2:$C$31,MATCH(C2147,Companies!$A$2:$A$31,0))</f>
        <v>IT Services</v>
      </c>
      <c r="M2147" s="21" t="str">
        <f aca="false">INDEX(Companies!$D$2:$D$31,MATCH(C2147,Companies!$A$2:$A$31,0))</f>
        <v>Tier 3</v>
      </c>
      <c r="N2147" s="34" t="n">
        <f aca="false">MATCH(F2147,Assumptions!$K$4:$K$8,0)</f>
        <v>2</v>
      </c>
      <c r="O2147" s="21" t="str">
        <f aca="false">IF(H2147="Yes",MONTH(I2147),"")</f>
        <v/>
      </c>
      <c r="P2147" s="21" t="str">
        <f aca="false">IF(H2147="Yes",B2147,"")</f>
        <v/>
      </c>
    </row>
    <row r="2148" customFormat="false" ht="15" hidden="false" customHeight="false" outlineLevel="0" collapsed="false">
      <c r="A2148" s="21" t="s">
        <v>3363</v>
      </c>
      <c r="B2148" s="21" t="s">
        <v>1013</v>
      </c>
      <c r="C2148" s="21" t="s">
        <v>1214</v>
      </c>
      <c r="D2148" s="21" t="s">
        <v>1209</v>
      </c>
      <c r="E2148" s="33" t="n">
        <v>45900</v>
      </c>
      <c r="F2148" s="21" t="s">
        <v>1175</v>
      </c>
      <c r="G2148" s="32"/>
      <c r="H2148" s="21"/>
      <c r="I2148" s="33"/>
      <c r="J2148" s="21" t="str">
        <f aca="false">INDEX(Students!$C$2:$C$601,MATCH(B2148,Students!$A$2:$A$601,0))</f>
        <v>Batch 2026</v>
      </c>
      <c r="K2148" s="21" t="str">
        <f aca="false">INDEX(Students!$D$2:$D$601,MATCH(B2148,Students!$A$2:$A$601,0))</f>
        <v>Data Analytics</v>
      </c>
      <c r="L2148" s="21" t="str">
        <f aca="false">INDEX(Companies!$C$2:$C$31,MATCH(C2148,Companies!$A$2:$A$31,0))</f>
        <v>Product</v>
      </c>
      <c r="M2148" s="21" t="str">
        <f aca="false">INDEX(Companies!$D$2:$D$31,MATCH(C2148,Companies!$A$2:$A$31,0))</f>
        <v>Tier 1</v>
      </c>
      <c r="N2148" s="34" t="n">
        <f aca="false">MATCH(F2148,Assumptions!$K$4:$K$8,0)</f>
        <v>1</v>
      </c>
      <c r="O2148" s="21" t="str">
        <f aca="false">IF(H2148="Yes",MONTH(I2148),"")</f>
        <v/>
      </c>
      <c r="P2148" s="21" t="str">
        <f aca="false">IF(H2148="Yes",B2148,"")</f>
        <v/>
      </c>
    </row>
    <row r="2149" customFormat="false" ht="15" hidden="false" customHeight="false" outlineLevel="0" collapsed="false">
      <c r="A2149" s="21" t="s">
        <v>3364</v>
      </c>
      <c r="B2149" s="21" t="s">
        <v>928</v>
      </c>
      <c r="C2149" s="21" t="s">
        <v>1203</v>
      </c>
      <c r="D2149" s="21" t="s">
        <v>1181</v>
      </c>
      <c r="E2149" s="33" t="n">
        <v>45900</v>
      </c>
      <c r="F2149" s="21" t="s">
        <v>1175</v>
      </c>
      <c r="G2149" s="32"/>
      <c r="H2149" s="21"/>
      <c r="I2149" s="33"/>
      <c r="J2149" s="21" t="str">
        <f aca="false">INDEX(Students!$C$2:$C$601,MATCH(B2149,Students!$A$2:$A$601,0))</f>
        <v>Batch 2026</v>
      </c>
      <c r="K2149" s="21" t="str">
        <f aca="false">INDEX(Students!$D$2:$D$601,MATCH(B2149,Students!$A$2:$A$601,0))</f>
        <v>Full Stack Development</v>
      </c>
      <c r="L2149" s="21" t="str">
        <f aca="false">INDEX(Companies!$C$2:$C$31,MATCH(C2149,Companies!$A$2:$A$31,0))</f>
        <v>Healthtech</v>
      </c>
      <c r="M2149" s="21" t="str">
        <f aca="false">INDEX(Companies!$D$2:$D$31,MATCH(C2149,Companies!$A$2:$A$31,0))</f>
        <v>Tier 2</v>
      </c>
      <c r="N2149" s="34" t="n">
        <f aca="false">MATCH(F2149,Assumptions!$K$4:$K$8,0)</f>
        <v>1</v>
      </c>
      <c r="O2149" s="21" t="str">
        <f aca="false">IF(H2149="Yes",MONTH(I2149),"")</f>
        <v/>
      </c>
      <c r="P2149" s="21" t="str">
        <f aca="false">IF(H2149="Yes",B2149,"")</f>
        <v/>
      </c>
    </row>
    <row r="2150" customFormat="false" ht="15" hidden="false" customHeight="false" outlineLevel="0" collapsed="false">
      <c r="A2150" s="21" t="s">
        <v>3365</v>
      </c>
      <c r="B2150" s="21" t="s">
        <v>812</v>
      </c>
      <c r="C2150" s="21" t="s">
        <v>1290</v>
      </c>
      <c r="D2150" s="21" t="s">
        <v>1174</v>
      </c>
      <c r="E2150" s="33" t="n">
        <v>45900</v>
      </c>
      <c r="F2150" s="21" t="s">
        <v>1185</v>
      </c>
      <c r="G2150" s="32" t="n">
        <v>12.5</v>
      </c>
      <c r="H2150" s="21" t="s">
        <v>120</v>
      </c>
      <c r="I2150" s="33" t="n">
        <v>45937</v>
      </c>
      <c r="J2150" s="21" t="str">
        <f aca="false">INDEX(Students!$C$2:$C$601,MATCH(B2150,Students!$A$2:$A$601,0))</f>
        <v>Batch 2026</v>
      </c>
      <c r="K2150" s="21" t="str">
        <f aca="false">INDEX(Students!$D$2:$D$601,MATCH(B2150,Students!$A$2:$A$601,0))</f>
        <v>Full Stack Development</v>
      </c>
      <c r="L2150" s="21" t="str">
        <f aca="false">INDEX(Companies!$C$2:$C$31,MATCH(C2150,Companies!$A$2:$A$31,0))</f>
        <v>Fintech</v>
      </c>
      <c r="M2150" s="21" t="str">
        <f aca="false">INDEX(Companies!$D$2:$D$31,MATCH(C2150,Companies!$A$2:$A$31,0))</f>
        <v>Tier 2</v>
      </c>
      <c r="N2150" s="34" t="n">
        <f aca="false">MATCH(F2150,Assumptions!$K$4:$K$8,0)</f>
        <v>5</v>
      </c>
      <c r="O2150" s="21" t="n">
        <f aca="false">IF(H2150="Yes",MONTH(I2150),"")</f>
        <v>10</v>
      </c>
      <c r="P2150" s="21" t="str">
        <f aca="false">IF(H2150="Yes",B2150,"")</f>
        <v>S0383</v>
      </c>
    </row>
    <row r="2151" customFormat="false" ht="15" hidden="false" customHeight="false" outlineLevel="0" collapsed="false">
      <c r="A2151" s="21" t="s">
        <v>3366</v>
      </c>
      <c r="B2151" s="21" t="s">
        <v>1067</v>
      </c>
      <c r="C2151" s="21" t="s">
        <v>1187</v>
      </c>
      <c r="D2151" s="21" t="s">
        <v>1174</v>
      </c>
      <c r="E2151" s="33" t="n">
        <v>45900</v>
      </c>
      <c r="F2151" s="21" t="s">
        <v>1175</v>
      </c>
      <c r="G2151" s="32"/>
      <c r="H2151" s="21"/>
      <c r="I2151" s="33"/>
      <c r="J2151" s="21" t="str">
        <f aca="false">INDEX(Students!$C$2:$C$601,MATCH(B2151,Students!$A$2:$A$601,0))</f>
        <v>Batch 2026</v>
      </c>
      <c r="K2151" s="21" t="str">
        <f aca="false">INDEX(Students!$D$2:$D$601,MATCH(B2151,Students!$A$2:$A$601,0))</f>
        <v>Full Stack Development</v>
      </c>
      <c r="L2151" s="21" t="str">
        <f aca="false">INDEX(Companies!$C$2:$C$31,MATCH(C2151,Companies!$A$2:$A$31,0))</f>
        <v>Product</v>
      </c>
      <c r="M2151" s="21" t="str">
        <f aca="false">INDEX(Companies!$D$2:$D$31,MATCH(C2151,Companies!$A$2:$A$31,0))</f>
        <v>Tier 1</v>
      </c>
      <c r="N2151" s="34" t="n">
        <f aca="false">MATCH(F2151,Assumptions!$K$4:$K$8,0)</f>
        <v>1</v>
      </c>
      <c r="O2151" s="21" t="str">
        <f aca="false">IF(H2151="Yes",MONTH(I2151),"")</f>
        <v/>
      </c>
      <c r="P2151" s="21" t="str">
        <f aca="false">IF(H2151="Yes",B2151,"")</f>
        <v/>
      </c>
    </row>
    <row r="2152" customFormat="false" ht="15" hidden="false" customHeight="false" outlineLevel="0" collapsed="false">
      <c r="A2152" s="21" t="s">
        <v>3367</v>
      </c>
      <c r="B2152" s="21" t="s">
        <v>1091</v>
      </c>
      <c r="C2152" s="21" t="s">
        <v>1208</v>
      </c>
      <c r="D2152" s="21" t="s">
        <v>1181</v>
      </c>
      <c r="E2152" s="33" t="n">
        <v>45900</v>
      </c>
      <c r="F2152" s="21" t="s">
        <v>1175</v>
      </c>
      <c r="G2152" s="32"/>
      <c r="H2152" s="21"/>
      <c r="I2152" s="33"/>
      <c r="J2152" s="21" t="str">
        <f aca="false">INDEX(Students!$C$2:$C$601,MATCH(B2152,Students!$A$2:$A$601,0))</f>
        <v>Batch 2026</v>
      </c>
      <c r="K2152" s="21" t="str">
        <f aca="false">INDEX(Students!$D$2:$D$601,MATCH(B2152,Students!$A$2:$A$601,0))</f>
        <v>Full Stack Development</v>
      </c>
      <c r="L2152" s="21" t="str">
        <f aca="false">INDEX(Companies!$C$2:$C$31,MATCH(C2152,Companies!$A$2:$A$31,0))</f>
        <v>E-commerce</v>
      </c>
      <c r="M2152" s="21" t="str">
        <f aca="false">INDEX(Companies!$D$2:$D$31,MATCH(C2152,Companies!$A$2:$A$31,0))</f>
        <v>Tier 1</v>
      </c>
      <c r="N2152" s="34" t="n">
        <f aca="false">MATCH(F2152,Assumptions!$K$4:$K$8,0)</f>
        <v>1</v>
      </c>
      <c r="O2152" s="21" t="str">
        <f aca="false">IF(H2152="Yes",MONTH(I2152),"")</f>
        <v/>
      </c>
      <c r="P2152" s="21" t="str">
        <f aca="false">IF(H2152="Yes",B2152,"")</f>
        <v/>
      </c>
    </row>
    <row r="2153" customFormat="false" ht="15" hidden="false" customHeight="false" outlineLevel="0" collapsed="false">
      <c r="A2153" s="21" t="s">
        <v>3368</v>
      </c>
      <c r="B2153" s="21" t="s">
        <v>1154</v>
      </c>
      <c r="C2153" s="21" t="s">
        <v>1225</v>
      </c>
      <c r="D2153" s="21" t="s">
        <v>1209</v>
      </c>
      <c r="E2153" s="33" t="n">
        <v>45900</v>
      </c>
      <c r="F2153" s="21" t="s">
        <v>1178</v>
      </c>
      <c r="G2153" s="32"/>
      <c r="H2153" s="21"/>
      <c r="I2153" s="33"/>
      <c r="J2153" s="21" t="str">
        <f aca="false">INDEX(Students!$C$2:$C$601,MATCH(B2153,Students!$A$2:$A$601,0))</f>
        <v>Batch 2026</v>
      </c>
      <c r="K2153" s="21" t="str">
        <f aca="false">INDEX(Students!$D$2:$D$601,MATCH(B2153,Students!$A$2:$A$601,0))</f>
        <v>Data Analytics</v>
      </c>
      <c r="L2153" s="21" t="str">
        <f aca="false">INDEX(Companies!$C$2:$C$31,MATCH(C2153,Companies!$A$2:$A$31,0))</f>
        <v>EdTech</v>
      </c>
      <c r="M2153" s="21" t="str">
        <f aca="false">INDEX(Companies!$D$2:$D$31,MATCH(C2153,Companies!$A$2:$A$31,0))</f>
        <v>Tier 2</v>
      </c>
      <c r="N2153" s="34" t="n">
        <f aca="false">MATCH(F2153,Assumptions!$K$4:$K$8,0)</f>
        <v>2</v>
      </c>
      <c r="O2153" s="21" t="str">
        <f aca="false">IF(H2153="Yes",MONTH(I2153),"")</f>
        <v/>
      </c>
      <c r="P2153" s="21" t="str">
        <f aca="false">IF(H2153="Yes",B2153,"")</f>
        <v/>
      </c>
    </row>
    <row r="2154" customFormat="false" ht="15" hidden="false" customHeight="false" outlineLevel="0" collapsed="false">
      <c r="A2154" s="21" t="s">
        <v>3369</v>
      </c>
      <c r="B2154" s="21" t="s">
        <v>876</v>
      </c>
      <c r="C2154" s="21" t="s">
        <v>1230</v>
      </c>
      <c r="D2154" s="21" t="s">
        <v>1184</v>
      </c>
      <c r="E2154" s="33" t="n">
        <v>45900</v>
      </c>
      <c r="F2154" s="21" t="s">
        <v>1185</v>
      </c>
      <c r="G2154" s="32" t="n">
        <v>7.2</v>
      </c>
      <c r="H2154" s="21" t="s">
        <v>113</v>
      </c>
      <c r="I2154" s="33" t="n">
        <v>45942</v>
      </c>
      <c r="J2154" s="21" t="str">
        <f aca="false">INDEX(Students!$C$2:$C$601,MATCH(B2154,Students!$A$2:$A$601,0))</f>
        <v>Batch 2026</v>
      </c>
      <c r="K2154" s="21" t="str">
        <f aca="false">INDEX(Students!$D$2:$D$601,MATCH(B2154,Students!$A$2:$A$601,0))</f>
        <v>DSA with Java</v>
      </c>
      <c r="L2154" s="21" t="str">
        <f aca="false">INDEX(Companies!$C$2:$C$31,MATCH(C2154,Companies!$A$2:$A$31,0))</f>
        <v>IT Services</v>
      </c>
      <c r="M2154" s="21" t="str">
        <f aca="false">INDEX(Companies!$D$2:$D$31,MATCH(C2154,Companies!$A$2:$A$31,0))</f>
        <v>Tier 3</v>
      </c>
      <c r="N2154" s="34" t="n">
        <f aca="false">MATCH(F2154,Assumptions!$K$4:$K$8,0)</f>
        <v>5</v>
      </c>
      <c r="O2154" s="21" t="str">
        <f aca="false">IF(H2154="Yes",MONTH(I2154),"")</f>
        <v/>
      </c>
      <c r="P2154" s="21" t="str">
        <f aca="false">IF(H2154="Yes",B2154,"")</f>
        <v/>
      </c>
    </row>
    <row r="2155" customFormat="false" ht="15" hidden="false" customHeight="false" outlineLevel="0" collapsed="false">
      <c r="A2155" s="21" t="s">
        <v>3370</v>
      </c>
      <c r="B2155" s="21" t="s">
        <v>1130</v>
      </c>
      <c r="C2155" s="21" t="s">
        <v>1225</v>
      </c>
      <c r="D2155" s="21" t="s">
        <v>1209</v>
      </c>
      <c r="E2155" s="33" t="n">
        <v>45900</v>
      </c>
      <c r="F2155" s="21" t="s">
        <v>1178</v>
      </c>
      <c r="G2155" s="32"/>
      <c r="H2155" s="21"/>
      <c r="I2155" s="33"/>
      <c r="J2155" s="21" t="str">
        <f aca="false">INDEX(Students!$C$2:$C$601,MATCH(B2155,Students!$A$2:$A$601,0))</f>
        <v>Batch 2026</v>
      </c>
      <c r="K2155" s="21" t="str">
        <f aca="false">INDEX(Students!$D$2:$D$601,MATCH(B2155,Students!$A$2:$A$601,0))</f>
        <v>Data Analytics</v>
      </c>
      <c r="L2155" s="21" t="str">
        <f aca="false">INDEX(Companies!$C$2:$C$31,MATCH(C2155,Companies!$A$2:$A$31,0))</f>
        <v>EdTech</v>
      </c>
      <c r="M2155" s="21" t="str">
        <f aca="false">INDEX(Companies!$D$2:$D$31,MATCH(C2155,Companies!$A$2:$A$31,0))</f>
        <v>Tier 2</v>
      </c>
      <c r="N2155" s="34" t="n">
        <f aca="false">MATCH(F2155,Assumptions!$K$4:$K$8,0)</f>
        <v>2</v>
      </c>
      <c r="O2155" s="21" t="str">
        <f aca="false">IF(H2155="Yes",MONTH(I2155),"")</f>
        <v/>
      </c>
      <c r="P2155" s="21" t="str">
        <f aca="false">IF(H2155="Yes",B2155,"")</f>
        <v/>
      </c>
    </row>
    <row r="2156" customFormat="false" ht="15" hidden="false" customHeight="false" outlineLevel="0" collapsed="false">
      <c r="A2156" s="21" t="s">
        <v>3371</v>
      </c>
      <c r="B2156" s="21" t="s">
        <v>902</v>
      </c>
      <c r="C2156" s="21" t="s">
        <v>1211</v>
      </c>
      <c r="D2156" s="21" t="s">
        <v>1209</v>
      </c>
      <c r="E2156" s="33" t="n">
        <v>45901</v>
      </c>
      <c r="F2156" s="21" t="s">
        <v>1175</v>
      </c>
      <c r="G2156" s="32"/>
      <c r="H2156" s="21"/>
      <c r="I2156" s="33"/>
      <c r="J2156" s="21" t="str">
        <f aca="false">INDEX(Students!$C$2:$C$601,MATCH(B2156,Students!$A$2:$A$601,0))</f>
        <v>Batch 2026</v>
      </c>
      <c r="K2156" s="21" t="str">
        <f aca="false">INDEX(Students!$D$2:$D$601,MATCH(B2156,Students!$A$2:$A$601,0))</f>
        <v>Data Analytics</v>
      </c>
      <c r="L2156" s="21" t="str">
        <f aca="false">INDEX(Companies!$C$2:$C$31,MATCH(C2156,Companies!$A$2:$A$31,0))</f>
        <v>Analytics &amp; Consulting</v>
      </c>
      <c r="M2156" s="21" t="str">
        <f aca="false">INDEX(Companies!$D$2:$D$31,MATCH(C2156,Companies!$A$2:$A$31,0))</f>
        <v>Tier 3</v>
      </c>
      <c r="N2156" s="34" t="n">
        <f aca="false">MATCH(F2156,Assumptions!$K$4:$K$8,0)</f>
        <v>1</v>
      </c>
      <c r="O2156" s="21" t="str">
        <f aca="false">IF(H2156="Yes",MONTH(I2156),"")</f>
        <v/>
      </c>
      <c r="P2156" s="21" t="str">
        <f aca="false">IF(H2156="Yes",B2156,"")</f>
        <v/>
      </c>
    </row>
    <row r="2157" customFormat="false" ht="15" hidden="false" customHeight="false" outlineLevel="0" collapsed="false">
      <c r="A2157" s="21" t="s">
        <v>3372</v>
      </c>
      <c r="B2157" s="21" t="s">
        <v>822</v>
      </c>
      <c r="C2157" s="21" t="s">
        <v>1214</v>
      </c>
      <c r="D2157" s="21" t="s">
        <v>1188</v>
      </c>
      <c r="E2157" s="33" t="n">
        <v>45901</v>
      </c>
      <c r="F2157" s="21" t="s">
        <v>1175</v>
      </c>
      <c r="G2157" s="32"/>
      <c r="H2157" s="21"/>
      <c r="I2157" s="33"/>
      <c r="J2157" s="21" t="str">
        <f aca="false">INDEX(Students!$C$2:$C$601,MATCH(B2157,Students!$A$2:$A$601,0))</f>
        <v>Batch 2026</v>
      </c>
      <c r="K2157" s="21" t="str">
        <f aca="false">INDEX(Students!$D$2:$D$601,MATCH(B2157,Students!$A$2:$A$601,0))</f>
        <v>Data Analytics</v>
      </c>
      <c r="L2157" s="21" t="str">
        <f aca="false">INDEX(Companies!$C$2:$C$31,MATCH(C2157,Companies!$A$2:$A$31,0))</f>
        <v>Product</v>
      </c>
      <c r="M2157" s="21" t="str">
        <f aca="false">INDEX(Companies!$D$2:$D$31,MATCH(C2157,Companies!$A$2:$A$31,0))</f>
        <v>Tier 1</v>
      </c>
      <c r="N2157" s="34" t="n">
        <f aca="false">MATCH(F2157,Assumptions!$K$4:$K$8,0)</f>
        <v>1</v>
      </c>
      <c r="O2157" s="21" t="str">
        <f aca="false">IF(H2157="Yes",MONTH(I2157),"")</f>
        <v/>
      </c>
      <c r="P2157" s="21" t="str">
        <f aca="false">IF(H2157="Yes",B2157,"")</f>
        <v/>
      </c>
    </row>
    <row r="2158" customFormat="false" ht="15" hidden="false" customHeight="false" outlineLevel="0" collapsed="false">
      <c r="A2158" s="21" t="s">
        <v>3373</v>
      </c>
      <c r="B2158" s="21" t="s">
        <v>950</v>
      </c>
      <c r="C2158" s="21" t="s">
        <v>1203</v>
      </c>
      <c r="D2158" s="21" t="s">
        <v>1191</v>
      </c>
      <c r="E2158" s="33" t="n">
        <v>45901</v>
      </c>
      <c r="F2158" s="21" t="s">
        <v>1178</v>
      </c>
      <c r="G2158" s="32"/>
      <c r="H2158" s="21"/>
      <c r="I2158" s="33"/>
      <c r="J2158" s="21" t="str">
        <f aca="false">INDEX(Students!$C$2:$C$601,MATCH(B2158,Students!$A$2:$A$601,0))</f>
        <v>Batch 2026</v>
      </c>
      <c r="K2158" s="21" t="str">
        <f aca="false">INDEX(Students!$D$2:$D$601,MATCH(B2158,Students!$A$2:$A$601,0))</f>
        <v>DSA with Java</v>
      </c>
      <c r="L2158" s="21" t="str">
        <f aca="false">INDEX(Companies!$C$2:$C$31,MATCH(C2158,Companies!$A$2:$A$31,0))</f>
        <v>Healthtech</v>
      </c>
      <c r="M2158" s="21" t="str">
        <f aca="false">INDEX(Companies!$D$2:$D$31,MATCH(C2158,Companies!$A$2:$A$31,0))</f>
        <v>Tier 2</v>
      </c>
      <c r="N2158" s="34" t="n">
        <f aca="false">MATCH(F2158,Assumptions!$K$4:$K$8,0)</f>
        <v>2</v>
      </c>
      <c r="O2158" s="21" t="str">
        <f aca="false">IF(H2158="Yes",MONTH(I2158),"")</f>
        <v/>
      </c>
      <c r="P2158" s="21" t="str">
        <f aca="false">IF(H2158="Yes",B2158,"")</f>
        <v/>
      </c>
    </row>
    <row r="2159" customFormat="false" ht="15" hidden="false" customHeight="false" outlineLevel="0" collapsed="false">
      <c r="A2159" s="21" t="s">
        <v>3374</v>
      </c>
      <c r="B2159" s="21" t="s">
        <v>1005</v>
      </c>
      <c r="C2159" s="21" t="s">
        <v>1222</v>
      </c>
      <c r="D2159" s="21" t="s">
        <v>1243</v>
      </c>
      <c r="E2159" s="33" t="n">
        <v>45901</v>
      </c>
      <c r="F2159" s="21" t="s">
        <v>1175</v>
      </c>
      <c r="G2159" s="32"/>
      <c r="H2159" s="21"/>
      <c r="I2159" s="33"/>
      <c r="J2159" s="21" t="str">
        <f aca="false">INDEX(Students!$C$2:$C$601,MATCH(B2159,Students!$A$2:$A$601,0))</f>
        <v>Batch 2026</v>
      </c>
      <c r="K2159" s="21" t="str">
        <f aca="false">INDEX(Students!$D$2:$D$601,MATCH(B2159,Students!$A$2:$A$601,0))</f>
        <v>Data Science &amp; ML</v>
      </c>
      <c r="L2159" s="21" t="str">
        <f aca="false">INDEX(Companies!$C$2:$C$31,MATCH(C2159,Companies!$A$2:$A$31,0))</f>
        <v>Product</v>
      </c>
      <c r="M2159" s="21" t="str">
        <f aca="false">INDEX(Companies!$D$2:$D$31,MATCH(C2159,Companies!$A$2:$A$31,0))</f>
        <v>Tier 2</v>
      </c>
      <c r="N2159" s="34" t="n">
        <f aca="false">MATCH(F2159,Assumptions!$K$4:$K$8,0)</f>
        <v>1</v>
      </c>
      <c r="O2159" s="21" t="str">
        <f aca="false">IF(H2159="Yes",MONTH(I2159),"")</f>
        <v/>
      </c>
      <c r="P2159" s="21" t="str">
        <f aca="false">IF(H2159="Yes",B2159,"")</f>
        <v/>
      </c>
    </row>
    <row r="2160" customFormat="false" ht="15" hidden="false" customHeight="false" outlineLevel="0" collapsed="false">
      <c r="A2160" s="21" t="s">
        <v>3375</v>
      </c>
      <c r="B2160" s="21" t="s">
        <v>958</v>
      </c>
      <c r="C2160" s="21" t="s">
        <v>1290</v>
      </c>
      <c r="D2160" s="21" t="s">
        <v>1191</v>
      </c>
      <c r="E2160" s="33" t="n">
        <v>45901</v>
      </c>
      <c r="F2160" s="21" t="s">
        <v>1185</v>
      </c>
      <c r="G2160" s="32" t="n">
        <v>12.5</v>
      </c>
      <c r="H2160" s="21" t="s">
        <v>120</v>
      </c>
      <c r="I2160" s="33" t="n">
        <v>45943</v>
      </c>
      <c r="J2160" s="21" t="str">
        <f aca="false">INDEX(Students!$C$2:$C$601,MATCH(B2160,Students!$A$2:$A$601,0))</f>
        <v>Batch 2026</v>
      </c>
      <c r="K2160" s="21" t="str">
        <f aca="false">INDEX(Students!$D$2:$D$601,MATCH(B2160,Students!$A$2:$A$601,0))</f>
        <v>DSA with Java</v>
      </c>
      <c r="L2160" s="21" t="str">
        <f aca="false">INDEX(Companies!$C$2:$C$31,MATCH(C2160,Companies!$A$2:$A$31,0))</f>
        <v>Fintech</v>
      </c>
      <c r="M2160" s="21" t="str">
        <f aca="false">INDEX(Companies!$D$2:$D$31,MATCH(C2160,Companies!$A$2:$A$31,0))</f>
        <v>Tier 2</v>
      </c>
      <c r="N2160" s="34" t="n">
        <f aca="false">MATCH(F2160,Assumptions!$K$4:$K$8,0)</f>
        <v>5</v>
      </c>
      <c r="O2160" s="21" t="n">
        <f aca="false">IF(H2160="Yes",MONTH(I2160),"")</f>
        <v>10</v>
      </c>
      <c r="P2160" s="21" t="str">
        <f aca="false">IF(H2160="Yes",B2160,"")</f>
        <v>S0475</v>
      </c>
    </row>
    <row r="2161" customFormat="false" ht="15" hidden="false" customHeight="false" outlineLevel="0" collapsed="false">
      <c r="A2161" s="21" t="s">
        <v>3376</v>
      </c>
      <c r="B2161" s="21" t="s">
        <v>886</v>
      </c>
      <c r="C2161" s="21" t="s">
        <v>1222</v>
      </c>
      <c r="D2161" s="21" t="s">
        <v>1209</v>
      </c>
      <c r="E2161" s="33" t="n">
        <v>45901</v>
      </c>
      <c r="F2161" s="21" t="s">
        <v>1175</v>
      </c>
      <c r="G2161" s="32"/>
      <c r="H2161" s="21"/>
      <c r="I2161" s="33"/>
      <c r="J2161" s="21" t="str">
        <f aca="false">INDEX(Students!$C$2:$C$601,MATCH(B2161,Students!$A$2:$A$601,0))</f>
        <v>Batch 2026</v>
      </c>
      <c r="K2161" s="21" t="str">
        <f aca="false">INDEX(Students!$D$2:$D$601,MATCH(B2161,Students!$A$2:$A$601,0))</f>
        <v>Data Analytics</v>
      </c>
      <c r="L2161" s="21" t="str">
        <f aca="false">INDEX(Companies!$C$2:$C$31,MATCH(C2161,Companies!$A$2:$A$31,0))</f>
        <v>Product</v>
      </c>
      <c r="M2161" s="21" t="str">
        <f aca="false">INDEX(Companies!$D$2:$D$31,MATCH(C2161,Companies!$A$2:$A$31,0))</f>
        <v>Tier 2</v>
      </c>
      <c r="N2161" s="34" t="n">
        <f aca="false">MATCH(F2161,Assumptions!$K$4:$K$8,0)</f>
        <v>1</v>
      </c>
      <c r="O2161" s="21" t="str">
        <f aca="false">IF(H2161="Yes",MONTH(I2161),"")</f>
        <v/>
      </c>
      <c r="P2161" s="21" t="str">
        <f aca="false">IF(H2161="Yes",B2161,"")</f>
        <v/>
      </c>
    </row>
    <row r="2162" customFormat="false" ht="15" hidden="false" customHeight="false" outlineLevel="0" collapsed="false">
      <c r="A2162" s="21" t="s">
        <v>3377</v>
      </c>
      <c r="B2162" s="21" t="s">
        <v>936</v>
      </c>
      <c r="C2162" s="21" t="s">
        <v>1214</v>
      </c>
      <c r="D2162" s="21" t="s">
        <v>1174</v>
      </c>
      <c r="E2162" s="33" t="n">
        <v>45902</v>
      </c>
      <c r="F2162" s="21" t="s">
        <v>1175</v>
      </c>
      <c r="G2162" s="32"/>
      <c r="H2162" s="21"/>
      <c r="I2162" s="33"/>
      <c r="J2162" s="21" t="str">
        <f aca="false">INDEX(Students!$C$2:$C$601,MATCH(B2162,Students!$A$2:$A$601,0))</f>
        <v>Batch 2026</v>
      </c>
      <c r="K2162" s="21" t="str">
        <f aca="false">INDEX(Students!$D$2:$D$601,MATCH(B2162,Students!$A$2:$A$601,0))</f>
        <v>Full Stack Development</v>
      </c>
      <c r="L2162" s="21" t="str">
        <f aca="false">INDEX(Companies!$C$2:$C$31,MATCH(C2162,Companies!$A$2:$A$31,0))</f>
        <v>Product</v>
      </c>
      <c r="M2162" s="21" t="str">
        <f aca="false">INDEX(Companies!$D$2:$D$31,MATCH(C2162,Companies!$A$2:$A$31,0))</f>
        <v>Tier 1</v>
      </c>
      <c r="N2162" s="34" t="n">
        <f aca="false">MATCH(F2162,Assumptions!$K$4:$K$8,0)</f>
        <v>1</v>
      </c>
      <c r="O2162" s="21" t="str">
        <f aca="false">IF(H2162="Yes",MONTH(I2162),"")</f>
        <v/>
      </c>
      <c r="P2162" s="21" t="str">
        <f aca="false">IF(H2162="Yes",B2162,"")</f>
        <v/>
      </c>
    </row>
    <row r="2163" customFormat="false" ht="15" hidden="false" customHeight="false" outlineLevel="0" collapsed="false">
      <c r="A2163" s="21" t="s">
        <v>3378</v>
      </c>
      <c r="B2163" s="21" t="s">
        <v>987</v>
      </c>
      <c r="C2163" s="21" t="s">
        <v>1266</v>
      </c>
      <c r="D2163" s="21" t="s">
        <v>1226</v>
      </c>
      <c r="E2163" s="33" t="n">
        <v>45902</v>
      </c>
      <c r="F2163" s="21" t="s">
        <v>1185</v>
      </c>
      <c r="G2163" s="32" t="n">
        <v>5.5</v>
      </c>
      <c r="H2163" s="21" t="s">
        <v>120</v>
      </c>
      <c r="I2163" s="33" t="n">
        <v>45923</v>
      </c>
      <c r="J2163" s="21" t="str">
        <f aca="false">INDEX(Students!$C$2:$C$601,MATCH(B2163,Students!$A$2:$A$601,0))</f>
        <v>Batch 2026</v>
      </c>
      <c r="K2163" s="21" t="str">
        <f aca="false">INDEX(Students!$D$2:$D$601,MATCH(B2163,Students!$A$2:$A$601,0))</f>
        <v>Cybersecurity</v>
      </c>
      <c r="L2163" s="21" t="str">
        <f aca="false">INDEX(Companies!$C$2:$C$31,MATCH(C2163,Companies!$A$2:$A$31,0))</f>
        <v>IT Services</v>
      </c>
      <c r="M2163" s="21" t="str">
        <f aca="false">INDEX(Companies!$D$2:$D$31,MATCH(C2163,Companies!$A$2:$A$31,0))</f>
        <v>Tier 3</v>
      </c>
      <c r="N2163" s="34" t="n">
        <f aca="false">MATCH(F2163,Assumptions!$K$4:$K$8,0)</f>
        <v>5</v>
      </c>
      <c r="O2163" s="21" t="n">
        <f aca="false">IF(H2163="Yes",MONTH(I2163),"")</f>
        <v>9</v>
      </c>
      <c r="P2163" s="21" t="str">
        <f aca="false">IF(H2163="Yes",B2163,"")</f>
        <v>S0492</v>
      </c>
    </row>
    <row r="2164" customFormat="false" ht="15" hidden="false" customHeight="false" outlineLevel="0" collapsed="false">
      <c r="A2164" s="21" t="s">
        <v>3379</v>
      </c>
      <c r="B2164" s="21" t="s">
        <v>972</v>
      </c>
      <c r="C2164" s="21" t="s">
        <v>1266</v>
      </c>
      <c r="D2164" s="21" t="s">
        <v>1188</v>
      </c>
      <c r="E2164" s="33" t="n">
        <v>45902</v>
      </c>
      <c r="F2164" s="21" t="s">
        <v>1218</v>
      </c>
      <c r="G2164" s="32"/>
      <c r="H2164" s="21"/>
      <c r="I2164" s="33"/>
      <c r="J2164" s="21" t="str">
        <f aca="false">INDEX(Students!$C$2:$C$601,MATCH(B2164,Students!$A$2:$A$601,0))</f>
        <v>Batch 2026</v>
      </c>
      <c r="K2164" s="21" t="str">
        <f aca="false">INDEX(Students!$D$2:$D$601,MATCH(B2164,Students!$A$2:$A$601,0))</f>
        <v>Data Analytics</v>
      </c>
      <c r="L2164" s="21" t="str">
        <f aca="false">INDEX(Companies!$C$2:$C$31,MATCH(C2164,Companies!$A$2:$A$31,0))</f>
        <v>IT Services</v>
      </c>
      <c r="M2164" s="21" t="str">
        <f aca="false">INDEX(Companies!$D$2:$D$31,MATCH(C2164,Companies!$A$2:$A$31,0))</f>
        <v>Tier 3</v>
      </c>
      <c r="N2164" s="34" t="n">
        <f aca="false">MATCH(F2164,Assumptions!$K$4:$K$8,0)</f>
        <v>4</v>
      </c>
      <c r="O2164" s="21" t="str">
        <f aca="false">IF(H2164="Yes",MONTH(I2164),"")</f>
        <v/>
      </c>
      <c r="P2164" s="21" t="str">
        <f aca="false">IF(H2164="Yes",B2164,"")</f>
        <v/>
      </c>
    </row>
    <row r="2165" customFormat="false" ht="15" hidden="false" customHeight="false" outlineLevel="0" collapsed="false">
      <c r="A2165" s="21" t="s">
        <v>3380</v>
      </c>
      <c r="B2165" s="21" t="s">
        <v>1145</v>
      </c>
      <c r="C2165" s="21" t="s">
        <v>1322</v>
      </c>
      <c r="D2165" s="21" t="s">
        <v>1194</v>
      </c>
      <c r="E2165" s="33" t="n">
        <v>45902</v>
      </c>
      <c r="F2165" s="21" t="s">
        <v>1197</v>
      </c>
      <c r="G2165" s="32"/>
      <c r="H2165" s="21"/>
      <c r="I2165" s="33"/>
      <c r="J2165" s="21" t="str">
        <f aca="false">INDEX(Students!$C$2:$C$601,MATCH(B2165,Students!$A$2:$A$601,0))</f>
        <v>Batch 2026</v>
      </c>
      <c r="K2165" s="21" t="str">
        <f aca="false">INDEX(Students!$D$2:$D$601,MATCH(B2165,Students!$A$2:$A$601,0))</f>
        <v>Data Science &amp; ML</v>
      </c>
      <c r="L2165" s="21" t="str">
        <f aca="false">INDEX(Companies!$C$2:$C$31,MATCH(C2165,Companies!$A$2:$A$31,0))</f>
        <v>Healthtech</v>
      </c>
      <c r="M2165" s="21" t="str">
        <f aca="false">INDEX(Companies!$D$2:$D$31,MATCH(C2165,Companies!$A$2:$A$31,0))</f>
        <v>Tier 2</v>
      </c>
      <c r="N2165" s="34" t="n">
        <f aca="false">MATCH(F2165,Assumptions!$K$4:$K$8,0)</f>
        <v>3</v>
      </c>
      <c r="O2165" s="21" t="str">
        <f aca="false">IF(H2165="Yes",MONTH(I2165),"")</f>
        <v/>
      </c>
      <c r="P2165" s="21" t="str">
        <f aca="false">IF(H2165="Yes",B2165,"")</f>
        <v/>
      </c>
    </row>
    <row r="2166" customFormat="false" ht="15" hidden="false" customHeight="false" outlineLevel="0" collapsed="false">
      <c r="A2166" s="21" t="s">
        <v>3381</v>
      </c>
      <c r="B2166" s="21" t="s">
        <v>856</v>
      </c>
      <c r="C2166" s="21" t="s">
        <v>1205</v>
      </c>
      <c r="D2166" s="21" t="s">
        <v>1240</v>
      </c>
      <c r="E2166" s="33" t="n">
        <v>45903</v>
      </c>
      <c r="F2166" s="21" t="s">
        <v>1178</v>
      </c>
      <c r="G2166" s="32"/>
      <c r="H2166" s="21"/>
      <c r="I2166" s="33"/>
      <c r="J2166" s="21" t="str">
        <f aca="false">INDEX(Students!$C$2:$C$601,MATCH(B2166,Students!$A$2:$A$601,0))</f>
        <v>Batch 2026</v>
      </c>
      <c r="K2166" s="21" t="str">
        <f aca="false">INDEX(Students!$D$2:$D$601,MATCH(B2166,Students!$A$2:$A$601,0))</f>
        <v>Cybersecurity</v>
      </c>
      <c r="L2166" s="21" t="str">
        <f aca="false">INDEX(Companies!$C$2:$C$31,MATCH(C2166,Companies!$A$2:$A$31,0))</f>
        <v>Healthtech</v>
      </c>
      <c r="M2166" s="21" t="str">
        <f aca="false">INDEX(Companies!$D$2:$D$31,MATCH(C2166,Companies!$A$2:$A$31,0))</f>
        <v>Tier 3</v>
      </c>
      <c r="N2166" s="34" t="n">
        <f aca="false">MATCH(F2166,Assumptions!$K$4:$K$8,0)</f>
        <v>2</v>
      </c>
      <c r="O2166" s="21" t="str">
        <f aca="false">IF(H2166="Yes",MONTH(I2166),"")</f>
        <v/>
      </c>
      <c r="P2166" s="21" t="str">
        <f aca="false">IF(H2166="Yes",B2166,"")</f>
        <v/>
      </c>
    </row>
    <row r="2167" customFormat="false" ht="15" hidden="false" customHeight="false" outlineLevel="0" collapsed="false">
      <c r="A2167" s="21" t="s">
        <v>3382</v>
      </c>
      <c r="B2167" s="21" t="s">
        <v>1024</v>
      </c>
      <c r="C2167" s="21" t="s">
        <v>1201</v>
      </c>
      <c r="D2167" s="21" t="s">
        <v>1184</v>
      </c>
      <c r="E2167" s="33" t="n">
        <v>45903</v>
      </c>
      <c r="F2167" s="21" t="s">
        <v>1178</v>
      </c>
      <c r="G2167" s="32"/>
      <c r="H2167" s="21"/>
      <c r="I2167" s="33"/>
      <c r="J2167" s="21" t="str">
        <f aca="false">INDEX(Students!$C$2:$C$601,MATCH(B2167,Students!$A$2:$A$601,0))</f>
        <v>Batch 2026</v>
      </c>
      <c r="K2167" s="21" t="str">
        <f aca="false">INDEX(Students!$D$2:$D$601,MATCH(B2167,Students!$A$2:$A$601,0))</f>
        <v>DSA with Java</v>
      </c>
      <c r="L2167" s="21" t="str">
        <f aca="false">INDEX(Companies!$C$2:$C$31,MATCH(C2167,Companies!$A$2:$A$31,0))</f>
        <v>IT Services</v>
      </c>
      <c r="M2167" s="21" t="str">
        <f aca="false">INDEX(Companies!$D$2:$D$31,MATCH(C2167,Companies!$A$2:$A$31,0))</f>
        <v>Tier 3</v>
      </c>
      <c r="N2167" s="34" t="n">
        <f aca="false">MATCH(F2167,Assumptions!$K$4:$K$8,0)</f>
        <v>2</v>
      </c>
      <c r="O2167" s="21" t="str">
        <f aca="false">IF(H2167="Yes",MONTH(I2167),"")</f>
        <v/>
      </c>
      <c r="P2167" s="21" t="str">
        <f aca="false">IF(H2167="Yes",B2167,"")</f>
        <v/>
      </c>
    </row>
    <row r="2168" customFormat="false" ht="15" hidden="false" customHeight="false" outlineLevel="0" collapsed="false">
      <c r="A2168" s="21" t="s">
        <v>3383</v>
      </c>
      <c r="B2168" s="21" t="s">
        <v>957</v>
      </c>
      <c r="C2168" s="21" t="s">
        <v>1298</v>
      </c>
      <c r="D2168" s="21" t="s">
        <v>1191</v>
      </c>
      <c r="E2168" s="33" t="n">
        <v>45904</v>
      </c>
      <c r="F2168" s="21" t="s">
        <v>1197</v>
      </c>
      <c r="G2168" s="32"/>
      <c r="H2168" s="21"/>
      <c r="I2168" s="33"/>
      <c r="J2168" s="21" t="str">
        <f aca="false">INDEX(Students!$C$2:$C$601,MATCH(B2168,Students!$A$2:$A$601,0))</f>
        <v>Batch 2026</v>
      </c>
      <c r="K2168" s="21" t="str">
        <f aca="false">INDEX(Students!$D$2:$D$601,MATCH(B2168,Students!$A$2:$A$601,0))</f>
        <v>DSA with Java</v>
      </c>
      <c r="L2168" s="21" t="str">
        <f aca="false">INDEX(Companies!$C$2:$C$31,MATCH(C2168,Companies!$A$2:$A$31,0))</f>
        <v>Fintech</v>
      </c>
      <c r="M2168" s="21" t="str">
        <f aca="false">INDEX(Companies!$D$2:$D$31,MATCH(C2168,Companies!$A$2:$A$31,0))</f>
        <v>Tier 2</v>
      </c>
      <c r="N2168" s="34" t="n">
        <f aca="false">MATCH(F2168,Assumptions!$K$4:$K$8,0)</f>
        <v>3</v>
      </c>
      <c r="O2168" s="21" t="str">
        <f aca="false">IF(H2168="Yes",MONTH(I2168),"")</f>
        <v/>
      </c>
      <c r="P2168" s="21" t="str">
        <f aca="false">IF(H2168="Yes",B2168,"")</f>
        <v/>
      </c>
    </row>
    <row r="2169" customFormat="false" ht="15" hidden="false" customHeight="false" outlineLevel="0" collapsed="false">
      <c r="A2169" s="21" t="s">
        <v>3384</v>
      </c>
      <c r="B2169" s="21" t="s">
        <v>1124</v>
      </c>
      <c r="C2169" s="21" t="s">
        <v>1205</v>
      </c>
      <c r="D2169" s="21" t="s">
        <v>1188</v>
      </c>
      <c r="E2169" s="33" t="n">
        <v>45904</v>
      </c>
      <c r="F2169" s="21" t="s">
        <v>1185</v>
      </c>
      <c r="G2169" s="32" t="n">
        <v>5.8</v>
      </c>
      <c r="H2169" s="21" t="s">
        <v>120</v>
      </c>
      <c r="I2169" s="33" t="n">
        <v>45939</v>
      </c>
      <c r="J2169" s="21" t="str">
        <f aca="false">INDEX(Students!$C$2:$C$601,MATCH(B2169,Students!$A$2:$A$601,0))</f>
        <v>Batch 2026</v>
      </c>
      <c r="K2169" s="21" t="str">
        <f aca="false">INDEX(Students!$D$2:$D$601,MATCH(B2169,Students!$A$2:$A$601,0))</f>
        <v>Data Analytics</v>
      </c>
      <c r="L2169" s="21" t="str">
        <f aca="false">INDEX(Companies!$C$2:$C$31,MATCH(C2169,Companies!$A$2:$A$31,0))</f>
        <v>Healthtech</v>
      </c>
      <c r="M2169" s="21" t="str">
        <f aca="false">INDEX(Companies!$D$2:$D$31,MATCH(C2169,Companies!$A$2:$A$31,0))</f>
        <v>Tier 3</v>
      </c>
      <c r="N2169" s="34" t="n">
        <f aca="false">MATCH(F2169,Assumptions!$K$4:$K$8,0)</f>
        <v>5</v>
      </c>
      <c r="O2169" s="21" t="n">
        <f aca="false">IF(H2169="Yes",MONTH(I2169),"")</f>
        <v>10</v>
      </c>
      <c r="P2169" s="21" t="str">
        <f aca="false">IF(H2169="Yes",B2169,"")</f>
        <v>S0577</v>
      </c>
    </row>
    <row r="2170" customFormat="false" ht="15" hidden="false" customHeight="false" outlineLevel="0" collapsed="false">
      <c r="A2170" s="21" t="s">
        <v>3385</v>
      </c>
      <c r="B2170" s="21" t="s">
        <v>1100</v>
      </c>
      <c r="C2170" s="21" t="s">
        <v>1228</v>
      </c>
      <c r="D2170" s="21" t="s">
        <v>1181</v>
      </c>
      <c r="E2170" s="33" t="n">
        <v>45904</v>
      </c>
      <c r="F2170" s="21" t="s">
        <v>1175</v>
      </c>
      <c r="G2170" s="32"/>
      <c r="H2170" s="21"/>
      <c r="I2170" s="33"/>
      <c r="J2170" s="21" t="str">
        <f aca="false">INDEX(Students!$C$2:$C$601,MATCH(B2170,Students!$A$2:$A$601,0))</f>
        <v>Batch 2026</v>
      </c>
      <c r="K2170" s="21" t="str">
        <f aca="false">INDEX(Students!$D$2:$D$601,MATCH(B2170,Students!$A$2:$A$601,0))</f>
        <v>Full Stack Development</v>
      </c>
      <c r="L2170" s="21" t="str">
        <f aca="false">INDEX(Companies!$C$2:$C$31,MATCH(C2170,Companies!$A$2:$A$31,0))</f>
        <v>Fintech</v>
      </c>
      <c r="M2170" s="21" t="str">
        <f aca="false">INDEX(Companies!$D$2:$D$31,MATCH(C2170,Companies!$A$2:$A$31,0))</f>
        <v>Tier 1</v>
      </c>
      <c r="N2170" s="34" t="n">
        <f aca="false">MATCH(F2170,Assumptions!$K$4:$K$8,0)</f>
        <v>1</v>
      </c>
      <c r="O2170" s="21" t="str">
        <f aca="false">IF(H2170="Yes",MONTH(I2170),"")</f>
        <v/>
      </c>
      <c r="P2170" s="21" t="str">
        <f aca="false">IF(H2170="Yes",B2170,"")</f>
        <v/>
      </c>
    </row>
    <row r="2171" customFormat="false" ht="15" hidden="false" customHeight="false" outlineLevel="0" collapsed="false">
      <c r="A2171" s="21" t="s">
        <v>3386</v>
      </c>
      <c r="B2171" s="21" t="s">
        <v>989</v>
      </c>
      <c r="C2171" s="21" t="s">
        <v>1183</v>
      </c>
      <c r="D2171" s="21" t="s">
        <v>1181</v>
      </c>
      <c r="E2171" s="33" t="n">
        <v>45904</v>
      </c>
      <c r="F2171" s="21" t="s">
        <v>1178</v>
      </c>
      <c r="G2171" s="32"/>
      <c r="H2171" s="21"/>
      <c r="I2171" s="33"/>
      <c r="J2171" s="21" t="str">
        <f aca="false">INDEX(Students!$C$2:$C$601,MATCH(B2171,Students!$A$2:$A$601,0))</f>
        <v>Batch 2026</v>
      </c>
      <c r="K2171" s="21" t="str">
        <f aca="false">INDEX(Students!$D$2:$D$601,MATCH(B2171,Students!$A$2:$A$601,0))</f>
        <v>Full Stack Development</v>
      </c>
      <c r="L2171" s="21" t="str">
        <f aca="false">INDEX(Companies!$C$2:$C$31,MATCH(C2171,Companies!$A$2:$A$31,0))</f>
        <v>E-commerce</v>
      </c>
      <c r="M2171" s="21" t="str">
        <f aca="false">INDEX(Companies!$D$2:$D$31,MATCH(C2171,Companies!$A$2:$A$31,0))</f>
        <v>Tier 2</v>
      </c>
      <c r="N2171" s="34" t="n">
        <f aca="false">MATCH(F2171,Assumptions!$K$4:$K$8,0)</f>
        <v>2</v>
      </c>
      <c r="O2171" s="21" t="str">
        <f aca="false">IF(H2171="Yes",MONTH(I2171),"")</f>
        <v/>
      </c>
      <c r="P2171" s="21" t="str">
        <f aca="false">IF(H2171="Yes",B2171,"")</f>
        <v/>
      </c>
    </row>
    <row r="2172" customFormat="false" ht="15" hidden="false" customHeight="false" outlineLevel="0" collapsed="false">
      <c r="A2172" s="21" t="s">
        <v>3387</v>
      </c>
      <c r="B2172" s="21" t="s">
        <v>914</v>
      </c>
      <c r="C2172" s="21" t="s">
        <v>1216</v>
      </c>
      <c r="D2172" s="21" t="s">
        <v>1243</v>
      </c>
      <c r="E2172" s="33" t="n">
        <v>45904</v>
      </c>
      <c r="F2172" s="21" t="s">
        <v>1178</v>
      </c>
      <c r="G2172" s="32"/>
      <c r="H2172" s="21"/>
      <c r="I2172" s="33"/>
      <c r="J2172" s="21" t="str">
        <f aca="false">INDEX(Students!$C$2:$C$601,MATCH(B2172,Students!$A$2:$A$601,0))</f>
        <v>Batch 2026</v>
      </c>
      <c r="K2172" s="21" t="str">
        <f aca="false">INDEX(Students!$D$2:$D$601,MATCH(B2172,Students!$A$2:$A$601,0))</f>
        <v>Data Science &amp; ML</v>
      </c>
      <c r="L2172" s="21" t="str">
        <f aca="false">INDEX(Companies!$C$2:$C$31,MATCH(C2172,Companies!$A$2:$A$31,0))</f>
        <v>IT Services</v>
      </c>
      <c r="M2172" s="21" t="str">
        <f aca="false">INDEX(Companies!$D$2:$D$31,MATCH(C2172,Companies!$A$2:$A$31,0))</f>
        <v>Tier 3</v>
      </c>
      <c r="N2172" s="34" t="n">
        <f aca="false">MATCH(F2172,Assumptions!$K$4:$K$8,0)</f>
        <v>2</v>
      </c>
      <c r="O2172" s="21" t="str">
        <f aca="false">IF(H2172="Yes",MONTH(I2172),"")</f>
        <v/>
      </c>
      <c r="P2172" s="21" t="str">
        <f aca="false">IF(H2172="Yes",B2172,"")</f>
        <v/>
      </c>
    </row>
    <row r="2173" customFormat="false" ht="15" hidden="false" customHeight="false" outlineLevel="0" collapsed="false">
      <c r="A2173" s="21" t="s">
        <v>3388</v>
      </c>
      <c r="B2173" s="21" t="s">
        <v>1152</v>
      </c>
      <c r="C2173" s="21" t="s">
        <v>1275</v>
      </c>
      <c r="D2173" s="21" t="s">
        <v>1184</v>
      </c>
      <c r="E2173" s="33" t="n">
        <v>45904</v>
      </c>
      <c r="F2173" s="21" t="s">
        <v>1197</v>
      </c>
      <c r="G2173" s="32"/>
      <c r="H2173" s="21"/>
      <c r="I2173" s="33"/>
      <c r="J2173" s="21" t="str">
        <f aca="false">INDEX(Students!$C$2:$C$601,MATCH(B2173,Students!$A$2:$A$601,0))</f>
        <v>Batch 2026</v>
      </c>
      <c r="K2173" s="21" t="str">
        <f aca="false">INDEX(Students!$D$2:$D$601,MATCH(B2173,Students!$A$2:$A$601,0))</f>
        <v>DSA with Java</v>
      </c>
      <c r="L2173" s="21" t="str">
        <f aca="false">INDEX(Companies!$C$2:$C$31,MATCH(C2173,Companies!$A$2:$A$31,0))</f>
        <v>Cybersecurity</v>
      </c>
      <c r="M2173" s="21" t="str">
        <f aca="false">INDEX(Companies!$D$2:$D$31,MATCH(C2173,Companies!$A$2:$A$31,0))</f>
        <v>Tier 2</v>
      </c>
      <c r="N2173" s="34" t="n">
        <f aca="false">MATCH(F2173,Assumptions!$K$4:$K$8,0)</f>
        <v>3</v>
      </c>
      <c r="O2173" s="21" t="str">
        <f aca="false">IF(H2173="Yes",MONTH(I2173),"")</f>
        <v/>
      </c>
      <c r="P2173" s="21" t="str">
        <f aca="false">IF(H2173="Yes",B2173,"")</f>
        <v/>
      </c>
    </row>
    <row r="2174" customFormat="false" ht="15" hidden="false" customHeight="false" outlineLevel="0" collapsed="false">
      <c r="A2174" s="21" t="s">
        <v>3389</v>
      </c>
      <c r="B2174" s="21" t="s">
        <v>1034</v>
      </c>
      <c r="C2174" s="21" t="s">
        <v>1275</v>
      </c>
      <c r="D2174" s="21" t="s">
        <v>1184</v>
      </c>
      <c r="E2174" s="33" t="n">
        <v>45904</v>
      </c>
      <c r="F2174" s="21" t="s">
        <v>1175</v>
      </c>
      <c r="G2174" s="32"/>
      <c r="H2174" s="21"/>
      <c r="I2174" s="33"/>
      <c r="J2174" s="21" t="str">
        <f aca="false">INDEX(Students!$C$2:$C$601,MATCH(B2174,Students!$A$2:$A$601,0))</f>
        <v>Batch 2026</v>
      </c>
      <c r="K2174" s="21" t="str">
        <f aca="false">INDEX(Students!$D$2:$D$601,MATCH(B2174,Students!$A$2:$A$601,0))</f>
        <v>DSA with Java</v>
      </c>
      <c r="L2174" s="21" t="str">
        <f aca="false">INDEX(Companies!$C$2:$C$31,MATCH(C2174,Companies!$A$2:$A$31,0))</f>
        <v>Cybersecurity</v>
      </c>
      <c r="M2174" s="21" t="str">
        <f aca="false">INDEX(Companies!$D$2:$D$31,MATCH(C2174,Companies!$A$2:$A$31,0))</f>
        <v>Tier 2</v>
      </c>
      <c r="N2174" s="34" t="n">
        <f aca="false">MATCH(F2174,Assumptions!$K$4:$K$8,0)</f>
        <v>1</v>
      </c>
      <c r="O2174" s="21" t="str">
        <f aca="false">IF(H2174="Yes",MONTH(I2174),"")</f>
        <v/>
      </c>
      <c r="P2174" s="21" t="str">
        <f aca="false">IF(H2174="Yes",B2174,"")</f>
        <v/>
      </c>
    </row>
    <row r="2175" customFormat="false" ht="15" hidden="false" customHeight="false" outlineLevel="0" collapsed="false">
      <c r="A2175" s="21" t="s">
        <v>3390</v>
      </c>
      <c r="B2175" s="21" t="s">
        <v>1078</v>
      </c>
      <c r="C2175" s="21" t="s">
        <v>1255</v>
      </c>
      <c r="D2175" s="21" t="s">
        <v>1184</v>
      </c>
      <c r="E2175" s="33" t="n">
        <v>45904</v>
      </c>
      <c r="F2175" s="21" t="s">
        <v>1185</v>
      </c>
      <c r="G2175" s="32" t="n">
        <v>7.2</v>
      </c>
      <c r="H2175" s="21" t="s">
        <v>113</v>
      </c>
      <c r="I2175" s="33" t="n">
        <v>45929</v>
      </c>
      <c r="J2175" s="21" t="str">
        <f aca="false">INDEX(Students!$C$2:$C$601,MATCH(B2175,Students!$A$2:$A$601,0))</f>
        <v>Batch 2026</v>
      </c>
      <c r="K2175" s="21" t="str">
        <f aca="false">INDEX(Students!$D$2:$D$601,MATCH(B2175,Students!$A$2:$A$601,0))</f>
        <v>DSA with Java</v>
      </c>
      <c r="L2175" s="21" t="str">
        <f aca="false">INDEX(Companies!$C$2:$C$31,MATCH(C2175,Companies!$A$2:$A$31,0))</f>
        <v>IT Services</v>
      </c>
      <c r="M2175" s="21" t="str">
        <f aca="false">INDEX(Companies!$D$2:$D$31,MATCH(C2175,Companies!$A$2:$A$31,0))</f>
        <v>Tier 3</v>
      </c>
      <c r="N2175" s="34" t="n">
        <f aca="false">MATCH(F2175,Assumptions!$K$4:$K$8,0)</f>
        <v>5</v>
      </c>
      <c r="O2175" s="21" t="str">
        <f aca="false">IF(H2175="Yes",MONTH(I2175),"")</f>
        <v/>
      </c>
      <c r="P2175" s="21" t="str">
        <f aca="false">IF(H2175="Yes",B2175,"")</f>
        <v/>
      </c>
    </row>
    <row r="2176" customFormat="false" ht="15" hidden="false" customHeight="false" outlineLevel="0" collapsed="false">
      <c r="A2176" s="21" t="s">
        <v>3391</v>
      </c>
      <c r="B2176" s="21" t="s">
        <v>1095</v>
      </c>
      <c r="C2176" s="21" t="s">
        <v>1255</v>
      </c>
      <c r="D2176" s="21" t="s">
        <v>1191</v>
      </c>
      <c r="E2176" s="33" t="n">
        <v>45904</v>
      </c>
      <c r="F2176" s="21" t="s">
        <v>1185</v>
      </c>
      <c r="G2176" s="32" t="n">
        <v>7.1</v>
      </c>
      <c r="H2176" s="21" t="s">
        <v>120</v>
      </c>
      <c r="I2176" s="33" t="n">
        <v>45951</v>
      </c>
      <c r="J2176" s="21" t="str">
        <f aca="false">INDEX(Students!$C$2:$C$601,MATCH(B2176,Students!$A$2:$A$601,0))</f>
        <v>Batch 2026</v>
      </c>
      <c r="K2176" s="21" t="str">
        <f aca="false">INDEX(Students!$D$2:$D$601,MATCH(B2176,Students!$A$2:$A$601,0))</f>
        <v>DSA with Java</v>
      </c>
      <c r="L2176" s="21" t="str">
        <f aca="false">INDEX(Companies!$C$2:$C$31,MATCH(C2176,Companies!$A$2:$A$31,0))</f>
        <v>IT Services</v>
      </c>
      <c r="M2176" s="21" t="str">
        <f aca="false">INDEX(Companies!$D$2:$D$31,MATCH(C2176,Companies!$A$2:$A$31,0))</f>
        <v>Tier 3</v>
      </c>
      <c r="N2176" s="34" t="n">
        <f aca="false">MATCH(F2176,Assumptions!$K$4:$K$8,0)</f>
        <v>5</v>
      </c>
      <c r="O2176" s="21" t="n">
        <f aca="false">IF(H2176="Yes",MONTH(I2176),"")</f>
        <v>10</v>
      </c>
      <c r="P2176" s="21" t="str">
        <f aca="false">IF(H2176="Yes",B2176,"")</f>
        <v>S0559</v>
      </c>
    </row>
    <row r="2177" customFormat="false" ht="15" hidden="false" customHeight="false" outlineLevel="0" collapsed="false">
      <c r="A2177" s="21" t="s">
        <v>3392</v>
      </c>
      <c r="B2177" s="21" t="s">
        <v>833</v>
      </c>
      <c r="C2177" s="21" t="s">
        <v>1187</v>
      </c>
      <c r="D2177" s="21" t="s">
        <v>1240</v>
      </c>
      <c r="E2177" s="33" t="n">
        <v>45905</v>
      </c>
      <c r="F2177" s="21" t="s">
        <v>1175</v>
      </c>
      <c r="G2177" s="32"/>
      <c r="H2177" s="21"/>
      <c r="I2177" s="33"/>
      <c r="J2177" s="21" t="str">
        <f aca="false">INDEX(Students!$C$2:$C$601,MATCH(B2177,Students!$A$2:$A$601,0))</f>
        <v>Batch 2026</v>
      </c>
      <c r="K2177" s="21" t="str">
        <f aca="false">INDEX(Students!$D$2:$D$601,MATCH(B2177,Students!$A$2:$A$601,0))</f>
        <v>Cybersecurity</v>
      </c>
      <c r="L2177" s="21" t="str">
        <f aca="false">INDEX(Companies!$C$2:$C$31,MATCH(C2177,Companies!$A$2:$A$31,0))</f>
        <v>Product</v>
      </c>
      <c r="M2177" s="21" t="str">
        <f aca="false">INDEX(Companies!$D$2:$D$31,MATCH(C2177,Companies!$A$2:$A$31,0))</f>
        <v>Tier 1</v>
      </c>
      <c r="N2177" s="34" t="n">
        <f aca="false">MATCH(F2177,Assumptions!$K$4:$K$8,0)</f>
        <v>1</v>
      </c>
      <c r="O2177" s="21" t="str">
        <f aca="false">IF(H2177="Yes",MONTH(I2177),"")</f>
        <v/>
      </c>
      <c r="P2177" s="21" t="str">
        <f aca="false">IF(H2177="Yes",B2177,"")</f>
        <v/>
      </c>
    </row>
    <row r="2178" customFormat="false" ht="15" hidden="false" customHeight="false" outlineLevel="0" collapsed="false">
      <c r="A2178" s="21" t="s">
        <v>3393</v>
      </c>
      <c r="B2178" s="21" t="s">
        <v>894</v>
      </c>
      <c r="C2178" s="21" t="s">
        <v>1275</v>
      </c>
      <c r="D2178" s="21" t="s">
        <v>1181</v>
      </c>
      <c r="E2178" s="33" t="n">
        <v>45905</v>
      </c>
      <c r="F2178" s="21" t="s">
        <v>1175</v>
      </c>
      <c r="G2178" s="32"/>
      <c r="H2178" s="21"/>
      <c r="I2178" s="33"/>
      <c r="J2178" s="21" t="str">
        <f aca="false">INDEX(Students!$C$2:$C$601,MATCH(B2178,Students!$A$2:$A$601,0))</f>
        <v>Batch 2026</v>
      </c>
      <c r="K2178" s="21" t="str">
        <f aca="false">INDEX(Students!$D$2:$D$601,MATCH(B2178,Students!$A$2:$A$601,0))</f>
        <v>Full Stack Development</v>
      </c>
      <c r="L2178" s="21" t="str">
        <f aca="false">INDEX(Companies!$C$2:$C$31,MATCH(C2178,Companies!$A$2:$A$31,0))</f>
        <v>Cybersecurity</v>
      </c>
      <c r="M2178" s="21" t="str">
        <f aca="false">INDEX(Companies!$D$2:$D$31,MATCH(C2178,Companies!$A$2:$A$31,0))</f>
        <v>Tier 2</v>
      </c>
      <c r="N2178" s="34" t="n">
        <f aca="false">MATCH(F2178,Assumptions!$K$4:$K$8,0)</f>
        <v>1</v>
      </c>
      <c r="O2178" s="21" t="str">
        <f aca="false">IF(H2178="Yes",MONTH(I2178),"")</f>
        <v/>
      </c>
      <c r="P2178" s="21" t="str">
        <f aca="false">IF(H2178="Yes",B2178,"")</f>
        <v/>
      </c>
    </row>
    <row r="2179" customFormat="false" ht="15" hidden="false" customHeight="false" outlineLevel="0" collapsed="false">
      <c r="A2179" s="21" t="s">
        <v>3394</v>
      </c>
      <c r="B2179" s="21" t="s">
        <v>1138</v>
      </c>
      <c r="C2179" s="21" t="s">
        <v>1322</v>
      </c>
      <c r="D2179" s="21" t="s">
        <v>1184</v>
      </c>
      <c r="E2179" s="33" t="n">
        <v>45905</v>
      </c>
      <c r="F2179" s="21" t="s">
        <v>1185</v>
      </c>
      <c r="G2179" s="32" t="n">
        <v>8.5</v>
      </c>
      <c r="H2179" s="21" t="s">
        <v>120</v>
      </c>
      <c r="I2179" s="33" t="n">
        <v>45931</v>
      </c>
      <c r="J2179" s="21" t="str">
        <f aca="false">INDEX(Students!$C$2:$C$601,MATCH(B2179,Students!$A$2:$A$601,0))</f>
        <v>Batch 2026</v>
      </c>
      <c r="K2179" s="21" t="str">
        <f aca="false">INDEX(Students!$D$2:$D$601,MATCH(B2179,Students!$A$2:$A$601,0))</f>
        <v>DSA with Java</v>
      </c>
      <c r="L2179" s="21" t="str">
        <f aca="false">INDEX(Companies!$C$2:$C$31,MATCH(C2179,Companies!$A$2:$A$31,0))</f>
        <v>Healthtech</v>
      </c>
      <c r="M2179" s="21" t="str">
        <f aca="false">INDEX(Companies!$D$2:$D$31,MATCH(C2179,Companies!$A$2:$A$31,0))</f>
        <v>Tier 2</v>
      </c>
      <c r="N2179" s="34" t="n">
        <f aca="false">MATCH(F2179,Assumptions!$K$4:$K$8,0)</f>
        <v>5</v>
      </c>
      <c r="O2179" s="21" t="n">
        <f aca="false">IF(H2179="Yes",MONTH(I2179),"")</f>
        <v>10</v>
      </c>
      <c r="P2179" s="21" t="str">
        <f aca="false">IF(H2179="Yes",B2179,"")</f>
        <v>S0587</v>
      </c>
    </row>
    <row r="2180" customFormat="false" ht="15" hidden="false" customHeight="false" outlineLevel="0" collapsed="false">
      <c r="A2180" s="21" t="s">
        <v>3395</v>
      </c>
      <c r="B2180" s="21" t="s">
        <v>909</v>
      </c>
      <c r="C2180" s="21" t="s">
        <v>1177</v>
      </c>
      <c r="D2180" s="21" t="s">
        <v>1181</v>
      </c>
      <c r="E2180" s="33" t="n">
        <v>45905</v>
      </c>
      <c r="F2180" s="21" t="s">
        <v>1178</v>
      </c>
      <c r="G2180" s="32"/>
      <c r="H2180" s="21"/>
      <c r="I2180" s="33"/>
      <c r="J2180" s="21" t="str">
        <f aca="false">INDEX(Students!$C$2:$C$601,MATCH(B2180,Students!$A$2:$A$601,0))</f>
        <v>Batch 2026</v>
      </c>
      <c r="K2180" s="21" t="str">
        <f aca="false">INDEX(Students!$D$2:$D$601,MATCH(B2180,Students!$A$2:$A$601,0))</f>
        <v>Full Stack Development</v>
      </c>
      <c r="L2180" s="21" t="str">
        <f aca="false">INDEX(Companies!$C$2:$C$31,MATCH(C2180,Companies!$A$2:$A$31,0))</f>
        <v>IT Services</v>
      </c>
      <c r="M2180" s="21" t="str">
        <f aca="false">INDEX(Companies!$D$2:$D$31,MATCH(C2180,Companies!$A$2:$A$31,0))</f>
        <v>Tier 3</v>
      </c>
      <c r="N2180" s="34" t="n">
        <f aca="false">MATCH(F2180,Assumptions!$K$4:$K$8,0)</f>
        <v>2</v>
      </c>
      <c r="O2180" s="21" t="str">
        <f aca="false">IF(H2180="Yes",MONTH(I2180),"")</f>
        <v/>
      </c>
      <c r="P2180" s="21" t="str">
        <f aca="false">IF(H2180="Yes",B2180,"")</f>
        <v/>
      </c>
    </row>
    <row r="2181" customFormat="false" ht="15" hidden="false" customHeight="false" outlineLevel="0" collapsed="false">
      <c r="A2181" s="21" t="s">
        <v>3396</v>
      </c>
      <c r="B2181" s="21" t="s">
        <v>817</v>
      </c>
      <c r="C2181" s="21" t="s">
        <v>1322</v>
      </c>
      <c r="D2181" s="21" t="s">
        <v>1184</v>
      </c>
      <c r="E2181" s="33" t="n">
        <v>45905</v>
      </c>
      <c r="F2181" s="21" t="s">
        <v>1175</v>
      </c>
      <c r="G2181" s="32"/>
      <c r="H2181" s="21"/>
      <c r="I2181" s="33"/>
      <c r="J2181" s="21" t="str">
        <f aca="false">INDEX(Students!$C$2:$C$601,MATCH(B2181,Students!$A$2:$A$601,0))</f>
        <v>Batch 2026</v>
      </c>
      <c r="K2181" s="21" t="str">
        <f aca="false">INDEX(Students!$D$2:$D$601,MATCH(B2181,Students!$A$2:$A$601,0))</f>
        <v>DSA with Java</v>
      </c>
      <c r="L2181" s="21" t="str">
        <f aca="false">INDEX(Companies!$C$2:$C$31,MATCH(C2181,Companies!$A$2:$A$31,0))</f>
        <v>Healthtech</v>
      </c>
      <c r="M2181" s="21" t="str">
        <f aca="false">INDEX(Companies!$D$2:$D$31,MATCH(C2181,Companies!$A$2:$A$31,0))</f>
        <v>Tier 2</v>
      </c>
      <c r="N2181" s="34" t="n">
        <f aca="false">MATCH(F2181,Assumptions!$K$4:$K$8,0)</f>
        <v>1</v>
      </c>
      <c r="O2181" s="21" t="str">
        <f aca="false">IF(H2181="Yes",MONTH(I2181),"")</f>
        <v/>
      </c>
      <c r="P2181" s="21" t="str">
        <f aca="false">IF(H2181="Yes",B2181,"")</f>
        <v/>
      </c>
    </row>
    <row r="2182" customFormat="false" ht="15" hidden="false" customHeight="false" outlineLevel="0" collapsed="false">
      <c r="A2182" s="21" t="s">
        <v>3397</v>
      </c>
      <c r="B2182" s="21" t="s">
        <v>1072</v>
      </c>
      <c r="C2182" s="21" t="s">
        <v>1199</v>
      </c>
      <c r="D2182" s="21" t="s">
        <v>1243</v>
      </c>
      <c r="E2182" s="33" t="n">
        <v>45906</v>
      </c>
      <c r="F2182" s="21" t="s">
        <v>1175</v>
      </c>
      <c r="G2182" s="32"/>
      <c r="H2182" s="21"/>
      <c r="I2182" s="33"/>
      <c r="J2182" s="21" t="str">
        <f aca="false">INDEX(Students!$C$2:$C$601,MATCH(B2182,Students!$A$2:$A$601,0))</f>
        <v>Batch 2026</v>
      </c>
      <c r="K2182" s="21" t="str">
        <f aca="false">INDEX(Students!$D$2:$D$601,MATCH(B2182,Students!$A$2:$A$601,0))</f>
        <v>Data Science &amp; ML</v>
      </c>
      <c r="L2182" s="21" t="str">
        <f aca="false">INDEX(Companies!$C$2:$C$31,MATCH(C2182,Companies!$A$2:$A$31,0))</f>
        <v>E-commerce</v>
      </c>
      <c r="M2182" s="21" t="str">
        <f aca="false">INDEX(Companies!$D$2:$D$31,MATCH(C2182,Companies!$A$2:$A$31,0))</f>
        <v>Tier 2</v>
      </c>
      <c r="N2182" s="34" t="n">
        <f aca="false">MATCH(F2182,Assumptions!$K$4:$K$8,0)</f>
        <v>1</v>
      </c>
      <c r="O2182" s="21" t="str">
        <f aca="false">IF(H2182="Yes",MONTH(I2182),"")</f>
        <v/>
      </c>
      <c r="P2182" s="21" t="str">
        <f aca="false">IF(H2182="Yes",B2182,"")</f>
        <v/>
      </c>
    </row>
    <row r="2183" customFormat="false" ht="15" hidden="false" customHeight="false" outlineLevel="0" collapsed="false">
      <c r="A2183" s="21" t="s">
        <v>3398</v>
      </c>
      <c r="B2183" s="21" t="s">
        <v>1073</v>
      </c>
      <c r="C2183" s="21" t="s">
        <v>1239</v>
      </c>
      <c r="D2183" s="21" t="s">
        <v>1174</v>
      </c>
      <c r="E2183" s="33" t="n">
        <v>45906</v>
      </c>
      <c r="F2183" s="21" t="s">
        <v>1185</v>
      </c>
      <c r="G2183" s="32" t="n">
        <v>6.5</v>
      </c>
      <c r="H2183" s="21" t="s">
        <v>120</v>
      </c>
      <c r="I2183" s="33" t="n">
        <v>45930</v>
      </c>
      <c r="J2183" s="21" t="str">
        <f aca="false">INDEX(Students!$C$2:$C$601,MATCH(B2183,Students!$A$2:$A$601,0))</f>
        <v>Batch 2026</v>
      </c>
      <c r="K2183" s="21" t="str">
        <f aca="false">INDEX(Students!$D$2:$D$601,MATCH(B2183,Students!$A$2:$A$601,0))</f>
        <v>Full Stack Development</v>
      </c>
      <c r="L2183" s="21" t="str">
        <f aca="false">INDEX(Companies!$C$2:$C$31,MATCH(C2183,Companies!$A$2:$A$31,0))</f>
        <v>E-commerce</v>
      </c>
      <c r="M2183" s="21" t="str">
        <f aca="false">INDEX(Companies!$D$2:$D$31,MATCH(C2183,Companies!$A$2:$A$31,0))</f>
        <v>Tier 3</v>
      </c>
      <c r="N2183" s="34" t="n">
        <f aca="false">MATCH(F2183,Assumptions!$K$4:$K$8,0)</f>
        <v>5</v>
      </c>
      <c r="O2183" s="21" t="n">
        <f aca="false">IF(H2183="Yes",MONTH(I2183),"")</f>
        <v>9</v>
      </c>
      <c r="P2183" s="21" t="str">
        <f aca="false">IF(H2183="Yes",B2183,"")</f>
        <v>S0545</v>
      </c>
    </row>
    <row r="2184" customFormat="false" ht="15" hidden="false" customHeight="false" outlineLevel="0" collapsed="false">
      <c r="A2184" s="21" t="s">
        <v>3399</v>
      </c>
      <c r="B2184" s="21" t="s">
        <v>1107</v>
      </c>
      <c r="C2184" s="21" t="s">
        <v>1266</v>
      </c>
      <c r="D2184" s="21" t="s">
        <v>1240</v>
      </c>
      <c r="E2184" s="33" t="n">
        <v>45906</v>
      </c>
      <c r="F2184" s="21" t="s">
        <v>1185</v>
      </c>
      <c r="G2184" s="32" t="n">
        <v>6.5</v>
      </c>
      <c r="H2184" s="21" t="s">
        <v>120</v>
      </c>
      <c r="I2184" s="33" t="n">
        <v>45956</v>
      </c>
      <c r="J2184" s="21" t="str">
        <f aca="false">INDEX(Students!$C$2:$C$601,MATCH(B2184,Students!$A$2:$A$601,0))</f>
        <v>Batch 2026</v>
      </c>
      <c r="K2184" s="21" t="str">
        <f aca="false">INDEX(Students!$D$2:$D$601,MATCH(B2184,Students!$A$2:$A$601,0))</f>
        <v>Cybersecurity</v>
      </c>
      <c r="L2184" s="21" t="str">
        <f aca="false">INDEX(Companies!$C$2:$C$31,MATCH(C2184,Companies!$A$2:$A$31,0))</f>
        <v>IT Services</v>
      </c>
      <c r="M2184" s="21" t="str">
        <f aca="false">INDEX(Companies!$D$2:$D$31,MATCH(C2184,Companies!$A$2:$A$31,0))</f>
        <v>Tier 3</v>
      </c>
      <c r="N2184" s="34" t="n">
        <f aca="false">MATCH(F2184,Assumptions!$K$4:$K$8,0)</f>
        <v>5</v>
      </c>
      <c r="O2184" s="21" t="n">
        <f aca="false">IF(H2184="Yes",MONTH(I2184),"")</f>
        <v>10</v>
      </c>
      <c r="P2184" s="21" t="str">
        <f aca="false">IF(H2184="Yes",B2184,"")</f>
        <v>S0566</v>
      </c>
    </row>
    <row r="2185" customFormat="false" ht="15" hidden="false" customHeight="false" outlineLevel="0" collapsed="false">
      <c r="A2185" s="21" t="s">
        <v>3400</v>
      </c>
      <c r="B2185" s="21" t="s">
        <v>903</v>
      </c>
      <c r="C2185" s="21" t="s">
        <v>1239</v>
      </c>
      <c r="D2185" s="21" t="s">
        <v>1181</v>
      </c>
      <c r="E2185" s="33" t="n">
        <v>45906</v>
      </c>
      <c r="F2185" s="21" t="s">
        <v>1178</v>
      </c>
      <c r="G2185" s="32"/>
      <c r="H2185" s="21"/>
      <c r="I2185" s="33"/>
      <c r="J2185" s="21" t="str">
        <f aca="false">INDEX(Students!$C$2:$C$601,MATCH(B2185,Students!$A$2:$A$601,0))</f>
        <v>Batch 2026</v>
      </c>
      <c r="K2185" s="21" t="str">
        <f aca="false">INDEX(Students!$D$2:$D$601,MATCH(B2185,Students!$A$2:$A$601,0))</f>
        <v>Full Stack Development</v>
      </c>
      <c r="L2185" s="21" t="str">
        <f aca="false">INDEX(Companies!$C$2:$C$31,MATCH(C2185,Companies!$A$2:$A$31,0))</f>
        <v>E-commerce</v>
      </c>
      <c r="M2185" s="21" t="str">
        <f aca="false">INDEX(Companies!$D$2:$D$31,MATCH(C2185,Companies!$A$2:$A$31,0))</f>
        <v>Tier 3</v>
      </c>
      <c r="N2185" s="34" t="n">
        <f aca="false">MATCH(F2185,Assumptions!$K$4:$K$8,0)</f>
        <v>2</v>
      </c>
      <c r="O2185" s="21" t="str">
        <f aca="false">IF(H2185="Yes",MONTH(I2185),"")</f>
        <v/>
      </c>
      <c r="P2185" s="21" t="str">
        <f aca="false">IF(H2185="Yes",B2185,"")</f>
        <v/>
      </c>
    </row>
    <row r="2186" customFormat="false" ht="15" hidden="false" customHeight="false" outlineLevel="0" collapsed="false">
      <c r="A2186" s="21" t="s">
        <v>3401</v>
      </c>
      <c r="B2186" s="21" t="s">
        <v>847</v>
      </c>
      <c r="C2186" s="21" t="s">
        <v>1214</v>
      </c>
      <c r="D2186" s="21" t="s">
        <v>1188</v>
      </c>
      <c r="E2186" s="33" t="n">
        <v>45906</v>
      </c>
      <c r="F2186" s="21" t="s">
        <v>1197</v>
      </c>
      <c r="G2186" s="32"/>
      <c r="H2186" s="21"/>
      <c r="I2186" s="33"/>
      <c r="J2186" s="21" t="str">
        <f aca="false">INDEX(Students!$C$2:$C$601,MATCH(B2186,Students!$A$2:$A$601,0))</f>
        <v>Batch 2026</v>
      </c>
      <c r="K2186" s="21" t="str">
        <f aca="false">INDEX(Students!$D$2:$D$601,MATCH(B2186,Students!$A$2:$A$601,0))</f>
        <v>Data Analytics</v>
      </c>
      <c r="L2186" s="21" t="str">
        <f aca="false">INDEX(Companies!$C$2:$C$31,MATCH(C2186,Companies!$A$2:$A$31,0))</f>
        <v>Product</v>
      </c>
      <c r="M2186" s="21" t="str">
        <f aca="false">INDEX(Companies!$D$2:$D$31,MATCH(C2186,Companies!$A$2:$A$31,0))</f>
        <v>Tier 1</v>
      </c>
      <c r="N2186" s="34" t="n">
        <f aca="false">MATCH(F2186,Assumptions!$K$4:$K$8,0)</f>
        <v>3</v>
      </c>
      <c r="O2186" s="21" t="str">
        <f aca="false">IF(H2186="Yes",MONTH(I2186),"")</f>
        <v/>
      </c>
      <c r="P2186" s="21" t="str">
        <f aca="false">IF(H2186="Yes",B2186,"")</f>
        <v/>
      </c>
    </row>
    <row r="2187" customFormat="false" ht="15" hidden="false" customHeight="false" outlineLevel="0" collapsed="false">
      <c r="A2187" s="21" t="s">
        <v>3402</v>
      </c>
      <c r="B2187" s="21" t="s">
        <v>828</v>
      </c>
      <c r="C2187" s="21" t="s">
        <v>1177</v>
      </c>
      <c r="D2187" s="21" t="s">
        <v>1181</v>
      </c>
      <c r="E2187" s="33" t="n">
        <v>45907</v>
      </c>
      <c r="F2187" s="21" t="s">
        <v>1185</v>
      </c>
      <c r="G2187" s="32" t="n">
        <v>6.6</v>
      </c>
      <c r="H2187" s="21" t="s">
        <v>113</v>
      </c>
      <c r="I2187" s="33" t="n">
        <v>45945</v>
      </c>
      <c r="J2187" s="21" t="str">
        <f aca="false">INDEX(Students!$C$2:$C$601,MATCH(B2187,Students!$A$2:$A$601,0))</f>
        <v>Batch 2026</v>
      </c>
      <c r="K2187" s="21" t="str">
        <f aca="false">INDEX(Students!$D$2:$D$601,MATCH(B2187,Students!$A$2:$A$601,0))</f>
        <v>Full Stack Development</v>
      </c>
      <c r="L2187" s="21" t="str">
        <f aca="false">INDEX(Companies!$C$2:$C$31,MATCH(C2187,Companies!$A$2:$A$31,0))</f>
        <v>IT Services</v>
      </c>
      <c r="M2187" s="21" t="str">
        <f aca="false">INDEX(Companies!$D$2:$D$31,MATCH(C2187,Companies!$A$2:$A$31,0))</f>
        <v>Tier 3</v>
      </c>
      <c r="N2187" s="34" t="n">
        <f aca="false">MATCH(F2187,Assumptions!$K$4:$K$8,0)</f>
        <v>5</v>
      </c>
      <c r="O2187" s="21" t="str">
        <f aca="false">IF(H2187="Yes",MONTH(I2187),"")</f>
        <v/>
      </c>
      <c r="P2187" s="21" t="str">
        <f aca="false">IF(H2187="Yes",B2187,"")</f>
        <v/>
      </c>
    </row>
    <row r="2188" customFormat="false" ht="15" hidden="false" customHeight="false" outlineLevel="0" collapsed="false">
      <c r="A2188" s="21" t="s">
        <v>3403</v>
      </c>
      <c r="B2188" s="21" t="s">
        <v>1070</v>
      </c>
      <c r="C2188" s="21" t="s">
        <v>1180</v>
      </c>
      <c r="D2188" s="21" t="s">
        <v>1174</v>
      </c>
      <c r="E2188" s="33" t="n">
        <v>45907</v>
      </c>
      <c r="F2188" s="21" t="s">
        <v>1178</v>
      </c>
      <c r="G2188" s="32"/>
      <c r="H2188" s="21"/>
      <c r="I2188" s="33"/>
      <c r="J2188" s="21" t="str">
        <f aca="false">INDEX(Students!$C$2:$C$601,MATCH(B2188,Students!$A$2:$A$601,0))</f>
        <v>Batch 2026</v>
      </c>
      <c r="K2188" s="21" t="str">
        <f aca="false">INDEX(Students!$D$2:$D$601,MATCH(B2188,Students!$A$2:$A$601,0))</f>
        <v>Full Stack Development</v>
      </c>
      <c r="L2188" s="21" t="str">
        <f aca="false">INDEX(Companies!$C$2:$C$31,MATCH(C2188,Companies!$A$2:$A$31,0))</f>
        <v>IT Services</v>
      </c>
      <c r="M2188" s="21" t="str">
        <f aca="false">INDEX(Companies!$D$2:$D$31,MATCH(C2188,Companies!$A$2:$A$31,0))</f>
        <v>Tier 3</v>
      </c>
      <c r="N2188" s="34" t="n">
        <f aca="false">MATCH(F2188,Assumptions!$K$4:$K$8,0)</f>
        <v>2</v>
      </c>
      <c r="O2188" s="21" t="str">
        <f aca="false">IF(H2188="Yes",MONTH(I2188),"")</f>
        <v/>
      </c>
      <c r="P2188" s="21" t="str">
        <f aca="false">IF(H2188="Yes",B2188,"")</f>
        <v/>
      </c>
    </row>
    <row r="2189" customFormat="false" ht="15" hidden="false" customHeight="false" outlineLevel="0" collapsed="false">
      <c r="A2189" s="21" t="s">
        <v>3404</v>
      </c>
      <c r="B2189" s="21" t="s">
        <v>838</v>
      </c>
      <c r="C2189" s="21" t="s">
        <v>1239</v>
      </c>
      <c r="D2189" s="21" t="s">
        <v>1209</v>
      </c>
      <c r="E2189" s="33" t="n">
        <v>45907</v>
      </c>
      <c r="F2189" s="21" t="s">
        <v>1178</v>
      </c>
      <c r="G2189" s="32"/>
      <c r="H2189" s="21"/>
      <c r="I2189" s="33"/>
      <c r="J2189" s="21" t="str">
        <f aca="false">INDEX(Students!$C$2:$C$601,MATCH(B2189,Students!$A$2:$A$601,0))</f>
        <v>Batch 2026</v>
      </c>
      <c r="K2189" s="21" t="str">
        <f aca="false">INDEX(Students!$D$2:$D$601,MATCH(B2189,Students!$A$2:$A$601,0))</f>
        <v>Data Analytics</v>
      </c>
      <c r="L2189" s="21" t="str">
        <f aca="false">INDEX(Companies!$C$2:$C$31,MATCH(C2189,Companies!$A$2:$A$31,0))</f>
        <v>E-commerce</v>
      </c>
      <c r="M2189" s="21" t="str">
        <f aca="false">INDEX(Companies!$D$2:$D$31,MATCH(C2189,Companies!$A$2:$A$31,0))</f>
        <v>Tier 3</v>
      </c>
      <c r="N2189" s="34" t="n">
        <f aca="false">MATCH(F2189,Assumptions!$K$4:$K$8,0)</f>
        <v>2</v>
      </c>
      <c r="O2189" s="21" t="str">
        <f aca="false">IF(H2189="Yes",MONTH(I2189),"")</f>
        <v/>
      </c>
      <c r="P2189" s="21" t="str">
        <f aca="false">IF(H2189="Yes",B2189,"")</f>
        <v/>
      </c>
    </row>
    <row r="2190" customFormat="false" ht="15" hidden="false" customHeight="false" outlineLevel="0" collapsed="false">
      <c r="A2190" s="21" t="s">
        <v>3405</v>
      </c>
      <c r="B2190" s="21" t="s">
        <v>1119</v>
      </c>
      <c r="C2190" s="21" t="s">
        <v>1180</v>
      </c>
      <c r="D2190" s="21" t="s">
        <v>1209</v>
      </c>
      <c r="E2190" s="33" t="n">
        <v>45907</v>
      </c>
      <c r="F2190" s="21" t="s">
        <v>1178</v>
      </c>
      <c r="G2190" s="32"/>
      <c r="H2190" s="21"/>
      <c r="I2190" s="33"/>
      <c r="J2190" s="21" t="str">
        <f aca="false">INDEX(Students!$C$2:$C$601,MATCH(B2190,Students!$A$2:$A$601,0))</f>
        <v>Batch 2026</v>
      </c>
      <c r="K2190" s="21" t="str">
        <f aca="false">INDEX(Students!$D$2:$D$601,MATCH(B2190,Students!$A$2:$A$601,0))</f>
        <v>Data Analytics</v>
      </c>
      <c r="L2190" s="21" t="str">
        <f aca="false">INDEX(Companies!$C$2:$C$31,MATCH(C2190,Companies!$A$2:$A$31,0))</f>
        <v>IT Services</v>
      </c>
      <c r="M2190" s="21" t="str">
        <f aca="false">INDEX(Companies!$D$2:$D$31,MATCH(C2190,Companies!$A$2:$A$31,0))</f>
        <v>Tier 3</v>
      </c>
      <c r="N2190" s="34" t="n">
        <f aca="false">MATCH(F2190,Assumptions!$K$4:$K$8,0)</f>
        <v>2</v>
      </c>
      <c r="O2190" s="21" t="str">
        <f aca="false">IF(H2190="Yes",MONTH(I2190),"")</f>
        <v/>
      </c>
      <c r="P2190" s="21" t="str">
        <f aca="false">IF(H2190="Yes",B2190,"")</f>
        <v/>
      </c>
    </row>
    <row r="2191" customFormat="false" ht="15" hidden="false" customHeight="false" outlineLevel="0" collapsed="false">
      <c r="A2191" s="21" t="s">
        <v>3406</v>
      </c>
      <c r="B2191" s="21" t="s">
        <v>842</v>
      </c>
      <c r="C2191" s="21" t="s">
        <v>1266</v>
      </c>
      <c r="D2191" s="21" t="s">
        <v>1184</v>
      </c>
      <c r="E2191" s="33" t="n">
        <v>45907</v>
      </c>
      <c r="F2191" s="21" t="s">
        <v>1218</v>
      </c>
      <c r="G2191" s="32"/>
      <c r="H2191" s="21"/>
      <c r="I2191" s="33"/>
      <c r="J2191" s="21" t="str">
        <f aca="false">INDEX(Students!$C$2:$C$601,MATCH(B2191,Students!$A$2:$A$601,0))</f>
        <v>Batch 2026</v>
      </c>
      <c r="K2191" s="21" t="str">
        <f aca="false">INDEX(Students!$D$2:$D$601,MATCH(B2191,Students!$A$2:$A$601,0))</f>
        <v>DSA with Java</v>
      </c>
      <c r="L2191" s="21" t="str">
        <f aca="false">INDEX(Companies!$C$2:$C$31,MATCH(C2191,Companies!$A$2:$A$31,0))</f>
        <v>IT Services</v>
      </c>
      <c r="M2191" s="21" t="str">
        <f aca="false">INDEX(Companies!$D$2:$D$31,MATCH(C2191,Companies!$A$2:$A$31,0))</f>
        <v>Tier 3</v>
      </c>
      <c r="N2191" s="34" t="n">
        <f aca="false">MATCH(F2191,Assumptions!$K$4:$K$8,0)</f>
        <v>4</v>
      </c>
      <c r="O2191" s="21" t="str">
        <f aca="false">IF(H2191="Yes",MONTH(I2191),"")</f>
        <v/>
      </c>
      <c r="P2191" s="21" t="str">
        <f aca="false">IF(H2191="Yes",B2191,"")</f>
        <v/>
      </c>
    </row>
    <row r="2192" customFormat="false" ht="15" hidden="false" customHeight="false" outlineLevel="0" collapsed="false">
      <c r="A2192" s="21" t="s">
        <v>3407</v>
      </c>
      <c r="B2192" s="21" t="s">
        <v>1152</v>
      </c>
      <c r="C2192" s="21" t="s">
        <v>1216</v>
      </c>
      <c r="D2192" s="21" t="s">
        <v>1184</v>
      </c>
      <c r="E2192" s="33" t="n">
        <v>45908</v>
      </c>
      <c r="F2192" s="21" t="s">
        <v>1185</v>
      </c>
      <c r="G2192" s="32" t="n">
        <v>7.4</v>
      </c>
      <c r="H2192" s="21" t="s">
        <v>113</v>
      </c>
      <c r="I2192" s="33" t="n">
        <v>45952</v>
      </c>
      <c r="J2192" s="21" t="str">
        <f aca="false">INDEX(Students!$C$2:$C$601,MATCH(B2192,Students!$A$2:$A$601,0))</f>
        <v>Batch 2026</v>
      </c>
      <c r="K2192" s="21" t="str">
        <f aca="false">INDEX(Students!$D$2:$D$601,MATCH(B2192,Students!$A$2:$A$601,0))</f>
        <v>DSA with Java</v>
      </c>
      <c r="L2192" s="21" t="str">
        <f aca="false">INDEX(Companies!$C$2:$C$31,MATCH(C2192,Companies!$A$2:$A$31,0))</f>
        <v>IT Services</v>
      </c>
      <c r="M2192" s="21" t="str">
        <f aca="false">INDEX(Companies!$D$2:$D$31,MATCH(C2192,Companies!$A$2:$A$31,0))</f>
        <v>Tier 3</v>
      </c>
      <c r="N2192" s="34" t="n">
        <f aca="false">MATCH(F2192,Assumptions!$K$4:$K$8,0)</f>
        <v>5</v>
      </c>
      <c r="O2192" s="21" t="str">
        <f aca="false">IF(H2192="Yes",MONTH(I2192),"")</f>
        <v/>
      </c>
      <c r="P2192" s="21" t="str">
        <f aca="false">IF(H2192="Yes",B2192,"")</f>
        <v/>
      </c>
    </row>
    <row r="2193" customFormat="false" ht="15" hidden="false" customHeight="false" outlineLevel="0" collapsed="false">
      <c r="A2193" s="21" t="s">
        <v>3408</v>
      </c>
      <c r="B2193" s="21" t="s">
        <v>1148</v>
      </c>
      <c r="C2193" s="21" t="s">
        <v>1173</v>
      </c>
      <c r="D2193" s="21" t="s">
        <v>1243</v>
      </c>
      <c r="E2193" s="33" t="n">
        <v>45908</v>
      </c>
      <c r="F2193" s="21" t="s">
        <v>1175</v>
      </c>
      <c r="G2193" s="32"/>
      <c r="H2193" s="21"/>
      <c r="I2193" s="33"/>
      <c r="J2193" s="21" t="str">
        <f aca="false">INDEX(Students!$C$2:$C$601,MATCH(B2193,Students!$A$2:$A$601,0))</f>
        <v>Batch 2026</v>
      </c>
      <c r="K2193" s="21" t="str">
        <f aca="false">INDEX(Students!$D$2:$D$601,MATCH(B2193,Students!$A$2:$A$601,0))</f>
        <v>Data Science &amp; ML</v>
      </c>
      <c r="L2193" s="21" t="str">
        <f aca="false">INDEX(Companies!$C$2:$C$31,MATCH(C2193,Companies!$A$2:$A$31,0))</f>
        <v>Cybersecurity</v>
      </c>
      <c r="M2193" s="21" t="str">
        <f aca="false">INDEX(Companies!$D$2:$D$31,MATCH(C2193,Companies!$A$2:$A$31,0))</f>
        <v>Tier 1</v>
      </c>
      <c r="N2193" s="34" t="n">
        <f aca="false">MATCH(F2193,Assumptions!$K$4:$K$8,0)</f>
        <v>1</v>
      </c>
      <c r="O2193" s="21" t="str">
        <f aca="false">IF(H2193="Yes",MONTH(I2193),"")</f>
        <v/>
      </c>
      <c r="P2193" s="21" t="str">
        <f aca="false">IF(H2193="Yes",B2193,"")</f>
        <v/>
      </c>
    </row>
    <row r="2194" customFormat="false" ht="15" hidden="false" customHeight="false" outlineLevel="0" collapsed="false">
      <c r="A2194" s="21" t="s">
        <v>3409</v>
      </c>
      <c r="B2194" s="21" t="s">
        <v>941</v>
      </c>
      <c r="C2194" s="21" t="s">
        <v>1173</v>
      </c>
      <c r="D2194" s="21" t="s">
        <v>1174</v>
      </c>
      <c r="E2194" s="33" t="n">
        <v>45908</v>
      </c>
      <c r="F2194" s="21" t="s">
        <v>1178</v>
      </c>
      <c r="G2194" s="32"/>
      <c r="H2194" s="21"/>
      <c r="I2194" s="33"/>
      <c r="J2194" s="21" t="str">
        <f aca="false">INDEX(Students!$C$2:$C$601,MATCH(B2194,Students!$A$2:$A$601,0))</f>
        <v>Batch 2026</v>
      </c>
      <c r="K2194" s="21" t="str">
        <f aca="false">INDEX(Students!$D$2:$D$601,MATCH(B2194,Students!$A$2:$A$601,0))</f>
        <v>Full Stack Development</v>
      </c>
      <c r="L2194" s="21" t="str">
        <f aca="false">INDEX(Companies!$C$2:$C$31,MATCH(C2194,Companies!$A$2:$A$31,0))</f>
        <v>Cybersecurity</v>
      </c>
      <c r="M2194" s="21" t="str">
        <f aca="false">INDEX(Companies!$D$2:$D$31,MATCH(C2194,Companies!$A$2:$A$31,0))</f>
        <v>Tier 1</v>
      </c>
      <c r="N2194" s="34" t="n">
        <f aca="false">MATCH(F2194,Assumptions!$K$4:$K$8,0)</f>
        <v>2</v>
      </c>
      <c r="O2194" s="21" t="str">
        <f aca="false">IF(H2194="Yes",MONTH(I2194),"")</f>
        <v/>
      </c>
      <c r="P2194" s="21" t="str">
        <f aca="false">IF(H2194="Yes",B2194,"")</f>
        <v/>
      </c>
    </row>
    <row r="2195" customFormat="false" ht="15" hidden="false" customHeight="false" outlineLevel="0" collapsed="false">
      <c r="A2195" s="21" t="s">
        <v>3410</v>
      </c>
      <c r="B2195" s="21" t="s">
        <v>997</v>
      </c>
      <c r="C2195" s="21" t="s">
        <v>1266</v>
      </c>
      <c r="D2195" s="21" t="s">
        <v>1194</v>
      </c>
      <c r="E2195" s="33" t="n">
        <v>45908</v>
      </c>
      <c r="F2195" s="21" t="s">
        <v>1197</v>
      </c>
      <c r="G2195" s="32"/>
      <c r="H2195" s="21"/>
      <c r="I2195" s="33"/>
      <c r="J2195" s="21" t="str">
        <f aca="false">INDEX(Students!$C$2:$C$601,MATCH(B2195,Students!$A$2:$A$601,0))</f>
        <v>Batch 2026</v>
      </c>
      <c r="K2195" s="21" t="str">
        <f aca="false">INDEX(Students!$D$2:$D$601,MATCH(B2195,Students!$A$2:$A$601,0))</f>
        <v>Data Science &amp; ML</v>
      </c>
      <c r="L2195" s="21" t="str">
        <f aca="false">INDEX(Companies!$C$2:$C$31,MATCH(C2195,Companies!$A$2:$A$31,0))</f>
        <v>IT Services</v>
      </c>
      <c r="M2195" s="21" t="str">
        <f aca="false">INDEX(Companies!$D$2:$D$31,MATCH(C2195,Companies!$A$2:$A$31,0))</f>
        <v>Tier 3</v>
      </c>
      <c r="N2195" s="34" t="n">
        <f aca="false">MATCH(F2195,Assumptions!$K$4:$K$8,0)</f>
        <v>3</v>
      </c>
      <c r="O2195" s="21" t="str">
        <f aca="false">IF(H2195="Yes",MONTH(I2195),"")</f>
        <v/>
      </c>
      <c r="P2195" s="21" t="str">
        <f aca="false">IF(H2195="Yes",B2195,"")</f>
        <v/>
      </c>
    </row>
    <row r="2196" customFormat="false" ht="15" hidden="false" customHeight="false" outlineLevel="0" collapsed="false">
      <c r="A2196" s="21" t="s">
        <v>3411</v>
      </c>
      <c r="B2196" s="21" t="s">
        <v>819</v>
      </c>
      <c r="C2196" s="21" t="s">
        <v>1255</v>
      </c>
      <c r="D2196" s="21" t="s">
        <v>1191</v>
      </c>
      <c r="E2196" s="33" t="n">
        <v>45908</v>
      </c>
      <c r="F2196" s="21" t="s">
        <v>1178</v>
      </c>
      <c r="G2196" s="32"/>
      <c r="H2196" s="21"/>
      <c r="I2196" s="33"/>
      <c r="J2196" s="21" t="str">
        <f aca="false">INDEX(Students!$C$2:$C$601,MATCH(B2196,Students!$A$2:$A$601,0))</f>
        <v>Batch 2026</v>
      </c>
      <c r="K2196" s="21" t="str">
        <f aca="false">INDEX(Students!$D$2:$D$601,MATCH(B2196,Students!$A$2:$A$601,0))</f>
        <v>DSA with Java</v>
      </c>
      <c r="L2196" s="21" t="str">
        <f aca="false">INDEX(Companies!$C$2:$C$31,MATCH(C2196,Companies!$A$2:$A$31,0))</f>
        <v>IT Services</v>
      </c>
      <c r="M2196" s="21" t="str">
        <f aca="false">INDEX(Companies!$D$2:$D$31,MATCH(C2196,Companies!$A$2:$A$31,0))</f>
        <v>Tier 3</v>
      </c>
      <c r="N2196" s="34" t="n">
        <f aca="false">MATCH(F2196,Assumptions!$K$4:$K$8,0)</f>
        <v>2</v>
      </c>
      <c r="O2196" s="21" t="str">
        <f aca="false">IF(H2196="Yes",MONTH(I2196),"")</f>
        <v/>
      </c>
      <c r="P2196" s="21" t="str">
        <f aca="false">IF(H2196="Yes",B2196,"")</f>
        <v/>
      </c>
    </row>
    <row r="2197" customFormat="false" ht="15" hidden="false" customHeight="false" outlineLevel="0" collapsed="false">
      <c r="A2197" s="21" t="s">
        <v>3412</v>
      </c>
      <c r="B2197" s="21" t="s">
        <v>975</v>
      </c>
      <c r="C2197" s="21" t="s">
        <v>1190</v>
      </c>
      <c r="D2197" s="21" t="s">
        <v>1174</v>
      </c>
      <c r="E2197" s="33" t="n">
        <v>45908</v>
      </c>
      <c r="F2197" s="21" t="s">
        <v>1218</v>
      </c>
      <c r="G2197" s="32"/>
      <c r="H2197" s="21"/>
      <c r="I2197" s="33"/>
      <c r="J2197" s="21" t="str">
        <f aca="false">INDEX(Students!$C$2:$C$601,MATCH(B2197,Students!$A$2:$A$601,0))</f>
        <v>Batch 2026</v>
      </c>
      <c r="K2197" s="21" t="str">
        <f aca="false">INDEX(Students!$D$2:$D$601,MATCH(B2197,Students!$A$2:$A$601,0))</f>
        <v>Full Stack Development</v>
      </c>
      <c r="L2197" s="21" t="str">
        <f aca="false">INDEX(Companies!$C$2:$C$31,MATCH(C2197,Companies!$A$2:$A$31,0))</f>
        <v>Analytics &amp; Consulting</v>
      </c>
      <c r="M2197" s="21" t="str">
        <f aca="false">INDEX(Companies!$D$2:$D$31,MATCH(C2197,Companies!$A$2:$A$31,0))</f>
        <v>Tier 1</v>
      </c>
      <c r="N2197" s="34" t="n">
        <f aca="false">MATCH(F2197,Assumptions!$K$4:$K$8,0)</f>
        <v>4</v>
      </c>
      <c r="O2197" s="21" t="str">
        <f aca="false">IF(H2197="Yes",MONTH(I2197),"")</f>
        <v/>
      </c>
      <c r="P2197" s="21" t="str">
        <f aca="false">IF(H2197="Yes",B2197,"")</f>
        <v/>
      </c>
    </row>
    <row r="2198" customFormat="false" ht="15" hidden="false" customHeight="false" outlineLevel="0" collapsed="false">
      <c r="A2198" s="21" t="s">
        <v>3413</v>
      </c>
      <c r="B2198" s="21" t="s">
        <v>814</v>
      </c>
      <c r="C2198" s="21" t="s">
        <v>1196</v>
      </c>
      <c r="D2198" s="21" t="s">
        <v>1188</v>
      </c>
      <c r="E2198" s="33" t="n">
        <v>45909</v>
      </c>
      <c r="F2198" s="21" t="s">
        <v>1175</v>
      </c>
      <c r="G2198" s="32"/>
      <c r="H2198" s="21"/>
      <c r="I2198" s="33"/>
      <c r="J2198" s="21" t="str">
        <f aca="false">INDEX(Students!$C$2:$C$601,MATCH(B2198,Students!$A$2:$A$601,0))</f>
        <v>Batch 2026</v>
      </c>
      <c r="K2198" s="21" t="str">
        <f aca="false">INDEX(Students!$D$2:$D$601,MATCH(B2198,Students!$A$2:$A$601,0))</f>
        <v>Data Analytics</v>
      </c>
      <c r="L2198" s="21" t="str">
        <f aca="false">INDEX(Companies!$C$2:$C$31,MATCH(C2198,Companies!$A$2:$A$31,0))</f>
        <v>IT Services</v>
      </c>
      <c r="M2198" s="21" t="str">
        <f aca="false">INDEX(Companies!$D$2:$D$31,MATCH(C2198,Companies!$A$2:$A$31,0))</f>
        <v>Tier 3</v>
      </c>
      <c r="N2198" s="34" t="n">
        <f aca="false">MATCH(F2198,Assumptions!$K$4:$K$8,0)</f>
        <v>1</v>
      </c>
      <c r="O2198" s="21" t="str">
        <f aca="false">IF(H2198="Yes",MONTH(I2198),"")</f>
        <v/>
      </c>
      <c r="P2198" s="21" t="str">
        <f aca="false">IF(H2198="Yes",B2198,"")</f>
        <v/>
      </c>
    </row>
    <row r="2199" customFormat="false" ht="15" hidden="false" customHeight="false" outlineLevel="0" collapsed="false">
      <c r="A2199" s="21" t="s">
        <v>3414</v>
      </c>
      <c r="B2199" s="21" t="s">
        <v>950</v>
      </c>
      <c r="C2199" s="21" t="s">
        <v>1201</v>
      </c>
      <c r="D2199" s="21" t="s">
        <v>1191</v>
      </c>
      <c r="E2199" s="33" t="n">
        <v>45909</v>
      </c>
      <c r="F2199" s="21" t="s">
        <v>1185</v>
      </c>
      <c r="G2199" s="32" t="n">
        <v>5.4</v>
      </c>
      <c r="H2199" s="21" t="s">
        <v>113</v>
      </c>
      <c r="I2199" s="33" t="n">
        <v>45939</v>
      </c>
      <c r="J2199" s="21" t="str">
        <f aca="false">INDEX(Students!$C$2:$C$601,MATCH(B2199,Students!$A$2:$A$601,0))</f>
        <v>Batch 2026</v>
      </c>
      <c r="K2199" s="21" t="str">
        <f aca="false">INDEX(Students!$D$2:$D$601,MATCH(B2199,Students!$A$2:$A$601,0))</f>
        <v>DSA with Java</v>
      </c>
      <c r="L2199" s="21" t="str">
        <f aca="false">INDEX(Companies!$C$2:$C$31,MATCH(C2199,Companies!$A$2:$A$31,0))</f>
        <v>IT Services</v>
      </c>
      <c r="M2199" s="21" t="str">
        <f aca="false">INDEX(Companies!$D$2:$D$31,MATCH(C2199,Companies!$A$2:$A$31,0))</f>
        <v>Tier 3</v>
      </c>
      <c r="N2199" s="34" t="n">
        <f aca="false">MATCH(F2199,Assumptions!$K$4:$K$8,0)</f>
        <v>5</v>
      </c>
      <c r="O2199" s="21" t="str">
        <f aca="false">IF(H2199="Yes",MONTH(I2199),"")</f>
        <v/>
      </c>
      <c r="P2199" s="21" t="str">
        <f aca="false">IF(H2199="Yes",B2199,"")</f>
        <v/>
      </c>
    </row>
    <row r="2200" customFormat="false" ht="15" hidden="false" customHeight="false" outlineLevel="0" collapsed="false">
      <c r="A2200" s="21" t="s">
        <v>3415</v>
      </c>
      <c r="B2200" s="21" t="s">
        <v>856</v>
      </c>
      <c r="C2200" s="21" t="s">
        <v>1187</v>
      </c>
      <c r="D2200" s="21" t="s">
        <v>1226</v>
      </c>
      <c r="E2200" s="33" t="n">
        <v>45909</v>
      </c>
      <c r="F2200" s="21" t="s">
        <v>1178</v>
      </c>
      <c r="G2200" s="32"/>
      <c r="H2200" s="21"/>
      <c r="I2200" s="33"/>
      <c r="J2200" s="21" t="str">
        <f aca="false">INDEX(Students!$C$2:$C$601,MATCH(B2200,Students!$A$2:$A$601,0))</f>
        <v>Batch 2026</v>
      </c>
      <c r="K2200" s="21" t="str">
        <f aca="false">INDEX(Students!$D$2:$D$601,MATCH(B2200,Students!$A$2:$A$601,0))</f>
        <v>Cybersecurity</v>
      </c>
      <c r="L2200" s="21" t="str">
        <f aca="false">INDEX(Companies!$C$2:$C$31,MATCH(C2200,Companies!$A$2:$A$31,0))</f>
        <v>Product</v>
      </c>
      <c r="M2200" s="21" t="str">
        <f aca="false">INDEX(Companies!$D$2:$D$31,MATCH(C2200,Companies!$A$2:$A$31,0))</f>
        <v>Tier 1</v>
      </c>
      <c r="N2200" s="34" t="n">
        <f aca="false">MATCH(F2200,Assumptions!$K$4:$K$8,0)</f>
        <v>2</v>
      </c>
      <c r="O2200" s="21" t="str">
        <f aca="false">IF(H2200="Yes",MONTH(I2200),"")</f>
        <v/>
      </c>
      <c r="P2200" s="21" t="str">
        <f aca="false">IF(H2200="Yes",B2200,"")</f>
        <v/>
      </c>
    </row>
    <row r="2201" customFormat="false" ht="15" hidden="false" customHeight="false" outlineLevel="0" collapsed="false">
      <c r="A2201" s="21" t="s">
        <v>3416</v>
      </c>
      <c r="B2201" s="21" t="s">
        <v>937</v>
      </c>
      <c r="C2201" s="21" t="s">
        <v>1234</v>
      </c>
      <c r="D2201" s="21" t="s">
        <v>1191</v>
      </c>
      <c r="E2201" s="33" t="n">
        <v>45909</v>
      </c>
      <c r="F2201" s="21" t="s">
        <v>1178</v>
      </c>
      <c r="G2201" s="32"/>
      <c r="H2201" s="21"/>
      <c r="I2201" s="33"/>
      <c r="J2201" s="21" t="str">
        <f aca="false">INDEX(Students!$C$2:$C$601,MATCH(B2201,Students!$A$2:$A$601,0))</f>
        <v>Batch 2026</v>
      </c>
      <c r="K2201" s="21" t="str">
        <f aca="false">INDEX(Students!$D$2:$D$601,MATCH(B2201,Students!$A$2:$A$601,0))</f>
        <v>DSA with Java</v>
      </c>
      <c r="L2201" s="21" t="str">
        <f aca="false">INDEX(Companies!$C$2:$C$31,MATCH(C2201,Companies!$A$2:$A$31,0))</f>
        <v>EdTech</v>
      </c>
      <c r="M2201" s="21" t="str">
        <f aca="false">INDEX(Companies!$D$2:$D$31,MATCH(C2201,Companies!$A$2:$A$31,0))</f>
        <v>Tier 3</v>
      </c>
      <c r="N2201" s="34" t="n">
        <f aca="false">MATCH(F2201,Assumptions!$K$4:$K$8,0)</f>
        <v>2</v>
      </c>
      <c r="O2201" s="21" t="str">
        <f aca="false">IF(H2201="Yes",MONTH(I2201),"")</f>
        <v/>
      </c>
      <c r="P2201" s="21" t="str">
        <f aca="false">IF(H2201="Yes",B2201,"")</f>
        <v/>
      </c>
    </row>
    <row r="2202" customFormat="false" ht="15" hidden="false" customHeight="false" outlineLevel="0" collapsed="false">
      <c r="A2202" s="21" t="s">
        <v>3417</v>
      </c>
      <c r="B2202" s="21" t="s">
        <v>1072</v>
      </c>
      <c r="C2202" s="21" t="s">
        <v>1309</v>
      </c>
      <c r="D2202" s="21" t="s">
        <v>1194</v>
      </c>
      <c r="E2202" s="33" t="n">
        <v>45909</v>
      </c>
      <c r="F2202" s="21" t="s">
        <v>1175</v>
      </c>
      <c r="G2202" s="32"/>
      <c r="H2202" s="21"/>
      <c r="I2202" s="33"/>
      <c r="J2202" s="21" t="str">
        <f aca="false">INDEX(Students!$C$2:$C$601,MATCH(B2202,Students!$A$2:$A$601,0))</f>
        <v>Batch 2026</v>
      </c>
      <c r="K2202" s="21" t="str">
        <f aca="false">INDEX(Students!$D$2:$D$601,MATCH(B2202,Students!$A$2:$A$601,0))</f>
        <v>Data Science &amp; ML</v>
      </c>
      <c r="L2202" s="21" t="str">
        <f aca="false">INDEX(Companies!$C$2:$C$31,MATCH(C2202,Companies!$A$2:$A$31,0))</f>
        <v>EdTech</v>
      </c>
      <c r="M2202" s="21" t="str">
        <f aca="false">INDEX(Companies!$D$2:$D$31,MATCH(C2202,Companies!$A$2:$A$31,0))</f>
        <v>Tier 2</v>
      </c>
      <c r="N2202" s="34" t="n">
        <f aca="false">MATCH(F2202,Assumptions!$K$4:$K$8,0)</f>
        <v>1</v>
      </c>
      <c r="O2202" s="21" t="str">
        <f aca="false">IF(H2202="Yes",MONTH(I2202),"")</f>
        <v/>
      </c>
      <c r="P2202" s="21" t="str">
        <f aca="false">IF(H2202="Yes",B2202,"")</f>
        <v/>
      </c>
    </row>
    <row r="2203" customFormat="false" ht="15" hidden="false" customHeight="false" outlineLevel="0" collapsed="false">
      <c r="A2203" s="21" t="s">
        <v>3418</v>
      </c>
      <c r="B2203" s="21" t="s">
        <v>939</v>
      </c>
      <c r="C2203" s="21" t="s">
        <v>1216</v>
      </c>
      <c r="D2203" s="21" t="s">
        <v>1226</v>
      </c>
      <c r="E2203" s="33" t="n">
        <v>45909</v>
      </c>
      <c r="F2203" s="21" t="s">
        <v>1178</v>
      </c>
      <c r="G2203" s="32"/>
      <c r="H2203" s="21"/>
      <c r="I2203" s="33"/>
      <c r="J2203" s="21" t="str">
        <f aca="false">INDEX(Students!$C$2:$C$601,MATCH(B2203,Students!$A$2:$A$601,0))</f>
        <v>Batch 2026</v>
      </c>
      <c r="K2203" s="21" t="str">
        <f aca="false">INDEX(Students!$D$2:$D$601,MATCH(B2203,Students!$A$2:$A$601,0))</f>
        <v>Cybersecurity</v>
      </c>
      <c r="L2203" s="21" t="str">
        <f aca="false">INDEX(Companies!$C$2:$C$31,MATCH(C2203,Companies!$A$2:$A$31,0))</f>
        <v>IT Services</v>
      </c>
      <c r="M2203" s="21" t="str">
        <f aca="false">INDEX(Companies!$D$2:$D$31,MATCH(C2203,Companies!$A$2:$A$31,0))</f>
        <v>Tier 3</v>
      </c>
      <c r="N2203" s="34" t="n">
        <f aca="false">MATCH(F2203,Assumptions!$K$4:$K$8,0)</f>
        <v>2</v>
      </c>
      <c r="O2203" s="21" t="str">
        <f aca="false">IF(H2203="Yes",MONTH(I2203),"")</f>
        <v/>
      </c>
      <c r="P2203" s="21" t="str">
        <f aca="false">IF(H2203="Yes",B2203,"")</f>
        <v/>
      </c>
    </row>
    <row r="2204" customFormat="false" ht="15" hidden="false" customHeight="false" outlineLevel="0" collapsed="false">
      <c r="A2204" s="21" t="s">
        <v>3419</v>
      </c>
      <c r="B2204" s="21" t="s">
        <v>836</v>
      </c>
      <c r="C2204" s="21" t="s">
        <v>1205</v>
      </c>
      <c r="D2204" s="21" t="s">
        <v>1243</v>
      </c>
      <c r="E2204" s="33" t="n">
        <v>45910</v>
      </c>
      <c r="F2204" s="21" t="s">
        <v>1175</v>
      </c>
      <c r="G2204" s="32"/>
      <c r="H2204" s="21"/>
      <c r="I2204" s="33"/>
      <c r="J2204" s="21" t="str">
        <f aca="false">INDEX(Students!$C$2:$C$601,MATCH(B2204,Students!$A$2:$A$601,0))</f>
        <v>Batch 2026</v>
      </c>
      <c r="K2204" s="21" t="str">
        <f aca="false">INDEX(Students!$D$2:$D$601,MATCH(B2204,Students!$A$2:$A$601,0))</f>
        <v>Data Science &amp; ML</v>
      </c>
      <c r="L2204" s="21" t="str">
        <f aca="false">INDEX(Companies!$C$2:$C$31,MATCH(C2204,Companies!$A$2:$A$31,0))</f>
        <v>Healthtech</v>
      </c>
      <c r="M2204" s="21" t="str">
        <f aca="false">INDEX(Companies!$D$2:$D$31,MATCH(C2204,Companies!$A$2:$A$31,0))</f>
        <v>Tier 3</v>
      </c>
      <c r="N2204" s="34" t="n">
        <f aca="false">MATCH(F2204,Assumptions!$K$4:$K$8,0)</f>
        <v>1</v>
      </c>
      <c r="O2204" s="21" t="str">
        <f aca="false">IF(H2204="Yes",MONTH(I2204),"")</f>
        <v/>
      </c>
      <c r="P2204" s="21" t="str">
        <f aca="false">IF(H2204="Yes",B2204,"")</f>
        <v/>
      </c>
    </row>
    <row r="2205" customFormat="false" ht="15" hidden="false" customHeight="false" outlineLevel="0" collapsed="false">
      <c r="A2205" s="21" t="s">
        <v>3420</v>
      </c>
      <c r="B2205" s="21" t="s">
        <v>1078</v>
      </c>
      <c r="C2205" s="21" t="s">
        <v>1322</v>
      </c>
      <c r="D2205" s="21" t="s">
        <v>1191</v>
      </c>
      <c r="E2205" s="33" t="n">
        <v>45910</v>
      </c>
      <c r="F2205" s="21" t="s">
        <v>1175</v>
      </c>
      <c r="G2205" s="32"/>
      <c r="H2205" s="21"/>
      <c r="I2205" s="33"/>
      <c r="J2205" s="21" t="str">
        <f aca="false">INDEX(Students!$C$2:$C$601,MATCH(B2205,Students!$A$2:$A$601,0))</f>
        <v>Batch 2026</v>
      </c>
      <c r="K2205" s="21" t="str">
        <f aca="false">INDEX(Students!$D$2:$D$601,MATCH(B2205,Students!$A$2:$A$601,0))</f>
        <v>DSA with Java</v>
      </c>
      <c r="L2205" s="21" t="str">
        <f aca="false">INDEX(Companies!$C$2:$C$31,MATCH(C2205,Companies!$A$2:$A$31,0))</f>
        <v>Healthtech</v>
      </c>
      <c r="M2205" s="21" t="str">
        <f aca="false">INDEX(Companies!$D$2:$D$31,MATCH(C2205,Companies!$A$2:$A$31,0))</f>
        <v>Tier 2</v>
      </c>
      <c r="N2205" s="34" t="n">
        <f aca="false">MATCH(F2205,Assumptions!$K$4:$K$8,0)</f>
        <v>1</v>
      </c>
      <c r="O2205" s="21" t="str">
        <f aca="false">IF(H2205="Yes",MONTH(I2205),"")</f>
        <v/>
      </c>
      <c r="P2205" s="21" t="str">
        <f aca="false">IF(H2205="Yes",B2205,"")</f>
        <v/>
      </c>
    </row>
    <row r="2206" customFormat="false" ht="15" hidden="false" customHeight="false" outlineLevel="0" collapsed="false">
      <c r="A2206" s="21" t="s">
        <v>3421</v>
      </c>
      <c r="B2206" s="21" t="s">
        <v>997</v>
      </c>
      <c r="C2206" s="21" t="s">
        <v>1211</v>
      </c>
      <c r="D2206" s="21" t="s">
        <v>1194</v>
      </c>
      <c r="E2206" s="33" t="n">
        <v>45910</v>
      </c>
      <c r="F2206" s="21" t="s">
        <v>1218</v>
      </c>
      <c r="G2206" s="32"/>
      <c r="H2206" s="21"/>
      <c r="I2206" s="33"/>
      <c r="J2206" s="21" t="str">
        <f aca="false">INDEX(Students!$C$2:$C$601,MATCH(B2206,Students!$A$2:$A$601,0))</f>
        <v>Batch 2026</v>
      </c>
      <c r="K2206" s="21" t="str">
        <f aca="false">INDEX(Students!$D$2:$D$601,MATCH(B2206,Students!$A$2:$A$601,0))</f>
        <v>Data Science &amp; ML</v>
      </c>
      <c r="L2206" s="21" t="str">
        <f aca="false">INDEX(Companies!$C$2:$C$31,MATCH(C2206,Companies!$A$2:$A$31,0))</f>
        <v>Analytics &amp; Consulting</v>
      </c>
      <c r="M2206" s="21" t="str">
        <f aca="false">INDEX(Companies!$D$2:$D$31,MATCH(C2206,Companies!$A$2:$A$31,0))</f>
        <v>Tier 3</v>
      </c>
      <c r="N2206" s="34" t="n">
        <f aca="false">MATCH(F2206,Assumptions!$K$4:$K$8,0)</f>
        <v>4</v>
      </c>
      <c r="O2206" s="21" t="str">
        <f aca="false">IF(H2206="Yes",MONTH(I2206),"")</f>
        <v/>
      </c>
      <c r="P2206" s="21" t="str">
        <f aca="false">IF(H2206="Yes",B2206,"")</f>
        <v/>
      </c>
    </row>
    <row r="2207" customFormat="false" ht="15" hidden="false" customHeight="false" outlineLevel="0" collapsed="false">
      <c r="A2207" s="21" t="s">
        <v>3422</v>
      </c>
      <c r="B2207" s="21" t="s">
        <v>1039</v>
      </c>
      <c r="C2207" s="21" t="s">
        <v>1230</v>
      </c>
      <c r="D2207" s="21" t="s">
        <v>1191</v>
      </c>
      <c r="E2207" s="33" t="n">
        <v>45910</v>
      </c>
      <c r="F2207" s="21" t="s">
        <v>1185</v>
      </c>
      <c r="G2207" s="32" t="n">
        <v>6.4</v>
      </c>
      <c r="H2207" s="21" t="s">
        <v>113</v>
      </c>
      <c r="I2207" s="33" t="n">
        <v>45939</v>
      </c>
      <c r="J2207" s="21" t="str">
        <f aca="false">INDEX(Students!$C$2:$C$601,MATCH(B2207,Students!$A$2:$A$601,0))</f>
        <v>Batch 2026</v>
      </c>
      <c r="K2207" s="21" t="str">
        <f aca="false">INDEX(Students!$D$2:$D$601,MATCH(B2207,Students!$A$2:$A$601,0))</f>
        <v>DSA with Java</v>
      </c>
      <c r="L2207" s="21" t="str">
        <f aca="false">INDEX(Companies!$C$2:$C$31,MATCH(C2207,Companies!$A$2:$A$31,0))</f>
        <v>IT Services</v>
      </c>
      <c r="M2207" s="21" t="str">
        <f aca="false">INDEX(Companies!$D$2:$D$31,MATCH(C2207,Companies!$A$2:$A$31,0))</f>
        <v>Tier 3</v>
      </c>
      <c r="N2207" s="34" t="n">
        <f aca="false">MATCH(F2207,Assumptions!$K$4:$K$8,0)</f>
        <v>5</v>
      </c>
      <c r="O2207" s="21" t="str">
        <f aca="false">IF(H2207="Yes",MONTH(I2207),"")</f>
        <v/>
      </c>
      <c r="P2207" s="21" t="str">
        <f aca="false">IF(H2207="Yes",B2207,"")</f>
        <v/>
      </c>
    </row>
    <row r="2208" customFormat="false" ht="15" hidden="false" customHeight="false" outlineLevel="0" collapsed="false">
      <c r="A2208" s="21" t="s">
        <v>3423</v>
      </c>
      <c r="B2208" s="21" t="s">
        <v>1005</v>
      </c>
      <c r="C2208" s="21" t="s">
        <v>1255</v>
      </c>
      <c r="D2208" s="21" t="s">
        <v>1243</v>
      </c>
      <c r="E2208" s="33" t="n">
        <v>45910</v>
      </c>
      <c r="F2208" s="21" t="s">
        <v>1197</v>
      </c>
      <c r="G2208" s="32"/>
      <c r="H2208" s="21"/>
      <c r="I2208" s="33"/>
      <c r="J2208" s="21" t="str">
        <f aca="false">INDEX(Students!$C$2:$C$601,MATCH(B2208,Students!$A$2:$A$601,0))</f>
        <v>Batch 2026</v>
      </c>
      <c r="K2208" s="21" t="str">
        <f aca="false">INDEX(Students!$D$2:$D$601,MATCH(B2208,Students!$A$2:$A$601,0))</f>
        <v>Data Science &amp; ML</v>
      </c>
      <c r="L2208" s="21" t="str">
        <f aca="false">INDEX(Companies!$C$2:$C$31,MATCH(C2208,Companies!$A$2:$A$31,0))</f>
        <v>IT Services</v>
      </c>
      <c r="M2208" s="21" t="str">
        <f aca="false">INDEX(Companies!$D$2:$D$31,MATCH(C2208,Companies!$A$2:$A$31,0))</f>
        <v>Tier 3</v>
      </c>
      <c r="N2208" s="34" t="n">
        <f aca="false">MATCH(F2208,Assumptions!$K$4:$K$8,0)</f>
        <v>3</v>
      </c>
      <c r="O2208" s="21" t="str">
        <f aca="false">IF(H2208="Yes",MONTH(I2208),"")</f>
        <v/>
      </c>
      <c r="P2208" s="21" t="str">
        <f aca="false">IF(H2208="Yes",B2208,"")</f>
        <v/>
      </c>
    </row>
    <row r="2209" customFormat="false" ht="15" hidden="false" customHeight="false" outlineLevel="0" collapsed="false">
      <c r="A2209" s="21" t="s">
        <v>3424</v>
      </c>
      <c r="B2209" s="21" t="s">
        <v>1018</v>
      </c>
      <c r="C2209" s="21" t="s">
        <v>1214</v>
      </c>
      <c r="D2209" s="21" t="s">
        <v>1191</v>
      </c>
      <c r="E2209" s="33" t="n">
        <v>45910</v>
      </c>
      <c r="F2209" s="21" t="s">
        <v>1175</v>
      </c>
      <c r="G2209" s="32"/>
      <c r="H2209" s="21"/>
      <c r="I2209" s="33"/>
      <c r="J2209" s="21" t="str">
        <f aca="false">INDEX(Students!$C$2:$C$601,MATCH(B2209,Students!$A$2:$A$601,0))</f>
        <v>Batch 2026</v>
      </c>
      <c r="K2209" s="21" t="str">
        <f aca="false">INDEX(Students!$D$2:$D$601,MATCH(B2209,Students!$A$2:$A$601,0))</f>
        <v>DSA with Java</v>
      </c>
      <c r="L2209" s="21" t="str">
        <f aca="false">INDEX(Companies!$C$2:$C$31,MATCH(C2209,Companies!$A$2:$A$31,0))</f>
        <v>Product</v>
      </c>
      <c r="M2209" s="21" t="str">
        <f aca="false">INDEX(Companies!$D$2:$D$31,MATCH(C2209,Companies!$A$2:$A$31,0))</f>
        <v>Tier 1</v>
      </c>
      <c r="N2209" s="34" t="n">
        <f aca="false">MATCH(F2209,Assumptions!$K$4:$K$8,0)</f>
        <v>1</v>
      </c>
      <c r="O2209" s="21" t="str">
        <f aca="false">IF(H2209="Yes",MONTH(I2209),"")</f>
        <v/>
      </c>
      <c r="P2209" s="21" t="str">
        <f aca="false">IF(H2209="Yes",B2209,"")</f>
        <v/>
      </c>
    </row>
    <row r="2210" customFormat="false" ht="15" hidden="false" customHeight="false" outlineLevel="0" collapsed="false">
      <c r="A2210" s="21" t="s">
        <v>3425</v>
      </c>
      <c r="B2210" s="21" t="s">
        <v>969</v>
      </c>
      <c r="C2210" s="21" t="s">
        <v>1216</v>
      </c>
      <c r="D2210" s="21" t="s">
        <v>1243</v>
      </c>
      <c r="E2210" s="33" t="n">
        <v>45910</v>
      </c>
      <c r="F2210" s="21" t="s">
        <v>1178</v>
      </c>
      <c r="G2210" s="32"/>
      <c r="H2210" s="21"/>
      <c r="I2210" s="33"/>
      <c r="J2210" s="21" t="str">
        <f aca="false">INDEX(Students!$C$2:$C$601,MATCH(B2210,Students!$A$2:$A$601,0))</f>
        <v>Batch 2026</v>
      </c>
      <c r="K2210" s="21" t="str">
        <f aca="false">INDEX(Students!$D$2:$D$601,MATCH(B2210,Students!$A$2:$A$601,0))</f>
        <v>Data Science &amp; ML</v>
      </c>
      <c r="L2210" s="21" t="str">
        <f aca="false">INDEX(Companies!$C$2:$C$31,MATCH(C2210,Companies!$A$2:$A$31,0))</f>
        <v>IT Services</v>
      </c>
      <c r="M2210" s="21" t="str">
        <f aca="false">INDEX(Companies!$D$2:$D$31,MATCH(C2210,Companies!$A$2:$A$31,0))</f>
        <v>Tier 3</v>
      </c>
      <c r="N2210" s="34" t="n">
        <f aca="false">MATCH(F2210,Assumptions!$K$4:$K$8,0)</f>
        <v>2</v>
      </c>
      <c r="O2210" s="21" t="str">
        <f aca="false">IF(H2210="Yes",MONTH(I2210),"")</f>
        <v/>
      </c>
      <c r="P2210" s="21" t="str">
        <f aca="false">IF(H2210="Yes",B2210,"")</f>
        <v/>
      </c>
    </row>
    <row r="2211" customFormat="false" ht="15" hidden="false" customHeight="false" outlineLevel="0" collapsed="false">
      <c r="A2211" s="21" t="s">
        <v>3426</v>
      </c>
      <c r="B2211" s="21" t="s">
        <v>886</v>
      </c>
      <c r="C2211" s="21" t="s">
        <v>1309</v>
      </c>
      <c r="D2211" s="21" t="s">
        <v>1188</v>
      </c>
      <c r="E2211" s="33" t="n">
        <v>45911</v>
      </c>
      <c r="F2211" s="21" t="s">
        <v>1178</v>
      </c>
      <c r="G2211" s="32"/>
      <c r="H2211" s="21"/>
      <c r="I2211" s="33"/>
      <c r="J2211" s="21" t="str">
        <f aca="false">INDEX(Students!$C$2:$C$601,MATCH(B2211,Students!$A$2:$A$601,0))</f>
        <v>Batch 2026</v>
      </c>
      <c r="K2211" s="21" t="str">
        <f aca="false">INDEX(Students!$D$2:$D$601,MATCH(B2211,Students!$A$2:$A$601,0))</f>
        <v>Data Analytics</v>
      </c>
      <c r="L2211" s="21" t="str">
        <f aca="false">INDEX(Companies!$C$2:$C$31,MATCH(C2211,Companies!$A$2:$A$31,0))</f>
        <v>EdTech</v>
      </c>
      <c r="M2211" s="21" t="str">
        <f aca="false">INDEX(Companies!$D$2:$D$31,MATCH(C2211,Companies!$A$2:$A$31,0))</f>
        <v>Tier 2</v>
      </c>
      <c r="N2211" s="34" t="n">
        <f aca="false">MATCH(F2211,Assumptions!$K$4:$K$8,0)</f>
        <v>2</v>
      </c>
      <c r="O2211" s="21" t="str">
        <f aca="false">IF(H2211="Yes",MONTH(I2211),"")</f>
        <v/>
      </c>
      <c r="P2211" s="21" t="str">
        <f aca="false">IF(H2211="Yes",B2211,"")</f>
        <v/>
      </c>
    </row>
    <row r="2212" customFormat="false" ht="15" hidden="false" customHeight="false" outlineLevel="0" collapsed="false">
      <c r="A2212" s="21" t="s">
        <v>3427</v>
      </c>
      <c r="B2212" s="21" t="s">
        <v>989</v>
      </c>
      <c r="C2212" s="21" t="s">
        <v>1203</v>
      </c>
      <c r="D2212" s="21" t="s">
        <v>1181</v>
      </c>
      <c r="E2212" s="33" t="n">
        <v>45911</v>
      </c>
      <c r="F2212" s="21" t="s">
        <v>1178</v>
      </c>
      <c r="G2212" s="32"/>
      <c r="H2212" s="21"/>
      <c r="I2212" s="33"/>
      <c r="J2212" s="21" t="str">
        <f aca="false">INDEX(Students!$C$2:$C$601,MATCH(B2212,Students!$A$2:$A$601,0))</f>
        <v>Batch 2026</v>
      </c>
      <c r="K2212" s="21" t="str">
        <f aca="false">INDEX(Students!$D$2:$D$601,MATCH(B2212,Students!$A$2:$A$601,0))</f>
        <v>Full Stack Development</v>
      </c>
      <c r="L2212" s="21" t="str">
        <f aca="false">INDEX(Companies!$C$2:$C$31,MATCH(C2212,Companies!$A$2:$A$31,0))</f>
        <v>Healthtech</v>
      </c>
      <c r="M2212" s="21" t="str">
        <f aca="false">INDEX(Companies!$D$2:$D$31,MATCH(C2212,Companies!$A$2:$A$31,0))</f>
        <v>Tier 2</v>
      </c>
      <c r="N2212" s="34" t="n">
        <f aca="false">MATCH(F2212,Assumptions!$K$4:$K$8,0)</f>
        <v>2</v>
      </c>
      <c r="O2212" s="21" t="str">
        <f aca="false">IF(H2212="Yes",MONTH(I2212),"")</f>
        <v/>
      </c>
      <c r="P2212" s="21" t="str">
        <f aca="false">IF(H2212="Yes",B2212,"")</f>
        <v/>
      </c>
    </row>
    <row r="2213" customFormat="false" ht="15" hidden="false" customHeight="false" outlineLevel="0" collapsed="false">
      <c r="A2213" s="21" t="s">
        <v>3428</v>
      </c>
      <c r="B2213" s="21" t="s">
        <v>1042</v>
      </c>
      <c r="C2213" s="21" t="s">
        <v>1225</v>
      </c>
      <c r="D2213" s="21" t="s">
        <v>1243</v>
      </c>
      <c r="E2213" s="33" t="n">
        <v>45912</v>
      </c>
      <c r="F2213" s="21" t="s">
        <v>1178</v>
      </c>
      <c r="G2213" s="32"/>
      <c r="H2213" s="21"/>
      <c r="I2213" s="33"/>
      <c r="J2213" s="21" t="str">
        <f aca="false">INDEX(Students!$C$2:$C$601,MATCH(B2213,Students!$A$2:$A$601,0))</f>
        <v>Batch 2026</v>
      </c>
      <c r="K2213" s="21" t="str">
        <f aca="false">INDEX(Students!$D$2:$D$601,MATCH(B2213,Students!$A$2:$A$601,0))</f>
        <v>Data Science &amp; ML</v>
      </c>
      <c r="L2213" s="21" t="str">
        <f aca="false">INDEX(Companies!$C$2:$C$31,MATCH(C2213,Companies!$A$2:$A$31,0))</f>
        <v>EdTech</v>
      </c>
      <c r="M2213" s="21" t="str">
        <f aca="false">INDEX(Companies!$D$2:$D$31,MATCH(C2213,Companies!$A$2:$A$31,0))</f>
        <v>Tier 2</v>
      </c>
      <c r="N2213" s="34" t="n">
        <f aca="false">MATCH(F2213,Assumptions!$K$4:$K$8,0)</f>
        <v>2</v>
      </c>
      <c r="O2213" s="21" t="str">
        <f aca="false">IF(H2213="Yes",MONTH(I2213),"")</f>
        <v/>
      </c>
      <c r="P2213" s="21" t="str">
        <f aca="false">IF(H2213="Yes",B2213,"")</f>
        <v/>
      </c>
    </row>
    <row r="2214" customFormat="false" ht="15" hidden="false" customHeight="false" outlineLevel="0" collapsed="false">
      <c r="A2214" s="21" t="s">
        <v>3429</v>
      </c>
      <c r="B2214" s="21" t="s">
        <v>938</v>
      </c>
      <c r="C2214" s="21" t="s">
        <v>1214</v>
      </c>
      <c r="D2214" s="21" t="s">
        <v>1240</v>
      </c>
      <c r="E2214" s="33" t="n">
        <v>45912</v>
      </c>
      <c r="F2214" s="21" t="s">
        <v>1175</v>
      </c>
      <c r="G2214" s="32"/>
      <c r="H2214" s="21"/>
      <c r="I2214" s="33"/>
      <c r="J2214" s="21" t="str">
        <f aca="false">INDEX(Students!$C$2:$C$601,MATCH(B2214,Students!$A$2:$A$601,0))</f>
        <v>Batch 2026</v>
      </c>
      <c r="K2214" s="21" t="str">
        <f aca="false">INDEX(Students!$D$2:$D$601,MATCH(B2214,Students!$A$2:$A$601,0))</f>
        <v>Cybersecurity</v>
      </c>
      <c r="L2214" s="21" t="str">
        <f aca="false">INDEX(Companies!$C$2:$C$31,MATCH(C2214,Companies!$A$2:$A$31,0))</f>
        <v>Product</v>
      </c>
      <c r="M2214" s="21" t="str">
        <f aca="false">INDEX(Companies!$D$2:$D$31,MATCH(C2214,Companies!$A$2:$A$31,0))</f>
        <v>Tier 1</v>
      </c>
      <c r="N2214" s="34" t="n">
        <f aca="false">MATCH(F2214,Assumptions!$K$4:$K$8,0)</f>
        <v>1</v>
      </c>
      <c r="O2214" s="21" t="str">
        <f aca="false">IF(H2214="Yes",MONTH(I2214),"")</f>
        <v/>
      </c>
      <c r="P2214" s="21" t="str">
        <f aca="false">IF(H2214="Yes",B2214,"")</f>
        <v/>
      </c>
    </row>
    <row r="2215" customFormat="false" ht="15" hidden="false" customHeight="false" outlineLevel="0" collapsed="false">
      <c r="A2215" s="21" t="s">
        <v>3430</v>
      </c>
      <c r="B2215" s="21" t="s">
        <v>927</v>
      </c>
      <c r="C2215" s="21" t="s">
        <v>1230</v>
      </c>
      <c r="D2215" s="21" t="s">
        <v>1243</v>
      </c>
      <c r="E2215" s="33" t="n">
        <v>45912</v>
      </c>
      <c r="F2215" s="21" t="s">
        <v>1178</v>
      </c>
      <c r="G2215" s="32"/>
      <c r="H2215" s="21"/>
      <c r="I2215" s="33"/>
      <c r="J2215" s="21" t="str">
        <f aca="false">INDEX(Students!$C$2:$C$601,MATCH(B2215,Students!$A$2:$A$601,0))</f>
        <v>Batch 2026</v>
      </c>
      <c r="K2215" s="21" t="str">
        <f aca="false">INDEX(Students!$D$2:$D$601,MATCH(B2215,Students!$A$2:$A$601,0))</f>
        <v>Data Science &amp; ML</v>
      </c>
      <c r="L2215" s="21" t="str">
        <f aca="false">INDEX(Companies!$C$2:$C$31,MATCH(C2215,Companies!$A$2:$A$31,0))</f>
        <v>IT Services</v>
      </c>
      <c r="M2215" s="21" t="str">
        <f aca="false">INDEX(Companies!$D$2:$D$31,MATCH(C2215,Companies!$A$2:$A$31,0))</f>
        <v>Tier 3</v>
      </c>
      <c r="N2215" s="34" t="n">
        <f aca="false">MATCH(F2215,Assumptions!$K$4:$K$8,0)</f>
        <v>2</v>
      </c>
      <c r="O2215" s="21" t="str">
        <f aca="false">IF(H2215="Yes",MONTH(I2215),"")</f>
        <v/>
      </c>
      <c r="P2215" s="21" t="str">
        <f aca="false">IF(H2215="Yes",B2215,"")</f>
        <v/>
      </c>
    </row>
    <row r="2216" customFormat="false" ht="15" hidden="false" customHeight="false" outlineLevel="0" collapsed="false">
      <c r="A2216" s="21" t="s">
        <v>3431</v>
      </c>
      <c r="B2216" s="21" t="s">
        <v>831</v>
      </c>
      <c r="C2216" s="21" t="s">
        <v>1216</v>
      </c>
      <c r="D2216" s="21" t="s">
        <v>1243</v>
      </c>
      <c r="E2216" s="33" t="n">
        <v>45912</v>
      </c>
      <c r="F2216" s="21" t="s">
        <v>1178</v>
      </c>
      <c r="G2216" s="32"/>
      <c r="H2216" s="21"/>
      <c r="I2216" s="33"/>
      <c r="J2216" s="21" t="str">
        <f aca="false">INDEX(Students!$C$2:$C$601,MATCH(B2216,Students!$A$2:$A$601,0))</f>
        <v>Batch 2026</v>
      </c>
      <c r="K2216" s="21" t="str">
        <f aca="false">INDEX(Students!$D$2:$D$601,MATCH(B2216,Students!$A$2:$A$601,0))</f>
        <v>Data Science &amp; ML</v>
      </c>
      <c r="L2216" s="21" t="str">
        <f aca="false">INDEX(Companies!$C$2:$C$31,MATCH(C2216,Companies!$A$2:$A$31,0))</f>
        <v>IT Services</v>
      </c>
      <c r="M2216" s="21" t="str">
        <f aca="false">INDEX(Companies!$D$2:$D$31,MATCH(C2216,Companies!$A$2:$A$31,0))</f>
        <v>Tier 3</v>
      </c>
      <c r="N2216" s="34" t="n">
        <f aca="false">MATCH(F2216,Assumptions!$K$4:$K$8,0)</f>
        <v>2</v>
      </c>
      <c r="O2216" s="21" t="str">
        <f aca="false">IF(H2216="Yes",MONTH(I2216),"")</f>
        <v/>
      </c>
      <c r="P2216" s="21" t="str">
        <f aca="false">IF(H2216="Yes",B2216,"")</f>
        <v/>
      </c>
    </row>
    <row r="2217" customFormat="false" ht="15" hidden="false" customHeight="false" outlineLevel="0" collapsed="false">
      <c r="A2217" s="21" t="s">
        <v>3432</v>
      </c>
      <c r="B2217" s="21" t="s">
        <v>987</v>
      </c>
      <c r="C2217" s="21" t="s">
        <v>1298</v>
      </c>
      <c r="D2217" s="21" t="s">
        <v>1226</v>
      </c>
      <c r="E2217" s="33" t="n">
        <v>45913</v>
      </c>
      <c r="F2217" s="21" t="s">
        <v>1175</v>
      </c>
      <c r="G2217" s="32"/>
      <c r="H2217" s="21"/>
      <c r="I2217" s="33"/>
      <c r="J2217" s="21" t="str">
        <f aca="false">INDEX(Students!$C$2:$C$601,MATCH(B2217,Students!$A$2:$A$601,0))</f>
        <v>Batch 2026</v>
      </c>
      <c r="K2217" s="21" t="str">
        <f aca="false">INDEX(Students!$D$2:$D$601,MATCH(B2217,Students!$A$2:$A$601,0))</f>
        <v>Cybersecurity</v>
      </c>
      <c r="L2217" s="21" t="str">
        <f aca="false">INDEX(Companies!$C$2:$C$31,MATCH(C2217,Companies!$A$2:$A$31,0))</f>
        <v>Fintech</v>
      </c>
      <c r="M2217" s="21" t="str">
        <f aca="false">INDEX(Companies!$D$2:$D$31,MATCH(C2217,Companies!$A$2:$A$31,0))</f>
        <v>Tier 2</v>
      </c>
      <c r="N2217" s="34" t="n">
        <f aca="false">MATCH(F2217,Assumptions!$K$4:$K$8,0)</f>
        <v>1</v>
      </c>
      <c r="O2217" s="21" t="str">
        <f aca="false">IF(H2217="Yes",MONTH(I2217),"")</f>
        <v/>
      </c>
      <c r="P2217" s="21" t="str">
        <f aca="false">IF(H2217="Yes",B2217,"")</f>
        <v/>
      </c>
    </row>
    <row r="2218" customFormat="false" ht="15" hidden="false" customHeight="false" outlineLevel="0" collapsed="false">
      <c r="A2218" s="21" t="s">
        <v>3433</v>
      </c>
      <c r="B2218" s="21" t="s">
        <v>1003</v>
      </c>
      <c r="C2218" s="21" t="s">
        <v>1255</v>
      </c>
      <c r="D2218" s="21" t="s">
        <v>1243</v>
      </c>
      <c r="E2218" s="33" t="n">
        <v>45913</v>
      </c>
      <c r="F2218" s="21" t="s">
        <v>1175</v>
      </c>
      <c r="G2218" s="32"/>
      <c r="H2218" s="21"/>
      <c r="I2218" s="33"/>
      <c r="J2218" s="21" t="str">
        <f aca="false">INDEX(Students!$C$2:$C$601,MATCH(B2218,Students!$A$2:$A$601,0))</f>
        <v>Batch 2026</v>
      </c>
      <c r="K2218" s="21" t="str">
        <f aca="false">INDEX(Students!$D$2:$D$601,MATCH(B2218,Students!$A$2:$A$601,0))</f>
        <v>Data Science &amp; ML</v>
      </c>
      <c r="L2218" s="21" t="str">
        <f aca="false">INDEX(Companies!$C$2:$C$31,MATCH(C2218,Companies!$A$2:$A$31,0))</f>
        <v>IT Services</v>
      </c>
      <c r="M2218" s="21" t="str">
        <f aca="false">INDEX(Companies!$D$2:$D$31,MATCH(C2218,Companies!$A$2:$A$31,0))</f>
        <v>Tier 3</v>
      </c>
      <c r="N2218" s="34" t="n">
        <f aca="false">MATCH(F2218,Assumptions!$K$4:$K$8,0)</f>
        <v>1</v>
      </c>
      <c r="O2218" s="21" t="str">
        <f aca="false">IF(H2218="Yes",MONTH(I2218),"")</f>
        <v/>
      </c>
      <c r="P2218" s="21" t="str">
        <f aca="false">IF(H2218="Yes",B2218,"")</f>
        <v/>
      </c>
    </row>
    <row r="2219" customFormat="false" ht="15" hidden="false" customHeight="false" outlineLevel="0" collapsed="false">
      <c r="A2219" s="21" t="s">
        <v>3434</v>
      </c>
      <c r="B2219" s="21" t="s">
        <v>1105</v>
      </c>
      <c r="C2219" s="21" t="s">
        <v>1275</v>
      </c>
      <c r="D2219" s="21" t="s">
        <v>1191</v>
      </c>
      <c r="E2219" s="33" t="n">
        <v>45913</v>
      </c>
      <c r="F2219" s="21" t="s">
        <v>1175</v>
      </c>
      <c r="G2219" s="32"/>
      <c r="H2219" s="21"/>
      <c r="I2219" s="33"/>
      <c r="J2219" s="21" t="str">
        <f aca="false">INDEX(Students!$C$2:$C$601,MATCH(B2219,Students!$A$2:$A$601,0))</f>
        <v>Batch 2026</v>
      </c>
      <c r="K2219" s="21" t="str">
        <f aca="false">INDEX(Students!$D$2:$D$601,MATCH(B2219,Students!$A$2:$A$601,0))</f>
        <v>DSA with Java</v>
      </c>
      <c r="L2219" s="21" t="str">
        <f aca="false">INDEX(Companies!$C$2:$C$31,MATCH(C2219,Companies!$A$2:$A$31,0))</f>
        <v>Cybersecurity</v>
      </c>
      <c r="M2219" s="21" t="str">
        <f aca="false">INDEX(Companies!$D$2:$D$31,MATCH(C2219,Companies!$A$2:$A$31,0))</f>
        <v>Tier 2</v>
      </c>
      <c r="N2219" s="34" t="n">
        <f aca="false">MATCH(F2219,Assumptions!$K$4:$K$8,0)</f>
        <v>1</v>
      </c>
      <c r="O2219" s="21" t="str">
        <f aca="false">IF(H2219="Yes",MONTH(I2219),"")</f>
        <v/>
      </c>
      <c r="P2219" s="21" t="str">
        <f aca="false">IF(H2219="Yes",B2219,"")</f>
        <v/>
      </c>
    </row>
    <row r="2220" customFormat="false" ht="15" hidden="false" customHeight="false" outlineLevel="0" collapsed="false">
      <c r="A2220" s="21" t="s">
        <v>3435</v>
      </c>
      <c r="B2220" s="21" t="s">
        <v>1023</v>
      </c>
      <c r="C2220" s="21" t="s">
        <v>1216</v>
      </c>
      <c r="D2220" s="21" t="s">
        <v>1184</v>
      </c>
      <c r="E2220" s="33" t="n">
        <v>45914</v>
      </c>
      <c r="F2220" s="21" t="s">
        <v>1197</v>
      </c>
      <c r="G2220" s="32"/>
      <c r="H2220" s="21"/>
      <c r="I2220" s="33"/>
      <c r="J2220" s="21" t="str">
        <f aca="false">INDEX(Students!$C$2:$C$601,MATCH(B2220,Students!$A$2:$A$601,0))</f>
        <v>Batch 2026</v>
      </c>
      <c r="K2220" s="21" t="str">
        <f aca="false">INDEX(Students!$D$2:$D$601,MATCH(B2220,Students!$A$2:$A$601,0))</f>
        <v>DSA with Java</v>
      </c>
      <c r="L2220" s="21" t="str">
        <f aca="false">INDEX(Companies!$C$2:$C$31,MATCH(C2220,Companies!$A$2:$A$31,0))</f>
        <v>IT Services</v>
      </c>
      <c r="M2220" s="21" t="str">
        <f aca="false">INDEX(Companies!$D$2:$D$31,MATCH(C2220,Companies!$A$2:$A$31,0))</f>
        <v>Tier 3</v>
      </c>
      <c r="N2220" s="34" t="n">
        <f aca="false">MATCH(F2220,Assumptions!$K$4:$K$8,0)</f>
        <v>3</v>
      </c>
      <c r="O2220" s="21" t="str">
        <f aca="false">IF(H2220="Yes",MONTH(I2220),"")</f>
        <v/>
      </c>
      <c r="P2220" s="21" t="str">
        <f aca="false">IF(H2220="Yes",B2220,"")</f>
        <v/>
      </c>
    </row>
    <row r="2221" customFormat="false" ht="15" hidden="false" customHeight="false" outlineLevel="0" collapsed="false">
      <c r="A2221" s="21" t="s">
        <v>3436</v>
      </c>
      <c r="B2221" s="21" t="s">
        <v>1003</v>
      </c>
      <c r="C2221" s="21" t="s">
        <v>1196</v>
      </c>
      <c r="D2221" s="21" t="s">
        <v>1194</v>
      </c>
      <c r="E2221" s="33" t="n">
        <v>45914</v>
      </c>
      <c r="F2221" s="21" t="s">
        <v>1185</v>
      </c>
      <c r="G2221" s="32" t="n">
        <v>4.4</v>
      </c>
      <c r="H2221" s="21" t="s">
        <v>113</v>
      </c>
      <c r="I2221" s="33" t="n">
        <v>45956</v>
      </c>
      <c r="J2221" s="21" t="str">
        <f aca="false">INDEX(Students!$C$2:$C$601,MATCH(B2221,Students!$A$2:$A$601,0))</f>
        <v>Batch 2026</v>
      </c>
      <c r="K2221" s="21" t="str">
        <f aca="false">INDEX(Students!$D$2:$D$601,MATCH(B2221,Students!$A$2:$A$601,0))</f>
        <v>Data Science &amp; ML</v>
      </c>
      <c r="L2221" s="21" t="str">
        <f aca="false">INDEX(Companies!$C$2:$C$31,MATCH(C2221,Companies!$A$2:$A$31,0))</f>
        <v>IT Services</v>
      </c>
      <c r="M2221" s="21" t="str">
        <f aca="false">INDEX(Companies!$D$2:$D$31,MATCH(C2221,Companies!$A$2:$A$31,0))</f>
        <v>Tier 3</v>
      </c>
      <c r="N2221" s="34" t="n">
        <f aca="false">MATCH(F2221,Assumptions!$K$4:$K$8,0)</f>
        <v>5</v>
      </c>
      <c r="O2221" s="21" t="str">
        <f aca="false">IF(H2221="Yes",MONTH(I2221),"")</f>
        <v/>
      </c>
      <c r="P2221" s="21" t="str">
        <f aca="false">IF(H2221="Yes",B2221,"")</f>
        <v/>
      </c>
    </row>
    <row r="2222" customFormat="false" ht="15" hidden="false" customHeight="false" outlineLevel="0" collapsed="false">
      <c r="A2222" s="21" t="s">
        <v>3437</v>
      </c>
      <c r="B2222" s="21" t="s">
        <v>1095</v>
      </c>
      <c r="C2222" s="21" t="s">
        <v>1309</v>
      </c>
      <c r="D2222" s="21" t="s">
        <v>1191</v>
      </c>
      <c r="E2222" s="33" t="n">
        <v>45915</v>
      </c>
      <c r="F2222" s="21" t="s">
        <v>1178</v>
      </c>
      <c r="G2222" s="32"/>
      <c r="H2222" s="21"/>
      <c r="I2222" s="33"/>
      <c r="J2222" s="21" t="str">
        <f aca="false">INDEX(Students!$C$2:$C$601,MATCH(B2222,Students!$A$2:$A$601,0))</f>
        <v>Batch 2026</v>
      </c>
      <c r="K2222" s="21" t="str">
        <f aca="false">INDEX(Students!$D$2:$D$601,MATCH(B2222,Students!$A$2:$A$601,0))</f>
        <v>DSA with Java</v>
      </c>
      <c r="L2222" s="21" t="str">
        <f aca="false">INDEX(Companies!$C$2:$C$31,MATCH(C2222,Companies!$A$2:$A$31,0))</f>
        <v>EdTech</v>
      </c>
      <c r="M2222" s="21" t="str">
        <f aca="false">INDEX(Companies!$D$2:$D$31,MATCH(C2222,Companies!$A$2:$A$31,0))</f>
        <v>Tier 2</v>
      </c>
      <c r="N2222" s="34" t="n">
        <f aca="false">MATCH(F2222,Assumptions!$K$4:$K$8,0)</f>
        <v>2</v>
      </c>
      <c r="O2222" s="21" t="str">
        <f aca="false">IF(H2222="Yes",MONTH(I2222),"")</f>
        <v/>
      </c>
      <c r="P2222" s="21" t="str">
        <f aca="false">IF(H2222="Yes",B2222,"")</f>
        <v/>
      </c>
    </row>
    <row r="2223" customFormat="false" ht="15" hidden="false" customHeight="false" outlineLevel="0" collapsed="false">
      <c r="A2223" s="21" t="s">
        <v>3438</v>
      </c>
      <c r="B2223" s="21" t="s">
        <v>930</v>
      </c>
      <c r="C2223" s="21" t="s">
        <v>1208</v>
      </c>
      <c r="D2223" s="21" t="s">
        <v>1188</v>
      </c>
      <c r="E2223" s="33" t="n">
        <v>45915</v>
      </c>
      <c r="F2223" s="21" t="s">
        <v>1218</v>
      </c>
      <c r="G2223" s="32"/>
      <c r="H2223" s="21"/>
      <c r="I2223" s="33"/>
      <c r="J2223" s="21" t="str">
        <f aca="false">INDEX(Students!$C$2:$C$601,MATCH(B2223,Students!$A$2:$A$601,0))</f>
        <v>Batch 2026</v>
      </c>
      <c r="K2223" s="21" t="str">
        <f aca="false">INDEX(Students!$D$2:$D$601,MATCH(B2223,Students!$A$2:$A$601,0))</f>
        <v>Data Analytics</v>
      </c>
      <c r="L2223" s="21" t="str">
        <f aca="false">INDEX(Companies!$C$2:$C$31,MATCH(C2223,Companies!$A$2:$A$31,0))</f>
        <v>E-commerce</v>
      </c>
      <c r="M2223" s="21" t="str">
        <f aca="false">INDEX(Companies!$D$2:$D$31,MATCH(C2223,Companies!$A$2:$A$31,0))</f>
        <v>Tier 1</v>
      </c>
      <c r="N2223" s="34" t="n">
        <f aca="false">MATCH(F2223,Assumptions!$K$4:$K$8,0)</f>
        <v>4</v>
      </c>
      <c r="O2223" s="21" t="str">
        <f aca="false">IF(H2223="Yes",MONTH(I2223),"")</f>
        <v/>
      </c>
      <c r="P2223" s="21" t="str">
        <f aca="false">IF(H2223="Yes",B2223,"")</f>
        <v/>
      </c>
    </row>
    <row r="2224" customFormat="false" ht="15" hidden="false" customHeight="false" outlineLevel="0" collapsed="false">
      <c r="A2224" s="21" t="s">
        <v>3439</v>
      </c>
      <c r="B2224" s="21" t="s">
        <v>1024</v>
      </c>
      <c r="C2224" s="21" t="s">
        <v>1193</v>
      </c>
      <c r="D2224" s="21" t="s">
        <v>1191</v>
      </c>
      <c r="E2224" s="33" t="n">
        <v>45915</v>
      </c>
      <c r="F2224" s="21" t="s">
        <v>1178</v>
      </c>
      <c r="G2224" s="32"/>
      <c r="H2224" s="21"/>
      <c r="I2224" s="33"/>
      <c r="J2224" s="21" t="str">
        <f aca="false">INDEX(Students!$C$2:$C$601,MATCH(B2224,Students!$A$2:$A$601,0))</f>
        <v>Batch 2026</v>
      </c>
      <c r="K2224" s="21" t="str">
        <f aca="false">INDEX(Students!$D$2:$D$601,MATCH(B2224,Students!$A$2:$A$601,0))</f>
        <v>DSA with Java</v>
      </c>
      <c r="L2224" s="21" t="str">
        <f aca="false">INDEX(Companies!$C$2:$C$31,MATCH(C2224,Companies!$A$2:$A$31,0))</f>
        <v>Analytics &amp; Consulting</v>
      </c>
      <c r="M2224" s="21" t="str">
        <f aca="false">INDEX(Companies!$D$2:$D$31,MATCH(C2224,Companies!$A$2:$A$31,0))</f>
        <v>Tier 2</v>
      </c>
      <c r="N2224" s="34" t="n">
        <f aca="false">MATCH(F2224,Assumptions!$K$4:$K$8,0)</f>
        <v>2</v>
      </c>
      <c r="O2224" s="21" t="str">
        <f aca="false">IF(H2224="Yes",MONTH(I2224),"")</f>
        <v/>
      </c>
      <c r="P2224" s="21" t="str">
        <f aca="false">IF(H2224="Yes",B2224,"")</f>
        <v/>
      </c>
    </row>
    <row r="2225" customFormat="false" ht="15" hidden="false" customHeight="false" outlineLevel="0" collapsed="false">
      <c r="A2225" s="21" t="s">
        <v>3440</v>
      </c>
      <c r="B2225" s="21" t="s">
        <v>945</v>
      </c>
      <c r="C2225" s="21" t="s">
        <v>1222</v>
      </c>
      <c r="D2225" s="21" t="s">
        <v>1184</v>
      </c>
      <c r="E2225" s="33" t="n">
        <v>45915</v>
      </c>
      <c r="F2225" s="21" t="s">
        <v>1197</v>
      </c>
      <c r="G2225" s="32"/>
      <c r="H2225" s="21"/>
      <c r="I2225" s="33"/>
      <c r="J2225" s="21" t="str">
        <f aca="false">INDEX(Students!$C$2:$C$601,MATCH(B2225,Students!$A$2:$A$601,0))</f>
        <v>Batch 2026</v>
      </c>
      <c r="K2225" s="21" t="str">
        <f aca="false">INDEX(Students!$D$2:$D$601,MATCH(B2225,Students!$A$2:$A$601,0))</f>
        <v>DSA with Java</v>
      </c>
      <c r="L2225" s="21" t="str">
        <f aca="false">INDEX(Companies!$C$2:$C$31,MATCH(C2225,Companies!$A$2:$A$31,0))</f>
        <v>Product</v>
      </c>
      <c r="M2225" s="21" t="str">
        <f aca="false">INDEX(Companies!$D$2:$D$31,MATCH(C2225,Companies!$A$2:$A$31,0))</f>
        <v>Tier 2</v>
      </c>
      <c r="N2225" s="34" t="n">
        <f aca="false">MATCH(F2225,Assumptions!$K$4:$K$8,0)</f>
        <v>3</v>
      </c>
      <c r="O2225" s="21" t="str">
        <f aca="false">IF(H2225="Yes",MONTH(I2225),"")</f>
        <v/>
      </c>
      <c r="P2225" s="21" t="str">
        <f aca="false">IF(H2225="Yes",B2225,"")</f>
        <v/>
      </c>
    </row>
    <row r="2226" customFormat="false" ht="15" hidden="false" customHeight="false" outlineLevel="0" collapsed="false">
      <c r="A2226" s="21" t="s">
        <v>3441</v>
      </c>
      <c r="B2226" s="21" t="s">
        <v>1103</v>
      </c>
      <c r="C2226" s="21" t="s">
        <v>1216</v>
      </c>
      <c r="D2226" s="21" t="s">
        <v>1174</v>
      </c>
      <c r="E2226" s="33" t="n">
        <v>45916</v>
      </c>
      <c r="F2226" s="21" t="s">
        <v>1178</v>
      </c>
      <c r="G2226" s="32"/>
      <c r="H2226" s="21"/>
      <c r="I2226" s="33"/>
      <c r="J2226" s="21" t="str">
        <f aca="false">INDEX(Students!$C$2:$C$601,MATCH(B2226,Students!$A$2:$A$601,0))</f>
        <v>Batch 2026</v>
      </c>
      <c r="K2226" s="21" t="str">
        <f aca="false">INDEX(Students!$D$2:$D$601,MATCH(B2226,Students!$A$2:$A$601,0))</f>
        <v>Full Stack Development</v>
      </c>
      <c r="L2226" s="21" t="str">
        <f aca="false">INDEX(Companies!$C$2:$C$31,MATCH(C2226,Companies!$A$2:$A$31,0))</f>
        <v>IT Services</v>
      </c>
      <c r="M2226" s="21" t="str">
        <f aca="false">INDEX(Companies!$D$2:$D$31,MATCH(C2226,Companies!$A$2:$A$31,0))</f>
        <v>Tier 3</v>
      </c>
      <c r="N2226" s="34" t="n">
        <f aca="false">MATCH(F2226,Assumptions!$K$4:$K$8,0)</f>
        <v>2</v>
      </c>
      <c r="O2226" s="21" t="str">
        <f aca="false">IF(H2226="Yes",MONTH(I2226),"")</f>
        <v/>
      </c>
      <c r="P2226" s="21" t="str">
        <f aca="false">IF(H2226="Yes",B2226,"")</f>
        <v/>
      </c>
    </row>
    <row r="2227" customFormat="false" ht="15" hidden="false" customHeight="false" outlineLevel="0" collapsed="false">
      <c r="A2227" s="21" t="s">
        <v>3442</v>
      </c>
      <c r="B2227" s="21" t="s">
        <v>954</v>
      </c>
      <c r="C2227" s="21" t="s">
        <v>1255</v>
      </c>
      <c r="D2227" s="21" t="s">
        <v>1184</v>
      </c>
      <c r="E2227" s="33" t="n">
        <v>45916</v>
      </c>
      <c r="F2227" s="21" t="s">
        <v>1185</v>
      </c>
      <c r="G2227" s="32" t="n">
        <v>8.8</v>
      </c>
      <c r="H2227" s="21" t="s">
        <v>113</v>
      </c>
      <c r="I2227" s="33" t="n">
        <v>45941</v>
      </c>
      <c r="J2227" s="21" t="str">
        <f aca="false">INDEX(Students!$C$2:$C$601,MATCH(B2227,Students!$A$2:$A$601,0))</f>
        <v>Batch 2026</v>
      </c>
      <c r="K2227" s="21" t="str">
        <f aca="false">INDEX(Students!$D$2:$D$601,MATCH(B2227,Students!$A$2:$A$601,0))</f>
        <v>DSA with Java</v>
      </c>
      <c r="L2227" s="21" t="str">
        <f aca="false">INDEX(Companies!$C$2:$C$31,MATCH(C2227,Companies!$A$2:$A$31,0))</f>
        <v>IT Services</v>
      </c>
      <c r="M2227" s="21" t="str">
        <f aca="false">INDEX(Companies!$D$2:$D$31,MATCH(C2227,Companies!$A$2:$A$31,0))</f>
        <v>Tier 3</v>
      </c>
      <c r="N2227" s="34" t="n">
        <f aca="false">MATCH(F2227,Assumptions!$K$4:$K$8,0)</f>
        <v>5</v>
      </c>
      <c r="O2227" s="21" t="str">
        <f aca="false">IF(H2227="Yes",MONTH(I2227),"")</f>
        <v/>
      </c>
      <c r="P2227" s="21" t="str">
        <f aca="false">IF(H2227="Yes",B2227,"")</f>
        <v/>
      </c>
    </row>
    <row r="2228" customFormat="false" ht="15" hidden="false" customHeight="false" outlineLevel="0" collapsed="false">
      <c r="A2228" s="21" t="s">
        <v>3443</v>
      </c>
      <c r="B2228" s="21" t="s">
        <v>890</v>
      </c>
      <c r="C2228" s="21" t="s">
        <v>1290</v>
      </c>
      <c r="D2228" s="21" t="s">
        <v>1191</v>
      </c>
      <c r="E2228" s="33" t="n">
        <v>45916</v>
      </c>
      <c r="F2228" s="21" t="s">
        <v>1185</v>
      </c>
      <c r="G2228" s="32" t="n">
        <v>13.9</v>
      </c>
      <c r="H2228" s="21" t="s">
        <v>113</v>
      </c>
      <c r="I2228" s="33" t="n">
        <v>45951</v>
      </c>
      <c r="J2228" s="21" t="str">
        <f aca="false">INDEX(Students!$C$2:$C$601,MATCH(B2228,Students!$A$2:$A$601,0))</f>
        <v>Batch 2026</v>
      </c>
      <c r="K2228" s="21" t="str">
        <f aca="false">INDEX(Students!$D$2:$D$601,MATCH(B2228,Students!$A$2:$A$601,0))</f>
        <v>DSA with Java</v>
      </c>
      <c r="L2228" s="21" t="str">
        <f aca="false">INDEX(Companies!$C$2:$C$31,MATCH(C2228,Companies!$A$2:$A$31,0))</f>
        <v>Fintech</v>
      </c>
      <c r="M2228" s="21" t="str">
        <f aca="false">INDEX(Companies!$D$2:$D$31,MATCH(C2228,Companies!$A$2:$A$31,0))</f>
        <v>Tier 2</v>
      </c>
      <c r="N2228" s="34" t="n">
        <f aca="false">MATCH(F2228,Assumptions!$K$4:$K$8,0)</f>
        <v>5</v>
      </c>
      <c r="O2228" s="21" t="str">
        <f aca="false">IF(H2228="Yes",MONTH(I2228),"")</f>
        <v/>
      </c>
      <c r="P2228" s="21" t="str">
        <f aca="false">IF(H2228="Yes",B2228,"")</f>
        <v/>
      </c>
    </row>
    <row r="2229" customFormat="false" ht="15" hidden="false" customHeight="false" outlineLevel="0" collapsed="false">
      <c r="A2229" s="21" t="s">
        <v>3444</v>
      </c>
      <c r="B2229" s="21" t="s">
        <v>1018</v>
      </c>
      <c r="C2229" s="21" t="s">
        <v>1180</v>
      </c>
      <c r="D2229" s="21" t="s">
        <v>1191</v>
      </c>
      <c r="E2229" s="33" t="n">
        <v>45916</v>
      </c>
      <c r="F2229" s="21" t="s">
        <v>1178</v>
      </c>
      <c r="G2229" s="32"/>
      <c r="H2229" s="21"/>
      <c r="I2229" s="33"/>
      <c r="J2229" s="21" t="str">
        <f aca="false">INDEX(Students!$C$2:$C$601,MATCH(B2229,Students!$A$2:$A$601,0))</f>
        <v>Batch 2026</v>
      </c>
      <c r="K2229" s="21" t="str">
        <f aca="false">INDEX(Students!$D$2:$D$601,MATCH(B2229,Students!$A$2:$A$601,0))</f>
        <v>DSA with Java</v>
      </c>
      <c r="L2229" s="21" t="str">
        <f aca="false">INDEX(Companies!$C$2:$C$31,MATCH(C2229,Companies!$A$2:$A$31,0))</f>
        <v>IT Services</v>
      </c>
      <c r="M2229" s="21" t="str">
        <f aca="false">INDEX(Companies!$D$2:$D$31,MATCH(C2229,Companies!$A$2:$A$31,0))</f>
        <v>Tier 3</v>
      </c>
      <c r="N2229" s="34" t="n">
        <f aca="false">MATCH(F2229,Assumptions!$K$4:$K$8,0)</f>
        <v>2</v>
      </c>
      <c r="O2229" s="21" t="str">
        <f aca="false">IF(H2229="Yes",MONTH(I2229),"")</f>
        <v/>
      </c>
      <c r="P2229" s="21" t="str">
        <f aca="false">IF(H2229="Yes",B2229,"")</f>
        <v/>
      </c>
    </row>
    <row r="2230" customFormat="false" ht="15" hidden="false" customHeight="false" outlineLevel="0" collapsed="false">
      <c r="A2230" s="21" t="s">
        <v>3445</v>
      </c>
      <c r="B2230" s="21" t="s">
        <v>842</v>
      </c>
      <c r="C2230" s="21" t="s">
        <v>1177</v>
      </c>
      <c r="D2230" s="21" t="s">
        <v>1191</v>
      </c>
      <c r="E2230" s="33" t="n">
        <v>45917</v>
      </c>
      <c r="F2230" s="21" t="s">
        <v>1185</v>
      </c>
      <c r="G2230" s="32" t="n">
        <v>4.8</v>
      </c>
      <c r="H2230" s="21" t="s">
        <v>113</v>
      </c>
      <c r="I2230" s="33" t="n">
        <v>45956</v>
      </c>
      <c r="J2230" s="21" t="str">
        <f aca="false">INDEX(Students!$C$2:$C$601,MATCH(B2230,Students!$A$2:$A$601,0))</f>
        <v>Batch 2026</v>
      </c>
      <c r="K2230" s="21" t="str">
        <f aca="false">INDEX(Students!$D$2:$D$601,MATCH(B2230,Students!$A$2:$A$601,0))</f>
        <v>DSA with Java</v>
      </c>
      <c r="L2230" s="21" t="str">
        <f aca="false">INDEX(Companies!$C$2:$C$31,MATCH(C2230,Companies!$A$2:$A$31,0))</f>
        <v>IT Services</v>
      </c>
      <c r="M2230" s="21" t="str">
        <f aca="false">INDEX(Companies!$D$2:$D$31,MATCH(C2230,Companies!$A$2:$A$31,0))</f>
        <v>Tier 3</v>
      </c>
      <c r="N2230" s="34" t="n">
        <f aca="false">MATCH(F2230,Assumptions!$K$4:$K$8,0)</f>
        <v>5</v>
      </c>
      <c r="O2230" s="21" t="str">
        <f aca="false">IF(H2230="Yes",MONTH(I2230),"")</f>
        <v/>
      </c>
      <c r="P2230" s="21" t="str">
        <f aca="false">IF(H2230="Yes",B2230,"")</f>
        <v/>
      </c>
    </row>
    <row r="2231" customFormat="false" ht="15" hidden="false" customHeight="false" outlineLevel="0" collapsed="false">
      <c r="A2231" s="21" t="s">
        <v>3446</v>
      </c>
      <c r="B2231" s="21" t="s">
        <v>826</v>
      </c>
      <c r="C2231" s="21" t="s">
        <v>1230</v>
      </c>
      <c r="D2231" s="21" t="s">
        <v>1188</v>
      </c>
      <c r="E2231" s="33" t="n">
        <v>45917</v>
      </c>
      <c r="F2231" s="21" t="s">
        <v>1218</v>
      </c>
      <c r="G2231" s="32"/>
      <c r="H2231" s="21"/>
      <c r="I2231" s="33"/>
      <c r="J2231" s="21" t="str">
        <f aca="false">INDEX(Students!$C$2:$C$601,MATCH(B2231,Students!$A$2:$A$601,0))</f>
        <v>Batch 2026</v>
      </c>
      <c r="K2231" s="21" t="str">
        <f aca="false">INDEX(Students!$D$2:$D$601,MATCH(B2231,Students!$A$2:$A$601,0))</f>
        <v>Data Analytics</v>
      </c>
      <c r="L2231" s="21" t="str">
        <f aca="false">INDEX(Companies!$C$2:$C$31,MATCH(C2231,Companies!$A$2:$A$31,0))</f>
        <v>IT Services</v>
      </c>
      <c r="M2231" s="21" t="str">
        <f aca="false">INDEX(Companies!$D$2:$D$31,MATCH(C2231,Companies!$A$2:$A$31,0))</f>
        <v>Tier 3</v>
      </c>
      <c r="N2231" s="34" t="n">
        <f aca="false">MATCH(F2231,Assumptions!$K$4:$K$8,0)</f>
        <v>4</v>
      </c>
      <c r="O2231" s="21" t="str">
        <f aca="false">IF(H2231="Yes",MONTH(I2231),"")</f>
        <v/>
      </c>
      <c r="P2231" s="21" t="str">
        <f aca="false">IF(H2231="Yes",B2231,"")</f>
        <v/>
      </c>
    </row>
    <row r="2232" customFormat="false" ht="15" hidden="false" customHeight="false" outlineLevel="0" collapsed="false">
      <c r="A2232" s="21" t="s">
        <v>3447</v>
      </c>
      <c r="B2232" s="21" t="s">
        <v>1082</v>
      </c>
      <c r="C2232" s="21" t="s">
        <v>1309</v>
      </c>
      <c r="D2232" s="21" t="s">
        <v>1209</v>
      </c>
      <c r="E2232" s="33" t="n">
        <v>45917</v>
      </c>
      <c r="F2232" s="21" t="s">
        <v>1197</v>
      </c>
      <c r="G2232" s="32"/>
      <c r="H2232" s="21"/>
      <c r="I2232" s="33"/>
      <c r="J2232" s="21" t="str">
        <f aca="false">INDEX(Students!$C$2:$C$601,MATCH(B2232,Students!$A$2:$A$601,0))</f>
        <v>Batch 2026</v>
      </c>
      <c r="K2232" s="21" t="str">
        <f aca="false">INDEX(Students!$D$2:$D$601,MATCH(B2232,Students!$A$2:$A$601,0))</f>
        <v>Data Analytics</v>
      </c>
      <c r="L2232" s="21" t="str">
        <f aca="false">INDEX(Companies!$C$2:$C$31,MATCH(C2232,Companies!$A$2:$A$31,0))</f>
        <v>EdTech</v>
      </c>
      <c r="M2232" s="21" t="str">
        <f aca="false">INDEX(Companies!$D$2:$D$31,MATCH(C2232,Companies!$A$2:$A$31,0))</f>
        <v>Tier 2</v>
      </c>
      <c r="N2232" s="34" t="n">
        <f aca="false">MATCH(F2232,Assumptions!$K$4:$K$8,0)</f>
        <v>3</v>
      </c>
      <c r="O2232" s="21" t="str">
        <f aca="false">IF(H2232="Yes",MONTH(I2232),"")</f>
        <v/>
      </c>
      <c r="P2232" s="21" t="str">
        <f aca="false">IF(H2232="Yes",B2232,"")</f>
        <v/>
      </c>
    </row>
    <row r="2233" customFormat="false" ht="15" hidden="false" customHeight="false" outlineLevel="0" collapsed="false">
      <c r="A2233" s="21" t="s">
        <v>3448</v>
      </c>
      <c r="B2233" s="21" t="s">
        <v>850</v>
      </c>
      <c r="C2233" s="21" t="s">
        <v>1230</v>
      </c>
      <c r="D2233" s="21" t="s">
        <v>1174</v>
      </c>
      <c r="E2233" s="33" t="n">
        <v>45918</v>
      </c>
      <c r="F2233" s="21" t="s">
        <v>1175</v>
      </c>
      <c r="G2233" s="32"/>
      <c r="H2233" s="21"/>
      <c r="I2233" s="33"/>
      <c r="J2233" s="21" t="str">
        <f aca="false">INDEX(Students!$C$2:$C$601,MATCH(B2233,Students!$A$2:$A$601,0))</f>
        <v>Batch 2026</v>
      </c>
      <c r="K2233" s="21" t="str">
        <f aca="false">INDEX(Students!$D$2:$D$601,MATCH(B2233,Students!$A$2:$A$601,0))</f>
        <v>Full Stack Development</v>
      </c>
      <c r="L2233" s="21" t="str">
        <f aca="false">INDEX(Companies!$C$2:$C$31,MATCH(C2233,Companies!$A$2:$A$31,0))</f>
        <v>IT Services</v>
      </c>
      <c r="M2233" s="21" t="str">
        <f aca="false">INDEX(Companies!$D$2:$D$31,MATCH(C2233,Companies!$A$2:$A$31,0))</f>
        <v>Tier 3</v>
      </c>
      <c r="N2233" s="34" t="n">
        <f aca="false">MATCH(F2233,Assumptions!$K$4:$K$8,0)</f>
        <v>1</v>
      </c>
      <c r="O2233" s="21" t="str">
        <f aca="false">IF(H2233="Yes",MONTH(I2233),"")</f>
        <v/>
      </c>
      <c r="P2233" s="21" t="str">
        <f aca="false">IF(H2233="Yes",B2233,"")</f>
        <v/>
      </c>
    </row>
    <row r="2234" customFormat="false" ht="15" hidden="false" customHeight="false" outlineLevel="0" collapsed="false">
      <c r="A2234" s="21" t="s">
        <v>3449</v>
      </c>
      <c r="B2234" s="21" t="s">
        <v>886</v>
      </c>
      <c r="C2234" s="21" t="s">
        <v>1196</v>
      </c>
      <c r="D2234" s="21" t="s">
        <v>1188</v>
      </c>
      <c r="E2234" s="33" t="n">
        <v>45918</v>
      </c>
      <c r="F2234" s="21" t="s">
        <v>1175</v>
      </c>
      <c r="G2234" s="32"/>
      <c r="H2234" s="21"/>
      <c r="I2234" s="33"/>
      <c r="J2234" s="21" t="str">
        <f aca="false">INDEX(Students!$C$2:$C$601,MATCH(B2234,Students!$A$2:$A$601,0))</f>
        <v>Batch 2026</v>
      </c>
      <c r="K2234" s="21" t="str">
        <f aca="false">INDEX(Students!$D$2:$D$601,MATCH(B2234,Students!$A$2:$A$601,0))</f>
        <v>Data Analytics</v>
      </c>
      <c r="L2234" s="21" t="str">
        <f aca="false">INDEX(Companies!$C$2:$C$31,MATCH(C2234,Companies!$A$2:$A$31,0))</f>
        <v>IT Services</v>
      </c>
      <c r="M2234" s="21" t="str">
        <f aca="false">INDEX(Companies!$D$2:$D$31,MATCH(C2234,Companies!$A$2:$A$31,0))</f>
        <v>Tier 3</v>
      </c>
      <c r="N2234" s="34" t="n">
        <f aca="false">MATCH(F2234,Assumptions!$K$4:$K$8,0)</f>
        <v>1</v>
      </c>
      <c r="O2234" s="21" t="str">
        <f aca="false">IF(H2234="Yes",MONTH(I2234),"")</f>
        <v/>
      </c>
      <c r="P2234" s="21" t="str">
        <f aca="false">IF(H2234="Yes",B2234,"")</f>
        <v/>
      </c>
    </row>
    <row r="2235" customFormat="false" ht="15" hidden="false" customHeight="false" outlineLevel="0" collapsed="false">
      <c r="A2235" s="21" t="s">
        <v>3450</v>
      </c>
      <c r="B2235" s="21" t="s">
        <v>956</v>
      </c>
      <c r="C2235" s="21" t="s">
        <v>1222</v>
      </c>
      <c r="D2235" s="21" t="s">
        <v>1188</v>
      </c>
      <c r="E2235" s="33" t="n">
        <v>45918</v>
      </c>
      <c r="F2235" s="21" t="s">
        <v>1218</v>
      </c>
      <c r="G2235" s="32"/>
      <c r="H2235" s="21"/>
      <c r="I2235" s="33"/>
      <c r="J2235" s="21" t="str">
        <f aca="false">INDEX(Students!$C$2:$C$601,MATCH(B2235,Students!$A$2:$A$601,0))</f>
        <v>Batch 2026</v>
      </c>
      <c r="K2235" s="21" t="str">
        <f aca="false">INDEX(Students!$D$2:$D$601,MATCH(B2235,Students!$A$2:$A$601,0))</f>
        <v>Data Analytics</v>
      </c>
      <c r="L2235" s="21" t="str">
        <f aca="false">INDEX(Companies!$C$2:$C$31,MATCH(C2235,Companies!$A$2:$A$31,0))</f>
        <v>Product</v>
      </c>
      <c r="M2235" s="21" t="str">
        <f aca="false">INDEX(Companies!$D$2:$D$31,MATCH(C2235,Companies!$A$2:$A$31,0))</f>
        <v>Tier 2</v>
      </c>
      <c r="N2235" s="34" t="n">
        <f aca="false">MATCH(F2235,Assumptions!$K$4:$K$8,0)</f>
        <v>4</v>
      </c>
      <c r="O2235" s="21" t="str">
        <f aca="false">IF(H2235="Yes",MONTH(I2235),"")</f>
        <v/>
      </c>
      <c r="P2235" s="21" t="str">
        <f aca="false">IF(H2235="Yes",B2235,"")</f>
        <v/>
      </c>
    </row>
    <row r="2236" customFormat="false" ht="15" hidden="false" customHeight="false" outlineLevel="0" collapsed="false">
      <c r="A2236" s="21" t="s">
        <v>3451</v>
      </c>
      <c r="B2236" s="21" t="s">
        <v>974</v>
      </c>
      <c r="C2236" s="21" t="s">
        <v>1183</v>
      </c>
      <c r="D2236" s="21" t="s">
        <v>1188</v>
      </c>
      <c r="E2236" s="33" t="n">
        <v>45918</v>
      </c>
      <c r="F2236" s="21" t="s">
        <v>1175</v>
      </c>
      <c r="G2236" s="32"/>
      <c r="H2236" s="21"/>
      <c r="I2236" s="33"/>
      <c r="J2236" s="21" t="str">
        <f aca="false">INDEX(Students!$C$2:$C$601,MATCH(B2236,Students!$A$2:$A$601,0))</f>
        <v>Batch 2026</v>
      </c>
      <c r="K2236" s="21" t="str">
        <f aca="false">INDEX(Students!$D$2:$D$601,MATCH(B2236,Students!$A$2:$A$601,0))</f>
        <v>Data Analytics</v>
      </c>
      <c r="L2236" s="21" t="str">
        <f aca="false">INDEX(Companies!$C$2:$C$31,MATCH(C2236,Companies!$A$2:$A$31,0))</f>
        <v>E-commerce</v>
      </c>
      <c r="M2236" s="21" t="str">
        <f aca="false">INDEX(Companies!$D$2:$D$31,MATCH(C2236,Companies!$A$2:$A$31,0))</f>
        <v>Tier 2</v>
      </c>
      <c r="N2236" s="34" t="n">
        <f aca="false">MATCH(F2236,Assumptions!$K$4:$K$8,0)</f>
        <v>1</v>
      </c>
      <c r="O2236" s="21" t="str">
        <f aca="false">IF(H2236="Yes",MONTH(I2236),"")</f>
        <v/>
      </c>
      <c r="P2236" s="21" t="str">
        <f aca="false">IF(H2236="Yes",B2236,"")</f>
        <v/>
      </c>
    </row>
    <row r="2237" customFormat="false" ht="15" hidden="false" customHeight="false" outlineLevel="0" collapsed="false">
      <c r="A2237" s="21" t="s">
        <v>3452</v>
      </c>
      <c r="B2237" s="21" t="s">
        <v>1097</v>
      </c>
      <c r="C2237" s="21" t="s">
        <v>1230</v>
      </c>
      <c r="D2237" s="21" t="s">
        <v>1191</v>
      </c>
      <c r="E2237" s="33" t="n">
        <v>45918</v>
      </c>
      <c r="F2237" s="21" t="s">
        <v>1197</v>
      </c>
      <c r="G2237" s="32"/>
      <c r="H2237" s="21"/>
      <c r="I2237" s="33"/>
      <c r="J2237" s="21" t="str">
        <f aca="false">INDEX(Students!$C$2:$C$601,MATCH(B2237,Students!$A$2:$A$601,0))</f>
        <v>Batch 2026</v>
      </c>
      <c r="K2237" s="21" t="str">
        <f aca="false">INDEX(Students!$D$2:$D$601,MATCH(B2237,Students!$A$2:$A$601,0))</f>
        <v>DSA with Java</v>
      </c>
      <c r="L2237" s="21" t="str">
        <f aca="false">INDEX(Companies!$C$2:$C$31,MATCH(C2237,Companies!$A$2:$A$31,0))</f>
        <v>IT Services</v>
      </c>
      <c r="M2237" s="21" t="str">
        <f aca="false">INDEX(Companies!$D$2:$D$31,MATCH(C2237,Companies!$A$2:$A$31,0))</f>
        <v>Tier 3</v>
      </c>
      <c r="N2237" s="34" t="n">
        <f aca="false">MATCH(F2237,Assumptions!$K$4:$K$8,0)</f>
        <v>3</v>
      </c>
      <c r="O2237" s="21" t="str">
        <f aca="false">IF(H2237="Yes",MONTH(I2237),"")</f>
        <v/>
      </c>
      <c r="P2237" s="21" t="str">
        <f aca="false">IF(H2237="Yes",B2237,"")</f>
        <v/>
      </c>
    </row>
    <row r="2238" customFormat="false" ht="15" hidden="false" customHeight="false" outlineLevel="0" collapsed="false">
      <c r="A2238" s="21" t="s">
        <v>3453</v>
      </c>
      <c r="B2238" s="21" t="s">
        <v>1130</v>
      </c>
      <c r="C2238" s="21" t="s">
        <v>1290</v>
      </c>
      <c r="D2238" s="21" t="s">
        <v>1209</v>
      </c>
      <c r="E2238" s="33" t="n">
        <v>45918</v>
      </c>
      <c r="F2238" s="21" t="s">
        <v>1175</v>
      </c>
      <c r="G2238" s="32"/>
      <c r="H2238" s="21"/>
      <c r="I2238" s="33"/>
      <c r="J2238" s="21" t="str">
        <f aca="false">INDEX(Students!$C$2:$C$601,MATCH(B2238,Students!$A$2:$A$601,0))</f>
        <v>Batch 2026</v>
      </c>
      <c r="K2238" s="21" t="str">
        <f aca="false">INDEX(Students!$D$2:$D$601,MATCH(B2238,Students!$A$2:$A$601,0))</f>
        <v>Data Analytics</v>
      </c>
      <c r="L2238" s="21" t="str">
        <f aca="false">INDEX(Companies!$C$2:$C$31,MATCH(C2238,Companies!$A$2:$A$31,0))</f>
        <v>Fintech</v>
      </c>
      <c r="M2238" s="21" t="str">
        <f aca="false">INDEX(Companies!$D$2:$D$31,MATCH(C2238,Companies!$A$2:$A$31,0))</f>
        <v>Tier 2</v>
      </c>
      <c r="N2238" s="34" t="n">
        <f aca="false">MATCH(F2238,Assumptions!$K$4:$K$8,0)</f>
        <v>1</v>
      </c>
      <c r="O2238" s="21" t="str">
        <f aca="false">IF(H2238="Yes",MONTH(I2238),"")</f>
        <v/>
      </c>
      <c r="P2238" s="21" t="str">
        <f aca="false">IF(H2238="Yes",B2238,"")</f>
        <v/>
      </c>
    </row>
    <row r="2239" customFormat="false" ht="15" hidden="false" customHeight="false" outlineLevel="0" collapsed="false">
      <c r="A2239" s="21" t="s">
        <v>3454</v>
      </c>
      <c r="B2239" s="21" t="s">
        <v>1051</v>
      </c>
      <c r="C2239" s="21" t="s">
        <v>1230</v>
      </c>
      <c r="D2239" s="21" t="s">
        <v>1191</v>
      </c>
      <c r="E2239" s="33" t="n">
        <v>45918</v>
      </c>
      <c r="F2239" s="21" t="s">
        <v>1175</v>
      </c>
      <c r="G2239" s="32"/>
      <c r="H2239" s="21"/>
      <c r="I2239" s="33"/>
      <c r="J2239" s="21" t="str">
        <f aca="false">INDEX(Students!$C$2:$C$601,MATCH(B2239,Students!$A$2:$A$601,0))</f>
        <v>Batch 2026</v>
      </c>
      <c r="K2239" s="21" t="str">
        <f aca="false">INDEX(Students!$D$2:$D$601,MATCH(B2239,Students!$A$2:$A$601,0))</f>
        <v>DSA with Java</v>
      </c>
      <c r="L2239" s="21" t="str">
        <f aca="false">INDEX(Companies!$C$2:$C$31,MATCH(C2239,Companies!$A$2:$A$31,0))</f>
        <v>IT Services</v>
      </c>
      <c r="M2239" s="21" t="str">
        <f aca="false">INDEX(Companies!$D$2:$D$31,MATCH(C2239,Companies!$A$2:$A$31,0))</f>
        <v>Tier 3</v>
      </c>
      <c r="N2239" s="34" t="n">
        <f aca="false">MATCH(F2239,Assumptions!$K$4:$K$8,0)</f>
        <v>1</v>
      </c>
      <c r="O2239" s="21" t="str">
        <f aca="false">IF(H2239="Yes",MONTH(I2239),"")</f>
        <v/>
      </c>
      <c r="P2239" s="21" t="str">
        <f aca="false">IF(H2239="Yes",B2239,"")</f>
        <v/>
      </c>
    </row>
    <row r="2240" customFormat="false" ht="15" hidden="false" customHeight="false" outlineLevel="0" collapsed="false">
      <c r="A2240" s="21" t="s">
        <v>3455</v>
      </c>
      <c r="B2240" s="21" t="s">
        <v>824</v>
      </c>
      <c r="C2240" s="21" t="s">
        <v>1183</v>
      </c>
      <c r="D2240" s="21" t="s">
        <v>1191</v>
      </c>
      <c r="E2240" s="33" t="n">
        <v>45918</v>
      </c>
      <c r="F2240" s="21" t="s">
        <v>1185</v>
      </c>
      <c r="G2240" s="32" t="n">
        <v>12.2</v>
      </c>
      <c r="H2240" s="21" t="s">
        <v>113</v>
      </c>
      <c r="I2240" s="33" t="n">
        <v>45965</v>
      </c>
      <c r="J2240" s="21" t="str">
        <f aca="false">INDEX(Students!$C$2:$C$601,MATCH(B2240,Students!$A$2:$A$601,0))</f>
        <v>Batch 2026</v>
      </c>
      <c r="K2240" s="21" t="str">
        <f aca="false">INDEX(Students!$D$2:$D$601,MATCH(B2240,Students!$A$2:$A$601,0))</f>
        <v>DSA with Java</v>
      </c>
      <c r="L2240" s="21" t="str">
        <f aca="false">INDEX(Companies!$C$2:$C$31,MATCH(C2240,Companies!$A$2:$A$31,0))</f>
        <v>E-commerce</v>
      </c>
      <c r="M2240" s="21" t="str">
        <f aca="false">INDEX(Companies!$D$2:$D$31,MATCH(C2240,Companies!$A$2:$A$31,0))</f>
        <v>Tier 2</v>
      </c>
      <c r="N2240" s="34" t="n">
        <f aca="false">MATCH(F2240,Assumptions!$K$4:$K$8,0)</f>
        <v>5</v>
      </c>
      <c r="O2240" s="21" t="str">
        <f aca="false">IF(H2240="Yes",MONTH(I2240),"")</f>
        <v/>
      </c>
      <c r="P2240" s="21" t="str">
        <f aca="false">IF(H2240="Yes",B2240,"")</f>
        <v/>
      </c>
    </row>
    <row r="2241" customFormat="false" ht="15" hidden="false" customHeight="false" outlineLevel="0" collapsed="false">
      <c r="A2241" s="21" t="s">
        <v>3456</v>
      </c>
      <c r="B2241" s="21" t="s">
        <v>1059</v>
      </c>
      <c r="C2241" s="21" t="s">
        <v>1298</v>
      </c>
      <c r="D2241" s="21" t="s">
        <v>1181</v>
      </c>
      <c r="E2241" s="33" t="n">
        <v>45918</v>
      </c>
      <c r="F2241" s="21" t="s">
        <v>1218</v>
      </c>
      <c r="G2241" s="32"/>
      <c r="H2241" s="21"/>
      <c r="I2241" s="33"/>
      <c r="J2241" s="21" t="str">
        <f aca="false">INDEX(Students!$C$2:$C$601,MATCH(B2241,Students!$A$2:$A$601,0))</f>
        <v>Batch 2026</v>
      </c>
      <c r="K2241" s="21" t="str">
        <f aca="false">INDEX(Students!$D$2:$D$601,MATCH(B2241,Students!$A$2:$A$601,0))</f>
        <v>Full Stack Development</v>
      </c>
      <c r="L2241" s="21" t="str">
        <f aca="false">INDEX(Companies!$C$2:$C$31,MATCH(C2241,Companies!$A$2:$A$31,0))</f>
        <v>Fintech</v>
      </c>
      <c r="M2241" s="21" t="str">
        <f aca="false">INDEX(Companies!$D$2:$D$31,MATCH(C2241,Companies!$A$2:$A$31,0))</f>
        <v>Tier 2</v>
      </c>
      <c r="N2241" s="34" t="n">
        <f aca="false">MATCH(F2241,Assumptions!$K$4:$K$8,0)</f>
        <v>4</v>
      </c>
      <c r="O2241" s="21" t="str">
        <f aca="false">IF(H2241="Yes",MONTH(I2241),"")</f>
        <v/>
      </c>
      <c r="P2241" s="21" t="str">
        <f aca="false">IF(H2241="Yes",B2241,"")</f>
        <v/>
      </c>
    </row>
    <row r="2242" customFormat="false" ht="15" hidden="false" customHeight="false" outlineLevel="0" collapsed="false">
      <c r="A2242" s="21" t="s">
        <v>3457</v>
      </c>
      <c r="B2242" s="21" t="s">
        <v>829</v>
      </c>
      <c r="C2242" s="21" t="s">
        <v>1239</v>
      </c>
      <c r="D2242" s="21" t="s">
        <v>1191</v>
      </c>
      <c r="E2242" s="33" t="n">
        <v>45918</v>
      </c>
      <c r="F2242" s="21" t="s">
        <v>1218</v>
      </c>
      <c r="G2242" s="32"/>
      <c r="H2242" s="21"/>
      <c r="I2242" s="33"/>
      <c r="J2242" s="21" t="str">
        <f aca="false">INDEX(Students!$C$2:$C$601,MATCH(B2242,Students!$A$2:$A$601,0))</f>
        <v>Batch 2026</v>
      </c>
      <c r="K2242" s="21" t="str">
        <f aca="false">INDEX(Students!$D$2:$D$601,MATCH(B2242,Students!$A$2:$A$601,0))</f>
        <v>DSA with Java</v>
      </c>
      <c r="L2242" s="21" t="str">
        <f aca="false">INDEX(Companies!$C$2:$C$31,MATCH(C2242,Companies!$A$2:$A$31,0))</f>
        <v>E-commerce</v>
      </c>
      <c r="M2242" s="21" t="str">
        <f aca="false">INDEX(Companies!$D$2:$D$31,MATCH(C2242,Companies!$A$2:$A$31,0))</f>
        <v>Tier 3</v>
      </c>
      <c r="N2242" s="34" t="n">
        <f aca="false">MATCH(F2242,Assumptions!$K$4:$K$8,0)</f>
        <v>4</v>
      </c>
      <c r="O2242" s="21" t="str">
        <f aca="false">IF(H2242="Yes",MONTH(I2242),"")</f>
        <v/>
      </c>
      <c r="P2242" s="21" t="str">
        <f aca="false">IF(H2242="Yes",B2242,"")</f>
        <v/>
      </c>
    </row>
    <row r="2243" customFormat="false" ht="15" hidden="false" customHeight="false" outlineLevel="0" collapsed="false">
      <c r="A2243" s="21" t="s">
        <v>3458</v>
      </c>
      <c r="B2243" s="21" t="s">
        <v>1074</v>
      </c>
      <c r="C2243" s="21" t="s">
        <v>1234</v>
      </c>
      <c r="D2243" s="21" t="s">
        <v>1184</v>
      </c>
      <c r="E2243" s="33" t="n">
        <v>45918</v>
      </c>
      <c r="F2243" s="21" t="s">
        <v>1175</v>
      </c>
      <c r="G2243" s="32"/>
      <c r="H2243" s="21"/>
      <c r="I2243" s="33"/>
      <c r="J2243" s="21" t="str">
        <f aca="false">INDEX(Students!$C$2:$C$601,MATCH(B2243,Students!$A$2:$A$601,0))</f>
        <v>Batch 2026</v>
      </c>
      <c r="K2243" s="21" t="str">
        <f aca="false">INDEX(Students!$D$2:$D$601,MATCH(B2243,Students!$A$2:$A$601,0))</f>
        <v>DSA with Java</v>
      </c>
      <c r="L2243" s="21" t="str">
        <f aca="false">INDEX(Companies!$C$2:$C$31,MATCH(C2243,Companies!$A$2:$A$31,0))</f>
        <v>EdTech</v>
      </c>
      <c r="M2243" s="21" t="str">
        <f aca="false">INDEX(Companies!$D$2:$D$31,MATCH(C2243,Companies!$A$2:$A$31,0))</f>
        <v>Tier 3</v>
      </c>
      <c r="N2243" s="34" t="n">
        <f aca="false">MATCH(F2243,Assumptions!$K$4:$K$8,0)</f>
        <v>1</v>
      </c>
      <c r="O2243" s="21" t="str">
        <f aca="false">IF(H2243="Yes",MONTH(I2243),"")</f>
        <v/>
      </c>
      <c r="P2243" s="21" t="str">
        <f aca="false">IF(H2243="Yes",B2243,"")</f>
        <v/>
      </c>
    </row>
    <row r="2244" customFormat="false" ht="15" hidden="false" customHeight="false" outlineLevel="0" collapsed="false">
      <c r="A2244" s="21" t="s">
        <v>3459</v>
      </c>
      <c r="B2244" s="21" t="s">
        <v>842</v>
      </c>
      <c r="C2244" s="21" t="s">
        <v>1225</v>
      </c>
      <c r="D2244" s="21" t="s">
        <v>1184</v>
      </c>
      <c r="E2244" s="33" t="n">
        <v>45919</v>
      </c>
      <c r="F2244" s="21" t="s">
        <v>1185</v>
      </c>
      <c r="G2244" s="32" t="n">
        <v>11.1</v>
      </c>
      <c r="H2244" s="21" t="s">
        <v>120</v>
      </c>
      <c r="I2244" s="33" t="n">
        <v>45956</v>
      </c>
      <c r="J2244" s="21" t="str">
        <f aca="false">INDEX(Students!$C$2:$C$601,MATCH(B2244,Students!$A$2:$A$601,0))</f>
        <v>Batch 2026</v>
      </c>
      <c r="K2244" s="21" t="str">
        <f aca="false">INDEX(Students!$D$2:$D$601,MATCH(B2244,Students!$A$2:$A$601,0))</f>
        <v>DSA with Java</v>
      </c>
      <c r="L2244" s="21" t="str">
        <f aca="false">INDEX(Companies!$C$2:$C$31,MATCH(C2244,Companies!$A$2:$A$31,0))</f>
        <v>EdTech</v>
      </c>
      <c r="M2244" s="21" t="str">
        <f aca="false">INDEX(Companies!$D$2:$D$31,MATCH(C2244,Companies!$A$2:$A$31,0))</f>
        <v>Tier 2</v>
      </c>
      <c r="N2244" s="34" t="n">
        <f aca="false">MATCH(F2244,Assumptions!$K$4:$K$8,0)</f>
        <v>5</v>
      </c>
      <c r="O2244" s="21" t="n">
        <f aca="false">IF(H2244="Yes",MONTH(I2244),"")</f>
        <v>10</v>
      </c>
      <c r="P2244" s="21" t="str">
        <f aca="false">IF(H2244="Yes",B2244,"")</f>
        <v>S0401</v>
      </c>
    </row>
    <row r="2245" customFormat="false" ht="15" hidden="false" customHeight="false" outlineLevel="0" collapsed="false">
      <c r="A2245" s="21" t="s">
        <v>3460</v>
      </c>
      <c r="B2245" s="21" t="s">
        <v>935</v>
      </c>
      <c r="C2245" s="21" t="s">
        <v>1322</v>
      </c>
      <c r="D2245" s="21" t="s">
        <v>1209</v>
      </c>
      <c r="E2245" s="33" t="n">
        <v>45919</v>
      </c>
      <c r="F2245" s="21" t="s">
        <v>1175</v>
      </c>
      <c r="G2245" s="32"/>
      <c r="H2245" s="21"/>
      <c r="I2245" s="33"/>
      <c r="J2245" s="21" t="str">
        <f aca="false">INDEX(Students!$C$2:$C$601,MATCH(B2245,Students!$A$2:$A$601,0))</f>
        <v>Batch 2026</v>
      </c>
      <c r="K2245" s="21" t="str">
        <f aca="false">INDEX(Students!$D$2:$D$601,MATCH(B2245,Students!$A$2:$A$601,0))</f>
        <v>Data Analytics</v>
      </c>
      <c r="L2245" s="21" t="str">
        <f aca="false">INDEX(Companies!$C$2:$C$31,MATCH(C2245,Companies!$A$2:$A$31,0))</f>
        <v>Healthtech</v>
      </c>
      <c r="M2245" s="21" t="str">
        <f aca="false">INDEX(Companies!$D$2:$D$31,MATCH(C2245,Companies!$A$2:$A$31,0))</f>
        <v>Tier 2</v>
      </c>
      <c r="N2245" s="34" t="n">
        <f aca="false">MATCH(F2245,Assumptions!$K$4:$K$8,0)</f>
        <v>1</v>
      </c>
      <c r="O2245" s="21" t="str">
        <f aca="false">IF(H2245="Yes",MONTH(I2245),"")</f>
        <v/>
      </c>
      <c r="P2245" s="21" t="str">
        <f aca="false">IF(H2245="Yes",B2245,"")</f>
        <v/>
      </c>
    </row>
    <row r="2246" customFormat="false" ht="15" hidden="false" customHeight="false" outlineLevel="0" collapsed="false">
      <c r="A2246" s="21" t="s">
        <v>3461</v>
      </c>
      <c r="B2246" s="21" t="s">
        <v>935</v>
      </c>
      <c r="C2246" s="21" t="s">
        <v>1183</v>
      </c>
      <c r="D2246" s="21" t="s">
        <v>1209</v>
      </c>
      <c r="E2246" s="33" t="n">
        <v>45919</v>
      </c>
      <c r="F2246" s="21" t="s">
        <v>1175</v>
      </c>
      <c r="G2246" s="32"/>
      <c r="H2246" s="21"/>
      <c r="I2246" s="33"/>
      <c r="J2246" s="21" t="str">
        <f aca="false">INDEX(Students!$C$2:$C$601,MATCH(B2246,Students!$A$2:$A$601,0))</f>
        <v>Batch 2026</v>
      </c>
      <c r="K2246" s="21" t="str">
        <f aca="false">INDEX(Students!$D$2:$D$601,MATCH(B2246,Students!$A$2:$A$601,0))</f>
        <v>Data Analytics</v>
      </c>
      <c r="L2246" s="21" t="str">
        <f aca="false">INDEX(Companies!$C$2:$C$31,MATCH(C2246,Companies!$A$2:$A$31,0))</f>
        <v>E-commerce</v>
      </c>
      <c r="M2246" s="21" t="str">
        <f aca="false">INDEX(Companies!$D$2:$D$31,MATCH(C2246,Companies!$A$2:$A$31,0))</f>
        <v>Tier 2</v>
      </c>
      <c r="N2246" s="34" t="n">
        <f aca="false">MATCH(F2246,Assumptions!$K$4:$K$8,0)</f>
        <v>1</v>
      </c>
      <c r="O2246" s="21" t="str">
        <f aca="false">IF(H2246="Yes",MONTH(I2246),"")</f>
        <v/>
      </c>
      <c r="P2246" s="21" t="str">
        <f aca="false">IF(H2246="Yes",B2246,"")</f>
        <v/>
      </c>
    </row>
    <row r="2247" customFormat="false" ht="15" hidden="false" customHeight="false" outlineLevel="0" collapsed="false">
      <c r="A2247" s="21" t="s">
        <v>3462</v>
      </c>
      <c r="B2247" s="21" t="s">
        <v>989</v>
      </c>
      <c r="C2247" s="21" t="s">
        <v>1201</v>
      </c>
      <c r="D2247" s="21" t="s">
        <v>1174</v>
      </c>
      <c r="E2247" s="33" t="n">
        <v>45919</v>
      </c>
      <c r="F2247" s="21" t="s">
        <v>1185</v>
      </c>
      <c r="G2247" s="32" t="n">
        <v>6.1</v>
      </c>
      <c r="H2247" s="21" t="s">
        <v>113</v>
      </c>
      <c r="I2247" s="33" t="n">
        <v>45960</v>
      </c>
      <c r="J2247" s="21" t="str">
        <f aca="false">INDEX(Students!$C$2:$C$601,MATCH(B2247,Students!$A$2:$A$601,0))</f>
        <v>Batch 2026</v>
      </c>
      <c r="K2247" s="21" t="str">
        <f aca="false">INDEX(Students!$D$2:$D$601,MATCH(B2247,Students!$A$2:$A$601,0))</f>
        <v>Full Stack Development</v>
      </c>
      <c r="L2247" s="21" t="str">
        <f aca="false">INDEX(Companies!$C$2:$C$31,MATCH(C2247,Companies!$A$2:$A$31,0))</f>
        <v>IT Services</v>
      </c>
      <c r="M2247" s="21" t="str">
        <f aca="false">INDEX(Companies!$D$2:$D$31,MATCH(C2247,Companies!$A$2:$A$31,0))</f>
        <v>Tier 3</v>
      </c>
      <c r="N2247" s="34" t="n">
        <f aca="false">MATCH(F2247,Assumptions!$K$4:$K$8,0)</f>
        <v>5</v>
      </c>
      <c r="O2247" s="21" t="str">
        <f aca="false">IF(H2247="Yes",MONTH(I2247),"")</f>
        <v/>
      </c>
      <c r="P2247" s="21" t="str">
        <f aca="false">IF(H2247="Yes",B2247,"")</f>
        <v/>
      </c>
    </row>
    <row r="2248" customFormat="false" ht="15" hidden="false" customHeight="false" outlineLevel="0" collapsed="false">
      <c r="A2248" s="21" t="s">
        <v>3463</v>
      </c>
      <c r="B2248" s="21" t="s">
        <v>872</v>
      </c>
      <c r="C2248" s="21" t="s">
        <v>1230</v>
      </c>
      <c r="D2248" s="21" t="s">
        <v>1243</v>
      </c>
      <c r="E2248" s="33" t="n">
        <v>45919</v>
      </c>
      <c r="F2248" s="21" t="s">
        <v>1197</v>
      </c>
      <c r="G2248" s="32"/>
      <c r="H2248" s="21"/>
      <c r="I2248" s="33"/>
      <c r="J2248" s="21" t="str">
        <f aca="false">INDEX(Students!$C$2:$C$601,MATCH(B2248,Students!$A$2:$A$601,0))</f>
        <v>Batch 2026</v>
      </c>
      <c r="K2248" s="21" t="str">
        <f aca="false">INDEX(Students!$D$2:$D$601,MATCH(B2248,Students!$A$2:$A$601,0))</f>
        <v>Data Science &amp; ML</v>
      </c>
      <c r="L2248" s="21" t="str">
        <f aca="false">INDEX(Companies!$C$2:$C$31,MATCH(C2248,Companies!$A$2:$A$31,0))</f>
        <v>IT Services</v>
      </c>
      <c r="M2248" s="21" t="str">
        <f aca="false">INDEX(Companies!$D$2:$D$31,MATCH(C2248,Companies!$A$2:$A$31,0))</f>
        <v>Tier 3</v>
      </c>
      <c r="N2248" s="34" t="n">
        <f aca="false">MATCH(F2248,Assumptions!$K$4:$K$8,0)</f>
        <v>3</v>
      </c>
      <c r="O2248" s="21" t="str">
        <f aca="false">IF(H2248="Yes",MONTH(I2248),"")</f>
        <v/>
      </c>
      <c r="P2248" s="21" t="str">
        <f aca="false">IF(H2248="Yes",B2248,"")</f>
        <v/>
      </c>
    </row>
    <row r="2249" customFormat="false" ht="15" hidden="false" customHeight="false" outlineLevel="0" collapsed="false">
      <c r="A2249" s="21" t="s">
        <v>3464</v>
      </c>
      <c r="B2249" s="21" t="s">
        <v>957</v>
      </c>
      <c r="C2249" s="21" t="s">
        <v>1230</v>
      </c>
      <c r="D2249" s="21" t="s">
        <v>1184</v>
      </c>
      <c r="E2249" s="33" t="n">
        <v>45919</v>
      </c>
      <c r="F2249" s="21" t="s">
        <v>1175</v>
      </c>
      <c r="G2249" s="32"/>
      <c r="H2249" s="21"/>
      <c r="I2249" s="33"/>
      <c r="J2249" s="21" t="str">
        <f aca="false">INDEX(Students!$C$2:$C$601,MATCH(B2249,Students!$A$2:$A$601,0))</f>
        <v>Batch 2026</v>
      </c>
      <c r="K2249" s="21" t="str">
        <f aca="false">INDEX(Students!$D$2:$D$601,MATCH(B2249,Students!$A$2:$A$601,0))</f>
        <v>DSA with Java</v>
      </c>
      <c r="L2249" s="21" t="str">
        <f aca="false">INDEX(Companies!$C$2:$C$31,MATCH(C2249,Companies!$A$2:$A$31,0))</f>
        <v>IT Services</v>
      </c>
      <c r="M2249" s="21" t="str">
        <f aca="false">INDEX(Companies!$D$2:$D$31,MATCH(C2249,Companies!$A$2:$A$31,0))</f>
        <v>Tier 3</v>
      </c>
      <c r="N2249" s="34" t="n">
        <f aca="false">MATCH(F2249,Assumptions!$K$4:$K$8,0)</f>
        <v>1</v>
      </c>
      <c r="O2249" s="21" t="str">
        <f aca="false">IF(H2249="Yes",MONTH(I2249),"")</f>
        <v/>
      </c>
      <c r="P2249" s="21" t="str">
        <f aca="false">IF(H2249="Yes",B2249,"")</f>
        <v/>
      </c>
    </row>
    <row r="2250" customFormat="false" ht="15" hidden="false" customHeight="false" outlineLevel="0" collapsed="false">
      <c r="A2250" s="21" t="s">
        <v>3465</v>
      </c>
      <c r="B2250" s="21" t="s">
        <v>813</v>
      </c>
      <c r="C2250" s="21" t="s">
        <v>1225</v>
      </c>
      <c r="D2250" s="21" t="s">
        <v>1191</v>
      </c>
      <c r="E2250" s="33" t="n">
        <v>45920</v>
      </c>
      <c r="F2250" s="21" t="s">
        <v>1185</v>
      </c>
      <c r="G2250" s="32" t="n">
        <v>11.3</v>
      </c>
      <c r="H2250" s="21" t="s">
        <v>113</v>
      </c>
      <c r="I2250" s="33" t="n">
        <v>45961</v>
      </c>
      <c r="J2250" s="21" t="str">
        <f aca="false">INDEX(Students!$C$2:$C$601,MATCH(B2250,Students!$A$2:$A$601,0))</f>
        <v>Batch 2026</v>
      </c>
      <c r="K2250" s="21" t="str">
        <f aca="false">INDEX(Students!$D$2:$D$601,MATCH(B2250,Students!$A$2:$A$601,0))</f>
        <v>DSA with Java</v>
      </c>
      <c r="L2250" s="21" t="str">
        <f aca="false">INDEX(Companies!$C$2:$C$31,MATCH(C2250,Companies!$A$2:$A$31,0))</f>
        <v>EdTech</v>
      </c>
      <c r="M2250" s="21" t="str">
        <f aca="false">INDEX(Companies!$D$2:$D$31,MATCH(C2250,Companies!$A$2:$A$31,0))</f>
        <v>Tier 2</v>
      </c>
      <c r="N2250" s="34" t="n">
        <f aca="false">MATCH(F2250,Assumptions!$K$4:$K$8,0)</f>
        <v>5</v>
      </c>
      <c r="O2250" s="21" t="str">
        <f aca="false">IF(H2250="Yes",MONTH(I2250),"")</f>
        <v/>
      </c>
      <c r="P2250" s="21" t="str">
        <f aca="false">IF(H2250="Yes",B2250,"")</f>
        <v/>
      </c>
    </row>
    <row r="2251" customFormat="false" ht="15" hidden="false" customHeight="false" outlineLevel="0" collapsed="false">
      <c r="A2251" s="21" t="s">
        <v>3466</v>
      </c>
      <c r="B2251" s="21" t="s">
        <v>1061</v>
      </c>
      <c r="C2251" s="21" t="s">
        <v>1275</v>
      </c>
      <c r="D2251" s="21" t="s">
        <v>1174</v>
      </c>
      <c r="E2251" s="33" t="n">
        <v>45920</v>
      </c>
      <c r="F2251" s="21" t="s">
        <v>1218</v>
      </c>
      <c r="G2251" s="32"/>
      <c r="H2251" s="21"/>
      <c r="I2251" s="33"/>
      <c r="J2251" s="21" t="str">
        <f aca="false">INDEX(Students!$C$2:$C$601,MATCH(B2251,Students!$A$2:$A$601,0))</f>
        <v>Batch 2026</v>
      </c>
      <c r="K2251" s="21" t="str">
        <f aca="false">INDEX(Students!$D$2:$D$601,MATCH(B2251,Students!$A$2:$A$601,0))</f>
        <v>Full Stack Development</v>
      </c>
      <c r="L2251" s="21" t="str">
        <f aca="false">INDEX(Companies!$C$2:$C$31,MATCH(C2251,Companies!$A$2:$A$31,0))</f>
        <v>Cybersecurity</v>
      </c>
      <c r="M2251" s="21" t="str">
        <f aca="false">INDEX(Companies!$D$2:$D$31,MATCH(C2251,Companies!$A$2:$A$31,0))</f>
        <v>Tier 2</v>
      </c>
      <c r="N2251" s="34" t="n">
        <f aca="false">MATCH(F2251,Assumptions!$K$4:$K$8,0)</f>
        <v>4</v>
      </c>
      <c r="O2251" s="21" t="str">
        <f aca="false">IF(H2251="Yes",MONTH(I2251),"")</f>
        <v/>
      </c>
      <c r="P2251" s="21" t="str">
        <f aca="false">IF(H2251="Yes",B2251,"")</f>
        <v/>
      </c>
    </row>
    <row r="2252" customFormat="false" ht="15" hidden="false" customHeight="false" outlineLevel="0" collapsed="false">
      <c r="A2252" s="21" t="s">
        <v>3467</v>
      </c>
      <c r="B2252" s="21" t="s">
        <v>1153</v>
      </c>
      <c r="C2252" s="21" t="s">
        <v>1199</v>
      </c>
      <c r="D2252" s="21" t="s">
        <v>1209</v>
      </c>
      <c r="E2252" s="33" t="n">
        <v>45920</v>
      </c>
      <c r="F2252" s="21" t="s">
        <v>1175</v>
      </c>
      <c r="G2252" s="32"/>
      <c r="H2252" s="21"/>
      <c r="I2252" s="33"/>
      <c r="J2252" s="21" t="str">
        <f aca="false">INDEX(Students!$C$2:$C$601,MATCH(B2252,Students!$A$2:$A$601,0))</f>
        <v>Batch 2026</v>
      </c>
      <c r="K2252" s="21" t="str">
        <f aca="false">INDEX(Students!$D$2:$D$601,MATCH(B2252,Students!$A$2:$A$601,0))</f>
        <v>Data Analytics</v>
      </c>
      <c r="L2252" s="21" t="str">
        <f aca="false">INDEX(Companies!$C$2:$C$31,MATCH(C2252,Companies!$A$2:$A$31,0))</f>
        <v>E-commerce</v>
      </c>
      <c r="M2252" s="21" t="str">
        <f aca="false">INDEX(Companies!$D$2:$D$31,MATCH(C2252,Companies!$A$2:$A$31,0))</f>
        <v>Tier 2</v>
      </c>
      <c r="N2252" s="34" t="n">
        <f aca="false">MATCH(F2252,Assumptions!$K$4:$K$8,0)</f>
        <v>1</v>
      </c>
      <c r="O2252" s="21" t="str">
        <f aca="false">IF(H2252="Yes",MONTH(I2252),"")</f>
        <v/>
      </c>
      <c r="P2252" s="21" t="str">
        <f aca="false">IF(H2252="Yes",B2252,"")</f>
        <v/>
      </c>
    </row>
    <row r="2253" customFormat="false" ht="15" hidden="false" customHeight="false" outlineLevel="0" collapsed="false">
      <c r="A2253" s="21" t="s">
        <v>3468</v>
      </c>
      <c r="B2253" s="21" t="s">
        <v>1051</v>
      </c>
      <c r="C2253" s="21" t="s">
        <v>1298</v>
      </c>
      <c r="D2253" s="21" t="s">
        <v>1191</v>
      </c>
      <c r="E2253" s="33" t="n">
        <v>45920</v>
      </c>
      <c r="F2253" s="21" t="s">
        <v>1197</v>
      </c>
      <c r="G2253" s="32"/>
      <c r="H2253" s="21"/>
      <c r="I2253" s="33"/>
      <c r="J2253" s="21" t="str">
        <f aca="false">INDEX(Students!$C$2:$C$601,MATCH(B2253,Students!$A$2:$A$601,0))</f>
        <v>Batch 2026</v>
      </c>
      <c r="K2253" s="21" t="str">
        <f aca="false">INDEX(Students!$D$2:$D$601,MATCH(B2253,Students!$A$2:$A$601,0))</f>
        <v>DSA with Java</v>
      </c>
      <c r="L2253" s="21" t="str">
        <f aca="false">INDEX(Companies!$C$2:$C$31,MATCH(C2253,Companies!$A$2:$A$31,0))</f>
        <v>Fintech</v>
      </c>
      <c r="M2253" s="21" t="str">
        <f aca="false">INDEX(Companies!$D$2:$D$31,MATCH(C2253,Companies!$A$2:$A$31,0))</f>
        <v>Tier 2</v>
      </c>
      <c r="N2253" s="34" t="n">
        <f aca="false">MATCH(F2253,Assumptions!$K$4:$K$8,0)</f>
        <v>3</v>
      </c>
      <c r="O2253" s="21" t="str">
        <f aca="false">IF(H2253="Yes",MONTH(I2253),"")</f>
        <v/>
      </c>
      <c r="P2253" s="21" t="str">
        <f aca="false">IF(H2253="Yes",B2253,"")</f>
        <v/>
      </c>
    </row>
    <row r="2254" customFormat="false" ht="15" hidden="false" customHeight="false" outlineLevel="0" collapsed="false">
      <c r="A2254" s="21" t="s">
        <v>3469</v>
      </c>
      <c r="B2254" s="21" t="s">
        <v>890</v>
      </c>
      <c r="C2254" s="21" t="s">
        <v>1183</v>
      </c>
      <c r="D2254" s="21" t="s">
        <v>1184</v>
      </c>
      <c r="E2254" s="33" t="n">
        <v>45920</v>
      </c>
      <c r="F2254" s="21" t="s">
        <v>1197</v>
      </c>
      <c r="G2254" s="32"/>
      <c r="H2254" s="21"/>
      <c r="I2254" s="33"/>
      <c r="J2254" s="21" t="str">
        <f aca="false">INDEX(Students!$C$2:$C$601,MATCH(B2254,Students!$A$2:$A$601,0))</f>
        <v>Batch 2026</v>
      </c>
      <c r="K2254" s="21" t="str">
        <f aca="false">INDEX(Students!$D$2:$D$601,MATCH(B2254,Students!$A$2:$A$601,0))</f>
        <v>DSA with Java</v>
      </c>
      <c r="L2254" s="21" t="str">
        <f aca="false">INDEX(Companies!$C$2:$C$31,MATCH(C2254,Companies!$A$2:$A$31,0))</f>
        <v>E-commerce</v>
      </c>
      <c r="M2254" s="21" t="str">
        <f aca="false">INDEX(Companies!$D$2:$D$31,MATCH(C2254,Companies!$A$2:$A$31,0))</f>
        <v>Tier 2</v>
      </c>
      <c r="N2254" s="34" t="n">
        <f aca="false">MATCH(F2254,Assumptions!$K$4:$K$8,0)</f>
        <v>3</v>
      </c>
      <c r="O2254" s="21" t="str">
        <f aca="false">IF(H2254="Yes",MONTH(I2254),"")</f>
        <v/>
      </c>
      <c r="P2254" s="21" t="str">
        <f aca="false">IF(H2254="Yes",B2254,"")</f>
        <v/>
      </c>
    </row>
    <row r="2255" customFormat="false" ht="15" hidden="false" customHeight="false" outlineLevel="0" collapsed="false">
      <c r="A2255" s="21" t="s">
        <v>3470</v>
      </c>
      <c r="B2255" s="21" t="s">
        <v>1098</v>
      </c>
      <c r="C2255" s="21" t="s">
        <v>1193</v>
      </c>
      <c r="D2255" s="21" t="s">
        <v>1191</v>
      </c>
      <c r="E2255" s="33" t="n">
        <v>45920</v>
      </c>
      <c r="F2255" s="21" t="s">
        <v>1197</v>
      </c>
      <c r="G2255" s="32"/>
      <c r="H2255" s="21"/>
      <c r="I2255" s="33"/>
      <c r="J2255" s="21" t="str">
        <f aca="false">INDEX(Students!$C$2:$C$601,MATCH(B2255,Students!$A$2:$A$601,0))</f>
        <v>Batch 2026</v>
      </c>
      <c r="K2255" s="21" t="str">
        <f aca="false">INDEX(Students!$D$2:$D$601,MATCH(B2255,Students!$A$2:$A$601,0))</f>
        <v>DSA with Java</v>
      </c>
      <c r="L2255" s="21" t="str">
        <f aca="false">INDEX(Companies!$C$2:$C$31,MATCH(C2255,Companies!$A$2:$A$31,0))</f>
        <v>Analytics &amp; Consulting</v>
      </c>
      <c r="M2255" s="21" t="str">
        <f aca="false">INDEX(Companies!$D$2:$D$31,MATCH(C2255,Companies!$A$2:$A$31,0))</f>
        <v>Tier 2</v>
      </c>
      <c r="N2255" s="34" t="n">
        <f aca="false">MATCH(F2255,Assumptions!$K$4:$K$8,0)</f>
        <v>3</v>
      </c>
      <c r="O2255" s="21" t="str">
        <f aca="false">IF(H2255="Yes",MONTH(I2255),"")</f>
        <v/>
      </c>
      <c r="P2255" s="21" t="str">
        <f aca="false">IF(H2255="Yes",B2255,"")</f>
        <v/>
      </c>
    </row>
    <row r="2256" customFormat="false" ht="15" hidden="false" customHeight="false" outlineLevel="0" collapsed="false">
      <c r="A2256" s="21" t="s">
        <v>3471</v>
      </c>
      <c r="B2256" s="21" t="s">
        <v>1082</v>
      </c>
      <c r="C2256" s="21" t="s">
        <v>1290</v>
      </c>
      <c r="D2256" s="21" t="s">
        <v>1209</v>
      </c>
      <c r="E2256" s="33" t="n">
        <v>45920</v>
      </c>
      <c r="F2256" s="21" t="s">
        <v>1175</v>
      </c>
      <c r="G2256" s="32"/>
      <c r="H2256" s="21"/>
      <c r="I2256" s="33"/>
      <c r="J2256" s="21" t="str">
        <f aca="false">INDEX(Students!$C$2:$C$601,MATCH(B2256,Students!$A$2:$A$601,0))</f>
        <v>Batch 2026</v>
      </c>
      <c r="K2256" s="21" t="str">
        <f aca="false">INDEX(Students!$D$2:$D$601,MATCH(B2256,Students!$A$2:$A$601,0))</f>
        <v>Data Analytics</v>
      </c>
      <c r="L2256" s="21" t="str">
        <f aca="false">INDEX(Companies!$C$2:$C$31,MATCH(C2256,Companies!$A$2:$A$31,0))</f>
        <v>Fintech</v>
      </c>
      <c r="M2256" s="21" t="str">
        <f aca="false">INDEX(Companies!$D$2:$D$31,MATCH(C2256,Companies!$A$2:$A$31,0))</f>
        <v>Tier 2</v>
      </c>
      <c r="N2256" s="34" t="n">
        <f aca="false">MATCH(F2256,Assumptions!$K$4:$K$8,0)</f>
        <v>1</v>
      </c>
      <c r="O2256" s="21" t="str">
        <f aca="false">IF(H2256="Yes",MONTH(I2256),"")</f>
        <v/>
      </c>
      <c r="P2256" s="21" t="str">
        <f aca="false">IF(H2256="Yes",B2256,"")</f>
        <v/>
      </c>
    </row>
    <row r="2257" customFormat="false" ht="15" hidden="false" customHeight="false" outlineLevel="0" collapsed="false">
      <c r="A2257" s="21" t="s">
        <v>3472</v>
      </c>
      <c r="B2257" s="21" t="s">
        <v>828</v>
      </c>
      <c r="C2257" s="21" t="s">
        <v>1180</v>
      </c>
      <c r="D2257" s="21" t="s">
        <v>1174</v>
      </c>
      <c r="E2257" s="33" t="n">
        <v>45920</v>
      </c>
      <c r="F2257" s="21" t="s">
        <v>1178</v>
      </c>
      <c r="G2257" s="32"/>
      <c r="H2257" s="21"/>
      <c r="I2257" s="33"/>
      <c r="J2257" s="21" t="str">
        <f aca="false">INDEX(Students!$C$2:$C$601,MATCH(B2257,Students!$A$2:$A$601,0))</f>
        <v>Batch 2026</v>
      </c>
      <c r="K2257" s="21" t="str">
        <f aca="false">INDEX(Students!$D$2:$D$601,MATCH(B2257,Students!$A$2:$A$601,0))</f>
        <v>Full Stack Development</v>
      </c>
      <c r="L2257" s="21" t="str">
        <f aca="false">INDEX(Companies!$C$2:$C$31,MATCH(C2257,Companies!$A$2:$A$31,0))</f>
        <v>IT Services</v>
      </c>
      <c r="M2257" s="21" t="str">
        <f aca="false">INDEX(Companies!$D$2:$D$31,MATCH(C2257,Companies!$A$2:$A$31,0))</f>
        <v>Tier 3</v>
      </c>
      <c r="N2257" s="34" t="n">
        <f aca="false">MATCH(F2257,Assumptions!$K$4:$K$8,0)</f>
        <v>2</v>
      </c>
      <c r="O2257" s="21" t="str">
        <f aca="false">IF(H2257="Yes",MONTH(I2257),"")</f>
        <v/>
      </c>
      <c r="P2257" s="21" t="str">
        <f aca="false">IF(H2257="Yes",B2257,"")</f>
        <v/>
      </c>
    </row>
    <row r="2258" customFormat="false" ht="15" hidden="false" customHeight="false" outlineLevel="0" collapsed="false">
      <c r="A2258" s="21" t="s">
        <v>3473</v>
      </c>
      <c r="B2258" s="21" t="s">
        <v>917</v>
      </c>
      <c r="C2258" s="21" t="s">
        <v>1211</v>
      </c>
      <c r="D2258" s="21" t="s">
        <v>1174</v>
      </c>
      <c r="E2258" s="33" t="n">
        <v>45921</v>
      </c>
      <c r="F2258" s="21" t="s">
        <v>1197</v>
      </c>
      <c r="G2258" s="32"/>
      <c r="H2258" s="21"/>
      <c r="I2258" s="33"/>
      <c r="J2258" s="21" t="str">
        <f aca="false">INDEX(Students!$C$2:$C$601,MATCH(B2258,Students!$A$2:$A$601,0))</f>
        <v>Batch 2026</v>
      </c>
      <c r="K2258" s="21" t="str">
        <f aca="false">INDEX(Students!$D$2:$D$601,MATCH(B2258,Students!$A$2:$A$601,0))</f>
        <v>Full Stack Development</v>
      </c>
      <c r="L2258" s="21" t="str">
        <f aca="false">INDEX(Companies!$C$2:$C$31,MATCH(C2258,Companies!$A$2:$A$31,0))</f>
        <v>Analytics &amp; Consulting</v>
      </c>
      <c r="M2258" s="21" t="str">
        <f aca="false">INDEX(Companies!$D$2:$D$31,MATCH(C2258,Companies!$A$2:$A$31,0))</f>
        <v>Tier 3</v>
      </c>
      <c r="N2258" s="34" t="n">
        <f aca="false">MATCH(F2258,Assumptions!$K$4:$K$8,0)</f>
        <v>3</v>
      </c>
      <c r="O2258" s="21" t="str">
        <f aca="false">IF(H2258="Yes",MONTH(I2258),"")</f>
        <v/>
      </c>
      <c r="P2258" s="21" t="str">
        <f aca="false">IF(H2258="Yes",B2258,"")</f>
        <v/>
      </c>
    </row>
    <row r="2259" customFormat="false" ht="15" hidden="false" customHeight="false" outlineLevel="0" collapsed="false">
      <c r="A2259" s="21" t="s">
        <v>3474</v>
      </c>
      <c r="B2259" s="21" t="s">
        <v>863</v>
      </c>
      <c r="C2259" s="21" t="s">
        <v>1208</v>
      </c>
      <c r="D2259" s="21" t="s">
        <v>1181</v>
      </c>
      <c r="E2259" s="33" t="n">
        <v>45921</v>
      </c>
      <c r="F2259" s="21" t="s">
        <v>1175</v>
      </c>
      <c r="G2259" s="32"/>
      <c r="H2259" s="21"/>
      <c r="I2259" s="33"/>
      <c r="J2259" s="21" t="str">
        <f aca="false">INDEX(Students!$C$2:$C$601,MATCH(B2259,Students!$A$2:$A$601,0))</f>
        <v>Batch 2026</v>
      </c>
      <c r="K2259" s="21" t="str">
        <f aca="false">INDEX(Students!$D$2:$D$601,MATCH(B2259,Students!$A$2:$A$601,0))</f>
        <v>Full Stack Development</v>
      </c>
      <c r="L2259" s="21" t="str">
        <f aca="false">INDEX(Companies!$C$2:$C$31,MATCH(C2259,Companies!$A$2:$A$31,0))</f>
        <v>E-commerce</v>
      </c>
      <c r="M2259" s="21" t="str">
        <f aca="false">INDEX(Companies!$D$2:$D$31,MATCH(C2259,Companies!$A$2:$A$31,0))</f>
        <v>Tier 1</v>
      </c>
      <c r="N2259" s="34" t="n">
        <f aca="false">MATCH(F2259,Assumptions!$K$4:$K$8,0)</f>
        <v>1</v>
      </c>
      <c r="O2259" s="21" t="str">
        <f aca="false">IF(H2259="Yes",MONTH(I2259),"")</f>
        <v/>
      </c>
      <c r="P2259" s="21" t="str">
        <f aca="false">IF(H2259="Yes",B2259,"")</f>
        <v/>
      </c>
    </row>
    <row r="2260" customFormat="false" ht="15" hidden="false" customHeight="false" outlineLevel="0" collapsed="false">
      <c r="A2260" s="21" t="s">
        <v>3475</v>
      </c>
      <c r="B2260" s="21" t="s">
        <v>1130</v>
      </c>
      <c r="C2260" s="21" t="s">
        <v>1266</v>
      </c>
      <c r="D2260" s="21" t="s">
        <v>1188</v>
      </c>
      <c r="E2260" s="33" t="n">
        <v>45921</v>
      </c>
      <c r="F2260" s="21" t="s">
        <v>1185</v>
      </c>
      <c r="G2260" s="32" t="n">
        <v>5.5</v>
      </c>
      <c r="H2260" s="21" t="s">
        <v>113</v>
      </c>
      <c r="I2260" s="33" t="n">
        <v>45965</v>
      </c>
      <c r="J2260" s="21" t="str">
        <f aca="false">INDEX(Students!$C$2:$C$601,MATCH(B2260,Students!$A$2:$A$601,0))</f>
        <v>Batch 2026</v>
      </c>
      <c r="K2260" s="21" t="str">
        <f aca="false">INDEX(Students!$D$2:$D$601,MATCH(B2260,Students!$A$2:$A$601,0))</f>
        <v>Data Analytics</v>
      </c>
      <c r="L2260" s="21" t="str">
        <f aca="false">INDEX(Companies!$C$2:$C$31,MATCH(C2260,Companies!$A$2:$A$31,0))</f>
        <v>IT Services</v>
      </c>
      <c r="M2260" s="21" t="str">
        <f aca="false">INDEX(Companies!$D$2:$D$31,MATCH(C2260,Companies!$A$2:$A$31,0))</f>
        <v>Tier 3</v>
      </c>
      <c r="N2260" s="34" t="n">
        <f aca="false">MATCH(F2260,Assumptions!$K$4:$K$8,0)</f>
        <v>5</v>
      </c>
      <c r="O2260" s="21" t="str">
        <f aca="false">IF(H2260="Yes",MONTH(I2260),"")</f>
        <v/>
      </c>
      <c r="P2260" s="21" t="str">
        <f aca="false">IF(H2260="Yes",B2260,"")</f>
        <v/>
      </c>
    </row>
    <row r="2261" customFormat="false" ht="15" hidden="false" customHeight="false" outlineLevel="0" collapsed="false">
      <c r="A2261" s="21" t="s">
        <v>3476</v>
      </c>
      <c r="B2261" s="21" t="s">
        <v>941</v>
      </c>
      <c r="C2261" s="21" t="s">
        <v>1208</v>
      </c>
      <c r="D2261" s="21" t="s">
        <v>1181</v>
      </c>
      <c r="E2261" s="33" t="n">
        <v>45921</v>
      </c>
      <c r="F2261" s="21" t="s">
        <v>1185</v>
      </c>
      <c r="G2261" s="32" t="n">
        <v>22.8</v>
      </c>
      <c r="H2261" s="21" t="s">
        <v>120</v>
      </c>
      <c r="I2261" s="33" t="n">
        <v>45948</v>
      </c>
      <c r="J2261" s="21" t="str">
        <f aca="false">INDEX(Students!$C$2:$C$601,MATCH(B2261,Students!$A$2:$A$601,0))</f>
        <v>Batch 2026</v>
      </c>
      <c r="K2261" s="21" t="str">
        <f aca="false">INDEX(Students!$D$2:$D$601,MATCH(B2261,Students!$A$2:$A$601,0))</f>
        <v>Full Stack Development</v>
      </c>
      <c r="L2261" s="21" t="str">
        <f aca="false">INDEX(Companies!$C$2:$C$31,MATCH(C2261,Companies!$A$2:$A$31,0))</f>
        <v>E-commerce</v>
      </c>
      <c r="M2261" s="21" t="str">
        <f aca="false">INDEX(Companies!$D$2:$D$31,MATCH(C2261,Companies!$A$2:$A$31,0))</f>
        <v>Tier 1</v>
      </c>
      <c r="N2261" s="34" t="n">
        <f aca="false">MATCH(F2261,Assumptions!$K$4:$K$8,0)</f>
        <v>5</v>
      </c>
      <c r="O2261" s="21" t="n">
        <f aca="false">IF(H2261="Yes",MONTH(I2261),"")</f>
        <v>10</v>
      </c>
      <c r="P2261" s="21" t="str">
        <f aca="false">IF(H2261="Yes",B2261,"")</f>
        <v>S0465</v>
      </c>
    </row>
    <row r="2262" customFormat="false" ht="15" hidden="false" customHeight="false" outlineLevel="0" collapsed="false">
      <c r="A2262" s="21" t="s">
        <v>3477</v>
      </c>
      <c r="B2262" s="21" t="s">
        <v>1147</v>
      </c>
      <c r="C2262" s="21" t="s">
        <v>1222</v>
      </c>
      <c r="D2262" s="21" t="s">
        <v>1191</v>
      </c>
      <c r="E2262" s="33" t="n">
        <v>45921</v>
      </c>
      <c r="F2262" s="21" t="s">
        <v>1175</v>
      </c>
      <c r="G2262" s="32"/>
      <c r="H2262" s="21"/>
      <c r="I2262" s="33"/>
      <c r="J2262" s="21" t="str">
        <f aca="false">INDEX(Students!$C$2:$C$601,MATCH(B2262,Students!$A$2:$A$601,0))</f>
        <v>Batch 2026</v>
      </c>
      <c r="K2262" s="21" t="str">
        <f aca="false">INDEX(Students!$D$2:$D$601,MATCH(B2262,Students!$A$2:$A$601,0))</f>
        <v>DSA with Java</v>
      </c>
      <c r="L2262" s="21" t="str">
        <f aca="false">INDEX(Companies!$C$2:$C$31,MATCH(C2262,Companies!$A$2:$A$31,0))</f>
        <v>Product</v>
      </c>
      <c r="M2262" s="21" t="str">
        <f aca="false">INDEX(Companies!$D$2:$D$31,MATCH(C2262,Companies!$A$2:$A$31,0))</f>
        <v>Tier 2</v>
      </c>
      <c r="N2262" s="34" t="n">
        <f aca="false">MATCH(F2262,Assumptions!$K$4:$K$8,0)</f>
        <v>1</v>
      </c>
      <c r="O2262" s="21" t="str">
        <f aca="false">IF(H2262="Yes",MONTH(I2262),"")</f>
        <v/>
      </c>
      <c r="P2262" s="21" t="str">
        <f aca="false">IF(H2262="Yes",B2262,"")</f>
        <v/>
      </c>
    </row>
    <row r="2263" customFormat="false" ht="15" hidden="false" customHeight="false" outlineLevel="0" collapsed="false">
      <c r="A2263" s="21" t="s">
        <v>3478</v>
      </c>
      <c r="B2263" s="21" t="s">
        <v>895</v>
      </c>
      <c r="C2263" s="21" t="s">
        <v>1266</v>
      </c>
      <c r="D2263" s="21" t="s">
        <v>1174</v>
      </c>
      <c r="E2263" s="33" t="n">
        <v>45921</v>
      </c>
      <c r="F2263" s="21" t="s">
        <v>1218</v>
      </c>
      <c r="G2263" s="32"/>
      <c r="H2263" s="21"/>
      <c r="I2263" s="33"/>
      <c r="J2263" s="21" t="str">
        <f aca="false">INDEX(Students!$C$2:$C$601,MATCH(B2263,Students!$A$2:$A$601,0))</f>
        <v>Batch 2026</v>
      </c>
      <c r="K2263" s="21" t="str">
        <f aca="false">INDEX(Students!$D$2:$D$601,MATCH(B2263,Students!$A$2:$A$601,0))</f>
        <v>Full Stack Development</v>
      </c>
      <c r="L2263" s="21" t="str">
        <f aca="false">INDEX(Companies!$C$2:$C$31,MATCH(C2263,Companies!$A$2:$A$31,0))</f>
        <v>IT Services</v>
      </c>
      <c r="M2263" s="21" t="str">
        <f aca="false">INDEX(Companies!$D$2:$D$31,MATCH(C2263,Companies!$A$2:$A$31,0))</f>
        <v>Tier 3</v>
      </c>
      <c r="N2263" s="34" t="n">
        <f aca="false">MATCH(F2263,Assumptions!$K$4:$K$8,0)</f>
        <v>4</v>
      </c>
      <c r="O2263" s="21" t="str">
        <f aca="false">IF(H2263="Yes",MONTH(I2263),"")</f>
        <v/>
      </c>
      <c r="P2263" s="21" t="str">
        <f aca="false">IF(H2263="Yes",B2263,"")</f>
        <v/>
      </c>
    </row>
    <row r="2264" customFormat="false" ht="15" hidden="false" customHeight="false" outlineLevel="0" collapsed="false">
      <c r="A2264" s="21" t="s">
        <v>3479</v>
      </c>
      <c r="B2264" s="21" t="s">
        <v>1080</v>
      </c>
      <c r="C2264" s="21" t="s">
        <v>1322</v>
      </c>
      <c r="D2264" s="21" t="s">
        <v>1191</v>
      </c>
      <c r="E2264" s="33" t="n">
        <v>45921</v>
      </c>
      <c r="F2264" s="21" t="s">
        <v>1178</v>
      </c>
      <c r="G2264" s="32"/>
      <c r="H2264" s="21"/>
      <c r="I2264" s="33"/>
      <c r="J2264" s="21" t="str">
        <f aca="false">INDEX(Students!$C$2:$C$601,MATCH(B2264,Students!$A$2:$A$601,0))</f>
        <v>Batch 2026</v>
      </c>
      <c r="K2264" s="21" t="str">
        <f aca="false">INDEX(Students!$D$2:$D$601,MATCH(B2264,Students!$A$2:$A$601,0))</f>
        <v>DSA with Java</v>
      </c>
      <c r="L2264" s="21" t="str">
        <f aca="false">INDEX(Companies!$C$2:$C$31,MATCH(C2264,Companies!$A$2:$A$31,0))</f>
        <v>Healthtech</v>
      </c>
      <c r="M2264" s="21" t="str">
        <f aca="false">INDEX(Companies!$D$2:$D$31,MATCH(C2264,Companies!$A$2:$A$31,0))</f>
        <v>Tier 2</v>
      </c>
      <c r="N2264" s="34" t="n">
        <f aca="false">MATCH(F2264,Assumptions!$K$4:$K$8,0)</f>
        <v>2</v>
      </c>
      <c r="O2264" s="21" t="str">
        <f aca="false">IF(H2264="Yes",MONTH(I2264),"")</f>
        <v/>
      </c>
      <c r="P2264" s="21" t="str">
        <f aca="false">IF(H2264="Yes",B2264,"")</f>
        <v/>
      </c>
    </row>
    <row r="2265" customFormat="false" ht="15" hidden="false" customHeight="false" outlineLevel="0" collapsed="false">
      <c r="A2265" s="21" t="s">
        <v>3480</v>
      </c>
      <c r="B2265" s="21" t="s">
        <v>1093</v>
      </c>
      <c r="C2265" s="21" t="s">
        <v>1201</v>
      </c>
      <c r="D2265" s="21" t="s">
        <v>1191</v>
      </c>
      <c r="E2265" s="33" t="n">
        <v>45921</v>
      </c>
      <c r="F2265" s="21" t="s">
        <v>1185</v>
      </c>
      <c r="G2265" s="32" t="n">
        <v>5.7</v>
      </c>
      <c r="H2265" s="21" t="s">
        <v>113</v>
      </c>
      <c r="I2265" s="33" t="n">
        <v>45956</v>
      </c>
      <c r="J2265" s="21" t="str">
        <f aca="false">INDEX(Students!$C$2:$C$601,MATCH(B2265,Students!$A$2:$A$601,0))</f>
        <v>Batch 2026</v>
      </c>
      <c r="K2265" s="21" t="str">
        <f aca="false">INDEX(Students!$D$2:$D$601,MATCH(B2265,Students!$A$2:$A$601,0))</f>
        <v>DSA with Java</v>
      </c>
      <c r="L2265" s="21" t="str">
        <f aca="false">INDEX(Companies!$C$2:$C$31,MATCH(C2265,Companies!$A$2:$A$31,0))</f>
        <v>IT Services</v>
      </c>
      <c r="M2265" s="21" t="str">
        <f aca="false">INDEX(Companies!$D$2:$D$31,MATCH(C2265,Companies!$A$2:$A$31,0))</f>
        <v>Tier 3</v>
      </c>
      <c r="N2265" s="34" t="n">
        <f aca="false">MATCH(F2265,Assumptions!$K$4:$K$8,0)</f>
        <v>5</v>
      </c>
      <c r="O2265" s="21" t="str">
        <f aca="false">IF(H2265="Yes",MONTH(I2265),"")</f>
        <v/>
      </c>
      <c r="P2265" s="21" t="str">
        <f aca="false">IF(H2265="Yes",B2265,"")</f>
        <v/>
      </c>
    </row>
    <row r="2266" customFormat="false" ht="15" hidden="false" customHeight="false" outlineLevel="0" collapsed="false">
      <c r="A2266" s="21" t="s">
        <v>3481</v>
      </c>
      <c r="B2266" s="21" t="s">
        <v>878</v>
      </c>
      <c r="C2266" s="21" t="s">
        <v>1309</v>
      </c>
      <c r="D2266" s="21" t="s">
        <v>1243</v>
      </c>
      <c r="E2266" s="33" t="n">
        <v>45921</v>
      </c>
      <c r="F2266" s="21" t="s">
        <v>1178</v>
      </c>
      <c r="G2266" s="32"/>
      <c r="H2266" s="21"/>
      <c r="I2266" s="33"/>
      <c r="J2266" s="21" t="str">
        <f aca="false">INDEX(Students!$C$2:$C$601,MATCH(B2266,Students!$A$2:$A$601,0))</f>
        <v>Batch 2026</v>
      </c>
      <c r="K2266" s="21" t="str">
        <f aca="false">INDEX(Students!$D$2:$D$601,MATCH(B2266,Students!$A$2:$A$601,0))</f>
        <v>Data Science &amp; ML</v>
      </c>
      <c r="L2266" s="21" t="str">
        <f aca="false">INDEX(Companies!$C$2:$C$31,MATCH(C2266,Companies!$A$2:$A$31,0))</f>
        <v>EdTech</v>
      </c>
      <c r="M2266" s="21" t="str">
        <f aca="false">INDEX(Companies!$D$2:$D$31,MATCH(C2266,Companies!$A$2:$A$31,0))</f>
        <v>Tier 2</v>
      </c>
      <c r="N2266" s="34" t="n">
        <f aca="false">MATCH(F2266,Assumptions!$K$4:$K$8,0)</f>
        <v>2</v>
      </c>
      <c r="O2266" s="21" t="str">
        <f aca="false">IF(H2266="Yes",MONTH(I2266),"")</f>
        <v/>
      </c>
      <c r="P2266" s="21" t="str">
        <f aca="false">IF(H2266="Yes",B2266,"")</f>
        <v/>
      </c>
    </row>
    <row r="2267" customFormat="false" ht="15" hidden="false" customHeight="false" outlineLevel="0" collapsed="false">
      <c r="A2267" s="21" t="s">
        <v>3482</v>
      </c>
      <c r="B2267" s="21" t="s">
        <v>898</v>
      </c>
      <c r="C2267" s="21" t="s">
        <v>1255</v>
      </c>
      <c r="D2267" s="21" t="s">
        <v>1181</v>
      </c>
      <c r="E2267" s="33" t="n">
        <v>45921</v>
      </c>
      <c r="F2267" s="21" t="s">
        <v>1197</v>
      </c>
      <c r="G2267" s="32"/>
      <c r="H2267" s="21"/>
      <c r="I2267" s="33"/>
      <c r="J2267" s="21" t="str">
        <f aca="false">INDEX(Students!$C$2:$C$601,MATCH(B2267,Students!$A$2:$A$601,0))</f>
        <v>Batch 2026</v>
      </c>
      <c r="K2267" s="21" t="str">
        <f aca="false">INDEX(Students!$D$2:$D$601,MATCH(B2267,Students!$A$2:$A$601,0))</f>
        <v>Full Stack Development</v>
      </c>
      <c r="L2267" s="21" t="str">
        <f aca="false">INDEX(Companies!$C$2:$C$31,MATCH(C2267,Companies!$A$2:$A$31,0))</f>
        <v>IT Services</v>
      </c>
      <c r="M2267" s="21" t="str">
        <f aca="false">INDEX(Companies!$D$2:$D$31,MATCH(C2267,Companies!$A$2:$A$31,0))</f>
        <v>Tier 3</v>
      </c>
      <c r="N2267" s="34" t="n">
        <f aca="false">MATCH(F2267,Assumptions!$K$4:$K$8,0)</f>
        <v>3</v>
      </c>
      <c r="O2267" s="21" t="str">
        <f aca="false">IF(H2267="Yes",MONTH(I2267),"")</f>
        <v/>
      </c>
      <c r="P2267" s="21" t="str">
        <f aca="false">IF(H2267="Yes",B2267,"")</f>
        <v/>
      </c>
    </row>
    <row r="2268" customFormat="false" ht="15" hidden="false" customHeight="false" outlineLevel="0" collapsed="false">
      <c r="A2268" s="21" t="s">
        <v>3483</v>
      </c>
      <c r="B2268" s="21" t="s">
        <v>1112</v>
      </c>
      <c r="C2268" s="21" t="s">
        <v>1222</v>
      </c>
      <c r="D2268" s="21" t="s">
        <v>1240</v>
      </c>
      <c r="E2268" s="33" t="n">
        <v>45922</v>
      </c>
      <c r="F2268" s="21" t="s">
        <v>1185</v>
      </c>
      <c r="G2268" s="32" t="n">
        <v>9.1</v>
      </c>
      <c r="H2268" s="21" t="s">
        <v>120</v>
      </c>
      <c r="I2268" s="33" t="n">
        <v>45974</v>
      </c>
      <c r="J2268" s="21" t="str">
        <f aca="false">INDEX(Students!$C$2:$C$601,MATCH(B2268,Students!$A$2:$A$601,0))</f>
        <v>Batch 2026</v>
      </c>
      <c r="K2268" s="21" t="str">
        <f aca="false">INDEX(Students!$D$2:$D$601,MATCH(B2268,Students!$A$2:$A$601,0))</f>
        <v>Cybersecurity</v>
      </c>
      <c r="L2268" s="21" t="str">
        <f aca="false">INDEX(Companies!$C$2:$C$31,MATCH(C2268,Companies!$A$2:$A$31,0))</f>
        <v>Product</v>
      </c>
      <c r="M2268" s="21" t="str">
        <f aca="false">INDEX(Companies!$D$2:$D$31,MATCH(C2268,Companies!$A$2:$A$31,0))</f>
        <v>Tier 2</v>
      </c>
      <c r="N2268" s="34" t="n">
        <f aca="false">MATCH(F2268,Assumptions!$K$4:$K$8,0)</f>
        <v>5</v>
      </c>
      <c r="O2268" s="21" t="n">
        <f aca="false">IF(H2268="Yes",MONTH(I2268),"")</f>
        <v>11</v>
      </c>
      <c r="P2268" s="21" t="str">
        <f aca="false">IF(H2268="Yes",B2268,"")</f>
        <v>S0569</v>
      </c>
    </row>
    <row r="2269" customFormat="false" ht="15" hidden="false" customHeight="false" outlineLevel="0" collapsed="false">
      <c r="A2269" s="21" t="s">
        <v>3484</v>
      </c>
      <c r="B2269" s="21" t="s">
        <v>950</v>
      </c>
      <c r="C2269" s="21" t="s">
        <v>1222</v>
      </c>
      <c r="D2269" s="21" t="s">
        <v>1191</v>
      </c>
      <c r="E2269" s="33" t="n">
        <v>45922</v>
      </c>
      <c r="F2269" s="21" t="s">
        <v>1178</v>
      </c>
      <c r="G2269" s="32"/>
      <c r="H2269" s="21"/>
      <c r="I2269" s="33"/>
      <c r="J2269" s="21" t="str">
        <f aca="false">INDEX(Students!$C$2:$C$601,MATCH(B2269,Students!$A$2:$A$601,0))</f>
        <v>Batch 2026</v>
      </c>
      <c r="K2269" s="21" t="str">
        <f aca="false">INDEX(Students!$D$2:$D$601,MATCH(B2269,Students!$A$2:$A$601,0))</f>
        <v>DSA with Java</v>
      </c>
      <c r="L2269" s="21" t="str">
        <f aca="false">INDEX(Companies!$C$2:$C$31,MATCH(C2269,Companies!$A$2:$A$31,0))</f>
        <v>Product</v>
      </c>
      <c r="M2269" s="21" t="str">
        <f aca="false">INDEX(Companies!$D$2:$D$31,MATCH(C2269,Companies!$A$2:$A$31,0))</f>
        <v>Tier 2</v>
      </c>
      <c r="N2269" s="34" t="n">
        <f aca="false">MATCH(F2269,Assumptions!$K$4:$K$8,0)</f>
        <v>2</v>
      </c>
      <c r="O2269" s="21" t="str">
        <f aca="false">IF(H2269="Yes",MONTH(I2269),"")</f>
        <v/>
      </c>
      <c r="P2269" s="21" t="str">
        <f aca="false">IF(H2269="Yes",B2269,"")</f>
        <v/>
      </c>
    </row>
    <row r="2270" customFormat="false" ht="15" hidden="false" customHeight="false" outlineLevel="0" collapsed="false">
      <c r="A2270" s="21" t="s">
        <v>3485</v>
      </c>
      <c r="B2270" s="21" t="s">
        <v>963</v>
      </c>
      <c r="C2270" s="21" t="s">
        <v>1234</v>
      </c>
      <c r="D2270" s="21" t="s">
        <v>1181</v>
      </c>
      <c r="E2270" s="33" t="n">
        <v>45922</v>
      </c>
      <c r="F2270" s="21" t="s">
        <v>1185</v>
      </c>
      <c r="G2270" s="32" t="n">
        <v>5.4</v>
      </c>
      <c r="H2270" s="21" t="s">
        <v>113</v>
      </c>
      <c r="I2270" s="33" t="n">
        <v>45952</v>
      </c>
      <c r="J2270" s="21" t="str">
        <f aca="false">INDEX(Students!$C$2:$C$601,MATCH(B2270,Students!$A$2:$A$601,0))</f>
        <v>Batch 2026</v>
      </c>
      <c r="K2270" s="21" t="str">
        <f aca="false">INDEX(Students!$D$2:$D$601,MATCH(B2270,Students!$A$2:$A$601,0))</f>
        <v>Full Stack Development</v>
      </c>
      <c r="L2270" s="21" t="str">
        <f aca="false">INDEX(Companies!$C$2:$C$31,MATCH(C2270,Companies!$A$2:$A$31,0))</f>
        <v>EdTech</v>
      </c>
      <c r="M2270" s="21" t="str">
        <f aca="false">INDEX(Companies!$D$2:$D$31,MATCH(C2270,Companies!$A$2:$A$31,0))</f>
        <v>Tier 3</v>
      </c>
      <c r="N2270" s="34" t="n">
        <f aca="false">MATCH(F2270,Assumptions!$K$4:$K$8,0)</f>
        <v>5</v>
      </c>
      <c r="O2270" s="21" t="str">
        <f aca="false">IF(H2270="Yes",MONTH(I2270),"")</f>
        <v/>
      </c>
      <c r="P2270" s="21" t="str">
        <f aca="false">IF(H2270="Yes",B2270,"")</f>
        <v/>
      </c>
    </row>
    <row r="2271" customFormat="false" ht="15" hidden="false" customHeight="false" outlineLevel="0" collapsed="false">
      <c r="A2271" s="21" t="s">
        <v>3486</v>
      </c>
      <c r="B2271" s="21" t="s">
        <v>1015</v>
      </c>
      <c r="C2271" s="21" t="s">
        <v>1298</v>
      </c>
      <c r="D2271" s="21" t="s">
        <v>1209</v>
      </c>
      <c r="E2271" s="33" t="n">
        <v>45922</v>
      </c>
      <c r="F2271" s="21" t="s">
        <v>1175</v>
      </c>
      <c r="G2271" s="32"/>
      <c r="H2271" s="21"/>
      <c r="I2271" s="33"/>
      <c r="J2271" s="21" t="str">
        <f aca="false">INDEX(Students!$C$2:$C$601,MATCH(B2271,Students!$A$2:$A$601,0))</f>
        <v>Batch 2026</v>
      </c>
      <c r="K2271" s="21" t="str">
        <f aca="false">INDEX(Students!$D$2:$D$601,MATCH(B2271,Students!$A$2:$A$601,0))</f>
        <v>Data Analytics</v>
      </c>
      <c r="L2271" s="21" t="str">
        <f aca="false">INDEX(Companies!$C$2:$C$31,MATCH(C2271,Companies!$A$2:$A$31,0))</f>
        <v>Fintech</v>
      </c>
      <c r="M2271" s="21" t="str">
        <f aca="false">INDEX(Companies!$D$2:$D$31,MATCH(C2271,Companies!$A$2:$A$31,0))</f>
        <v>Tier 2</v>
      </c>
      <c r="N2271" s="34" t="n">
        <f aca="false">MATCH(F2271,Assumptions!$K$4:$K$8,0)</f>
        <v>1</v>
      </c>
      <c r="O2271" s="21" t="str">
        <f aca="false">IF(H2271="Yes",MONTH(I2271),"")</f>
        <v/>
      </c>
      <c r="P2271" s="21" t="str">
        <f aca="false">IF(H2271="Yes",B2271,"")</f>
        <v/>
      </c>
    </row>
    <row r="2272" customFormat="false" ht="15" hidden="false" customHeight="false" outlineLevel="0" collapsed="false">
      <c r="A2272" s="21" t="s">
        <v>3487</v>
      </c>
      <c r="B2272" s="21" t="s">
        <v>852</v>
      </c>
      <c r="C2272" s="21" t="s">
        <v>1205</v>
      </c>
      <c r="D2272" s="21" t="s">
        <v>1194</v>
      </c>
      <c r="E2272" s="33" t="n">
        <v>45922</v>
      </c>
      <c r="F2272" s="21" t="s">
        <v>1218</v>
      </c>
      <c r="G2272" s="32"/>
      <c r="H2272" s="21"/>
      <c r="I2272" s="33"/>
      <c r="J2272" s="21" t="str">
        <f aca="false">INDEX(Students!$C$2:$C$601,MATCH(B2272,Students!$A$2:$A$601,0))</f>
        <v>Batch 2026</v>
      </c>
      <c r="K2272" s="21" t="str">
        <f aca="false">INDEX(Students!$D$2:$D$601,MATCH(B2272,Students!$A$2:$A$601,0))</f>
        <v>Data Science &amp; ML</v>
      </c>
      <c r="L2272" s="21" t="str">
        <f aca="false">INDEX(Companies!$C$2:$C$31,MATCH(C2272,Companies!$A$2:$A$31,0))</f>
        <v>Healthtech</v>
      </c>
      <c r="M2272" s="21" t="str">
        <f aca="false">INDEX(Companies!$D$2:$D$31,MATCH(C2272,Companies!$A$2:$A$31,0))</f>
        <v>Tier 3</v>
      </c>
      <c r="N2272" s="34" t="n">
        <f aca="false">MATCH(F2272,Assumptions!$K$4:$K$8,0)</f>
        <v>4</v>
      </c>
      <c r="O2272" s="21" t="str">
        <f aca="false">IF(H2272="Yes",MONTH(I2272),"")</f>
        <v/>
      </c>
      <c r="P2272" s="21" t="str">
        <f aca="false">IF(H2272="Yes",B2272,"")</f>
        <v/>
      </c>
    </row>
    <row r="2273" customFormat="false" ht="15" hidden="false" customHeight="false" outlineLevel="0" collapsed="false">
      <c r="A2273" s="21" t="s">
        <v>3488</v>
      </c>
      <c r="B2273" s="21" t="s">
        <v>1004</v>
      </c>
      <c r="C2273" s="21" t="s">
        <v>1183</v>
      </c>
      <c r="D2273" s="21" t="s">
        <v>1174</v>
      </c>
      <c r="E2273" s="33" t="n">
        <v>45923</v>
      </c>
      <c r="F2273" s="21" t="s">
        <v>1175</v>
      </c>
      <c r="G2273" s="32"/>
      <c r="H2273" s="21"/>
      <c r="I2273" s="33"/>
      <c r="J2273" s="21" t="str">
        <f aca="false">INDEX(Students!$C$2:$C$601,MATCH(B2273,Students!$A$2:$A$601,0))</f>
        <v>Batch 2026</v>
      </c>
      <c r="K2273" s="21" t="str">
        <f aca="false">INDEX(Students!$D$2:$D$601,MATCH(B2273,Students!$A$2:$A$601,0))</f>
        <v>Full Stack Development</v>
      </c>
      <c r="L2273" s="21" t="str">
        <f aca="false">INDEX(Companies!$C$2:$C$31,MATCH(C2273,Companies!$A$2:$A$31,0))</f>
        <v>E-commerce</v>
      </c>
      <c r="M2273" s="21" t="str">
        <f aca="false">INDEX(Companies!$D$2:$D$31,MATCH(C2273,Companies!$A$2:$A$31,0))</f>
        <v>Tier 2</v>
      </c>
      <c r="N2273" s="34" t="n">
        <f aca="false">MATCH(F2273,Assumptions!$K$4:$K$8,0)</f>
        <v>1</v>
      </c>
      <c r="O2273" s="21" t="str">
        <f aca="false">IF(H2273="Yes",MONTH(I2273),"")</f>
        <v/>
      </c>
      <c r="P2273" s="21" t="str">
        <f aca="false">IF(H2273="Yes",B2273,"")</f>
        <v/>
      </c>
    </row>
    <row r="2274" customFormat="false" ht="15" hidden="false" customHeight="false" outlineLevel="0" collapsed="false">
      <c r="A2274" s="21" t="s">
        <v>3489</v>
      </c>
      <c r="B2274" s="21" t="s">
        <v>936</v>
      </c>
      <c r="C2274" s="21" t="s">
        <v>1203</v>
      </c>
      <c r="D2274" s="21" t="s">
        <v>1174</v>
      </c>
      <c r="E2274" s="33" t="n">
        <v>45923</v>
      </c>
      <c r="F2274" s="21" t="s">
        <v>1178</v>
      </c>
      <c r="G2274" s="32"/>
      <c r="H2274" s="21"/>
      <c r="I2274" s="33"/>
      <c r="J2274" s="21" t="str">
        <f aca="false">INDEX(Students!$C$2:$C$601,MATCH(B2274,Students!$A$2:$A$601,0))</f>
        <v>Batch 2026</v>
      </c>
      <c r="K2274" s="21" t="str">
        <f aca="false">INDEX(Students!$D$2:$D$601,MATCH(B2274,Students!$A$2:$A$601,0))</f>
        <v>Full Stack Development</v>
      </c>
      <c r="L2274" s="21" t="str">
        <f aca="false">INDEX(Companies!$C$2:$C$31,MATCH(C2274,Companies!$A$2:$A$31,0))</f>
        <v>Healthtech</v>
      </c>
      <c r="M2274" s="21" t="str">
        <f aca="false">INDEX(Companies!$D$2:$D$31,MATCH(C2274,Companies!$A$2:$A$31,0))</f>
        <v>Tier 2</v>
      </c>
      <c r="N2274" s="34" t="n">
        <f aca="false">MATCH(F2274,Assumptions!$K$4:$K$8,0)</f>
        <v>2</v>
      </c>
      <c r="O2274" s="21" t="str">
        <f aca="false">IF(H2274="Yes",MONTH(I2274),"")</f>
        <v/>
      </c>
      <c r="P2274" s="21" t="str">
        <f aca="false">IF(H2274="Yes",B2274,"")</f>
        <v/>
      </c>
    </row>
    <row r="2275" customFormat="false" ht="15" hidden="false" customHeight="false" outlineLevel="0" collapsed="false">
      <c r="A2275" s="21" t="s">
        <v>3490</v>
      </c>
      <c r="B2275" s="21" t="s">
        <v>871</v>
      </c>
      <c r="C2275" s="21" t="s">
        <v>1225</v>
      </c>
      <c r="D2275" s="21" t="s">
        <v>1194</v>
      </c>
      <c r="E2275" s="33" t="n">
        <v>45923</v>
      </c>
      <c r="F2275" s="21" t="s">
        <v>1185</v>
      </c>
      <c r="G2275" s="32" t="n">
        <v>11.4</v>
      </c>
      <c r="H2275" s="21" t="s">
        <v>120</v>
      </c>
      <c r="I2275" s="33" t="n">
        <v>45944</v>
      </c>
      <c r="J2275" s="21" t="str">
        <f aca="false">INDEX(Students!$C$2:$C$601,MATCH(B2275,Students!$A$2:$A$601,0))</f>
        <v>Batch 2026</v>
      </c>
      <c r="K2275" s="21" t="str">
        <f aca="false">INDEX(Students!$D$2:$D$601,MATCH(B2275,Students!$A$2:$A$601,0))</f>
        <v>Data Science &amp; ML</v>
      </c>
      <c r="L2275" s="21" t="str">
        <f aca="false">INDEX(Companies!$C$2:$C$31,MATCH(C2275,Companies!$A$2:$A$31,0))</f>
        <v>EdTech</v>
      </c>
      <c r="M2275" s="21" t="str">
        <f aca="false">INDEX(Companies!$D$2:$D$31,MATCH(C2275,Companies!$A$2:$A$31,0))</f>
        <v>Tier 2</v>
      </c>
      <c r="N2275" s="34" t="n">
        <f aca="false">MATCH(F2275,Assumptions!$K$4:$K$8,0)</f>
        <v>5</v>
      </c>
      <c r="O2275" s="21" t="n">
        <f aca="false">IF(H2275="Yes",MONTH(I2275),"")</f>
        <v>10</v>
      </c>
      <c r="P2275" s="21" t="str">
        <f aca="false">IF(H2275="Yes",B2275,"")</f>
        <v>S0420</v>
      </c>
    </row>
    <row r="2276" customFormat="false" ht="15" hidden="false" customHeight="false" outlineLevel="0" collapsed="false">
      <c r="A2276" s="21" t="s">
        <v>3491</v>
      </c>
      <c r="B2276" s="21" t="s">
        <v>815</v>
      </c>
      <c r="C2276" s="21" t="s">
        <v>1187</v>
      </c>
      <c r="D2276" s="21" t="s">
        <v>1226</v>
      </c>
      <c r="E2276" s="33" t="n">
        <v>45923</v>
      </c>
      <c r="F2276" s="21" t="s">
        <v>1197</v>
      </c>
      <c r="G2276" s="32"/>
      <c r="H2276" s="21"/>
      <c r="I2276" s="33"/>
      <c r="J2276" s="21" t="str">
        <f aca="false">INDEX(Students!$C$2:$C$601,MATCH(B2276,Students!$A$2:$A$601,0))</f>
        <v>Batch 2026</v>
      </c>
      <c r="K2276" s="21" t="str">
        <f aca="false">INDEX(Students!$D$2:$D$601,MATCH(B2276,Students!$A$2:$A$601,0))</f>
        <v>Cybersecurity</v>
      </c>
      <c r="L2276" s="21" t="str">
        <f aca="false">INDEX(Companies!$C$2:$C$31,MATCH(C2276,Companies!$A$2:$A$31,0))</f>
        <v>Product</v>
      </c>
      <c r="M2276" s="21" t="str">
        <f aca="false">INDEX(Companies!$D$2:$D$31,MATCH(C2276,Companies!$A$2:$A$31,0))</f>
        <v>Tier 1</v>
      </c>
      <c r="N2276" s="34" t="n">
        <f aca="false">MATCH(F2276,Assumptions!$K$4:$K$8,0)</f>
        <v>3</v>
      </c>
      <c r="O2276" s="21" t="str">
        <f aca="false">IF(H2276="Yes",MONTH(I2276),"")</f>
        <v/>
      </c>
      <c r="P2276" s="21" t="str">
        <f aca="false">IF(H2276="Yes",B2276,"")</f>
        <v/>
      </c>
    </row>
    <row r="2277" customFormat="false" ht="15" hidden="false" customHeight="false" outlineLevel="0" collapsed="false">
      <c r="A2277" s="21" t="s">
        <v>3492</v>
      </c>
      <c r="B2277" s="21" t="s">
        <v>1148</v>
      </c>
      <c r="C2277" s="21" t="s">
        <v>1208</v>
      </c>
      <c r="D2277" s="21" t="s">
        <v>1243</v>
      </c>
      <c r="E2277" s="33" t="n">
        <v>45924</v>
      </c>
      <c r="F2277" s="21" t="s">
        <v>1178</v>
      </c>
      <c r="G2277" s="32"/>
      <c r="H2277" s="21"/>
      <c r="I2277" s="33"/>
      <c r="J2277" s="21" t="str">
        <f aca="false">INDEX(Students!$C$2:$C$601,MATCH(B2277,Students!$A$2:$A$601,0))</f>
        <v>Batch 2026</v>
      </c>
      <c r="K2277" s="21" t="str">
        <f aca="false">INDEX(Students!$D$2:$D$601,MATCH(B2277,Students!$A$2:$A$601,0))</f>
        <v>Data Science &amp; ML</v>
      </c>
      <c r="L2277" s="21" t="str">
        <f aca="false">INDEX(Companies!$C$2:$C$31,MATCH(C2277,Companies!$A$2:$A$31,0))</f>
        <v>E-commerce</v>
      </c>
      <c r="M2277" s="21" t="str">
        <f aca="false">INDEX(Companies!$D$2:$D$31,MATCH(C2277,Companies!$A$2:$A$31,0))</f>
        <v>Tier 1</v>
      </c>
      <c r="N2277" s="34" t="n">
        <f aca="false">MATCH(F2277,Assumptions!$K$4:$K$8,0)</f>
        <v>2</v>
      </c>
      <c r="O2277" s="21" t="str">
        <f aca="false">IF(H2277="Yes",MONTH(I2277),"")</f>
        <v/>
      </c>
      <c r="P2277" s="21" t="str">
        <f aca="false">IF(H2277="Yes",B2277,"")</f>
        <v/>
      </c>
    </row>
    <row r="2278" customFormat="false" ht="15" hidden="false" customHeight="false" outlineLevel="0" collapsed="false">
      <c r="A2278" s="21" t="s">
        <v>3493</v>
      </c>
      <c r="B2278" s="21" t="s">
        <v>963</v>
      </c>
      <c r="C2278" s="21" t="s">
        <v>1230</v>
      </c>
      <c r="D2278" s="21" t="s">
        <v>1181</v>
      </c>
      <c r="E2278" s="33" t="n">
        <v>45924</v>
      </c>
      <c r="F2278" s="21" t="s">
        <v>1218</v>
      </c>
      <c r="G2278" s="32"/>
      <c r="H2278" s="21"/>
      <c r="I2278" s="33"/>
      <c r="J2278" s="21" t="str">
        <f aca="false">INDEX(Students!$C$2:$C$601,MATCH(B2278,Students!$A$2:$A$601,0))</f>
        <v>Batch 2026</v>
      </c>
      <c r="K2278" s="21" t="str">
        <f aca="false">INDEX(Students!$D$2:$D$601,MATCH(B2278,Students!$A$2:$A$601,0))</f>
        <v>Full Stack Development</v>
      </c>
      <c r="L2278" s="21" t="str">
        <f aca="false">INDEX(Companies!$C$2:$C$31,MATCH(C2278,Companies!$A$2:$A$31,0))</f>
        <v>IT Services</v>
      </c>
      <c r="M2278" s="21" t="str">
        <f aca="false">INDEX(Companies!$D$2:$D$31,MATCH(C2278,Companies!$A$2:$A$31,0))</f>
        <v>Tier 3</v>
      </c>
      <c r="N2278" s="34" t="n">
        <f aca="false">MATCH(F2278,Assumptions!$K$4:$K$8,0)</f>
        <v>4</v>
      </c>
      <c r="O2278" s="21" t="str">
        <f aca="false">IF(H2278="Yes",MONTH(I2278),"")</f>
        <v/>
      </c>
      <c r="P2278" s="21" t="str">
        <f aca="false">IF(H2278="Yes",B2278,"")</f>
        <v/>
      </c>
    </row>
    <row r="2279" customFormat="false" ht="15" hidden="false" customHeight="false" outlineLevel="0" collapsed="false">
      <c r="A2279" s="21" t="s">
        <v>3494</v>
      </c>
      <c r="B2279" s="21" t="s">
        <v>831</v>
      </c>
      <c r="C2279" s="21" t="s">
        <v>1298</v>
      </c>
      <c r="D2279" s="21" t="s">
        <v>1243</v>
      </c>
      <c r="E2279" s="33" t="n">
        <v>45924</v>
      </c>
      <c r="F2279" s="21" t="s">
        <v>1175</v>
      </c>
      <c r="G2279" s="32"/>
      <c r="H2279" s="21"/>
      <c r="I2279" s="33"/>
      <c r="J2279" s="21" t="str">
        <f aca="false">INDEX(Students!$C$2:$C$601,MATCH(B2279,Students!$A$2:$A$601,0))</f>
        <v>Batch 2026</v>
      </c>
      <c r="K2279" s="21" t="str">
        <f aca="false">INDEX(Students!$D$2:$D$601,MATCH(B2279,Students!$A$2:$A$601,0))</f>
        <v>Data Science &amp; ML</v>
      </c>
      <c r="L2279" s="21" t="str">
        <f aca="false">INDEX(Companies!$C$2:$C$31,MATCH(C2279,Companies!$A$2:$A$31,0))</f>
        <v>Fintech</v>
      </c>
      <c r="M2279" s="21" t="str">
        <f aca="false">INDEX(Companies!$D$2:$D$31,MATCH(C2279,Companies!$A$2:$A$31,0))</f>
        <v>Tier 2</v>
      </c>
      <c r="N2279" s="34" t="n">
        <f aca="false">MATCH(F2279,Assumptions!$K$4:$K$8,0)</f>
        <v>1</v>
      </c>
      <c r="O2279" s="21" t="str">
        <f aca="false">IF(H2279="Yes",MONTH(I2279),"")</f>
        <v/>
      </c>
      <c r="P2279" s="21" t="str">
        <f aca="false">IF(H2279="Yes",B2279,"")</f>
        <v/>
      </c>
    </row>
    <row r="2280" customFormat="false" ht="15" hidden="false" customHeight="false" outlineLevel="0" collapsed="false">
      <c r="A2280" s="21" t="s">
        <v>3495</v>
      </c>
      <c r="B2280" s="21" t="s">
        <v>930</v>
      </c>
      <c r="C2280" s="21" t="s">
        <v>1183</v>
      </c>
      <c r="D2280" s="21" t="s">
        <v>1209</v>
      </c>
      <c r="E2280" s="33" t="n">
        <v>45924</v>
      </c>
      <c r="F2280" s="21" t="s">
        <v>1175</v>
      </c>
      <c r="G2280" s="32"/>
      <c r="H2280" s="21"/>
      <c r="I2280" s="33"/>
      <c r="J2280" s="21" t="str">
        <f aca="false">INDEX(Students!$C$2:$C$601,MATCH(B2280,Students!$A$2:$A$601,0))</f>
        <v>Batch 2026</v>
      </c>
      <c r="K2280" s="21" t="str">
        <f aca="false">INDEX(Students!$D$2:$D$601,MATCH(B2280,Students!$A$2:$A$601,0))</f>
        <v>Data Analytics</v>
      </c>
      <c r="L2280" s="21" t="str">
        <f aca="false">INDEX(Companies!$C$2:$C$31,MATCH(C2280,Companies!$A$2:$A$31,0))</f>
        <v>E-commerce</v>
      </c>
      <c r="M2280" s="21" t="str">
        <f aca="false">INDEX(Companies!$D$2:$D$31,MATCH(C2280,Companies!$A$2:$A$31,0))</f>
        <v>Tier 2</v>
      </c>
      <c r="N2280" s="34" t="n">
        <f aca="false">MATCH(F2280,Assumptions!$K$4:$K$8,0)</f>
        <v>1</v>
      </c>
      <c r="O2280" s="21" t="str">
        <f aca="false">IF(H2280="Yes",MONTH(I2280),"")</f>
        <v/>
      </c>
      <c r="P2280" s="21" t="str">
        <f aca="false">IF(H2280="Yes",B2280,"")</f>
        <v/>
      </c>
    </row>
    <row r="2281" customFormat="false" ht="15" hidden="false" customHeight="false" outlineLevel="0" collapsed="false">
      <c r="A2281" s="21" t="s">
        <v>3496</v>
      </c>
      <c r="B2281" s="21" t="s">
        <v>1097</v>
      </c>
      <c r="C2281" s="21" t="s">
        <v>1205</v>
      </c>
      <c r="D2281" s="21" t="s">
        <v>1184</v>
      </c>
      <c r="E2281" s="33" t="n">
        <v>45924</v>
      </c>
      <c r="F2281" s="21" t="s">
        <v>1185</v>
      </c>
      <c r="G2281" s="32" t="n">
        <v>6.1</v>
      </c>
      <c r="H2281" s="21" t="s">
        <v>113</v>
      </c>
      <c r="I2281" s="33" t="n">
        <v>45955</v>
      </c>
      <c r="J2281" s="21" t="str">
        <f aca="false">INDEX(Students!$C$2:$C$601,MATCH(B2281,Students!$A$2:$A$601,0))</f>
        <v>Batch 2026</v>
      </c>
      <c r="K2281" s="21" t="str">
        <f aca="false">INDEX(Students!$D$2:$D$601,MATCH(B2281,Students!$A$2:$A$601,0))</f>
        <v>DSA with Java</v>
      </c>
      <c r="L2281" s="21" t="str">
        <f aca="false">INDEX(Companies!$C$2:$C$31,MATCH(C2281,Companies!$A$2:$A$31,0))</f>
        <v>Healthtech</v>
      </c>
      <c r="M2281" s="21" t="str">
        <f aca="false">INDEX(Companies!$D$2:$D$31,MATCH(C2281,Companies!$A$2:$A$31,0))</f>
        <v>Tier 3</v>
      </c>
      <c r="N2281" s="34" t="n">
        <f aca="false">MATCH(F2281,Assumptions!$K$4:$K$8,0)</f>
        <v>5</v>
      </c>
      <c r="O2281" s="21" t="str">
        <f aca="false">IF(H2281="Yes",MONTH(I2281),"")</f>
        <v/>
      </c>
      <c r="P2281" s="21" t="str">
        <f aca="false">IF(H2281="Yes",B2281,"")</f>
        <v/>
      </c>
    </row>
    <row r="2282" customFormat="false" ht="15" hidden="false" customHeight="false" outlineLevel="0" collapsed="false">
      <c r="A2282" s="21" t="s">
        <v>3497</v>
      </c>
      <c r="B2282" s="21" t="s">
        <v>1040</v>
      </c>
      <c r="C2282" s="21" t="s">
        <v>1225</v>
      </c>
      <c r="D2282" s="21" t="s">
        <v>1191</v>
      </c>
      <c r="E2282" s="33" t="n">
        <v>45925</v>
      </c>
      <c r="F2282" s="21" t="s">
        <v>1178</v>
      </c>
      <c r="G2282" s="32"/>
      <c r="H2282" s="21"/>
      <c r="I2282" s="33"/>
      <c r="J2282" s="21" t="str">
        <f aca="false">INDEX(Students!$C$2:$C$601,MATCH(B2282,Students!$A$2:$A$601,0))</f>
        <v>Batch 2026</v>
      </c>
      <c r="K2282" s="21" t="str">
        <f aca="false">INDEX(Students!$D$2:$D$601,MATCH(B2282,Students!$A$2:$A$601,0))</f>
        <v>DSA with Java</v>
      </c>
      <c r="L2282" s="21" t="str">
        <f aca="false">INDEX(Companies!$C$2:$C$31,MATCH(C2282,Companies!$A$2:$A$31,0))</f>
        <v>EdTech</v>
      </c>
      <c r="M2282" s="21" t="str">
        <f aca="false">INDEX(Companies!$D$2:$D$31,MATCH(C2282,Companies!$A$2:$A$31,0))</f>
        <v>Tier 2</v>
      </c>
      <c r="N2282" s="34" t="n">
        <f aca="false">MATCH(F2282,Assumptions!$K$4:$K$8,0)</f>
        <v>2</v>
      </c>
      <c r="O2282" s="21" t="str">
        <f aca="false">IF(H2282="Yes",MONTH(I2282),"")</f>
        <v/>
      </c>
      <c r="P2282" s="21" t="str">
        <f aca="false">IF(H2282="Yes",B2282,"")</f>
        <v/>
      </c>
    </row>
    <row r="2283" customFormat="false" ht="15" hidden="false" customHeight="false" outlineLevel="0" collapsed="false">
      <c r="A2283" s="21" t="s">
        <v>3498</v>
      </c>
      <c r="B2283" s="21" t="s">
        <v>822</v>
      </c>
      <c r="C2283" s="21" t="s">
        <v>1228</v>
      </c>
      <c r="D2283" s="21" t="s">
        <v>1209</v>
      </c>
      <c r="E2283" s="33" t="n">
        <v>45925</v>
      </c>
      <c r="F2283" s="21" t="s">
        <v>1178</v>
      </c>
      <c r="G2283" s="32"/>
      <c r="H2283" s="21"/>
      <c r="I2283" s="33"/>
      <c r="J2283" s="21" t="str">
        <f aca="false">INDEX(Students!$C$2:$C$601,MATCH(B2283,Students!$A$2:$A$601,0))</f>
        <v>Batch 2026</v>
      </c>
      <c r="K2283" s="21" t="str">
        <f aca="false">INDEX(Students!$D$2:$D$601,MATCH(B2283,Students!$A$2:$A$601,0))</f>
        <v>Data Analytics</v>
      </c>
      <c r="L2283" s="21" t="str">
        <f aca="false">INDEX(Companies!$C$2:$C$31,MATCH(C2283,Companies!$A$2:$A$31,0))</f>
        <v>Fintech</v>
      </c>
      <c r="M2283" s="21" t="str">
        <f aca="false">INDEX(Companies!$D$2:$D$31,MATCH(C2283,Companies!$A$2:$A$31,0))</f>
        <v>Tier 1</v>
      </c>
      <c r="N2283" s="34" t="n">
        <f aca="false">MATCH(F2283,Assumptions!$K$4:$K$8,0)</f>
        <v>2</v>
      </c>
      <c r="O2283" s="21" t="str">
        <f aca="false">IF(H2283="Yes",MONTH(I2283),"")</f>
        <v/>
      </c>
      <c r="P2283" s="21" t="str">
        <f aca="false">IF(H2283="Yes",B2283,"")</f>
        <v/>
      </c>
    </row>
    <row r="2284" customFormat="false" ht="15" hidden="false" customHeight="false" outlineLevel="0" collapsed="false">
      <c r="A2284" s="21" t="s">
        <v>3499</v>
      </c>
      <c r="B2284" s="21" t="s">
        <v>815</v>
      </c>
      <c r="C2284" s="21" t="s">
        <v>1190</v>
      </c>
      <c r="D2284" s="21" t="s">
        <v>1240</v>
      </c>
      <c r="E2284" s="33" t="n">
        <v>45925</v>
      </c>
      <c r="F2284" s="21" t="s">
        <v>1178</v>
      </c>
      <c r="G2284" s="32"/>
      <c r="H2284" s="21"/>
      <c r="I2284" s="33"/>
      <c r="J2284" s="21" t="str">
        <f aca="false">INDEX(Students!$C$2:$C$601,MATCH(B2284,Students!$A$2:$A$601,0))</f>
        <v>Batch 2026</v>
      </c>
      <c r="K2284" s="21" t="str">
        <f aca="false">INDEX(Students!$D$2:$D$601,MATCH(B2284,Students!$A$2:$A$601,0))</f>
        <v>Cybersecurity</v>
      </c>
      <c r="L2284" s="21" t="str">
        <f aca="false">INDEX(Companies!$C$2:$C$31,MATCH(C2284,Companies!$A$2:$A$31,0))</f>
        <v>Analytics &amp; Consulting</v>
      </c>
      <c r="M2284" s="21" t="str">
        <f aca="false">INDEX(Companies!$D$2:$D$31,MATCH(C2284,Companies!$A$2:$A$31,0))</f>
        <v>Tier 1</v>
      </c>
      <c r="N2284" s="34" t="n">
        <f aca="false">MATCH(F2284,Assumptions!$K$4:$K$8,0)</f>
        <v>2</v>
      </c>
      <c r="O2284" s="21" t="str">
        <f aca="false">IF(H2284="Yes",MONTH(I2284),"")</f>
        <v/>
      </c>
      <c r="P2284" s="21" t="str">
        <f aca="false">IF(H2284="Yes",B2284,"")</f>
        <v/>
      </c>
    </row>
    <row r="2285" customFormat="false" ht="15" hidden="false" customHeight="false" outlineLevel="0" collapsed="false">
      <c r="A2285" s="21" t="s">
        <v>3500</v>
      </c>
      <c r="B2285" s="21" t="s">
        <v>937</v>
      </c>
      <c r="C2285" s="21" t="s">
        <v>1225</v>
      </c>
      <c r="D2285" s="21" t="s">
        <v>1191</v>
      </c>
      <c r="E2285" s="33" t="n">
        <v>45925</v>
      </c>
      <c r="F2285" s="21" t="s">
        <v>1218</v>
      </c>
      <c r="G2285" s="32"/>
      <c r="H2285" s="21"/>
      <c r="I2285" s="33"/>
      <c r="J2285" s="21" t="str">
        <f aca="false">INDEX(Students!$C$2:$C$601,MATCH(B2285,Students!$A$2:$A$601,0))</f>
        <v>Batch 2026</v>
      </c>
      <c r="K2285" s="21" t="str">
        <f aca="false">INDEX(Students!$D$2:$D$601,MATCH(B2285,Students!$A$2:$A$601,0))</f>
        <v>DSA with Java</v>
      </c>
      <c r="L2285" s="21" t="str">
        <f aca="false">INDEX(Companies!$C$2:$C$31,MATCH(C2285,Companies!$A$2:$A$31,0))</f>
        <v>EdTech</v>
      </c>
      <c r="M2285" s="21" t="str">
        <f aca="false">INDEX(Companies!$D$2:$D$31,MATCH(C2285,Companies!$A$2:$A$31,0))</f>
        <v>Tier 2</v>
      </c>
      <c r="N2285" s="34" t="n">
        <f aca="false">MATCH(F2285,Assumptions!$K$4:$K$8,0)</f>
        <v>4</v>
      </c>
      <c r="O2285" s="21" t="str">
        <f aca="false">IF(H2285="Yes",MONTH(I2285),"")</f>
        <v/>
      </c>
      <c r="P2285" s="21" t="str">
        <f aca="false">IF(H2285="Yes",B2285,"")</f>
        <v/>
      </c>
    </row>
    <row r="2286" customFormat="false" ht="15" hidden="false" customHeight="false" outlineLevel="0" collapsed="false">
      <c r="A2286" s="21" t="s">
        <v>3501</v>
      </c>
      <c r="B2286" s="21" t="s">
        <v>1082</v>
      </c>
      <c r="C2286" s="21" t="s">
        <v>1298</v>
      </c>
      <c r="D2286" s="21" t="s">
        <v>1209</v>
      </c>
      <c r="E2286" s="33" t="n">
        <v>45925</v>
      </c>
      <c r="F2286" s="21" t="s">
        <v>1175</v>
      </c>
      <c r="G2286" s="32"/>
      <c r="H2286" s="21"/>
      <c r="I2286" s="33"/>
      <c r="J2286" s="21" t="str">
        <f aca="false">INDEX(Students!$C$2:$C$601,MATCH(B2286,Students!$A$2:$A$601,0))</f>
        <v>Batch 2026</v>
      </c>
      <c r="K2286" s="21" t="str">
        <f aca="false">INDEX(Students!$D$2:$D$601,MATCH(B2286,Students!$A$2:$A$601,0))</f>
        <v>Data Analytics</v>
      </c>
      <c r="L2286" s="21" t="str">
        <f aca="false">INDEX(Companies!$C$2:$C$31,MATCH(C2286,Companies!$A$2:$A$31,0))</f>
        <v>Fintech</v>
      </c>
      <c r="M2286" s="21" t="str">
        <f aca="false">INDEX(Companies!$D$2:$D$31,MATCH(C2286,Companies!$A$2:$A$31,0))</f>
        <v>Tier 2</v>
      </c>
      <c r="N2286" s="34" t="n">
        <f aca="false">MATCH(F2286,Assumptions!$K$4:$K$8,0)</f>
        <v>1</v>
      </c>
      <c r="O2286" s="21" t="str">
        <f aca="false">IF(H2286="Yes",MONTH(I2286),"")</f>
        <v/>
      </c>
      <c r="P2286" s="21" t="str">
        <f aca="false">IF(H2286="Yes",B2286,"")</f>
        <v/>
      </c>
    </row>
    <row r="2287" customFormat="false" ht="15" hidden="false" customHeight="false" outlineLevel="0" collapsed="false">
      <c r="A2287" s="21" t="s">
        <v>3502</v>
      </c>
      <c r="B2287" s="21" t="s">
        <v>1008</v>
      </c>
      <c r="C2287" s="21" t="s">
        <v>1211</v>
      </c>
      <c r="D2287" s="21" t="s">
        <v>1191</v>
      </c>
      <c r="E2287" s="33" t="n">
        <v>45925</v>
      </c>
      <c r="F2287" s="21" t="s">
        <v>1218</v>
      </c>
      <c r="G2287" s="32"/>
      <c r="H2287" s="21"/>
      <c r="I2287" s="33"/>
      <c r="J2287" s="21" t="str">
        <f aca="false">INDEX(Students!$C$2:$C$601,MATCH(B2287,Students!$A$2:$A$601,0))</f>
        <v>Batch 2026</v>
      </c>
      <c r="K2287" s="21" t="str">
        <f aca="false">INDEX(Students!$D$2:$D$601,MATCH(B2287,Students!$A$2:$A$601,0))</f>
        <v>DSA with Java</v>
      </c>
      <c r="L2287" s="21" t="str">
        <f aca="false">INDEX(Companies!$C$2:$C$31,MATCH(C2287,Companies!$A$2:$A$31,0))</f>
        <v>Analytics &amp; Consulting</v>
      </c>
      <c r="M2287" s="21" t="str">
        <f aca="false">INDEX(Companies!$D$2:$D$31,MATCH(C2287,Companies!$A$2:$A$31,0))</f>
        <v>Tier 3</v>
      </c>
      <c r="N2287" s="34" t="n">
        <f aca="false">MATCH(F2287,Assumptions!$K$4:$K$8,0)</f>
        <v>4</v>
      </c>
      <c r="O2287" s="21" t="str">
        <f aca="false">IF(H2287="Yes",MONTH(I2287),"")</f>
        <v/>
      </c>
      <c r="P2287" s="21" t="str">
        <f aca="false">IF(H2287="Yes",B2287,"")</f>
        <v/>
      </c>
    </row>
    <row r="2288" customFormat="false" ht="15" hidden="false" customHeight="false" outlineLevel="0" collapsed="false">
      <c r="A2288" s="21" t="s">
        <v>3503</v>
      </c>
      <c r="B2288" s="21" t="s">
        <v>1008</v>
      </c>
      <c r="C2288" s="21" t="s">
        <v>1225</v>
      </c>
      <c r="D2288" s="21" t="s">
        <v>1191</v>
      </c>
      <c r="E2288" s="33" t="n">
        <v>45925</v>
      </c>
      <c r="F2288" s="21" t="s">
        <v>1178</v>
      </c>
      <c r="G2288" s="32"/>
      <c r="H2288" s="21"/>
      <c r="I2288" s="33"/>
      <c r="J2288" s="21" t="str">
        <f aca="false">INDEX(Students!$C$2:$C$601,MATCH(B2288,Students!$A$2:$A$601,0))</f>
        <v>Batch 2026</v>
      </c>
      <c r="K2288" s="21" t="str">
        <f aca="false">INDEX(Students!$D$2:$D$601,MATCH(B2288,Students!$A$2:$A$601,0))</f>
        <v>DSA with Java</v>
      </c>
      <c r="L2288" s="21" t="str">
        <f aca="false">INDEX(Companies!$C$2:$C$31,MATCH(C2288,Companies!$A$2:$A$31,0))</f>
        <v>EdTech</v>
      </c>
      <c r="M2288" s="21" t="str">
        <f aca="false">INDEX(Companies!$D$2:$D$31,MATCH(C2288,Companies!$A$2:$A$31,0))</f>
        <v>Tier 2</v>
      </c>
      <c r="N2288" s="34" t="n">
        <f aca="false">MATCH(F2288,Assumptions!$K$4:$K$8,0)</f>
        <v>2</v>
      </c>
      <c r="O2288" s="21" t="str">
        <f aca="false">IF(H2288="Yes",MONTH(I2288),"")</f>
        <v/>
      </c>
      <c r="P2288" s="21" t="str">
        <f aca="false">IF(H2288="Yes",B2288,"")</f>
        <v/>
      </c>
    </row>
    <row r="2289" customFormat="false" ht="15" hidden="false" customHeight="false" outlineLevel="0" collapsed="false">
      <c r="A2289" s="21" t="s">
        <v>3504</v>
      </c>
      <c r="B2289" s="21" t="s">
        <v>1123</v>
      </c>
      <c r="C2289" s="21" t="s">
        <v>1263</v>
      </c>
      <c r="D2289" s="21" t="s">
        <v>1181</v>
      </c>
      <c r="E2289" s="33" t="n">
        <v>45925</v>
      </c>
      <c r="F2289" s="21" t="s">
        <v>1175</v>
      </c>
      <c r="G2289" s="32"/>
      <c r="H2289" s="21"/>
      <c r="I2289" s="33"/>
      <c r="J2289" s="21" t="str">
        <f aca="false">INDEX(Students!$C$2:$C$601,MATCH(B2289,Students!$A$2:$A$601,0))</f>
        <v>Batch 2026</v>
      </c>
      <c r="K2289" s="21" t="str">
        <f aca="false">INDEX(Students!$D$2:$D$601,MATCH(B2289,Students!$A$2:$A$601,0))</f>
        <v>Full Stack Development</v>
      </c>
      <c r="L2289" s="21" t="str">
        <f aca="false">INDEX(Companies!$C$2:$C$31,MATCH(C2289,Companies!$A$2:$A$31,0))</f>
        <v>Analytics &amp; Consulting</v>
      </c>
      <c r="M2289" s="21" t="str">
        <f aca="false">INDEX(Companies!$D$2:$D$31,MATCH(C2289,Companies!$A$2:$A$31,0))</f>
        <v>Tier 2</v>
      </c>
      <c r="N2289" s="34" t="n">
        <f aca="false">MATCH(F2289,Assumptions!$K$4:$K$8,0)</f>
        <v>1</v>
      </c>
      <c r="O2289" s="21" t="str">
        <f aca="false">IF(H2289="Yes",MONTH(I2289),"")</f>
        <v/>
      </c>
      <c r="P2289" s="21" t="str">
        <f aca="false">IF(H2289="Yes",B2289,"")</f>
        <v/>
      </c>
    </row>
    <row r="2290" customFormat="false" ht="15" hidden="false" customHeight="false" outlineLevel="0" collapsed="false">
      <c r="A2290" s="21" t="s">
        <v>3505</v>
      </c>
      <c r="B2290" s="21" t="s">
        <v>1117</v>
      </c>
      <c r="C2290" s="21" t="s">
        <v>1196</v>
      </c>
      <c r="D2290" s="21" t="s">
        <v>1209</v>
      </c>
      <c r="E2290" s="33" t="n">
        <v>45925</v>
      </c>
      <c r="F2290" s="21" t="s">
        <v>1185</v>
      </c>
      <c r="G2290" s="32" t="n">
        <v>6.5</v>
      </c>
      <c r="H2290" s="21" t="s">
        <v>113</v>
      </c>
      <c r="I2290" s="33" t="n">
        <v>45956</v>
      </c>
      <c r="J2290" s="21" t="str">
        <f aca="false">INDEX(Students!$C$2:$C$601,MATCH(B2290,Students!$A$2:$A$601,0))</f>
        <v>Batch 2026</v>
      </c>
      <c r="K2290" s="21" t="str">
        <f aca="false">INDEX(Students!$D$2:$D$601,MATCH(B2290,Students!$A$2:$A$601,0))</f>
        <v>Data Analytics</v>
      </c>
      <c r="L2290" s="21" t="str">
        <f aca="false">INDEX(Companies!$C$2:$C$31,MATCH(C2290,Companies!$A$2:$A$31,0))</f>
        <v>IT Services</v>
      </c>
      <c r="M2290" s="21" t="str">
        <f aca="false">INDEX(Companies!$D$2:$D$31,MATCH(C2290,Companies!$A$2:$A$31,0))</f>
        <v>Tier 3</v>
      </c>
      <c r="N2290" s="34" t="n">
        <f aca="false">MATCH(F2290,Assumptions!$K$4:$K$8,0)</f>
        <v>5</v>
      </c>
      <c r="O2290" s="21" t="str">
        <f aca="false">IF(H2290="Yes",MONTH(I2290),"")</f>
        <v/>
      </c>
      <c r="P2290" s="21" t="str">
        <f aca="false">IF(H2290="Yes",B2290,"")</f>
        <v/>
      </c>
    </row>
    <row r="2291" customFormat="false" ht="15" hidden="false" customHeight="false" outlineLevel="0" collapsed="false">
      <c r="A2291" s="21" t="s">
        <v>3506</v>
      </c>
      <c r="B2291" s="21" t="s">
        <v>1125</v>
      </c>
      <c r="C2291" s="21" t="s">
        <v>1187</v>
      </c>
      <c r="D2291" s="21" t="s">
        <v>1209</v>
      </c>
      <c r="E2291" s="33" t="n">
        <v>45925</v>
      </c>
      <c r="F2291" s="21" t="s">
        <v>1175</v>
      </c>
      <c r="G2291" s="32"/>
      <c r="H2291" s="21"/>
      <c r="I2291" s="33"/>
      <c r="J2291" s="21" t="str">
        <f aca="false">INDEX(Students!$C$2:$C$601,MATCH(B2291,Students!$A$2:$A$601,0))</f>
        <v>Batch 2026</v>
      </c>
      <c r="K2291" s="21" t="str">
        <f aca="false">INDEX(Students!$D$2:$D$601,MATCH(B2291,Students!$A$2:$A$601,0))</f>
        <v>Data Analytics</v>
      </c>
      <c r="L2291" s="21" t="str">
        <f aca="false">INDEX(Companies!$C$2:$C$31,MATCH(C2291,Companies!$A$2:$A$31,0))</f>
        <v>Product</v>
      </c>
      <c r="M2291" s="21" t="str">
        <f aca="false">INDEX(Companies!$D$2:$D$31,MATCH(C2291,Companies!$A$2:$A$31,0))</f>
        <v>Tier 1</v>
      </c>
      <c r="N2291" s="34" t="n">
        <f aca="false">MATCH(F2291,Assumptions!$K$4:$K$8,0)</f>
        <v>1</v>
      </c>
      <c r="O2291" s="21" t="str">
        <f aca="false">IF(H2291="Yes",MONTH(I2291),"")</f>
        <v/>
      </c>
      <c r="P2291" s="21" t="str">
        <f aca="false">IF(H2291="Yes",B2291,"")</f>
        <v/>
      </c>
    </row>
    <row r="2292" customFormat="false" ht="15" hidden="false" customHeight="false" outlineLevel="0" collapsed="false">
      <c r="A2292" s="21" t="s">
        <v>3507</v>
      </c>
      <c r="B2292" s="21" t="s">
        <v>928</v>
      </c>
      <c r="C2292" s="21" t="s">
        <v>1298</v>
      </c>
      <c r="D2292" s="21" t="s">
        <v>1181</v>
      </c>
      <c r="E2292" s="33" t="n">
        <v>45926</v>
      </c>
      <c r="F2292" s="21" t="s">
        <v>1197</v>
      </c>
      <c r="G2292" s="32"/>
      <c r="H2292" s="21"/>
      <c r="I2292" s="33"/>
      <c r="J2292" s="21" t="str">
        <f aca="false">INDEX(Students!$C$2:$C$601,MATCH(B2292,Students!$A$2:$A$601,0))</f>
        <v>Batch 2026</v>
      </c>
      <c r="K2292" s="21" t="str">
        <f aca="false">INDEX(Students!$D$2:$D$601,MATCH(B2292,Students!$A$2:$A$601,0))</f>
        <v>Full Stack Development</v>
      </c>
      <c r="L2292" s="21" t="str">
        <f aca="false">INDEX(Companies!$C$2:$C$31,MATCH(C2292,Companies!$A$2:$A$31,0))</f>
        <v>Fintech</v>
      </c>
      <c r="M2292" s="21" t="str">
        <f aca="false">INDEX(Companies!$D$2:$D$31,MATCH(C2292,Companies!$A$2:$A$31,0))</f>
        <v>Tier 2</v>
      </c>
      <c r="N2292" s="34" t="n">
        <f aca="false">MATCH(F2292,Assumptions!$K$4:$K$8,0)</f>
        <v>3</v>
      </c>
      <c r="O2292" s="21" t="str">
        <f aca="false">IF(H2292="Yes",MONTH(I2292),"")</f>
        <v/>
      </c>
      <c r="P2292" s="21" t="str">
        <f aca="false">IF(H2292="Yes",B2292,"")</f>
        <v/>
      </c>
    </row>
    <row r="2293" customFormat="false" ht="15" hidden="false" customHeight="false" outlineLevel="0" collapsed="false">
      <c r="A2293" s="21" t="s">
        <v>3508</v>
      </c>
      <c r="B2293" s="21" t="s">
        <v>936</v>
      </c>
      <c r="C2293" s="21" t="s">
        <v>1177</v>
      </c>
      <c r="D2293" s="21" t="s">
        <v>1181</v>
      </c>
      <c r="E2293" s="33" t="n">
        <v>45926</v>
      </c>
      <c r="F2293" s="21" t="s">
        <v>1185</v>
      </c>
      <c r="G2293" s="32" t="n">
        <v>7</v>
      </c>
      <c r="H2293" s="21" t="s">
        <v>113</v>
      </c>
      <c r="I2293" s="33" t="n">
        <v>45961</v>
      </c>
      <c r="J2293" s="21" t="str">
        <f aca="false">INDEX(Students!$C$2:$C$601,MATCH(B2293,Students!$A$2:$A$601,0))</f>
        <v>Batch 2026</v>
      </c>
      <c r="K2293" s="21" t="str">
        <f aca="false">INDEX(Students!$D$2:$D$601,MATCH(B2293,Students!$A$2:$A$601,0))</f>
        <v>Full Stack Development</v>
      </c>
      <c r="L2293" s="21" t="str">
        <f aca="false">INDEX(Companies!$C$2:$C$31,MATCH(C2293,Companies!$A$2:$A$31,0))</f>
        <v>IT Services</v>
      </c>
      <c r="M2293" s="21" t="str">
        <f aca="false">INDEX(Companies!$D$2:$D$31,MATCH(C2293,Companies!$A$2:$A$31,0))</f>
        <v>Tier 3</v>
      </c>
      <c r="N2293" s="34" t="n">
        <f aca="false">MATCH(F2293,Assumptions!$K$4:$K$8,0)</f>
        <v>5</v>
      </c>
      <c r="O2293" s="21" t="str">
        <f aca="false">IF(H2293="Yes",MONTH(I2293),"")</f>
        <v/>
      </c>
      <c r="P2293" s="21" t="str">
        <f aca="false">IF(H2293="Yes",B2293,"")</f>
        <v/>
      </c>
    </row>
    <row r="2294" customFormat="false" ht="15" hidden="false" customHeight="false" outlineLevel="0" collapsed="false">
      <c r="A2294" s="21" t="s">
        <v>3509</v>
      </c>
      <c r="B2294" s="21" t="s">
        <v>812</v>
      </c>
      <c r="C2294" s="21" t="s">
        <v>1266</v>
      </c>
      <c r="D2294" s="21" t="s">
        <v>1181</v>
      </c>
      <c r="E2294" s="33" t="n">
        <v>45926</v>
      </c>
      <c r="F2294" s="21" t="s">
        <v>1185</v>
      </c>
      <c r="G2294" s="32" t="n">
        <v>6.8</v>
      </c>
      <c r="H2294" s="21" t="s">
        <v>113</v>
      </c>
      <c r="I2294" s="33" t="n">
        <v>45980</v>
      </c>
      <c r="J2294" s="21" t="str">
        <f aca="false">INDEX(Students!$C$2:$C$601,MATCH(B2294,Students!$A$2:$A$601,0))</f>
        <v>Batch 2026</v>
      </c>
      <c r="K2294" s="21" t="str">
        <f aca="false">INDEX(Students!$D$2:$D$601,MATCH(B2294,Students!$A$2:$A$601,0))</f>
        <v>Full Stack Development</v>
      </c>
      <c r="L2294" s="21" t="str">
        <f aca="false">INDEX(Companies!$C$2:$C$31,MATCH(C2294,Companies!$A$2:$A$31,0))</f>
        <v>IT Services</v>
      </c>
      <c r="M2294" s="21" t="str">
        <f aca="false">INDEX(Companies!$D$2:$D$31,MATCH(C2294,Companies!$A$2:$A$31,0))</f>
        <v>Tier 3</v>
      </c>
      <c r="N2294" s="34" t="n">
        <f aca="false">MATCH(F2294,Assumptions!$K$4:$K$8,0)</f>
        <v>5</v>
      </c>
      <c r="O2294" s="21" t="str">
        <f aca="false">IF(H2294="Yes",MONTH(I2294),"")</f>
        <v/>
      </c>
      <c r="P2294" s="21" t="str">
        <f aca="false">IF(H2294="Yes",B2294,"")</f>
        <v/>
      </c>
    </row>
    <row r="2295" customFormat="false" ht="15" hidden="false" customHeight="false" outlineLevel="0" collapsed="false">
      <c r="A2295" s="21" t="s">
        <v>3510</v>
      </c>
      <c r="B2295" s="21" t="s">
        <v>860</v>
      </c>
      <c r="C2295" s="21" t="s">
        <v>1190</v>
      </c>
      <c r="D2295" s="21" t="s">
        <v>1174</v>
      </c>
      <c r="E2295" s="33" t="n">
        <v>45926</v>
      </c>
      <c r="F2295" s="21" t="s">
        <v>1175</v>
      </c>
      <c r="G2295" s="32"/>
      <c r="H2295" s="21"/>
      <c r="I2295" s="33"/>
      <c r="J2295" s="21" t="str">
        <f aca="false">INDEX(Students!$C$2:$C$601,MATCH(B2295,Students!$A$2:$A$601,0))</f>
        <v>Batch 2026</v>
      </c>
      <c r="K2295" s="21" t="str">
        <f aca="false">INDEX(Students!$D$2:$D$601,MATCH(B2295,Students!$A$2:$A$601,0))</f>
        <v>Full Stack Development</v>
      </c>
      <c r="L2295" s="21" t="str">
        <f aca="false">INDEX(Companies!$C$2:$C$31,MATCH(C2295,Companies!$A$2:$A$31,0))</f>
        <v>Analytics &amp; Consulting</v>
      </c>
      <c r="M2295" s="21" t="str">
        <f aca="false">INDEX(Companies!$D$2:$D$31,MATCH(C2295,Companies!$A$2:$A$31,0))</f>
        <v>Tier 1</v>
      </c>
      <c r="N2295" s="34" t="n">
        <f aca="false">MATCH(F2295,Assumptions!$K$4:$K$8,0)</f>
        <v>1</v>
      </c>
      <c r="O2295" s="21" t="str">
        <f aca="false">IF(H2295="Yes",MONTH(I2295),"")</f>
        <v/>
      </c>
      <c r="P2295" s="21" t="str">
        <f aca="false">IF(H2295="Yes",B2295,"")</f>
        <v/>
      </c>
    </row>
    <row r="2296" customFormat="false" ht="15" hidden="false" customHeight="false" outlineLevel="0" collapsed="false">
      <c r="A2296" s="21" t="s">
        <v>3511</v>
      </c>
      <c r="B2296" s="21" t="s">
        <v>919</v>
      </c>
      <c r="C2296" s="21" t="s">
        <v>1222</v>
      </c>
      <c r="D2296" s="21" t="s">
        <v>1188</v>
      </c>
      <c r="E2296" s="33" t="n">
        <v>45926</v>
      </c>
      <c r="F2296" s="21" t="s">
        <v>1175</v>
      </c>
      <c r="G2296" s="32"/>
      <c r="H2296" s="21"/>
      <c r="I2296" s="33"/>
      <c r="J2296" s="21" t="str">
        <f aca="false">INDEX(Students!$C$2:$C$601,MATCH(B2296,Students!$A$2:$A$601,0))</f>
        <v>Batch 2026</v>
      </c>
      <c r="K2296" s="21" t="str">
        <f aca="false">INDEX(Students!$D$2:$D$601,MATCH(B2296,Students!$A$2:$A$601,0))</f>
        <v>Data Analytics</v>
      </c>
      <c r="L2296" s="21" t="str">
        <f aca="false">INDEX(Companies!$C$2:$C$31,MATCH(C2296,Companies!$A$2:$A$31,0))</f>
        <v>Product</v>
      </c>
      <c r="M2296" s="21" t="str">
        <f aca="false">INDEX(Companies!$D$2:$D$31,MATCH(C2296,Companies!$A$2:$A$31,0))</f>
        <v>Tier 2</v>
      </c>
      <c r="N2296" s="34" t="n">
        <f aca="false">MATCH(F2296,Assumptions!$K$4:$K$8,0)</f>
        <v>1</v>
      </c>
      <c r="O2296" s="21" t="str">
        <f aca="false">IF(H2296="Yes",MONTH(I2296),"")</f>
        <v/>
      </c>
      <c r="P2296" s="21" t="str">
        <f aca="false">IF(H2296="Yes",B2296,"")</f>
        <v/>
      </c>
    </row>
    <row r="2297" customFormat="false" ht="15" hidden="false" customHeight="false" outlineLevel="0" collapsed="false">
      <c r="A2297" s="21" t="s">
        <v>3512</v>
      </c>
      <c r="B2297" s="21" t="s">
        <v>1051</v>
      </c>
      <c r="C2297" s="21" t="s">
        <v>1177</v>
      </c>
      <c r="D2297" s="21" t="s">
        <v>1184</v>
      </c>
      <c r="E2297" s="33" t="n">
        <v>45926</v>
      </c>
      <c r="F2297" s="21" t="s">
        <v>1178</v>
      </c>
      <c r="G2297" s="32"/>
      <c r="H2297" s="21"/>
      <c r="I2297" s="33"/>
      <c r="J2297" s="21" t="str">
        <f aca="false">INDEX(Students!$C$2:$C$601,MATCH(B2297,Students!$A$2:$A$601,0))</f>
        <v>Batch 2026</v>
      </c>
      <c r="K2297" s="21" t="str">
        <f aca="false">INDEX(Students!$D$2:$D$601,MATCH(B2297,Students!$A$2:$A$601,0))</f>
        <v>DSA with Java</v>
      </c>
      <c r="L2297" s="21" t="str">
        <f aca="false">INDEX(Companies!$C$2:$C$31,MATCH(C2297,Companies!$A$2:$A$31,0))</f>
        <v>IT Services</v>
      </c>
      <c r="M2297" s="21" t="str">
        <f aca="false">INDEX(Companies!$D$2:$D$31,MATCH(C2297,Companies!$A$2:$A$31,0))</f>
        <v>Tier 3</v>
      </c>
      <c r="N2297" s="34" t="n">
        <f aca="false">MATCH(F2297,Assumptions!$K$4:$K$8,0)</f>
        <v>2</v>
      </c>
      <c r="O2297" s="21" t="str">
        <f aca="false">IF(H2297="Yes",MONTH(I2297),"")</f>
        <v/>
      </c>
      <c r="P2297" s="21" t="str">
        <f aca="false">IF(H2297="Yes",B2297,"")</f>
        <v/>
      </c>
    </row>
    <row r="2298" customFormat="false" ht="15" hidden="false" customHeight="false" outlineLevel="0" collapsed="false">
      <c r="A2298" s="21" t="s">
        <v>3513</v>
      </c>
      <c r="B2298" s="21" t="s">
        <v>863</v>
      </c>
      <c r="C2298" s="21" t="s">
        <v>1216</v>
      </c>
      <c r="D2298" s="21" t="s">
        <v>1181</v>
      </c>
      <c r="E2298" s="33" t="n">
        <v>45926</v>
      </c>
      <c r="F2298" s="21" t="s">
        <v>1175</v>
      </c>
      <c r="G2298" s="32"/>
      <c r="H2298" s="21"/>
      <c r="I2298" s="33"/>
      <c r="J2298" s="21" t="str">
        <f aca="false">INDEX(Students!$C$2:$C$601,MATCH(B2298,Students!$A$2:$A$601,0))</f>
        <v>Batch 2026</v>
      </c>
      <c r="K2298" s="21" t="str">
        <f aca="false">INDEX(Students!$D$2:$D$601,MATCH(B2298,Students!$A$2:$A$601,0))</f>
        <v>Full Stack Development</v>
      </c>
      <c r="L2298" s="21" t="str">
        <f aca="false">INDEX(Companies!$C$2:$C$31,MATCH(C2298,Companies!$A$2:$A$31,0))</f>
        <v>IT Services</v>
      </c>
      <c r="M2298" s="21" t="str">
        <f aca="false">INDEX(Companies!$D$2:$D$31,MATCH(C2298,Companies!$A$2:$A$31,0))</f>
        <v>Tier 3</v>
      </c>
      <c r="N2298" s="34" t="n">
        <f aca="false">MATCH(F2298,Assumptions!$K$4:$K$8,0)</f>
        <v>1</v>
      </c>
      <c r="O2298" s="21" t="str">
        <f aca="false">IF(H2298="Yes",MONTH(I2298),"")</f>
        <v/>
      </c>
      <c r="P2298" s="21" t="str">
        <f aca="false">IF(H2298="Yes",B2298,"")</f>
        <v/>
      </c>
    </row>
    <row r="2299" customFormat="false" ht="15" hidden="false" customHeight="false" outlineLevel="0" collapsed="false">
      <c r="A2299" s="21" t="s">
        <v>3514</v>
      </c>
      <c r="B2299" s="21" t="s">
        <v>1153</v>
      </c>
      <c r="C2299" s="21" t="s">
        <v>1205</v>
      </c>
      <c r="D2299" s="21" t="s">
        <v>1188</v>
      </c>
      <c r="E2299" s="33" t="n">
        <v>45927</v>
      </c>
      <c r="F2299" s="21" t="s">
        <v>1178</v>
      </c>
      <c r="G2299" s="32"/>
      <c r="H2299" s="21"/>
      <c r="I2299" s="33"/>
      <c r="J2299" s="21" t="str">
        <f aca="false">INDEX(Students!$C$2:$C$601,MATCH(B2299,Students!$A$2:$A$601,0))</f>
        <v>Batch 2026</v>
      </c>
      <c r="K2299" s="21" t="str">
        <f aca="false">INDEX(Students!$D$2:$D$601,MATCH(B2299,Students!$A$2:$A$601,0))</f>
        <v>Data Analytics</v>
      </c>
      <c r="L2299" s="21" t="str">
        <f aca="false">INDEX(Companies!$C$2:$C$31,MATCH(C2299,Companies!$A$2:$A$31,0))</f>
        <v>Healthtech</v>
      </c>
      <c r="M2299" s="21" t="str">
        <f aca="false">INDEX(Companies!$D$2:$D$31,MATCH(C2299,Companies!$A$2:$A$31,0))</f>
        <v>Tier 3</v>
      </c>
      <c r="N2299" s="34" t="n">
        <f aca="false">MATCH(F2299,Assumptions!$K$4:$K$8,0)</f>
        <v>2</v>
      </c>
      <c r="O2299" s="21" t="str">
        <f aca="false">IF(H2299="Yes",MONTH(I2299),"")</f>
        <v/>
      </c>
      <c r="P2299" s="21" t="str">
        <f aca="false">IF(H2299="Yes",B2299,"")</f>
        <v/>
      </c>
    </row>
    <row r="2300" customFormat="false" ht="15" hidden="false" customHeight="false" outlineLevel="0" collapsed="false">
      <c r="A2300" s="21" t="s">
        <v>3515</v>
      </c>
      <c r="B2300" s="21" t="s">
        <v>1067</v>
      </c>
      <c r="C2300" s="21" t="s">
        <v>1230</v>
      </c>
      <c r="D2300" s="21" t="s">
        <v>1181</v>
      </c>
      <c r="E2300" s="33" t="n">
        <v>45927</v>
      </c>
      <c r="F2300" s="21" t="s">
        <v>1185</v>
      </c>
      <c r="G2300" s="32" t="n">
        <v>5.5</v>
      </c>
      <c r="H2300" s="21" t="s">
        <v>120</v>
      </c>
      <c r="I2300" s="33" t="n">
        <v>45973</v>
      </c>
      <c r="J2300" s="21" t="str">
        <f aca="false">INDEX(Students!$C$2:$C$601,MATCH(B2300,Students!$A$2:$A$601,0))</f>
        <v>Batch 2026</v>
      </c>
      <c r="K2300" s="21" t="str">
        <f aca="false">INDEX(Students!$D$2:$D$601,MATCH(B2300,Students!$A$2:$A$601,0))</f>
        <v>Full Stack Development</v>
      </c>
      <c r="L2300" s="21" t="str">
        <f aca="false">INDEX(Companies!$C$2:$C$31,MATCH(C2300,Companies!$A$2:$A$31,0))</f>
        <v>IT Services</v>
      </c>
      <c r="M2300" s="21" t="str">
        <f aca="false">INDEX(Companies!$D$2:$D$31,MATCH(C2300,Companies!$A$2:$A$31,0))</f>
        <v>Tier 3</v>
      </c>
      <c r="N2300" s="34" t="n">
        <f aca="false">MATCH(F2300,Assumptions!$K$4:$K$8,0)</f>
        <v>5</v>
      </c>
      <c r="O2300" s="21" t="n">
        <f aca="false">IF(H2300="Yes",MONTH(I2300),"")</f>
        <v>11</v>
      </c>
      <c r="P2300" s="21" t="str">
        <f aca="false">IF(H2300="Yes",B2300,"")</f>
        <v>S0541</v>
      </c>
    </row>
    <row r="2301" customFormat="false" ht="15" hidden="false" customHeight="false" outlineLevel="0" collapsed="false">
      <c r="A2301" s="21" t="s">
        <v>3516</v>
      </c>
      <c r="B2301" s="21" t="s">
        <v>1037</v>
      </c>
      <c r="C2301" s="21" t="s">
        <v>1275</v>
      </c>
      <c r="D2301" s="21" t="s">
        <v>1181</v>
      </c>
      <c r="E2301" s="33" t="n">
        <v>45927</v>
      </c>
      <c r="F2301" s="21" t="s">
        <v>1178</v>
      </c>
      <c r="G2301" s="32"/>
      <c r="H2301" s="21"/>
      <c r="I2301" s="33"/>
      <c r="J2301" s="21" t="str">
        <f aca="false">INDEX(Students!$C$2:$C$601,MATCH(B2301,Students!$A$2:$A$601,0))</f>
        <v>Batch 2026</v>
      </c>
      <c r="K2301" s="21" t="str">
        <f aca="false">INDEX(Students!$D$2:$D$601,MATCH(B2301,Students!$A$2:$A$601,0))</f>
        <v>Full Stack Development</v>
      </c>
      <c r="L2301" s="21" t="str">
        <f aca="false">INDEX(Companies!$C$2:$C$31,MATCH(C2301,Companies!$A$2:$A$31,0))</f>
        <v>Cybersecurity</v>
      </c>
      <c r="M2301" s="21" t="str">
        <f aca="false">INDEX(Companies!$D$2:$D$31,MATCH(C2301,Companies!$A$2:$A$31,0))</f>
        <v>Tier 2</v>
      </c>
      <c r="N2301" s="34" t="n">
        <f aca="false">MATCH(F2301,Assumptions!$K$4:$K$8,0)</f>
        <v>2</v>
      </c>
      <c r="O2301" s="21" t="str">
        <f aca="false">IF(H2301="Yes",MONTH(I2301),"")</f>
        <v/>
      </c>
      <c r="P2301" s="21" t="str">
        <f aca="false">IF(H2301="Yes",B2301,"")</f>
        <v/>
      </c>
    </row>
    <row r="2302" customFormat="false" ht="15" hidden="false" customHeight="false" outlineLevel="0" collapsed="false">
      <c r="A2302" s="21" t="s">
        <v>3517</v>
      </c>
      <c r="B2302" s="21" t="s">
        <v>1034</v>
      </c>
      <c r="C2302" s="21" t="s">
        <v>1199</v>
      </c>
      <c r="D2302" s="21" t="s">
        <v>1191</v>
      </c>
      <c r="E2302" s="33" t="n">
        <v>45927</v>
      </c>
      <c r="F2302" s="21" t="s">
        <v>1185</v>
      </c>
      <c r="G2302" s="32" t="n">
        <v>8.8</v>
      </c>
      <c r="H2302" s="21" t="s">
        <v>113</v>
      </c>
      <c r="I2302" s="33" t="n">
        <v>45959</v>
      </c>
      <c r="J2302" s="21" t="str">
        <f aca="false">INDEX(Students!$C$2:$C$601,MATCH(B2302,Students!$A$2:$A$601,0))</f>
        <v>Batch 2026</v>
      </c>
      <c r="K2302" s="21" t="str">
        <f aca="false">INDEX(Students!$D$2:$D$601,MATCH(B2302,Students!$A$2:$A$601,0))</f>
        <v>DSA with Java</v>
      </c>
      <c r="L2302" s="21" t="str">
        <f aca="false">INDEX(Companies!$C$2:$C$31,MATCH(C2302,Companies!$A$2:$A$31,0))</f>
        <v>E-commerce</v>
      </c>
      <c r="M2302" s="21" t="str">
        <f aca="false">INDEX(Companies!$D$2:$D$31,MATCH(C2302,Companies!$A$2:$A$31,0))</f>
        <v>Tier 2</v>
      </c>
      <c r="N2302" s="34" t="n">
        <f aca="false">MATCH(F2302,Assumptions!$K$4:$K$8,0)</f>
        <v>5</v>
      </c>
      <c r="O2302" s="21" t="str">
        <f aca="false">IF(H2302="Yes",MONTH(I2302),"")</f>
        <v/>
      </c>
      <c r="P2302" s="21" t="str">
        <f aca="false">IF(H2302="Yes",B2302,"")</f>
        <v/>
      </c>
    </row>
    <row r="2303" customFormat="false" ht="15" hidden="false" customHeight="false" outlineLevel="0" collapsed="false">
      <c r="A2303" s="21" t="s">
        <v>3518</v>
      </c>
      <c r="B2303" s="21" t="s">
        <v>967</v>
      </c>
      <c r="C2303" s="21" t="s">
        <v>1230</v>
      </c>
      <c r="D2303" s="21" t="s">
        <v>1174</v>
      </c>
      <c r="E2303" s="33" t="n">
        <v>45927</v>
      </c>
      <c r="F2303" s="21" t="s">
        <v>1185</v>
      </c>
      <c r="G2303" s="32" t="n">
        <v>6.9</v>
      </c>
      <c r="H2303" s="21" t="s">
        <v>120</v>
      </c>
      <c r="I2303" s="33" t="n">
        <v>45976</v>
      </c>
      <c r="J2303" s="21" t="str">
        <f aca="false">INDEX(Students!$C$2:$C$601,MATCH(B2303,Students!$A$2:$A$601,0))</f>
        <v>Batch 2026</v>
      </c>
      <c r="K2303" s="21" t="str">
        <f aca="false">INDEX(Students!$D$2:$D$601,MATCH(B2303,Students!$A$2:$A$601,0))</f>
        <v>Full Stack Development</v>
      </c>
      <c r="L2303" s="21" t="str">
        <f aca="false">INDEX(Companies!$C$2:$C$31,MATCH(C2303,Companies!$A$2:$A$31,0))</f>
        <v>IT Services</v>
      </c>
      <c r="M2303" s="21" t="str">
        <f aca="false">INDEX(Companies!$D$2:$D$31,MATCH(C2303,Companies!$A$2:$A$31,0))</f>
        <v>Tier 3</v>
      </c>
      <c r="N2303" s="34" t="n">
        <f aca="false">MATCH(F2303,Assumptions!$K$4:$K$8,0)</f>
        <v>5</v>
      </c>
      <c r="O2303" s="21" t="n">
        <f aca="false">IF(H2303="Yes",MONTH(I2303),"")</f>
        <v>11</v>
      </c>
      <c r="P2303" s="21" t="str">
        <f aca="false">IF(H2303="Yes",B2303,"")</f>
        <v>S0480</v>
      </c>
    </row>
    <row r="2304" customFormat="false" ht="15" hidden="false" customHeight="false" outlineLevel="0" collapsed="false">
      <c r="A2304" s="21" t="s">
        <v>3519</v>
      </c>
      <c r="B2304" s="21" t="s">
        <v>991</v>
      </c>
      <c r="C2304" s="21" t="s">
        <v>1222</v>
      </c>
      <c r="D2304" s="21" t="s">
        <v>1174</v>
      </c>
      <c r="E2304" s="33" t="n">
        <v>45927</v>
      </c>
      <c r="F2304" s="21" t="s">
        <v>1175</v>
      </c>
      <c r="G2304" s="32"/>
      <c r="H2304" s="21"/>
      <c r="I2304" s="33"/>
      <c r="J2304" s="21" t="str">
        <f aca="false">INDEX(Students!$C$2:$C$601,MATCH(B2304,Students!$A$2:$A$601,0))</f>
        <v>Batch 2026</v>
      </c>
      <c r="K2304" s="21" t="str">
        <f aca="false">INDEX(Students!$D$2:$D$601,MATCH(B2304,Students!$A$2:$A$601,0))</f>
        <v>Full Stack Development</v>
      </c>
      <c r="L2304" s="21" t="str">
        <f aca="false">INDEX(Companies!$C$2:$C$31,MATCH(C2304,Companies!$A$2:$A$31,0))</f>
        <v>Product</v>
      </c>
      <c r="M2304" s="21" t="str">
        <f aca="false">INDEX(Companies!$D$2:$D$31,MATCH(C2304,Companies!$A$2:$A$31,0))</f>
        <v>Tier 2</v>
      </c>
      <c r="N2304" s="34" t="n">
        <f aca="false">MATCH(F2304,Assumptions!$K$4:$K$8,0)</f>
        <v>1</v>
      </c>
      <c r="O2304" s="21" t="str">
        <f aca="false">IF(H2304="Yes",MONTH(I2304),"")</f>
        <v/>
      </c>
      <c r="P2304" s="21" t="str">
        <f aca="false">IF(H2304="Yes",B2304,"")</f>
        <v/>
      </c>
    </row>
    <row r="2305" customFormat="false" ht="15" hidden="false" customHeight="false" outlineLevel="0" collapsed="false">
      <c r="A2305" s="21" t="s">
        <v>3520</v>
      </c>
      <c r="B2305" s="21" t="s">
        <v>1026</v>
      </c>
      <c r="C2305" s="21" t="s">
        <v>1322</v>
      </c>
      <c r="D2305" s="21" t="s">
        <v>1174</v>
      </c>
      <c r="E2305" s="33" t="n">
        <v>45927</v>
      </c>
      <c r="F2305" s="21" t="s">
        <v>1175</v>
      </c>
      <c r="G2305" s="32"/>
      <c r="H2305" s="21"/>
      <c r="I2305" s="33"/>
      <c r="J2305" s="21" t="str">
        <f aca="false">INDEX(Students!$C$2:$C$601,MATCH(B2305,Students!$A$2:$A$601,0))</f>
        <v>Batch 2026</v>
      </c>
      <c r="K2305" s="21" t="str">
        <f aca="false">INDEX(Students!$D$2:$D$601,MATCH(B2305,Students!$A$2:$A$601,0))</f>
        <v>Full Stack Development</v>
      </c>
      <c r="L2305" s="21" t="str">
        <f aca="false">INDEX(Companies!$C$2:$C$31,MATCH(C2305,Companies!$A$2:$A$31,0))</f>
        <v>Healthtech</v>
      </c>
      <c r="M2305" s="21" t="str">
        <f aca="false">INDEX(Companies!$D$2:$D$31,MATCH(C2305,Companies!$A$2:$A$31,0))</f>
        <v>Tier 2</v>
      </c>
      <c r="N2305" s="34" t="n">
        <f aca="false">MATCH(F2305,Assumptions!$K$4:$K$8,0)</f>
        <v>1</v>
      </c>
      <c r="O2305" s="21" t="str">
        <f aca="false">IF(H2305="Yes",MONTH(I2305),"")</f>
        <v/>
      </c>
      <c r="P2305" s="21" t="str">
        <f aca="false">IF(H2305="Yes",B2305,"")</f>
        <v/>
      </c>
    </row>
    <row r="2306" customFormat="false" ht="15" hidden="false" customHeight="false" outlineLevel="0" collapsed="false">
      <c r="A2306" s="21" t="s">
        <v>3521</v>
      </c>
      <c r="B2306" s="21" t="s">
        <v>1042</v>
      </c>
      <c r="C2306" s="21" t="s">
        <v>1199</v>
      </c>
      <c r="D2306" s="21" t="s">
        <v>1243</v>
      </c>
      <c r="E2306" s="33" t="n">
        <v>45927</v>
      </c>
      <c r="F2306" s="21" t="s">
        <v>1175</v>
      </c>
      <c r="G2306" s="32"/>
      <c r="H2306" s="21"/>
      <c r="I2306" s="33"/>
      <c r="J2306" s="21" t="str">
        <f aca="false">INDEX(Students!$C$2:$C$601,MATCH(B2306,Students!$A$2:$A$601,0))</f>
        <v>Batch 2026</v>
      </c>
      <c r="K2306" s="21" t="str">
        <f aca="false">INDEX(Students!$D$2:$D$601,MATCH(B2306,Students!$A$2:$A$601,0))</f>
        <v>Data Science &amp; ML</v>
      </c>
      <c r="L2306" s="21" t="str">
        <f aca="false">INDEX(Companies!$C$2:$C$31,MATCH(C2306,Companies!$A$2:$A$31,0))</f>
        <v>E-commerce</v>
      </c>
      <c r="M2306" s="21" t="str">
        <f aca="false">INDEX(Companies!$D$2:$D$31,MATCH(C2306,Companies!$A$2:$A$31,0))</f>
        <v>Tier 2</v>
      </c>
      <c r="N2306" s="34" t="n">
        <f aca="false">MATCH(F2306,Assumptions!$K$4:$K$8,0)</f>
        <v>1</v>
      </c>
      <c r="O2306" s="21" t="str">
        <f aca="false">IF(H2306="Yes",MONTH(I2306),"")</f>
        <v/>
      </c>
      <c r="P2306" s="21" t="str">
        <f aca="false">IF(H2306="Yes",B2306,"")</f>
        <v/>
      </c>
    </row>
    <row r="2307" customFormat="false" ht="15" hidden="false" customHeight="false" outlineLevel="0" collapsed="false">
      <c r="A2307" s="21" t="s">
        <v>3522</v>
      </c>
      <c r="B2307" s="21" t="s">
        <v>863</v>
      </c>
      <c r="C2307" s="21" t="s">
        <v>1205</v>
      </c>
      <c r="D2307" s="21" t="s">
        <v>1174</v>
      </c>
      <c r="E2307" s="33" t="n">
        <v>45928</v>
      </c>
      <c r="F2307" s="21" t="s">
        <v>1175</v>
      </c>
      <c r="G2307" s="32"/>
      <c r="H2307" s="21"/>
      <c r="I2307" s="33"/>
      <c r="J2307" s="21" t="str">
        <f aca="false">INDEX(Students!$C$2:$C$601,MATCH(B2307,Students!$A$2:$A$601,0))</f>
        <v>Batch 2026</v>
      </c>
      <c r="K2307" s="21" t="str">
        <f aca="false">INDEX(Students!$D$2:$D$601,MATCH(B2307,Students!$A$2:$A$601,0))</f>
        <v>Full Stack Development</v>
      </c>
      <c r="L2307" s="21" t="str">
        <f aca="false">INDEX(Companies!$C$2:$C$31,MATCH(C2307,Companies!$A$2:$A$31,0))</f>
        <v>Healthtech</v>
      </c>
      <c r="M2307" s="21" t="str">
        <f aca="false">INDEX(Companies!$D$2:$D$31,MATCH(C2307,Companies!$A$2:$A$31,0))</f>
        <v>Tier 3</v>
      </c>
      <c r="N2307" s="34" t="n">
        <f aca="false">MATCH(F2307,Assumptions!$K$4:$K$8,0)</f>
        <v>1</v>
      </c>
      <c r="O2307" s="21" t="str">
        <f aca="false">IF(H2307="Yes",MONTH(I2307),"")</f>
        <v/>
      </c>
      <c r="P2307" s="21" t="str">
        <f aca="false">IF(H2307="Yes",B2307,"")</f>
        <v/>
      </c>
    </row>
    <row r="2308" customFormat="false" ht="15" hidden="false" customHeight="false" outlineLevel="0" collapsed="false">
      <c r="A2308" s="21" t="s">
        <v>3523</v>
      </c>
      <c r="B2308" s="21" t="s">
        <v>1117</v>
      </c>
      <c r="C2308" s="21" t="s">
        <v>1177</v>
      </c>
      <c r="D2308" s="21" t="s">
        <v>1209</v>
      </c>
      <c r="E2308" s="33" t="n">
        <v>45928</v>
      </c>
      <c r="F2308" s="21" t="s">
        <v>1185</v>
      </c>
      <c r="G2308" s="32" t="n">
        <v>6.8</v>
      </c>
      <c r="H2308" s="21" t="s">
        <v>120</v>
      </c>
      <c r="I2308" s="33" t="n">
        <v>45957</v>
      </c>
      <c r="J2308" s="21" t="str">
        <f aca="false">INDEX(Students!$C$2:$C$601,MATCH(B2308,Students!$A$2:$A$601,0))</f>
        <v>Batch 2026</v>
      </c>
      <c r="K2308" s="21" t="str">
        <f aca="false">INDEX(Students!$D$2:$D$601,MATCH(B2308,Students!$A$2:$A$601,0))</f>
        <v>Data Analytics</v>
      </c>
      <c r="L2308" s="21" t="str">
        <f aca="false">INDEX(Companies!$C$2:$C$31,MATCH(C2308,Companies!$A$2:$A$31,0))</f>
        <v>IT Services</v>
      </c>
      <c r="M2308" s="21" t="str">
        <f aca="false">INDEX(Companies!$D$2:$D$31,MATCH(C2308,Companies!$A$2:$A$31,0))</f>
        <v>Tier 3</v>
      </c>
      <c r="N2308" s="34" t="n">
        <f aca="false">MATCH(F2308,Assumptions!$K$4:$K$8,0)</f>
        <v>5</v>
      </c>
      <c r="O2308" s="21" t="n">
        <f aca="false">IF(H2308="Yes",MONTH(I2308),"")</f>
        <v>10</v>
      </c>
      <c r="P2308" s="21" t="str">
        <f aca="false">IF(H2308="Yes",B2308,"")</f>
        <v>S0572</v>
      </c>
    </row>
    <row r="2309" customFormat="false" ht="15" hidden="false" customHeight="false" outlineLevel="0" collapsed="false">
      <c r="A2309" s="21" t="s">
        <v>3524</v>
      </c>
      <c r="B2309" s="21" t="s">
        <v>925</v>
      </c>
      <c r="C2309" s="21" t="s">
        <v>1203</v>
      </c>
      <c r="D2309" s="21" t="s">
        <v>1181</v>
      </c>
      <c r="E2309" s="33" t="n">
        <v>45929</v>
      </c>
      <c r="F2309" s="21" t="s">
        <v>1178</v>
      </c>
      <c r="G2309" s="32"/>
      <c r="H2309" s="21"/>
      <c r="I2309" s="33"/>
      <c r="J2309" s="21" t="str">
        <f aca="false">INDEX(Students!$C$2:$C$601,MATCH(B2309,Students!$A$2:$A$601,0))</f>
        <v>Batch 2026</v>
      </c>
      <c r="K2309" s="21" t="str">
        <f aca="false">INDEX(Students!$D$2:$D$601,MATCH(B2309,Students!$A$2:$A$601,0))</f>
        <v>Full Stack Development</v>
      </c>
      <c r="L2309" s="21" t="str">
        <f aca="false">INDEX(Companies!$C$2:$C$31,MATCH(C2309,Companies!$A$2:$A$31,0))</f>
        <v>Healthtech</v>
      </c>
      <c r="M2309" s="21" t="str">
        <f aca="false">INDEX(Companies!$D$2:$D$31,MATCH(C2309,Companies!$A$2:$A$31,0))</f>
        <v>Tier 2</v>
      </c>
      <c r="N2309" s="34" t="n">
        <f aca="false">MATCH(F2309,Assumptions!$K$4:$K$8,0)</f>
        <v>2</v>
      </c>
      <c r="O2309" s="21" t="str">
        <f aca="false">IF(H2309="Yes",MONTH(I2309),"")</f>
        <v/>
      </c>
      <c r="P2309" s="21" t="str">
        <f aca="false">IF(H2309="Yes",B2309,"")</f>
        <v/>
      </c>
    </row>
    <row r="2310" customFormat="false" ht="15" hidden="false" customHeight="false" outlineLevel="0" collapsed="false">
      <c r="A2310" s="21" t="s">
        <v>3525</v>
      </c>
      <c r="B2310" s="21" t="s">
        <v>853</v>
      </c>
      <c r="C2310" s="21" t="s">
        <v>1173</v>
      </c>
      <c r="D2310" s="21" t="s">
        <v>1194</v>
      </c>
      <c r="E2310" s="33" t="n">
        <v>45929</v>
      </c>
      <c r="F2310" s="21" t="s">
        <v>1175</v>
      </c>
      <c r="G2310" s="32"/>
      <c r="H2310" s="21"/>
      <c r="I2310" s="33"/>
      <c r="J2310" s="21" t="str">
        <f aca="false">INDEX(Students!$C$2:$C$601,MATCH(B2310,Students!$A$2:$A$601,0))</f>
        <v>Batch 2026</v>
      </c>
      <c r="K2310" s="21" t="str">
        <f aca="false">INDEX(Students!$D$2:$D$601,MATCH(B2310,Students!$A$2:$A$601,0))</f>
        <v>Data Science &amp; ML</v>
      </c>
      <c r="L2310" s="21" t="str">
        <f aca="false">INDEX(Companies!$C$2:$C$31,MATCH(C2310,Companies!$A$2:$A$31,0))</f>
        <v>Cybersecurity</v>
      </c>
      <c r="M2310" s="21" t="str">
        <f aca="false">INDEX(Companies!$D$2:$D$31,MATCH(C2310,Companies!$A$2:$A$31,0))</f>
        <v>Tier 1</v>
      </c>
      <c r="N2310" s="34" t="n">
        <f aca="false">MATCH(F2310,Assumptions!$K$4:$K$8,0)</f>
        <v>1</v>
      </c>
      <c r="O2310" s="21" t="str">
        <f aca="false">IF(H2310="Yes",MONTH(I2310),"")</f>
        <v/>
      </c>
      <c r="P2310" s="21" t="str">
        <f aca="false">IF(H2310="Yes",B2310,"")</f>
        <v/>
      </c>
    </row>
    <row r="2311" customFormat="false" ht="15" hidden="false" customHeight="false" outlineLevel="0" collapsed="false">
      <c r="A2311" s="21" t="s">
        <v>3526</v>
      </c>
      <c r="B2311" s="21" t="s">
        <v>1030</v>
      </c>
      <c r="C2311" s="21" t="s">
        <v>1239</v>
      </c>
      <c r="D2311" s="21" t="s">
        <v>1243</v>
      </c>
      <c r="E2311" s="33" t="n">
        <v>45929</v>
      </c>
      <c r="F2311" s="21" t="s">
        <v>1175</v>
      </c>
      <c r="G2311" s="32"/>
      <c r="H2311" s="21"/>
      <c r="I2311" s="33"/>
      <c r="J2311" s="21" t="str">
        <f aca="false">INDEX(Students!$C$2:$C$601,MATCH(B2311,Students!$A$2:$A$601,0))</f>
        <v>Batch 2026</v>
      </c>
      <c r="K2311" s="21" t="str">
        <f aca="false">INDEX(Students!$D$2:$D$601,MATCH(B2311,Students!$A$2:$A$601,0))</f>
        <v>Data Science &amp; ML</v>
      </c>
      <c r="L2311" s="21" t="str">
        <f aca="false">INDEX(Companies!$C$2:$C$31,MATCH(C2311,Companies!$A$2:$A$31,0))</f>
        <v>E-commerce</v>
      </c>
      <c r="M2311" s="21" t="str">
        <f aca="false">INDEX(Companies!$D$2:$D$31,MATCH(C2311,Companies!$A$2:$A$31,0))</f>
        <v>Tier 3</v>
      </c>
      <c r="N2311" s="34" t="n">
        <f aca="false">MATCH(F2311,Assumptions!$K$4:$K$8,0)</f>
        <v>1</v>
      </c>
      <c r="O2311" s="21" t="str">
        <f aca="false">IF(H2311="Yes",MONTH(I2311),"")</f>
        <v/>
      </c>
      <c r="P2311" s="21" t="str">
        <f aca="false">IF(H2311="Yes",B2311,"")</f>
        <v/>
      </c>
    </row>
    <row r="2312" customFormat="false" ht="15" hidden="false" customHeight="false" outlineLevel="0" collapsed="false">
      <c r="A2312" s="21" t="s">
        <v>3527</v>
      </c>
      <c r="B2312" s="21" t="s">
        <v>1100</v>
      </c>
      <c r="C2312" s="21" t="s">
        <v>1298</v>
      </c>
      <c r="D2312" s="21" t="s">
        <v>1181</v>
      </c>
      <c r="E2312" s="33" t="n">
        <v>45929</v>
      </c>
      <c r="F2312" s="21" t="s">
        <v>1185</v>
      </c>
      <c r="G2312" s="32" t="n">
        <v>13.3</v>
      </c>
      <c r="H2312" s="21" t="s">
        <v>120</v>
      </c>
      <c r="I2312" s="33" t="n">
        <v>45969</v>
      </c>
      <c r="J2312" s="21" t="str">
        <f aca="false">INDEX(Students!$C$2:$C$601,MATCH(B2312,Students!$A$2:$A$601,0))</f>
        <v>Batch 2026</v>
      </c>
      <c r="K2312" s="21" t="str">
        <f aca="false">INDEX(Students!$D$2:$D$601,MATCH(B2312,Students!$A$2:$A$601,0))</f>
        <v>Full Stack Development</v>
      </c>
      <c r="L2312" s="21" t="str">
        <f aca="false">INDEX(Companies!$C$2:$C$31,MATCH(C2312,Companies!$A$2:$A$31,0))</f>
        <v>Fintech</v>
      </c>
      <c r="M2312" s="21" t="str">
        <f aca="false">INDEX(Companies!$D$2:$D$31,MATCH(C2312,Companies!$A$2:$A$31,0))</f>
        <v>Tier 2</v>
      </c>
      <c r="N2312" s="34" t="n">
        <f aca="false">MATCH(F2312,Assumptions!$K$4:$K$8,0)</f>
        <v>5</v>
      </c>
      <c r="O2312" s="21" t="n">
        <f aca="false">IF(H2312="Yes",MONTH(I2312),"")</f>
        <v>11</v>
      </c>
      <c r="P2312" s="21" t="str">
        <f aca="false">IF(H2312="Yes",B2312,"")</f>
        <v>S0562</v>
      </c>
    </row>
    <row r="2313" customFormat="false" ht="15" hidden="false" customHeight="false" outlineLevel="0" collapsed="false">
      <c r="A2313" s="21" t="s">
        <v>3528</v>
      </c>
      <c r="B2313" s="21" t="s">
        <v>1130</v>
      </c>
      <c r="C2313" s="21" t="s">
        <v>1177</v>
      </c>
      <c r="D2313" s="21" t="s">
        <v>1209</v>
      </c>
      <c r="E2313" s="33" t="n">
        <v>45929</v>
      </c>
      <c r="F2313" s="21" t="s">
        <v>1175</v>
      </c>
      <c r="G2313" s="32"/>
      <c r="H2313" s="21"/>
      <c r="I2313" s="33"/>
      <c r="J2313" s="21" t="str">
        <f aca="false">INDEX(Students!$C$2:$C$601,MATCH(B2313,Students!$A$2:$A$601,0))</f>
        <v>Batch 2026</v>
      </c>
      <c r="K2313" s="21" t="str">
        <f aca="false">INDEX(Students!$D$2:$D$601,MATCH(B2313,Students!$A$2:$A$601,0))</f>
        <v>Data Analytics</v>
      </c>
      <c r="L2313" s="21" t="str">
        <f aca="false">INDEX(Companies!$C$2:$C$31,MATCH(C2313,Companies!$A$2:$A$31,0))</f>
        <v>IT Services</v>
      </c>
      <c r="M2313" s="21" t="str">
        <f aca="false">INDEX(Companies!$D$2:$D$31,MATCH(C2313,Companies!$A$2:$A$31,0))</f>
        <v>Tier 3</v>
      </c>
      <c r="N2313" s="34" t="n">
        <f aca="false">MATCH(F2313,Assumptions!$K$4:$K$8,0)</f>
        <v>1</v>
      </c>
      <c r="O2313" s="21" t="str">
        <f aca="false">IF(H2313="Yes",MONTH(I2313),"")</f>
        <v/>
      </c>
      <c r="P2313" s="21" t="str">
        <f aca="false">IF(H2313="Yes",B2313,"")</f>
        <v/>
      </c>
    </row>
    <row r="2314" customFormat="false" ht="15" hidden="false" customHeight="false" outlineLevel="0" collapsed="false">
      <c r="A2314" s="21" t="s">
        <v>3529</v>
      </c>
      <c r="B2314" s="21" t="s">
        <v>950</v>
      </c>
      <c r="C2314" s="21" t="s">
        <v>1239</v>
      </c>
      <c r="D2314" s="21" t="s">
        <v>1184</v>
      </c>
      <c r="E2314" s="33" t="n">
        <v>45929</v>
      </c>
      <c r="F2314" s="21" t="s">
        <v>1175</v>
      </c>
      <c r="G2314" s="32"/>
      <c r="H2314" s="21"/>
      <c r="I2314" s="33"/>
      <c r="J2314" s="21" t="str">
        <f aca="false">INDEX(Students!$C$2:$C$601,MATCH(B2314,Students!$A$2:$A$601,0))</f>
        <v>Batch 2026</v>
      </c>
      <c r="K2314" s="21" t="str">
        <f aca="false">INDEX(Students!$D$2:$D$601,MATCH(B2314,Students!$A$2:$A$601,0))</f>
        <v>DSA with Java</v>
      </c>
      <c r="L2314" s="21" t="str">
        <f aca="false">INDEX(Companies!$C$2:$C$31,MATCH(C2314,Companies!$A$2:$A$31,0))</f>
        <v>E-commerce</v>
      </c>
      <c r="M2314" s="21" t="str">
        <f aca="false">INDEX(Companies!$D$2:$D$31,MATCH(C2314,Companies!$A$2:$A$31,0))</f>
        <v>Tier 3</v>
      </c>
      <c r="N2314" s="34" t="n">
        <f aca="false">MATCH(F2314,Assumptions!$K$4:$K$8,0)</f>
        <v>1</v>
      </c>
      <c r="O2314" s="21" t="str">
        <f aca="false">IF(H2314="Yes",MONTH(I2314),"")</f>
        <v/>
      </c>
      <c r="P2314" s="21" t="str">
        <f aca="false">IF(H2314="Yes",B2314,"")</f>
        <v/>
      </c>
    </row>
    <row r="2315" customFormat="false" ht="15" hidden="false" customHeight="false" outlineLevel="0" collapsed="false">
      <c r="A2315" s="21" t="s">
        <v>3530</v>
      </c>
      <c r="B2315" s="21" t="s">
        <v>870</v>
      </c>
      <c r="C2315" s="21" t="s">
        <v>1177</v>
      </c>
      <c r="D2315" s="21" t="s">
        <v>1174</v>
      </c>
      <c r="E2315" s="33" t="n">
        <v>45929</v>
      </c>
      <c r="F2315" s="21" t="s">
        <v>1178</v>
      </c>
      <c r="G2315" s="32"/>
      <c r="H2315" s="21"/>
      <c r="I2315" s="33"/>
      <c r="J2315" s="21" t="str">
        <f aca="false">INDEX(Students!$C$2:$C$601,MATCH(B2315,Students!$A$2:$A$601,0))</f>
        <v>Batch 2026</v>
      </c>
      <c r="K2315" s="21" t="str">
        <f aca="false">INDEX(Students!$D$2:$D$601,MATCH(B2315,Students!$A$2:$A$601,0))</f>
        <v>Full Stack Development</v>
      </c>
      <c r="L2315" s="21" t="str">
        <f aca="false">INDEX(Companies!$C$2:$C$31,MATCH(C2315,Companies!$A$2:$A$31,0))</f>
        <v>IT Services</v>
      </c>
      <c r="M2315" s="21" t="str">
        <f aca="false">INDEX(Companies!$D$2:$D$31,MATCH(C2315,Companies!$A$2:$A$31,0))</f>
        <v>Tier 3</v>
      </c>
      <c r="N2315" s="34" t="n">
        <f aca="false">MATCH(F2315,Assumptions!$K$4:$K$8,0)</f>
        <v>2</v>
      </c>
      <c r="O2315" s="21" t="str">
        <f aca="false">IF(H2315="Yes",MONTH(I2315),"")</f>
        <v/>
      </c>
      <c r="P2315" s="21" t="str">
        <f aca="false">IF(H2315="Yes",B2315,"")</f>
        <v/>
      </c>
    </row>
    <row r="2316" customFormat="false" ht="15" hidden="false" customHeight="false" outlineLevel="0" collapsed="false">
      <c r="A2316" s="21" t="s">
        <v>3531</v>
      </c>
      <c r="B2316" s="21" t="s">
        <v>813</v>
      </c>
      <c r="C2316" s="21" t="s">
        <v>1309</v>
      </c>
      <c r="D2316" s="21" t="s">
        <v>1184</v>
      </c>
      <c r="E2316" s="33" t="n">
        <v>45929</v>
      </c>
      <c r="F2316" s="21" t="s">
        <v>1175</v>
      </c>
      <c r="G2316" s="32"/>
      <c r="H2316" s="21"/>
      <c r="I2316" s="33"/>
      <c r="J2316" s="21" t="str">
        <f aca="false">INDEX(Students!$C$2:$C$601,MATCH(B2316,Students!$A$2:$A$601,0))</f>
        <v>Batch 2026</v>
      </c>
      <c r="K2316" s="21" t="str">
        <f aca="false">INDEX(Students!$D$2:$D$601,MATCH(B2316,Students!$A$2:$A$601,0))</f>
        <v>DSA with Java</v>
      </c>
      <c r="L2316" s="21" t="str">
        <f aca="false">INDEX(Companies!$C$2:$C$31,MATCH(C2316,Companies!$A$2:$A$31,0))</f>
        <v>EdTech</v>
      </c>
      <c r="M2316" s="21" t="str">
        <f aca="false">INDEX(Companies!$D$2:$D$31,MATCH(C2316,Companies!$A$2:$A$31,0))</f>
        <v>Tier 2</v>
      </c>
      <c r="N2316" s="34" t="n">
        <f aca="false">MATCH(F2316,Assumptions!$K$4:$K$8,0)</f>
        <v>1</v>
      </c>
      <c r="O2316" s="21" t="str">
        <f aca="false">IF(H2316="Yes",MONTH(I2316),"")</f>
        <v/>
      </c>
      <c r="P2316" s="21" t="str">
        <f aca="false">IF(H2316="Yes",B2316,"")</f>
        <v/>
      </c>
    </row>
    <row r="2317" customFormat="false" ht="15" hidden="false" customHeight="false" outlineLevel="0" collapsed="false">
      <c r="A2317" s="21" t="s">
        <v>3532</v>
      </c>
      <c r="B2317" s="21" t="s">
        <v>916</v>
      </c>
      <c r="C2317" s="21" t="s">
        <v>1225</v>
      </c>
      <c r="D2317" s="21" t="s">
        <v>1191</v>
      </c>
      <c r="E2317" s="33" t="n">
        <v>45929</v>
      </c>
      <c r="F2317" s="21" t="s">
        <v>1178</v>
      </c>
      <c r="G2317" s="32"/>
      <c r="H2317" s="21"/>
      <c r="I2317" s="33"/>
      <c r="J2317" s="21" t="str">
        <f aca="false">INDEX(Students!$C$2:$C$601,MATCH(B2317,Students!$A$2:$A$601,0))</f>
        <v>Batch 2026</v>
      </c>
      <c r="K2317" s="21" t="str">
        <f aca="false">INDEX(Students!$D$2:$D$601,MATCH(B2317,Students!$A$2:$A$601,0))</f>
        <v>DSA with Java</v>
      </c>
      <c r="L2317" s="21" t="str">
        <f aca="false">INDEX(Companies!$C$2:$C$31,MATCH(C2317,Companies!$A$2:$A$31,0))</f>
        <v>EdTech</v>
      </c>
      <c r="M2317" s="21" t="str">
        <f aca="false">INDEX(Companies!$D$2:$D$31,MATCH(C2317,Companies!$A$2:$A$31,0))</f>
        <v>Tier 2</v>
      </c>
      <c r="N2317" s="34" t="n">
        <f aca="false">MATCH(F2317,Assumptions!$K$4:$K$8,0)</f>
        <v>2</v>
      </c>
      <c r="O2317" s="21" t="str">
        <f aca="false">IF(H2317="Yes",MONTH(I2317),"")</f>
        <v/>
      </c>
      <c r="P2317" s="21" t="str">
        <f aca="false">IF(H2317="Yes",B2317,"")</f>
        <v/>
      </c>
    </row>
    <row r="2318" customFormat="false" ht="15" hidden="false" customHeight="false" outlineLevel="0" collapsed="false">
      <c r="A2318" s="21" t="s">
        <v>3533</v>
      </c>
      <c r="B2318" s="21" t="s">
        <v>954</v>
      </c>
      <c r="C2318" s="21" t="s">
        <v>1173</v>
      </c>
      <c r="D2318" s="21" t="s">
        <v>1191</v>
      </c>
      <c r="E2318" s="33" t="n">
        <v>45930</v>
      </c>
      <c r="F2318" s="21" t="s">
        <v>1218</v>
      </c>
      <c r="G2318" s="32"/>
      <c r="H2318" s="21"/>
      <c r="I2318" s="33"/>
      <c r="J2318" s="21" t="str">
        <f aca="false">INDEX(Students!$C$2:$C$601,MATCH(B2318,Students!$A$2:$A$601,0))</f>
        <v>Batch 2026</v>
      </c>
      <c r="K2318" s="21" t="str">
        <f aca="false">INDEX(Students!$D$2:$D$601,MATCH(B2318,Students!$A$2:$A$601,0))</f>
        <v>DSA with Java</v>
      </c>
      <c r="L2318" s="21" t="str">
        <f aca="false">INDEX(Companies!$C$2:$C$31,MATCH(C2318,Companies!$A$2:$A$31,0))</f>
        <v>Cybersecurity</v>
      </c>
      <c r="M2318" s="21" t="str">
        <f aca="false">INDEX(Companies!$D$2:$D$31,MATCH(C2318,Companies!$A$2:$A$31,0))</f>
        <v>Tier 1</v>
      </c>
      <c r="N2318" s="34" t="n">
        <f aca="false">MATCH(F2318,Assumptions!$K$4:$K$8,0)</f>
        <v>4</v>
      </c>
      <c r="O2318" s="21" t="str">
        <f aca="false">IF(H2318="Yes",MONTH(I2318),"")</f>
        <v/>
      </c>
      <c r="P2318" s="21" t="str">
        <f aca="false">IF(H2318="Yes",B2318,"")</f>
        <v/>
      </c>
    </row>
    <row r="2319" customFormat="false" ht="15" hidden="false" customHeight="false" outlineLevel="0" collapsed="false">
      <c r="A2319" s="21" t="s">
        <v>3534</v>
      </c>
      <c r="B2319" s="21" t="s">
        <v>1133</v>
      </c>
      <c r="C2319" s="21" t="s">
        <v>1211</v>
      </c>
      <c r="D2319" s="21" t="s">
        <v>1209</v>
      </c>
      <c r="E2319" s="33" t="n">
        <v>45930</v>
      </c>
      <c r="F2319" s="21" t="s">
        <v>1175</v>
      </c>
      <c r="G2319" s="32"/>
      <c r="H2319" s="21"/>
      <c r="I2319" s="33"/>
      <c r="J2319" s="21" t="str">
        <f aca="false">INDEX(Students!$C$2:$C$601,MATCH(B2319,Students!$A$2:$A$601,0))</f>
        <v>Batch 2026</v>
      </c>
      <c r="K2319" s="21" t="str">
        <f aca="false">INDEX(Students!$D$2:$D$601,MATCH(B2319,Students!$A$2:$A$601,0))</f>
        <v>Data Analytics</v>
      </c>
      <c r="L2319" s="21" t="str">
        <f aca="false">INDEX(Companies!$C$2:$C$31,MATCH(C2319,Companies!$A$2:$A$31,0))</f>
        <v>Analytics &amp; Consulting</v>
      </c>
      <c r="M2319" s="21" t="str">
        <f aca="false">INDEX(Companies!$D$2:$D$31,MATCH(C2319,Companies!$A$2:$A$31,0))</f>
        <v>Tier 3</v>
      </c>
      <c r="N2319" s="34" t="n">
        <f aca="false">MATCH(F2319,Assumptions!$K$4:$K$8,0)</f>
        <v>1</v>
      </c>
      <c r="O2319" s="21" t="str">
        <f aca="false">IF(H2319="Yes",MONTH(I2319),"")</f>
        <v/>
      </c>
      <c r="P2319" s="21" t="str">
        <f aca="false">IF(H2319="Yes",B2319,"")</f>
        <v/>
      </c>
    </row>
    <row r="2320" customFormat="false" ht="15" hidden="false" customHeight="false" outlineLevel="0" collapsed="false">
      <c r="A2320" s="21" t="s">
        <v>3535</v>
      </c>
      <c r="B2320" s="21" t="s">
        <v>866</v>
      </c>
      <c r="C2320" s="21" t="s">
        <v>1290</v>
      </c>
      <c r="D2320" s="21" t="s">
        <v>1174</v>
      </c>
      <c r="E2320" s="33" t="n">
        <v>45931</v>
      </c>
      <c r="F2320" s="21" t="s">
        <v>1178</v>
      </c>
      <c r="G2320" s="32"/>
      <c r="H2320" s="21"/>
      <c r="I2320" s="33"/>
      <c r="J2320" s="21" t="str">
        <f aca="false">INDEX(Students!$C$2:$C$601,MATCH(B2320,Students!$A$2:$A$601,0))</f>
        <v>Batch 2026</v>
      </c>
      <c r="K2320" s="21" t="str">
        <f aca="false">INDEX(Students!$D$2:$D$601,MATCH(B2320,Students!$A$2:$A$601,0))</f>
        <v>Full Stack Development</v>
      </c>
      <c r="L2320" s="21" t="str">
        <f aca="false">INDEX(Companies!$C$2:$C$31,MATCH(C2320,Companies!$A$2:$A$31,0))</f>
        <v>Fintech</v>
      </c>
      <c r="M2320" s="21" t="str">
        <f aca="false">INDEX(Companies!$D$2:$D$31,MATCH(C2320,Companies!$A$2:$A$31,0))</f>
        <v>Tier 2</v>
      </c>
      <c r="N2320" s="34" t="n">
        <f aca="false">MATCH(F2320,Assumptions!$K$4:$K$8,0)</f>
        <v>2</v>
      </c>
      <c r="O2320" s="21" t="str">
        <f aca="false">IF(H2320="Yes",MONTH(I2320),"")</f>
        <v/>
      </c>
      <c r="P2320" s="21" t="str">
        <f aca="false">IF(H2320="Yes",B2320,"")</f>
        <v/>
      </c>
    </row>
    <row r="2321" customFormat="false" ht="15" hidden="false" customHeight="false" outlineLevel="0" collapsed="false">
      <c r="A2321" s="21" t="s">
        <v>3536</v>
      </c>
      <c r="B2321" s="21" t="s">
        <v>1013</v>
      </c>
      <c r="C2321" s="21" t="s">
        <v>1275</v>
      </c>
      <c r="D2321" s="21" t="s">
        <v>1209</v>
      </c>
      <c r="E2321" s="33" t="n">
        <v>45931</v>
      </c>
      <c r="F2321" s="21" t="s">
        <v>1178</v>
      </c>
      <c r="G2321" s="32"/>
      <c r="H2321" s="21"/>
      <c r="I2321" s="33"/>
      <c r="J2321" s="21" t="str">
        <f aca="false">INDEX(Students!$C$2:$C$601,MATCH(B2321,Students!$A$2:$A$601,0))</f>
        <v>Batch 2026</v>
      </c>
      <c r="K2321" s="21" t="str">
        <f aca="false">INDEX(Students!$D$2:$D$601,MATCH(B2321,Students!$A$2:$A$601,0))</f>
        <v>Data Analytics</v>
      </c>
      <c r="L2321" s="21" t="str">
        <f aca="false">INDEX(Companies!$C$2:$C$31,MATCH(C2321,Companies!$A$2:$A$31,0))</f>
        <v>Cybersecurity</v>
      </c>
      <c r="M2321" s="21" t="str">
        <f aca="false">INDEX(Companies!$D$2:$D$31,MATCH(C2321,Companies!$A$2:$A$31,0))</f>
        <v>Tier 2</v>
      </c>
      <c r="N2321" s="34" t="n">
        <f aca="false">MATCH(F2321,Assumptions!$K$4:$K$8,0)</f>
        <v>2</v>
      </c>
      <c r="O2321" s="21" t="str">
        <f aca="false">IF(H2321="Yes",MONTH(I2321),"")</f>
        <v/>
      </c>
      <c r="P2321" s="21" t="str">
        <f aca="false">IF(H2321="Yes",B2321,"")</f>
        <v/>
      </c>
    </row>
    <row r="2322" customFormat="false" ht="15" hidden="false" customHeight="false" outlineLevel="0" collapsed="false">
      <c r="A2322" s="21" t="s">
        <v>3537</v>
      </c>
      <c r="B2322" s="21" t="s">
        <v>939</v>
      </c>
      <c r="C2322" s="21" t="s">
        <v>1228</v>
      </c>
      <c r="D2322" s="21" t="s">
        <v>1240</v>
      </c>
      <c r="E2322" s="33" t="n">
        <v>45931</v>
      </c>
      <c r="F2322" s="21" t="s">
        <v>1218</v>
      </c>
      <c r="G2322" s="32"/>
      <c r="H2322" s="21"/>
      <c r="I2322" s="33"/>
      <c r="J2322" s="21" t="str">
        <f aca="false">INDEX(Students!$C$2:$C$601,MATCH(B2322,Students!$A$2:$A$601,0))</f>
        <v>Batch 2026</v>
      </c>
      <c r="K2322" s="21" t="str">
        <f aca="false">INDEX(Students!$D$2:$D$601,MATCH(B2322,Students!$A$2:$A$601,0))</f>
        <v>Cybersecurity</v>
      </c>
      <c r="L2322" s="21" t="str">
        <f aca="false">INDEX(Companies!$C$2:$C$31,MATCH(C2322,Companies!$A$2:$A$31,0))</f>
        <v>Fintech</v>
      </c>
      <c r="M2322" s="21" t="str">
        <f aca="false">INDEX(Companies!$D$2:$D$31,MATCH(C2322,Companies!$A$2:$A$31,0))</f>
        <v>Tier 1</v>
      </c>
      <c r="N2322" s="34" t="n">
        <f aca="false">MATCH(F2322,Assumptions!$K$4:$K$8,0)</f>
        <v>4</v>
      </c>
      <c r="O2322" s="21" t="str">
        <f aca="false">IF(H2322="Yes",MONTH(I2322),"")</f>
        <v/>
      </c>
      <c r="P2322" s="21" t="str">
        <f aca="false">IF(H2322="Yes",B2322,"")</f>
        <v/>
      </c>
    </row>
    <row r="2323" customFormat="false" ht="15" hidden="false" customHeight="false" outlineLevel="0" collapsed="false">
      <c r="A2323" s="21" t="s">
        <v>3538</v>
      </c>
      <c r="B2323" s="21" t="s">
        <v>1131</v>
      </c>
      <c r="C2323" s="21" t="s">
        <v>1216</v>
      </c>
      <c r="D2323" s="21" t="s">
        <v>1209</v>
      </c>
      <c r="E2323" s="33" t="n">
        <v>45932</v>
      </c>
      <c r="F2323" s="21" t="s">
        <v>1175</v>
      </c>
      <c r="G2323" s="32"/>
      <c r="H2323" s="21"/>
      <c r="I2323" s="33"/>
      <c r="J2323" s="21" t="str">
        <f aca="false">INDEX(Students!$C$2:$C$601,MATCH(B2323,Students!$A$2:$A$601,0))</f>
        <v>Batch 2026</v>
      </c>
      <c r="K2323" s="21" t="str">
        <f aca="false">INDEX(Students!$D$2:$D$601,MATCH(B2323,Students!$A$2:$A$601,0))</f>
        <v>Data Analytics</v>
      </c>
      <c r="L2323" s="21" t="str">
        <f aca="false">INDEX(Companies!$C$2:$C$31,MATCH(C2323,Companies!$A$2:$A$31,0))</f>
        <v>IT Services</v>
      </c>
      <c r="M2323" s="21" t="str">
        <f aca="false">INDEX(Companies!$D$2:$D$31,MATCH(C2323,Companies!$A$2:$A$31,0))</f>
        <v>Tier 3</v>
      </c>
      <c r="N2323" s="34" t="n">
        <f aca="false">MATCH(F2323,Assumptions!$K$4:$K$8,0)</f>
        <v>1</v>
      </c>
      <c r="O2323" s="21" t="str">
        <f aca="false">IF(H2323="Yes",MONTH(I2323),"")</f>
        <v/>
      </c>
      <c r="P2323" s="21" t="str">
        <f aca="false">IF(H2323="Yes",B2323,"")</f>
        <v/>
      </c>
    </row>
    <row r="2324" customFormat="false" ht="15" hidden="false" customHeight="false" outlineLevel="0" collapsed="false">
      <c r="A2324" s="21" t="s">
        <v>3539</v>
      </c>
      <c r="B2324" s="21" t="s">
        <v>844</v>
      </c>
      <c r="C2324" s="21" t="s">
        <v>1196</v>
      </c>
      <c r="D2324" s="21" t="s">
        <v>1181</v>
      </c>
      <c r="E2324" s="33" t="n">
        <v>45932</v>
      </c>
      <c r="F2324" s="21" t="s">
        <v>1185</v>
      </c>
      <c r="G2324" s="32" t="n">
        <v>4.3</v>
      </c>
      <c r="H2324" s="21" t="s">
        <v>120</v>
      </c>
      <c r="I2324" s="33" t="n">
        <v>45969</v>
      </c>
      <c r="J2324" s="21" t="str">
        <f aca="false">INDEX(Students!$C$2:$C$601,MATCH(B2324,Students!$A$2:$A$601,0))</f>
        <v>Batch 2026</v>
      </c>
      <c r="K2324" s="21" t="str">
        <f aca="false">INDEX(Students!$D$2:$D$601,MATCH(B2324,Students!$A$2:$A$601,0))</f>
        <v>Full Stack Development</v>
      </c>
      <c r="L2324" s="21" t="str">
        <f aca="false">INDEX(Companies!$C$2:$C$31,MATCH(C2324,Companies!$A$2:$A$31,0))</f>
        <v>IT Services</v>
      </c>
      <c r="M2324" s="21" t="str">
        <f aca="false">INDEX(Companies!$D$2:$D$31,MATCH(C2324,Companies!$A$2:$A$31,0))</f>
        <v>Tier 3</v>
      </c>
      <c r="N2324" s="34" t="n">
        <f aca="false">MATCH(F2324,Assumptions!$K$4:$K$8,0)</f>
        <v>5</v>
      </c>
      <c r="O2324" s="21" t="n">
        <f aca="false">IF(H2324="Yes",MONTH(I2324),"")</f>
        <v>11</v>
      </c>
      <c r="P2324" s="21" t="str">
        <f aca="false">IF(H2324="Yes",B2324,"")</f>
        <v>S0403</v>
      </c>
    </row>
    <row r="2325" customFormat="false" ht="15" hidden="false" customHeight="false" outlineLevel="0" collapsed="false">
      <c r="A2325" s="21" t="s">
        <v>3540</v>
      </c>
      <c r="B2325" s="21" t="s">
        <v>1042</v>
      </c>
      <c r="C2325" s="21" t="s">
        <v>1201</v>
      </c>
      <c r="D2325" s="21" t="s">
        <v>1194</v>
      </c>
      <c r="E2325" s="33" t="n">
        <v>45932</v>
      </c>
      <c r="F2325" s="21" t="s">
        <v>1185</v>
      </c>
      <c r="G2325" s="32" t="n">
        <v>5.1</v>
      </c>
      <c r="H2325" s="21" t="s">
        <v>113</v>
      </c>
      <c r="I2325" s="33" t="n">
        <v>45973</v>
      </c>
      <c r="J2325" s="21" t="str">
        <f aca="false">INDEX(Students!$C$2:$C$601,MATCH(B2325,Students!$A$2:$A$601,0))</f>
        <v>Batch 2026</v>
      </c>
      <c r="K2325" s="21" t="str">
        <f aca="false">INDEX(Students!$D$2:$D$601,MATCH(B2325,Students!$A$2:$A$601,0))</f>
        <v>Data Science &amp; ML</v>
      </c>
      <c r="L2325" s="21" t="str">
        <f aca="false">INDEX(Companies!$C$2:$C$31,MATCH(C2325,Companies!$A$2:$A$31,0))</f>
        <v>IT Services</v>
      </c>
      <c r="M2325" s="21" t="str">
        <f aca="false">INDEX(Companies!$D$2:$D$31,MATCH(C2325,Companies!$A$2:$A$31,0))</f>
        <v>Tier 3</v>
      </c>
      <c r="N2325" s="34" t="n">
        <f aca="false">MATCH(F2325,Assumptions!$K$4:$K$8,0)</f>
        <v>5</v>
      </c>
      <c r="O2325" s="21" t="str">
        <f aca="false">IF(H2325="Yes",MONTH(I2325),"")</f>
        <v/>
      </c>
      <c r="P2325" s="21" t="str">
        <f aca="false">IF(H2325="Yes",B2325,"")</f>
        <v/>
      </c>
    </row>
    <row r="2326" customFormat="false" ht="15" hidden="false" customHeight="false" outlineLevel="0" collapsed="false">
      <c r="A2326" s="21" t="s">
        <v>3541</v>
      </c>
      <c r="B2326" s="21" t="s">
        <v>981</v>
      </c>
      <c r="C2326" s="21" t="s">
        <v>1203</v>
      </c>
      <c r="D2326" s="21" t="s">
        <v>1174</v>
      </c>
      <c r="E2326" s="33" t="n">
        <v>45932</v>
      </c>
      <c r="F2326" s="21" t="s">
        <v>1185</v>
      </c>
      <c r="G2326" s="32" t="n">
        <v>15</v>
      </c>
      <c r="H2326" s="21" t="s">
        <v>120</v>
      </c>
      <c r="I2326" s="33" t="n">
        <v>45965</v>
      </c>
      <c r="J2326" s="21" t="str">
        <f aca="false">INDEX(Students!$C$2:$C$601,MATCH(B2326,Students!$A$2:$A$601,0))</f>
        <v>Batch 2026</v>
      </c>
      <c r="K2326" s="21" t="str">
        <f aca="false">INDEX(Students!$D$2:$D$601,MATCH(B2326,Students!$A$2:$A$601,0))</f>
        <v>Full Stack Development</v>
      </c>
      <c r="L2326" s="21" t="str">
        <f aca="false">INDEX(Companies!$C$2:$C$31,MATCH(C2326,Companies!$A$2:$A$31,0))</f>
        <v>Healthtech</v>
      </c>
      <c r="M2326" s="21" t="str">
        <f aca="false">INDEX(Companies!$D$2:$D$31,MATCH(C2326,Companies!$A$2:$A$31,0))</f>
        <v>Tier 2</v>
      </c>
      <c r="N2326" s="34" t="n">
        <f aca="false">MATCH(F2326,Assumptions!$K$4:$K$8,0)</f>
        <v>5</v>
      </c>
      <c r="O2326" s="21" t="n">
        <f aca="false">IF(H2326="Yes",MONTH(I2326),"")</f>
        <v>11</v>
      </c>
      <c r="P2326" s="21" t="str">
        <f aca="false">IF(H2326="Yes",B2326,"")</f>
        <v>S0488</v>
      </c>
    </row>
    <row r="2327" customFormat="false" ht="15" hidden="false" customHeight="false" outlineLevel="0" collapsed="false">
      <c r="A2327" s="21" t="s">
        <v>3542</v>
      </c>
      <c r="B2327" s="21" t="s">
        <v>1035</v>
      </c>
      <c r="C2327" s="21" t="s">
        <v>1183</v>
      </c>
      <c r="D2327" s="21" t="s">
        <v>1181</v>
      </c>
      <c r="E2327" s="33" t="n">
        <v>45932</v>
      </c>
      <c r="F2327" s="21" t="s">
        <v>1197</v>
      </c>
      <c r="G2327" s="32"/>
      <c r="H2327" s="21"/>
      <c r="I2327" s="33"/>
      <c r="J2327" s="21" t="str">
        <f aca="false">INDEX(Students!$C$2:$C$601,MATCH(B2327,Students!$A$2:$A$601,0))</f>
        <v>Batch 2026</v>
      </c>
      <c r="K2327" s="21" t="str">
        <f aca="false">INDEX(Students!$D$2:$D$601,MATCH(B2327,Students!$A$2:$A$601,0))</f>
        <v>Full Stack Development</v>
      </c>
      <c r="L2327" s="21" t="str">
        <f aca="false">INDEX(Companies!$C$2:$C$31,MATCH(C2327,Companies!$A$2:$A$31,0))</f>
        <v>E-commerce</v>
      </c>
      <c r="M2327" s="21" t="str">
        <f aca="false">INDEX(Companies!$D$2:$D$31,MATCH(C2327,Companies!$A$2:$A$31,0))</f>
        <v>Tier 2</v>
      </c>
      <c r="N2327" s="34" t="n">
        <f aca="false">MATCH(F2327,Assumptions!$K$4:$K$8,0)</f>
        <v>3</v>
      </c>
      <c r="O2327" s="21" t="str">
        <f aca="false">IF(H2327="Yes",MONTH(I2327),"")</f>
        <v/>
      </c>
      <c r="P2327" s="21" t="str">
        <f aca="false">IF(H2327="Yes",B2327,"")</f>
        <v/>
      </c>
    </row>
    <row r="2328" customFormat="false" ht="15" hidden="false" customHeight="false" outlineLevel="0" collapsed="false">
      <c r="A2328" s="21" t="s">
        <v>3543</v>
      </c>
      <c r="B2328" s="21" t="s">
        <v>1073</v>
      </c>
      <c r="C2328" s="21" t="s">
        <v>1263</v>
      </c>
      <c r="D2328" s="21" t="s">
        <v>1181</v>
      </c>
      <c r="E2328" s="33" t="n">
        <v>45933</v>
      </c>
      <c r="F2328" s="21" t="s">
        <v>1178</v>
      </c>
      <c r="G2328" s="32"/>
      <c r="H2328" s="21"/>
      <c r="I2328" s="33"/>
      <c r="J2328" s="21" t="str">
        <f aca="false">INDEX(Students!$C$2:$C$601,MATCH(B2328,Students!$A$2:$A$601,0))</f>
        <v>Batch 2026</v>
      </c>
      <c r="K2328" s="21" t="str">
        <f aca="false">INDEX(Students!$D$2:$D$601,MATCH(B2328,Students!$A$2:$A$601,0))</f>
        <v>Full Stack Development</v>
      </c>
      <c r="L2328" s="21" t="str">
        <f aca="false">INDEX(Companies!$C$2:$C$31,MATCH(C2328,Companies!$A$2:$A$31,0))</f>
        <v>Analytics &amp; Consulting</v>
      </c>
      <c r="M2328" s="21" t="str">
        <f aca="false">INDEX(Companies!$D$2:$D$31,MATCH(C2328,Companies!$A$2:$A$31,0))</f>
        <v>Tier 2</v>
      </c>
      <c r="N2328" s="34" t="n">
        <f aca="false">MATCH(F2328,Assumptions!$K$4:$K$8,0)</f>
        <v>2</v>
      </c>
      <c r="O2328" s="21" t="str">
        <f aca="false">IF(H2328="Yes",MONTH(I2328),"")</f>
        <v/>
      </c>
      <c r="P2328" s="21" t="str">
        <f aca="false">IF(H2328="Yes",B2328,"")</f>
        <v/>
      </c>
    </row>
    <row r="2329" customFormat="false" ht="15" hidden="false" customHeight="false" outlineLevel="0" collapsed="false">
      <c r="A2329" s="21" t="s">
        <v>3544</v>
      </c>
      <c r="B2329" s="21" t="s">
        <v>917</v>
      </c>
      <c r="C2329" s="21" t="s">
        <v>1234</v>
      </c>
      <c r="D2329" s="21" t="s">
        <v>1181</v>
      </c>
      <c r="E2329" s="33" t="n">
        <v>45933</v>
      </c>
      <c r="F2329" s="21" t="s">
        <v>1175</v>
      </c>
      <c r="G2329" s="32"/>
      <c r="H2329" s="21"/>
      <c r="I2329" s="33"/>
      <c r="J2329" s="21" t="str">
        <f aca="false">INDEX(Students!$C$2:$C$601,MATCH(B2329,Students!$A$2:$A$601,0))</f>
        <v>Batch 2026</v>
      </c>
      <c r="K2329" s="21" t="str">
        <f aca="false">INDEX(Students!$D$2:$D$601,MATCH(B2329,Students!$A$2:$A$601,0))</f>
        <v>Full Stack Development</v>
      </c>
      <c r="L2329" s="21" t="str">
        <f aca="false">INDEX(Companies!$C$2:$C$31,MATCH(C2329,Companies!$A$2:$A$31,0))</f>
        <v>EdTech</v>
      </c>
      <c r="M2329" s="21" t="str">
        <f aca="false">INDEX(Companies!$D$2:$D$31,MATCH(C2329,Companies!$A$2:$A$31,0))</f>
        <v>Tier 3</v>
      </c>
      <c r="N2329" s="34" t="n">
        <f aca="false">MATCH(F2329,Assumptions!$K$4:$K$8,0)</f>
        <v>1</v>
      </c>
      <c r="O2329" s="21" t="str">
        <f aca="false">IF(H2329="Yes",MONTH(I2329),"")</f>
        <v/>
      </c>
      <c r="P2329" s="21" t="str">
        <f aca="false">IF(H2329="Yes",B2329,"")</f>
        <v/>
      </c>
    </row>
    <row r="2330" customFormat="false" ht="15" hidden="false" customHeight="false" outlineLevel="0" collapsed="false">
      <c r="A2330" s="21" t="s">
        <v>3545</v>
      </c>
      <c r="B2330" s="21" t="s">
        <v>956</v>
      </c>
      <c r="C2330" s="21" t="s">
        <v>1201</v>
      </c>
      <c r="D2330" s="21" t="s">
        <v>1209</v>
      </c>
      <c r="E2330" s="33" t="n">
        <v>45933</v>
      </c>
      <c r="F2330" s="21" t="s">
        <v>1185</v>
      </c>
      <c r="G2330" s="32" t="n">
        <v>6.3</v>
      </c>
      <c r="H2330" s="21" t="s">
        <v>113</v>
      </c>
      <c r="I2330" s="33" t="n">
        <v>45987</v>
      </c>
      <c r="J2330" s="21" t="str">
        <f aca="false">INDEX(Students!$C$2:$C$601,MATCH(B2330,Students!$A$2:$A$601,0))</f>
        <v>Batch 2026</v>
      </c>
      <c r="K2330" s="21" t="str">
        <f aca="false">INDEX(Students!$D$2:$D$601,MATCH(B2330,Students!$A$2:$A$601,0))</f>
        <v>Data Analytics</v>
      </c>
      <c r="L2330" s="21" t="str">
        <f aca="false">INDEX(Companies!$C$2:$C$31,MATCH(C2330,Companies!$A$2:$A$31,0))</f>
        <v>IT Services</v>
      </c>
      <c r="M2330" s="21" t="str">
        <f aca="false">INDEX(Companies!$D$2:$D$31,MATCH(C2330,Companies!$A$2:$A$31,0))</f>
        <v>Tier 3</v>
      </c>
      <c r="N2330" s="34" t="n">
        <f aca="false">MATCH(F2330,Assumptions!$K$4:$K$8,0)</f>
        <v>5</v>
      </c>
      <c r="O2330" s="21" t="str">
        <f aca="false">IF(H2330="Yes",MONTH(I2330),"")</f>
        <v/>
      </c>
      <c r="P2330" s="21" t="str">
        <f aca="false">IF(H2330="Yes",B2330,"")</f>
        <v/>
      </c>
    </row>
    <row r="2331" customFormat="false" ht="15" hidden="false" customHeight="false" outlineLevel="0" collapsed="false">
      <c r="A2331" s="21" t="s">
        <v>3546</v>
      </c>
      <c r="B2331" s="21" t="s">
        <v>1069</v>
      </c>
      <c r="C2331" s="21" t="s">
        <v>1211</v>
      </c>
      <c r="D2331" s="21" t="s">
        <v>1243</v>
      </c>
      <c r="E2331" s="33" t="n">
        <v>45933</v>
      </c>
      <c r="F2331" s="21" t="s">
        <v>1218</v>
      </c>
      <c r="G2331" s="32"/>
      <c r="H2331" s="21"/>
      <c r="I2331" s="33"/>
      <c r="J2331" s="21" t="str">
        <f aca="false">INDEX(Students!$C$2:$C$601,MATCH(B2331,Students!$A$2:$A$601,0))</f>
        <v>Batch 2026</v>
      </c>
      <c r="K2331" s="21" t="str">
        <f aca="false">INDEX(Students!$D$2:$D$601,MATCH(B2331,Students!$A$2:$A$601,0))</f>
        <v>Data Science &amp; ML</v>
      </c>
      <c r="L2331" s="21" t="str">
        <f aca="false">INDEX(Companies!$C$2:$C$31,MATCH(C2331,Companies!$A$2:$A$31,0))</f>
        <v>Analytics &amp; Consulting</v>
      </c>
      <c r="M2331" s="21" t="str">
        <f aca="false">INDEX(Companies!$D$2:$D$31,MATCH(C2331,Companies!$A$2:$A$31,0))</f>
        <v>Tier 3</v>
      </c>
      <c r="N2331" s="34" t="n">
        <f aca="false">MATCH(F2331,Assumptions!$K$4:$K$8,0)</f>
        <v>4</v>
      </c>
      <c r="O2331" s="21" t="str">
        <f aca="false">IF(H2331="Yes",MONTH(I2331),"")</f>
        <v/>
      </c>
      <c r="P2331" s="21" t="str">
        <f aca="false">IF(H2331="Yes",B2331,"")</f>
        <v/>
      </c>
    </row>
    <row r="2332" customFormat="false" ht="15" hidden="false" customHeight="false" outlineLevel="0" collapsed="false">
      <c r="A2332" s="21" t="s">
        <v>3547</v>
      </c>
      <c r="B2332" s="21" t="s">
        <v>1092</v>
      </c>
      <c r="C2332" s="21" t="s">
        <v>1180</v>
      </c>
      <c r="D2332" s="21" t="s">
        <v>1174</v>
      </c>
      <c r="E2332" s="33" t="n">
        <v>45933</v>
      </c>
      <c r="F2332" s="21" t="s">
        <v>1185</v>
      </c>
      <c r="G2332" s="32" t="n">
        <v>6.2</v>
      </c>
      <c r="H2332" s="21" t="s">
        <v>113</v>
      </c>
      <c r="I2332" s="33" t="n">
        <v>45964</v>
      </c>
      <c r="J2332" s="21" t="str">
        <f aca="false">INDEX(Students!$C$2:$C$601,MATCH(B2332,Students!$A$2:$A$601,0))</f>
        <v>Batch 2026</v>
      </c>
      <c r="K2332" s="21" t="str">
        <f aca="false">INDEX(Students!$D$2:$D$601,MATCH(B2332,Students!$A$2:$A$601,0))</f>
        <v>Full Stack Development</v>
      </c>
      <c r="L2332" s="21" t="str">
        <f aca="false">INDEX(Companies!$C$2:$C$31,MATCH(C2332,Companies!$A$2:$A$31,0))</f>
        <v>IT Services</v>
      </c>
      <c r="M2332" s="21" t="str">
        <f aca="false">INDEX(Companies!$D$2:$D$31,MATCH(C2332,Companies!$A$2:$A$31,0))</f>
        <v>Tier 3</v>
      </c>
      <c r="N2332" s="34" t="n">
        <f aca="false">MATCH(F2332,Assumptions!$K$4:$K$8,0)</f>
        <v>5</v>
      </c>
      <c r="O2332" s="21" t="str">
        <f aca="false">IF(H2332="Yes",MONTH(I2332),"")</f>
        <v/>
      </c>
      <c r="P2332" s="21" t="str">
        <f aca="false">IF(H2332="Yes",B2332,"")</f>
        <v/>
      </c>
    </row>
    <row r="2333" customFormat="false" ht="15" hidden="false" customHeight="false" outlineLevel="0" collapsed="false">
      <c r="A2333" s="21" t="s">
        <v>3548</v>
      </c>
      <c r="B2333" s="21" t="s">
        <v>972</v>
      </c>
      <c r="C2333" s="21" t="s">
        <v>1180</v>
      </c>
      <c r="D2333" s="21" t="s">
        <v>1209</v>
      </c>
      <c r="E2333" s="33" t="n">
        <v>45933</v>
      </c>
      <c r="F2333" s="21" t="s">
        <v>1175</v>
      </c>
      <c r="G2333" s="32"/>
      <c r="H2333" s="21"/>
      <c r="I2333" s="33"/>
      <c r="J2333" s="21" t="str">
        <f aca="false">INDEX(Students!$C$2:$C$601,MATCH(B2333,Students!$A$2:$A$601,0))</f>
        <v>Batch 2026</v>
      </c>
      <c r="K2333" s="21" t="str">
        <f aca="false">INDEX(Students!$D$2:$D$601,MATCH(B2333,Students!$A$2:$A$601,0))</f>
        <v>Data Analytics</v>
      </c>
      <c r="L2333" s="21" t="str">
        <f aca="false">INDEX(Companies!$C$2:$C$31,MATCH(C2333,Companies!$A$2:$A$31,0))</f>
        <v>IT Services</v>
      </c>
      <c r="M2333" s="21" t="str">
        <f aca="false">INDEX(Companies!$D$2:$D$31,MATCH(C2333,Companies!$A$2:$A$31,0))</f>
        <v>Tier 3</v>
      </c>
      <c r="N2333" s="34" t="n">
        <f aca="false">MATCH(F2333,Assumptions!$K$4:$K$8,0)</f>
        <v>1</v>
      </c>
      <c r="O2333" s="21" t="str">
        <f aca="false">IF(H2333="Yes",MONTH(I2333),"")</f>
        <v/>
      </c>
      <c r="P2333" s="21" t="str">
        <f aca="false">IF(H2333="Yes",B2333,"")</f>
        <v/>
      </c>
    </row>
    <row r="2334" customFormat="false" ht="15" hidden="false" customHeight="false" outlineLevel="0" collapsed="false">
      <c r="A2334" s="21" t="s">
        <v>3549</v>
      </c>
      <c r="B2334" s="21" t="s">
        <v>1157</v>
      </c>
      <c r="C2334" s="21" t="s">
        <v>1234</v>
      </c>
      <c r="D2334" s="21" t="s">
        <v>1240</v>
      </c>
      <c r="E2334" s="33" t="n">
        <v>45933</v>
      </c>
      <c r="F2334" s="21" t="s">
        <v>1175</v>
      </c>
      <c r="G2334" s="32"/>
      <c r="H2334" s="21"/>
      <c r="I2334" s="33"/>
      <c r="J2334" s="21" t="str">
        <f aca="false">INDEX(Students!$C$2:$C$601,MATCH(B2334,Students!$A$2:$A$601,0))</f>
        <v>Batch 2026</v>
      </c>
      <c r="K2334" s="21" t="str">
        <f aca="false">INDEX(Students!$D$2:$D$601,MATCH(B2334,Students!$A$2:$A$601,0))</f>
        <v>Cybersecurity</v>
      </c>
      <c r="L2334" s="21" t="str">
        <f aca="false">INDEX(Companies!$C$2:$C$31,MATCH(C2334,Companies!$A$2:$A$31,0))</f>
        <v>EdTech</v>
      </c>
      <c r="M2334" s="21" t="str">
        <f aca="false">INDEX(Companies!$D$2:$D$31,MATCH(C2334,Companies!$A$2:$A$31,0))</f>
        <v>Tier 3</v>
      </c>
      <c r="N2334" s="34" t="n">
        <f aca="false">MATCH(F2334,Assumptions!$K$4:$K$8,0)</f>
        <v>1</v>
      </c>
      <c r="O2334" s="21" t="str">
        <f aca="false">IF(H2334="Yes",MONTH(I2334),"")</f>
        <v/>
      </c>
      <c r="P2334" s="21" t="str">
        <f aca="false">IF(H2334="Yes",B2334,"")</f>
        <v/>
      </c>
    </row>
    <row r="2335" customFormat="false" ht="15" hidden="false" customHeight="false" outlineLevel="0" collapsed="false">
      <c r="A2335" s="21" t="s">
        <v>3550</v>
      </c>
      <c r="B2335" s="21" t="s">
        <v>1133</v>
      </c>
      <c r="C2335" s="21" t="s">
        <v>1196</v>
      </c>
      <c r="D2335" s="21" t="s">
        <v>1209</v>
      </c>
      <c r="E2335" s="33" t="n">
        <v>45934</v>
      </c>
      <c r="F2335" s="21" t="s">
        <v>1185</v>
      </c>
      <c r="G2335" s="32" t="n">
        <v>5.9</v>
      </c>
      <c r="H2335" s="21" t="s">
        <v>120</v>
      </c>
      <c r="I2335" s="33" t="n">
        <v>45956</v>
      </c>
      <c r="J2335" s="21" t="str">
        <f aca="false">INDEX(Students!$C$2:$C$601,MATCH(B2335,Students!$A$2:$A$601,0))</f>
        <v>Batch 2026</v>
      </c>
      <c r="K2335" s="21" t="str">
        <f aca="false">INDEX(Students!$D$2:$D$601,MATCH(B2335,Students!$A$2:$A$601,0))</f>
        <v>Data Analytics</v>
      </c>
      <c r="L2335" s="21" t="str">
        <f aca="false">INDEX(Companies!$C$2:$C$31,MATCH(C2335,Companies!$A$2:$A$31,0))</f>
        <v>IT Services</v>
      </c>
      <c r="M2335" s="21" t="str">
        <f aca="false">INDEX(Companies!$D$2:$D$31,MATCH(C2335,Companies!$A$2:$A$31,0))</f>
        <v>Tier 3</v>
      </c>
      <c r="N2335" s="34" t="n">
        <f aca="false">MATCH(F2335,Assumptions!$K$4:$K$8,0)</f>
        <v>5</v>
      </c>
      <c r="O2335" s="21" t="n">
        <f aca="false">IF(H2335="Yes",MONTH(I2335),"")</f>
        <v>10</v>
      </c>
      <c r="P2335" s="21" t="str">
        <f aca="false">IF(H2335="Yes",B2335,"")</f>
        <v>S0584</v>
      </c>
    </row>
    <row r="2336" customFormat="false" ht="15" hidden="false" customHeight="false" outlineLevel="0" collapsed="false">
      <c r="A2336" s="21" t="s">
        <v>3551</v>
      </c>
      <c r="B2336" s="21" t="s">
        <v>1009</v>
      </c>
      <c r="C2336" s="21" t="s">
        <v>1263</v>
      </c>
      <c r="D2336" s="21" t="s">
        <v>1191</v>
      </c>
      <c r="E2336" s="33" t="n">
        <v>45934</v>
      </c>
      <c r="F2336" s="21" t="s">
        <v>1175</v>
      </c>
      <c r="G2336" s="32"/>
      <c r="H2336" s="21"/>
      <c r="I2336" s="33"/>
      <c r="J2336" s="21" t="str">
        <f aca="false">INDEX(Students!$C$2:$C$601,MATCH(B2336,Students!$A$2:$A$601,0))</f>
        <v>Batch 2026</v>
      </c>
      <c r="K2336" s="21" t="str">
        <f aca="false">INDEX(Students!$D$2:$D$601,MATCH(B2336,Students!$A$2:$A$601,0))</f>
        <v>DSA with Java</v>
      </c>
      <c r="L2336" s="21" t="str">
        <f aca="false">INDEX(Companies!$C$2:$C$31,MATCH(C2336,Companies!$A$2:$A$31,0))</f>
        <v>Analytics &amp; Consulting</v>
      </c>
      <c r="M2336" s="21" t="str">
        <f aca="false">INDEX(Companies!$D$2:$D$31,MATCH(C2336,Companies!$A$2:$A$31,0))</f>
        <v>Tier 2</v>
      </c>
      <c r="N2336" s="34" t="n">
        <f aca="false">MATCH(F2336,Assumptions!$K$4:$K$8,0)</f>
        <v>1</v>
      </c>
      <c r="O2336" s="21" t="str">
        <f aca="false">IF(H2336="Yes",MONTH(I2336),"")</f>
        <v/>
      </c>
      <c r="P2336" s="21" t="str">
        <f aca="false">IF(H2336="Yes",B2336,"")</f>
        <v/>
      </c>
    </row>
    <row r="2337" customFormat="false" ht="15" hidden="false" customHeight="false" outlineLevel="0" collapsed="false">
      <c r="A2337" s="21" t="s">
        <v>3552</v>
      </c>
      <c r="B2337" s="21" t="s">
        <v>1086</v>
      </c>
      <c r="C2337" s="21" t="s">
        <v>1290</v>
      </c>
      <c r="D2337" s="21" t="s">
        <v>1240</v>
      </c>
      <c r="E2337" s="33" t="n">
        <v>45934</v>
      </c>
      <c r="F2337" s="21" t="s">
        <v>1175</v>
      </c>
      <c r="G2337" s="32"/>
      <c r="H2337" s="21"/>
      <c r="I2337" s="33"/>
      <c r="J2337" s="21" t="str">
        <f aca="false">INDEX(Students!$C$2:$C$601,MATCH(B2337,Students!$A$2:$A$601,0))</f>
        <v>Batch 2026</v>
      </c>
      <c r="K2337" s="21" t="str">
        <f aca="false">INDEX(Students!$D$2:$D$601,MATCH(B2337,Students!$A$2:$A$601,0))</f>
        <v>Cybersecurity</v>
      </c>
      <c r="L2337" s="21" t="str">
        <f aca="false">INDEX(Companies!$C$2:$C$31,MATCH(C2337,Companies!$A$2:$A$31,0))</f>
        <v>Fintech</v>
      </c>
      <c r="M2337" s="21" t="str">
        <f aca="false">INDEX(Companies!$D$2:$D$31,MATCH(C2337,Companies!$A$2:$A$31,0))</f>
        <v>Tier 2</v>
      </c>
      <c r="N2337" s="34" t="n">
        <f aca="false">MATCH(F2337,Assumptions!$K$4:$K$8,0)</f>
        <v>1</v>
      </c>
      <c r="O2337" s="21" t="str">
        <f aca="false">IF(H2337="Yes",MONTH(I2337),"")</f>
        <v/>
      </c>
      <c r="P2337" s="21" t="str">
        <f aca="false">IF(H2337="Yes",B2337,"")</f>
        <v/>
      </c>
    </row>
    <row r="2338" customFormat="false" ht="15" hidden="false" customHeight="false" outlineLevel="0" collapsed="false">
      <c r="A2338" s="21" t="s">
        <v>3553</v>
      </c>
      <c r="B2338" s="21" t="s">
        <v>938</v>
      </c>
      <c r="C2338" s="21" t="s">
        <v>1211</v>
      </c>
      <c r="D2338" s="21" t="s">
        <v>1226</v>
      </c>
      <c r="E2338" s="33" t="n">
        <v>45934</v>
      </c>
      <c r="F2338" s="21" t="s">
        <v>1178</v>
      </c>
      <c r="G2338" s="32"/>
      <c r="H2338" s="21"/>
      <c r="I2338" s="33"/>
      <c r="J2338" s="21" t="str">
        <f aca="false">INDEX(Students!$C$2:$C$601,MATCH(B2338,Students!$A$2:$A$601,0))</f>
        <v>Batch 2026</v>
      </c>
      <c r="K2338" s="21" t="str">
        <f aca="false">INDEX(Students!$D$2:$D$601,MATCH(B2338,Students!$A$2:$A$601,0))</f>
        <v>Cybersecurity</v>
      </c>
      <c r="L2338" s="21" t="str">
        <f aca="false">INDEX(Companies!$C$2:$C$31,MATCH(C2338,Companies!$A$2:$A$31,0))</f>
        <v>Analytics &amp; Consulting</v>
      </c>
      <c r="M2338" s="21" t="str">
        <f aca="false">INDEX(Companies!$D$2:$D$31,MATCH(C2338,Companies!$A$2:$A$31,0))</f>
        <v>Tier 3</v>
      </c>
      <c r="N2338" s="34" t="n">
        <f aca="false">MATCH(F2338,Assumptions!$K$4:$K$8,0)</f>
        <v>2</v>
      </c>
      <c r="O2338" s="21" t="str">
        <f aca="false">IF(H2338="Yes",MONTH(I2338),"")</f>
        <v/>
      </c>
      <c r="P2338" s="21" t="str">
        <f aca="false">IF(H2338="Yes",B2338,"")</f>
        <v/>
      </c>
    </row>
    <row r="2339" customFormat="false" ht="15" hidden="false" customHeight="false" outlineLevel="0" collapsed="false">
      <c r="A2339" s="21" t="s">
        <v>3554</v>
      </c>
      <c r="B2339" s="21" t="s">
        <v>918</v>
      </c>
      <c r="C2339" s="21" t="s">
        <v>1183</v>
      </c>
      <c r="D2339" s="21" t="s">
        <v>1194</v>
      </c>
      <c r="E2339" s="33" t="n">
        <v>45934</v>
      </c>
      <c r="F2339" s="21" t="s">
        <v>1178</v>
      </c>
      <c r="G2339" s="32"/>
      <c r="H2339" s="21"/>
      <c r="I2339" s="33"/>
      <c r="J2339" s="21" t="str">
        <f aca="false">INDEX(Students!$C$2:$C$601,MATCH(B2339,Students!$A$2:$A$601,0))</f>
        <v>Batch 2026</v>
      </c>
      <c r="K2339" s="21" t="str">
        <f aca="false">INDEX(Students!$D$2:$D$601,MATCH(B2339,Students!$A$2:$A$601,0))</f>
        <v>Data Science &amp; ML</v>
      </c>
      <c r="L2339" s="21" t="str">
        <f aca="false">INDEX(Companies!$C$2:$C$31,MATCH(C2339,Companies!$A$2:$A$31,0))</f>
        <v>E-commerce</v>
      </c>
      <c r="M2339" s="21" t="str">
        <f aca="false">INDEX(Companies!$D$2:$D$31,MATCH(C2339,Companies!$A$2:$A$31,0))</f>
        <v>Tier 2</v>
      </c>
      <c r="N2339" s="34" t="n">
        <f aca="false">MATCH(F2339,Assumptions!$K$4:$K$8,0)</f>
        <v>2</v>
      </c>
      <c r="O2339" s="21" t="str">
        <f aca="false">IF(H2339="Yes",MONTH(I2339),"")</f>
        <v/>
      </c>
      <c r="P2339" s="21" t="str">
        <f aca="false">IF(H2339="Yes",B2339,"")</f>
        <v/>
      </c>
    </row>
    <row r="2340" customFormat="false" ht="15" hidden="false" customHeight="false" outlineLevel="0" collapsed="false">
      <c r="A2340" s="21" t="s">
        <v>3555</v>
      </c>
      <c r="B2340" s="21" t="s">
        <v>1116</v>
      </c>
      <c r="C2340" s="21" t="s">
        <v>1199</v>
      </c>
      <c r="D2340" s="21" t="s">
        <v>1243</v>
      </c>
      <c r="E2340" s="33" t="n">
        <v>45935</v>
      </c>
      <c r="F2340" s="21" t="s">
        <v>1185</v>
      </c>
      <c r="G2340" s="32" t="n">
        <v>10.2</v>
      </c>
      <c r="H2340" s="21" t="s">
        <v>120</v>
      </c>
      <c r="I2340" s="33" t="n">
        <v>45959</v>
      </c>
      <c r="J2340" s="21" t="str">
        <f aca="false">INDEX(Students!$C$2:$C$601,MATCH(B2340,Students!$A$2:$A$601,0))</f>
        <v>Batch 2026</v>
      </c>
      <c r="K2340" s="21" t="str">
        <f aca="false">INDEX(Students!$D$2:$D$601,MATCH(B2340,Students!$A$2:$A$601,0))</f>
        <v>Data Science &amp; ML</v>
      </c>
      <c r="L2340" s="21" t="str">
        <f aca="false">INDEX(Companies!$C$2:$C$31,MATCH(C2340,Companies!$A$2:$A$31,0))</f>
        <v>E-commerce</v>
      </c>
      <c r="M2340" s="21" t="str">
        <f aca="false">INDEX(Companies!$D$2:$D$31,MATCH(C2340,Companies!$A$2:$A$31,0))</f>
        <v>Tier 2</v>
      </c>
      <c r="N2340" s="34" t="n">
        <f aca="false">MATCH(F2340,Assumptions!$K$4:$K$8,0)</f>
        <v>5</v>
      </c>
      <c r="O2340" s="21" t="n">
        <f aca="false">IF(H2340="Yes",MONTH(I2340),"")</f>
        <v>10</v>
      </c>
      <c r="P2340" s="21" t="str">
        <f aca="false">IF(H2340="Yes",B2340,"")</f>
        <v>S0571</v>
      </c>
    </row>
    <row r="2341" customFormat="false" ht="15" hidden="false" customHeight="false" outlineLevel="0" collapsed="false">
      <c r="A2341" s="21" t="s">
        <v>3556</v>
      </c>
      <c r="B2341" s="21" t="s">
        <v>814</v>
      </c>
      <c r="C2341" s="21" t="s">
        <v>1193</v>
      </c>
      <c r="D2341" s="21" t="s">
        <v>1209</v>
      </c>
      <c r="E2341" s="33" t="n">
        <v>45935</v>
      </c>
      <c r="F2341" s="21" t="s">
        <v>1175</v>
      </c>
      <c r="G2341" s="32"/>
      <c r="H2341" s="21"/>
      <c r="I2341" s="33"/>
      <c r="J2341" s="21" t="str">
        <f aca="false">INDEX(Students!$C$2:$C$601,MATCH(B2341,Students!$A$2:$A$601,0))</f>
        <v>Batch 2026</v>
      </c>
      <c r="K2341" s="21" t="str">
        <f aca="false">INDEX(Students!$D$2:$D$601,MATCH(B2341,Students!$A$2:$A$601,0))</f>
        <v>Data Analytics</v>
      </c>
      <c r="L2341" s="21" t="str">
        <f aca="false">INDEX(Companies!$C$2:$C$31,MATCH(C2341,Companies!$A$2:$A$31,0))</f>
        <v>Analytics &amp; Consulting</v>
      </c>
      <c r="M2341" s="21" t="str">
        <f aca="false">INDEX(Companies!$D$2:$D$31,MATCH(C2341,Companies!$A$2:$A$31,0))</f>
        <v>Tier 2</v>
      </c>
      <c r="N2341" s="34" t="n">
        <f aca="false">MATCH(F2341,Assumptions!$K$4:$K$8,0)</f>
        <v>1</v>
      </c>
      <c r="O2341" s="21" t="str">
        <f aca="false">IF(H2341="Yes",MONTH(I2341),"")</f>
        <v/>
      </c>
      <c r="P2341" s="21" t="str">
        <f aca="false">IF(H2341="Yes",B2341,"")</f>
        <v/>
      </c>
    </row>
    <row r="2342" customFormat="false" ht="15" hidden="false" customHeight="false" outlineLevel="0" collapsed="false">
      <c r="A2342" s="21" t="s">
        <v>3557</v>
      </c>
      <c r="B2342" s="21" t="s">
        <v>903</v>
      </c>
      <c r="C2342" s="21" t="s">
        <v>1225</v>
      </c>
      <c r="D2342" s="21" t="s">
        <v>1174</v>
      </c>
      <c r="E2342" s="33" t="n">
        <v>45935</v>
      </c>
      <c r="F2342" s="21" t="s">
        <v>1175</v>
      </c>
      <c r="G2342" s="32"/>
      <c r="H2342" s="21"/>
      <c r="I2342" s="33"/>
      <c r="J2342" s="21" t="str">
        <f aca="false">INDEX(Students!$C$2:$C$601,MATCH(B2342,Students!$A$2:$A$601,0))</f>
        <v>Batch 2026</v>
      </c>
      <c r="K2342" s="21" t="str">
        <f aca="false">INDEX(Students!$D$2:$D$601,MATCH(B2342,Students!$A$2:$A$601,0))</f>
        <v>Full Stack Development</v>
      </c>
      <c r="L2342" s="21" t="str">
        <f aca="false">INDEX(Companies!$C$2:$C$31,MATCH(C2342,Companies!$A$2:$A$31,0))</f>
        <v>EdTech</v>
      </c>
      <c r="M2342" s="21" t="str">
        <f aca="false">INDEX(Companies!$D$2:$D$31,MATCH(C2342,Companies!$A$2:$A$31,0))</f>
        <v>Tier 2</v>
      </c>
      <c r="N2342" s="34" t="n">
        <f aca="false">MATCH(F2342,Assumptions!$K$4:$K$8,0)</f>
        <v>1</v>
      </c>
      <c r="O2342" s="21" t="str">
        <f aca="false">IF(H2342="Yes",MONTH(I2342),"")</f>
        <v/>
      </c>
      <c r="P2342" s="21" t="str">
        <f aca="false">IF(H2342="Yes",B2342,"")</f>
        <v/>
      </c>
    </row>
    <row r="2343" customFormat="false" ht="15" hidden="false" customHeight="false" outlineLevel="0" collapsed="false">
      <c r="A2343" s="21" t="s">
        <v>3558</v>
      </c>
      <c r="B2343" s="21" t="s">
        <v>892</v>
      </c>
      <c r="C2343" s="21" t="s">
        <v>1199</v>
      </c>
      <c r="D2343" s="21" t="s">
        <v>1184</v>
      </c>
      <c r="E2343" s="33" t="n">
        <v>45935</v>
      </c>
      <c r="F2343" s="21" t="s">
        <v>1185</v>
      </c>
      <c r="G2343" s="32" t="n">
        <v>12</v>
      </c>
      <c r="H2343" s="21" t="s">
        <v>120</v>
      </c>
      <c r="I2343" s="33" t="n">
        <v>45987</v>
      </c>
      <c r="J2343" s="21" t="str">
        <f aca="false">INDEX(Students!$C$2:$C$601,MATCH(B2343,Students!$A$2:$A$601,0))</f>
        <v>Batch 2026</v>
      </c>
      <c r="K2343" s="21" t="str">
        <f aca="false">INDEX(Students!$D$2:$D$601,MATCH(B2343,Students!$A$2:$A$601,0))</f>
        <v>DSA with Java</v>
      </c>
      <c r="L2343" s="21" t="str">
        <f aca="false">INDEX(Companies!$C$2:$C$31,MATCH(C2343,Companies!$A$2:$A$31,0))</f>
        <v>E-commerce</v>
      </c>
      <c r="M2343" s="21" t="str">
        <f aca="false">INDEX(Companies!$D$2:$D$31,MATCH(C2343,Companies!$A$2:$A$31,0))</f>
        <v>Tier 2</v>
      </c>
      <c r="N2343" s="34" t="n">
        <f aca="false">MATCH(F2343,Assumptions!$K$4:$K$8,0)</f>
        <v>5</v>
      </c>
      <c r="O2343" s="21" t="n">
        <f aca="false">IF(H2343="Yes",MONTH(I2343),"")</f>
        <v>11</v>
      </c>
      <c r="P2343" s="21" t="str">
        <f aca="false">IF(H2343="Yes",B2343,"")</f>
        <v>S0431</v>
      </c>
    </row>
    <row r="2344" customFormat="false" ht="15" hidden="false" customHeight="false" outlineLevel="0" collapsed="false">
      <c r="A2344" s="21" t="s">
        <v>3559</v>
      </c>
      <c r="B2344" s="21" t="s">
        <v>1020</v>
      </c>
      <c r="C2344" s="21" t="s">
        <v>1263</v>
      </c>
      <c r="D2344" s="21" t="s">
        <v>1226</v>
      </c>
      <c r="E2344" s="33" t="n">
        <v>45935</v>
      </c>
      <c r="F2344" s="21" t="s">
        <v>1178</v>
      </c>
      <c r="G2344" s="32"/>
      <c r="H2344" s="21"/>
      <c r="I2344" s="33"/>
      <c r="J2344" s="21" t="str">
        <f aca="false">INDEX(Students!$C$2:$C$601,MATCH(B2344,Students!$A$2:$A$601,0))</f>
        <v>Batch 2026</v>
      </c>
      <c r="K2344" s="21" t="str">
        <f aca="false">INDEX(Students!$D$2:$D$601,MATCH(B2344,Students!$A$2:$A$601,0))</f>
        <v>Cybersecurity</v>
      </c>
      <c r="L2344" s="21" t="str">
        <f aca="false">INDEX(Companies!$C$2:$C$31,MATCH(C2344,Companies!$A$2:$A$31,0))</f>
        <v>Analytics &amp; Consulting</v>
      </c>
      <c r="M2344" s="21" t="str">
        <f aca="false">INDEX(Companies!$D$2:$D$31,MATCH(C2344,Companies!$A$2:$A$31,0))</f>
        <v>Tier 2</v>
      </c>
      <c r="N2344" s="34" t="n">
        <f aca="false">MATCH(F2344,Assumptions!$K$4:$K$8,0)</f>
        <v>2</v>
      </c>
      <c r="O2344" s="21" t="str">
        <f aca="false">IF(H2344="Yes",MONTH(I2344),"")</f>
        <v/>
      </c>
      <c r="P2344" s="21" t="str">
        <f aca="false">IF(H2344="Yes",B2344,"")</f>
        <v/>
      </c>
    </row>
    <row r="2345" customFormat="false" ht="15" hidden="false" customHeight="false" outlineLevel="0" collapsed="false">
      <c r="A2345" s="21" t="s">
        <v>3560</v>
      </c>
      <c r="B2345" s="21" t="s">
        <v>1049</v>
      </c>
      <c r="C2345" s="21" t="s">
        <v>1190</v>
      </c>
      <c r="D2345" s="21" t="s">
        <v>1181</v>
      </c>
      <c r="E2345" s="33" t="n">
        <v>45935</v>
      </c>
      <c r="F2345" s="21" t="s">
        <v>1175</v>
      </c>
      <c r="G2345" s="32"/>
      <c r="H2345" s="21"/>
      <c r="I2345" s="33"/>
      <c r="J2345" s="21" t="str">
        <f aca="false">INDEX(Students!$C$2:$C$601,MATCH(B2345,Students!$A$2:$A$601,0))</f>
        <v>Batch 2026</v>
      </c>
      <c r="K2345" s="21" t="str">
        <f aca="false">INDEX(Students!$D$2:$D$601,MATCH(B2345,Students!$A$2:$A$601,0))</f>
        <v>Full Stack Development</v>
      </c>
      <c r="L2345" s="21" t="str">
        <f aca="false">INDEX(Companies!$C$2:$C$31,MATCH(C2345,Companies!$A$2:$A$31,0))</f>
        <v>Analytics &amp; Consulting</v>
      </c>
      <c r="M2345" s="21" t="str">
        <f aca="false">INDEX(Companies!$D$2:$D$31,MATCH(C2345,Companies!$A$2:$A$31,0))</f>
        <v>Tier 1</v>
      </c>
      <c r="N2345" s="34" t="n">
        <f aca="false">MATCH(F2345,Assumptions!$K$4:$K$8,0)</f>
        <v>1</v>
      </c>
      <c r="O2345" s="21" t="str">
        <f aca="false">IF(H2345="Yes",MONTH(I2345),"")</f>
        <v/>
      </c>
      <c r="P2345" s="21" t="str">
        <f aca="false">IF(H2345="Yes",B2345,"")</f>
        <v/>
      </c>
    </row>
    <row r="2346" customFormat="false" ht="15" hidden="false" customHeight="false" outlineLevel="0" collapsed="false">
      <c r="A2346" s="21" t="s">
        <v>3561</v>
      </c>
      <c r="B2346" s="21" t="s">
        <v>1131</v>
      </c>
      <c r="C2346" s="21" t="s">
        <v>1196</v>
      </c>
      <c r="D2346" s="21" t="s">
        <v>1188</v>
      </c>
      <c r="E2346" s="33" t="n">
        <v>45935</v>
      </c>
      <c r="F2346" s="21" t="s">
        <v>1197</v>
      </c>
      <c r="G2346" s="32"/>
      <c r="H2346" s="21"/>
      <c r="I2346" s="33"/>
      <c r="J2346" s="21" t="str">
        <f aca="false">INDEX(Students!$C$2:$C$601,MATCH(B2346,Students!$A$2:$A$601,0))</f>
        <v>Batch 2026</v>
      </c>
      <c r="K2346" s="21" t="str">
        <f aca="false">INDEX(Students!$D$2:$D$601,MATCH(B2346,Students!$A$2:$A$601,0))</f>
        <v>Data Analytics</v>
      </c>
      <c r="L2346" s="21" t="str">
        <f aca="false">INDEX(Companies!$C$2:$C$31,MATCH(C2346,Companies!$A$2:$A$31,0))</f>
        <v>IT Services</v>
      </c>
      <c r="M2346" s="21" t="str">
        <f aca="false">INDEX(Companies!$D$2:$D$31,MATCH(C2346,Companies!$A$2:$A$31,0))</f>
        <v>Tier 3</v>
      </c>
      <c r="N2346" s="34" t="n">
        <f aca="false">MATCH(F2346,Assumptions!$K$4:$K$8,0)</f>
        <v>3</v>
      </c>
      <c r="O2346" s="21" t="str">
        <f aca="false">IF(H2346="Yes",MONTH(I2346),"")</f>
        <v/>
      </c>
      <c r="P2346" s="21" t="str">
        <f aca="false">IF(H2346="Yes",B2346,"")</f>
        <v/>
      </c>
    </row>
    <row r="2347" customFormat="false" ht="15" hidden="false" customHeight="false" outlineLevel="0" collapsed="false">
      <c r="A2347" s="21" t="s">
        <v>3562</v>
      </c>
      <c r="B2347" s="21" t="s">
        <v>967</v>
      </c>
      <c r="C2347" s="21" t="s">
        <v>1322</v>
      </c>
      <c r="D2347" s="21" t="s">
        <v>1181</v>
      </c>
      <c r="E2347" s="33" t="n">
        <v>45935</v>
      </c>
      <c r="F2347" s="21" t="s">
        <v>1175</v>
      </c>
      <c r="G2347" s="32"/>
      <c r="H2347" s="21"/>
      <c r="I2347" s="33"/>
      <c r="J2347" s="21" t="str">
        <f aca="false">INDEX(Students!$C$2:$C$601,MATCH(B2347,Students!$A$2:$A$601,0))</f>
        <v>Batch 2026</v>
      </c>
      <c r="K2347" s="21" t="str">
        <f aca="false">INDEX(Students!$D$2:$D$601,MATCH(B2347,Students!$A$2:$A$601,0))</f>
        <v>Full Stack Development</v>
      </c>
      <c r="L2347" s="21" t="str">
        <f aca="false">INDEX(Companies!$C$2:$C$31,MATCH(C2347,Companies!$A$2:$A$31,0))</f>
        <v>Healthtech</v>
      </c>
      <c r="M2347" s="21" t="str">
        <f aca="false">INDEX(Companies!$D$2:$D$31,MATCH(C2347,Companies!$A$2:$A$31,0))</f>
        <v>Tier 2</v>
      </c>
      <c r="N2347" s="34" t="n">
        <f aca="false">MATCH(F2347,Assumptions!$K$4:$K$8,0)</f>
        <v>1</v>
      </c>
      <c r="O2347" s="21" t="str">
        <f aca="false">IF(H2347="Yes",MONTH(I2347),"")</f>
        <v/>
      </c>
      <c r="P2347" s="21" t="str">
        <f aca="false">IF(H2347="Yes",B2347,"")</f>
        <v/>
      </c>
    </row>
    <row r="2348" customFormat="false" ht="15" hidden="false" customHeight="false" outlineLevel="0" collapsed="false">
      <c r="A2348" s="21" t="s">
        <v>3563</v>
      </c>
      <c r="B2348" s="21" t="s">
        <v>878</v>
      </c>
      <c r="C2348" s="21" t="s">
        <v>1266</v>
      </c>
      <c r="D2348" s="21" t="s">
        <v>1243</v>
      </c>
      <c r="E2348" s="33" t="n">
        <v>45936</v>
      </c>
      <c r="F2348" s="21" t="s">
        <v>1185</v>
      </c>
      <c r="G2348" s="32" t="n">
        <v>6.1</v>
      </c>
      <c r="H2348" s="21" t="s">
        <v>113</v>
      </c>
      <c r="I2348" s="33" t="n">
        <v>45978</v>
      </c>
      <c r="J2348" s="21" t="str">
        <f aca="false">INDEX(Students!$C$2:$C$601,MATCH(B2348,Students!$A$2:$A$601,0))</f>
        <v>Batch 2026</v>
      </c>
      <c r="K2348" s="21" t="str">
        <f aca="false">INDEX(Students!$D$2:$D$601,MATCH(B2348,Students!$A$2:$A$601,0))</f>
        <v>Data Science &amp; ML</v>
      </c>
      <c r="L2348" s="21" t="str">
        <f aca="false">INDEX(Companies!$C$2:$C$31,MATCH(C2348,Companies!$A$2:$A$31,0))</f>
        <v>IT Services</v>
      </c>
      <c r="M2348" s="21" t="str">
        <f aca="false">INDEX(Companies!$D$2:$D$31,MATCH(C2348,Companies!$A$2:$A$31,0))</f>
        <v>Tier 3</v>
      </c>
      <c r="N2348" s="34" t="n">
        <f aca="false">MATCH(F2348,Assumptions!$K$4:$K$8,0)</f>
        <v>5</v>
      </c>
      <c r="O2348" s="21" t="str">
        <f aca="false">IF(H2348="Yes",MONTH(I2348),"")</f>
        <v/>
      </c>
      <c r="P2348" s="21" t="str">
        <f aca="false">IF(H2348="Yes",B2348,"")</f>
        <v/>
      </c>
    </row>
    <row r="2349" customFormat="false" ht="15" hidden="false" customHeight="false" outlineLevel="0" collapsed="false">
      <c r="A2349" s="21" t="s">
        <v>3564</v>
      </c>
      <c r="B2349" s="21" t="s">
        <v>1056</v>
      </c>
      <c r="C2349" s="21" t="s">
        <v>1298</v>
      </c>
      <c r="D2349" s="21" t="s">
        <v>1174</v>
      </c>
      <c r="E2349" s="33" t="n">
        <v>45936</v>
      </c>
      <c r="F2349" s="21" t="s">
        <v>1218</v>
      </c>
      <c r="G2349" s="32"/>
      <c r="H2349" s="21"/>
      <c r="I2349" s="33"/>
      <c r="J2349" s="21" t="str">
        <f aca="false">INDEX(Students!$C$2:$C$601,MATCH(B2349,Students!$A$2:$A$601,0))</f>
        <v>Batch 2026</v>
      </c>
      <c r="K2349" s="21" t="str">
        <f aca="false">INDEX(Students!$D$2:$D$601,MATCH(B2349,Students!$A$2:$A$601,0))</f>
        <v>Full Stack Development</v>
      </c>
      <c r="L2349" s="21" t="str">
        <f aca="false">INDEX(Companies!$C$2:$C$31,MATCH(C2349,Companies!$A$2:$A$31,0))</f>
        <v>Fintech</v>
      </c>
      <c r="M2349" s="21" t="str">
        <f aca="false">INDEX(Companies!$D$2:$D$31,MATCH(C2349,Companies!$A$2:$A$31,0))</f>
        <v>Tier 2</v>
      </c>
      <c r="N2349" s="34" t="n">
        <f aca="false">MATCH(F2349,Assumptions!$K$4:$K$8,0)</f>
        <v>4</v>
      </c>
      <c r="O2349" s="21" t="str">
        <f aca="false">IF(H2349="Yes",MONTH(I2349),"")</f>
        <v/>
      </c>
      <c r="P2349" s="21" t="str">
        <f aca="false">IF(H2349="Yes",B2349,"")</f>
        <v/>
      </c>
    </row>
    <row r="2350" customFormat="false" ht="15" hidden="false" customHeight="false" outlineLevel="0" collapsed="false">
      <c r="A2350" s="21" t="s">
        <v>3565</v>
      </c>
      <c r="B2350" s="21" t="s">
        <v>852</v>
      </c>
      <c r="C2350" s="21" t="s">
        <v>1266</v>
      </c>
      <c r="D2350" s="21" t="s">
        <v>1194</v>
      </c>
      <c r="E2350" s="33" t="n">
        <v>45936</v>
      </c>
      <c r="F2350" s="21" t="s">
        <v>1175</v>
      </c>
      <c r="G2350" s="32"/>
      <c r="H2350" s="21"/>
      <c r="I2350" s="33"/>
      <c r="J2350" s="21" t="str">
        <f aca="false">INDEX(Students!$C$2:$C$601,MATCH(B2350,Students!$A$2:$A$601,0))</f>
        <v>Batch 2026</v>
      </c>
      <c r="K2350" s="21" t="str">
        <f aca="false">INDEX(Students!$D$2:$D$601,MATCH(B2350,Students!$A$2:$A$601,0))</f>
        <v>Data Science &amp; ML</v>
      </c>
      <c r="L2350" s="21" t="str">
        <f aca="false">INDEX(Companies!$C$2:$C$31,MATCH(C2350,Companies!$A$2:$A$31,0))</f>
        <v>IT Services</v>
      </c>
      <c r="M2350" s="21" t="str">
        <f aca="false">INDEX(Companies!$D$2:$D$31,MATCH(C2350,Companies!$A$2:$A$31,0))</f>
        <v>Tier 3</v>
      </c>
      <c r="N2350" s="34" t="n">
        <f aca="false">MATCH(F2350,Assumptions!$K$4:$K$8,0)</f>
        <v>1</v>
      </c>
      <c r="O2350" s="21" t="str">
        <f aca="false">IF(H2350="Yes",MONTH(I2350),"")</f>
        <v/>
      </c>
      <c r="P2350" s="21" t="str">
        <f aca="false">IF(H2350="Yes",B2350,"")</f>
        <v/>
      </c>
    </row>
    <row r="2351" customFormat="false" ht="15" hidden="false" customHeight="false" outlineLevel="0" collapsed="false">
      <c r="A2351" s="21" t="s">
        <v>3566</v>
      </c>
      <c r="B2351" s="21" t="s">
        <v>1147</v>
      </c>
      <c r="C2351" s="21" t="s">
        <v>1290</v>
      </c>
      <c r="D2351" s="21" t="s">
        <v>1184</v>
      </c>
      <c r="E2351" s="33" t="n">
        <v>45937</v>
      </c>
      <c r="F2351" s="21" t="s">
        <v>1185</v>
      </c>
      <c r="G2351" s="32" t="n">
        <v>11.6</v>
      </c>
      <c r="H2351" s="21" t="s">
        <v>113</v>
      </c>
      <c r="I2351" s="33" t="n">
        <v>45973</v>
      </c>
      <c r="J2351" s="21" t="str">
        <f aca="false">INDEX(Students!$C$2:$C$601,MATCH(B2351,Students!$A$2:$A$601,0))</f>
        <v>Batch 2026</v>
      </c>
      <c r="K2351" s="21" t="str">
        <f aca="false">INDEX(Students!$D$2:$D$601,MATCH(B2351,Students!$A$2:$A$601,0))</f>
        <v>DSA with Java</v>
      </c>
      <c r="L2351" s="21" t="str">
        <f aca="false">INDEX(Companies!$C$2:$C$31,MATCH(C2351,Companies!$A$2:$A$31,0))</f>
        <v>Fintech</v>
      </c>
      <c r="M2351" s="21" t="str">
        <f aca="false">INDEX(Companies!$D$2:$D$31,MATCH(C2351,Companies!$A$2:$A$31,0))</f>
        <v>Tier 2</v>
      </c>
      <c r="N2351" s="34" t="n">
        <f aca="false">MATCH(F2351,Assumptions!$K$4:$K$8,0)</f>
        <v>5</v>
      </c>
      <c r="O2351" s="21" t="str">
        <f aca="false">IF(H2351="Yes",MONTH(I2351),"")</f>
        <v/>
      </c>
      <c r="P2351" s="21" t="str">
        <f aca="false">IF(H2351="Yes",B2351,"")</f>
        <v/>
      </c>
    </row>
    <row r="2352" customFormat="false" ht="15" hidden="false" customHeight="false" outlineLevel="0" collapsed="false">
      <c r="A2352" s="21" t="s">
        <v>3567</v>
      </c>
      <c r="B2352" s="21" t="s">
        <v>836</v>
      </c>
      <c r="C2352" s="21" t="s">
        <v>1201</v>
      </c>
      <c r="D2352" s="21" t="s">
        <v>1243</v>
      </c>
      <c r="E2352" s="33" t="n">
        <v>45937</v>
      </c>
      <c r="F2352" s="21" t="s">
        <v>1178</v>
      </c>
      <c r="G2352" s="32"/>
      <c r="H2352" s="21"/>
      <c r="I2352" s="33"/>
      <c r="J2352" s="21" t="str">
        <f aca="false">INDEX(Students!$C$2:$C$601,MATCH(B2352,Students!$A$2:$A$601,0))</f>
        <v>Batch 2026</v>
      </c>
      <c r="K2352" s="21" t="str">
        <f aca="false">INDEX(Students!$D$2:$D$601,MATCH(B2352,Students!$A$2:$A$601,0))</f>
        <v>Data Science &amp; ML</v>
      </c>
      <c r="L2352" s="21" t="str">
        <f aca="false">INDEX(Companies!$C$2:$C$31,MATCH(C2352,Companies!$A$2:$A$31,0))</f>
        <v>IT Services</v>
      </c>
      <c r="M2352" s="21" t="str">
        <f aca="false">INDEX(Companies!$D$2:$D$31,MATCH(C2352,Companies!$A$2:$A$31,0))</f>
        <v>Tier 3</v>
      </c>
      <c r="N2352" s="34" t="n">
        <f aca="false">MATCH(F2352,Assumptions!$K$4:$K$8,0)</f>
        <v>2</v>
      </c>
      <c r="O2352" s="21" t="str">
        <f aca="false">IF(H2352="Yes",MONTH(I2352),"")</f>
        <v/>
      </c>
      <c r="P2352" s="21" t="str">
        <f aca="false">IF(H2352="Yes",B2352,"")</f>
        <v/>
      </c>
    </row>
    <row r="2353" customFormat="false" ht="15" hidden="false" customHeight="false" outlineLevel="0" collapsed="false">
      <c r="A2353" s="21" t="s">
        <v>3568</v>
      </c>
      <c r="B2353" s="21" t="s">
        <v>1085</v>
      </c>
      <c r="C2353" s="21" t="s">
        <v>1193</v>
      </c>
      <c r="D2353" s="21" t="s">
        <v>1240</v>
      </c>
      <c r="E2353" s="33" t="n">
        <v>45937</v>
      </c>
      <c r="F2353" s="21" t="s">
        <v>1175</v>
      </c>
      <c r="G2353" s="32"/>
      <c r="H2353" s="21"/>
      <c r="I2353" s="33"/>
      <c r="J2353" s="21" t="str">
        <f aca="false">INDEX(Students!$C$2:$C$601,MATCH(B2353,Students!$A$2:$A$601,0))</f>
        <v>Batch 2026</v>
      </c>
      <c r="K2353" s="21" t="str">
        <f aca="false">INDEX(Students!$D$2:$D$601,MATCH(B2353,Students!$A$2:$A$601,0))</f>
        <v>Cybersecurity</v>
      </c>
      <c r="L2353" s="21" t="str">
        <f aca="false">INDEX(Companies!$C$2:$C$31,MATCH(C2353,Companies!$A$2:$A$31,0))</f>
        <v>Analytics &amp; Consulting</v>
      </c>
      <c r="M2353" s="21" t="str">
        <f aca="false">INDEX(Companies!$D$2:$D$31,MATCH(C2353,Companies!$A$2:$A$31,0))</f>
        <v>Tier 2</v>
      </c>
      <c r="N2353" s="34" t="n">
        <f aca="false">MATCH(F2353,Assumptions!$K$4:$K$8,0)</f>
        <v>1</v>
      </c>
      <c r="O2353" s="21" t="str">
        <f aca="false">IF(H2353="Yes",MONTH(I2353),"")</f>
        <v/>
      </c>
      <c r="P2353" s="21" t="str">
        <f aca="false">IF(H2353="Yes",B2353,"")</f>
        <v/>
      </c>
    </row>
    <row r="2354" customFormat="false" ht="15" hidden="false" customHeight="false" outlineLevel="0" collapsed="false">
      <c r="A2354" s="21" t="s">
        <v>3569</v>
      </c>
      <c r="B2354" s="21" t="s">
        <v>1157</v>
      </c>
      <c r="C2354" s="21" t="s">
        <v>1298</v>
      </c>
      <c r="D2354" s="21" t="s">
        <v>1240</v>
      </c>
      <c r="E2354" s="33" t="n">
        <v>45937</v>
      </c>
      <c r="F2354" s="21" t="s">
        <v>1197</v>
      </c>
      <c r="G2354" s="32"/>
      <c r="H2354" s="21"/>
      <c r="I2354" s="33"/>
      <c r="J2354" s="21" t="str">
        <f aca="false">INDEX(Students!$C$2:$C$601,MATCH(B2354,Students!$A$2:$A$601,0))</f>
        <v>Batch 2026</v>
      </c>
      <c r="K2354" s="21" t="str">
        <f aca="false">INDEX(Students!$D$2:$D$601,MATCH(B2354,Students!$A$2:$A$601,0))</f>
        <v>Cybersecurity</v>
      </c>
      <c r="L2354" s="21" t="str">
        <f aca="false">INDEX(Companies!$C$2:$C$31,MATCH(C2354,Companies!$A$2:$A$31,0))</f>
        <v>Fintech</v>
      </c>
      <c r="M2354" s="21" t="str">
        <f aca="false">INDEX(Companies!$D$2:$D$31,MATCH(C2354,Companies!$A$2:$A$31,0))</f>
        <v>Tier 2</v>
      </c>
      <c r="N2354" s="34" t="n">
        <f aca="false">MATCH(F2354,Assumptions!$K$4:$K$8,0)</f>
        <v>3</v>
      </c>
      <c r="O2354" s="21" t="str">
        <f aca="false">IF(H2354="Yes",MONTH(I2354),"")</f>
        <v/>
      </c>
      <c r="P2354" s="21" t="str">
        <f aca="false">IF(H2354="Yes",B2354,"")</f>
        <v/>
      </c>
    </row>
    <row r="2355" customFormat="false" ht="15" hidden="false" customHeight="false" outlineLevel="0" collapsed="false">
      <c r="A2355" s="21" t="s">
        <v>3570</v>
      </c>
      <c r="B2355" s="21" t="s">
        <v>1080</v>
      </c>
      <c r="C2355" s="21" t="s">
        <v>1309</v>
      </c>
      <c r="D2355" s="21" t="s">
        <v>1184</v>
      </c>
      <c r="E2355" s="33" t="n">
        <v>45937</v>
      </c>
      <c r="F2355" s="21" t="s">
        <v>1185</v>
      </c>
      <c r="G2355" s="32" t="n">
        <v>11.2</v>
      </c>
      <c r="H2355" s="21" t="s">
        <v>113</v>
      </c>
      <c r="I2355" s="33" t="n">
        <v>45971</v>
      </c>
      <c r="J2355" s="21" t="str">
        <f aca="false">INDEX(Students!$C$2:$C$601,MATCH(B2355,Students!$A$2:$A$601,0))</f>
        <v>Batch 2026</v>
      </c>
      <c r="K2355" s="21" t="str">
        <f aca="false">INDEX(Students!$D$2:$D$601,MATCH(B2355,Students!$A$2:$A$601,0))</f>
        <v>DSA with Java</v>
      </c>
      <c r="L2355" s="21" t="str">
        <f aca="false">INDEX(Companies!$C$2:$C$31,MATCH(C2355,Companies!$A$2:$A$31,0))</f>
        <v>EdTech</v>
      </c>
      <c r="M2355" s="21" t="str">
        <f aca="false">INDEX(Companies!$D$2:$D$31,MATCH(C2355,Companies!$A$2:$A$31,0))</f>
        <v>Tier 2</v>
      </c>
      <c r="N2355" s="34" t="n">
        <f aca="false">MATCH(F2355,Assumptions!$K$4:$K$8,0)</f>
        <v>5</v>
      </c>
      <c r="O2355" s="21" t="str">
        <f aca="false">IF(H2355="Yes",MONTH(I2355),"")</f>
        <v/>
      </c>
      <c r="P2355" s="21" t="str">
        <f aca="false">IF(H2355="Yes",B2355,"")</f>
        <v/>
      </c>
    </row>
    <row r="2356" customFormat="false" ht="15" hidden="false" customHeight="false" outlineLevel="0" collapsed="false">
      <c r="A2356" s="21" t="s">
        <v>3571</v>
      </c>
      <c r="B2356" s="21" t="s">
        <v>826</v>
      </c>
      <c r="C2356" s="21" t="s">
        <v>1266</v>
      </c>
      <c r="D2356" s="21" t="s">
        <v>1209</v>
      </c>
      <c r="E2356" s="33" t="n">
        <v>45937</v>
      </c>
      <c r="F2356" s="21" t="s">
        <v>1175</v>
      </c>
      <c r="G2356" s="32"/>
      <c r="H2356" s="21"/>
      <c r="I2356" s="33"/>
      <c r="J2356" s="21" t="str">
        <f aca="false">INDEX(Students!$C$2:$C$601,MATCH(B2356,Students!$A$2:$A$601,0))</f>
        <v>Batch 2026</v>
      </c>
      <c r="K2356" s="21" t="str">
        <f aca="false">INDEX(Students!$D$2:$D$601,MATCH(B2356,Students!$A$2:$A$601,0))</f>
        <v>Data Analytics</v>
      </c>
      <c r="L2356" s="21" t="str">
        <f aca="false">INDEX(Companies!$C$2:$C$31,MATCH(C2356,Companies!$A$2:$A$31,0))</f>
        <v>IT Services</v>
      </c>
      <c r="M2356" s="21" t="str">
        <f aca="false">INDEX(Companies!$D$2:$D$31,MATCH(C2356,Companies!$A$2:$A$31,0))</f>
        <v>Tier 3</v>
      </c>
      <c r="N2356" s="34" t="n">
        <f aca="false">MATCH(F2356,Assumptions!$K$4:$K$8,0)</f>
        <v>1</v>
      </c>
      <c r="O2356" s="21" t="str">
        <f aca="false">IF(H2356="Yes",MONTH(I2356),"")</f>
        <v/>
      </c>
      <c r="P2356" s="21" t="str">
        <f aca="false">IF(H2356="Yes",B2356,"")</f>
        <v/>
      </c>
    </row>
    <row r="2357" customFormat="false" ht="15" hidden="false" customHeight="false" outlineLevel="0" collapsed="false">
      <c r="A2357" s="21" t="s">
        <v>3572</v>
      </c>
      <c r="B2357" s="21" t="s">
        <v>928</v>
      </c>
      <c r="C2357" s="21" t="s">
        <v>1263</v>
      </c>
      <c r="D2357" s="21" t="s">
        <v>1181</v>
      </c>
      <c r="E2357" s="33" t="n">
        <v>45937</v>
      </c>
      <c r="F2357" s="21" t="s">
        <v>1218</v>
      </c>
      <c r="G2357" s="32"/>
      <c r="H2357" s="21"/>
      <c r="I2357" s="33"/>
      <c r="J2357" s="21" t="str">
        <f aca="false">INDEX(Students!$C$2:$C$601,MATCH(B2357,Students!$A$2:$A$601,0))</f>
        <v>Batch 2026</v>
      </c>
      <c r="K2357" s="21" t="str">
        <f aca="false">INDEX(Students!$D$2:$D$601,MATCH(B2357,Students!$A$2:$A$601,0))</f>
        <v>Full Stack Development</v>
      </c>
      <c r="L2357" s="21" t="str">
        <f aca="false">INDEX(Companies!$C$2:$C$31,MATCH(C2357,Companies!$A$2:$A$31,0))</f>
        <v>Analytics &amp; Consulting</v>
      </c>
      <c r="M2357" s="21" t="str">
        <f aca="false">INDEX(Companies!$D$2:$D$31,MATCH(C2357,Companies!$A$2:$A$31,0))</f>
        <v>Tier 2</v>
      </c>
      <c r="N2357" s="34" t="n">
        <f aca="false">MATCH(F2357,Assumptions!$K$4:$K$8,0)</f>
        <v>4</v>
      </c>
      <c r="O2357" s="21" t="str">
        <f aca="false">IF(H2357="Yes",MONTH(I2357),"")</f>
        <v/>
      </c>
      <c r="P2357" s="21" t="str">
        <f aca="false">IF(H2357="Yes",B2357,"")</f>
        <v/>
      </c>
    </row>
    <row r="2358" customFormat="false" ht="15" hidden="false" customHeight="false" outlineLevel="0" collapsed="false">
      <c r="A2358" s="21" t="s">
        <v>3573</v>
      </c>
      <c r="B2358" s="21" t="s">
        <v>1117</v>
      </c>
      <c r="C2358" s="21" t="s">
        <v>1190</v>
      </c>
      <c r="D2358" s="21" t="s">
        <v>1209</v>
      </c>
      <c r="E2358" s="33" t="n">
        <v>45937</v>
      </c>
      <c r="F2358" s="21" t="s">
        <v>1175</v>
      </c>
      <c r="G2358" s="32"/>
      <c r="H2358" s="21"/>
      <c r="I2358" s="33"/>
      <c r="J2358" s="21" t="str">
        <f aca="false">INDEX(Students!$C$2:$C$601,MATCH(B2358,Students!$A$2:$A$601,0))</f>
        <v>Batch 2026</v>
      </c>
      <c r="K2358" s="21" t="str">
        <f aca="false">INDEX(Students!$D$2:$D$601,MATCH(B2358,Students!$A$2:$A$601,0))</f>
        <v>Data Analytics</v>
      </c>
      <c r="L2358" s="21" t="str">
        <f aca="false">INDEX(Companies!$C$2:$C$31,MATCH(C2358,Companies!$A$2:$A$31,0))</f>
        <v>Analytics &amp; Consulting</v>
      </c>
      <c r="M2358" s="21" t="str">
        <f aca="false">INDEX(Companies!$D$2:$D$31,MATCH(C2358,Companies!$A$2:$A$31,0))</f>
        <v>Tier 1</v>
      </c>
      <c r="N2358" s="34" t="n">
        <f aca="false">MATCH(F2358,Assumptions!$K$4:$K$8,0)</f>
        <v>1</v>
      </c>
      <c r="O2358" s="21" t="str">
        <f aca="false">IF(H2358="Yes",MONTH(I2358),"")</f>
        <v/>
      </c>
      <c r="P2358" s="21" t="str">
        <f aca="false">IF(H2358="Yes",B2358,"")</f>
        <v/>
      </c>
    </row>
    <row r="2359" customFormat="false" ht="15" hidden="false" customHeight="false" outlineLevel="0" collapsed="false">
      <c r="A2359" s="21" t="s">
        <v>3574</v>
      </c>
      <c r="B2359" s="21" t="s">
        <v>1157</v>
      </c>
      <c r="C2359" s="21" t="s">
        <v>1193</v>
      </c>
      <c r="D2359" s="21" t="s">
        <v>1226</v>
      </c>
      <c r="E2359" s="33" t="n">
        <v>45938</v>
      </c>
      <c r="F2359" s="21" t="s">
        <v>1175</v>
      </c>
      <c r="G2359" s="32"/>
      <c r="H2359" s="21"/>
      <c r="I2359" s="33"/>
      <c r="J2359" s="21" t="str">
        <f aca="false">INDEX(Students!$C$2:$C$601,MATCH(B2359,Students!$A$2:$A$601,0))</f>
        <v>Batch 2026</v>
      </c>
      <c r="K2359" s="21" t="str">
        <f aca="false">INDEX(Students!$D$2:$D$601,MATCH(B2359,Students!$A$2:$A$601,0))</f>
        <v>Cybersecurity</v>
      </c>
      <c r="L2359" s="21" t="str">
        <f aca="false">INDEX(Companies!$C$2:$C$31,MATCH(C2359,Companies!$A$2:$A$31,0))</f>
        <v>Analytics &amp; Consulting</v>
      </c>
      <c r="M2359" s="21" t="str">
        <f aca="false">INDEX(Companies!$D$2:$D$31,MATCH(C2359,Companies!$A$2:$A$31,0))</f>
        <v>Tier 2</v>
      </c>
      <c r="N2359" s="34" t="n">
        <f aca="false">MATCH(F2359,Assumptions!$K$4:$K$8,0)</f>
        <v>1</v>
      </c>
      <c r="O2359" s="21" t="str">
        <f aca="false">IF(H2359="Yes",MONTH(I2359),"")</f>
        <v/>
      </c>
      <c r="P2359" s="21" t="str">
        <f aca="false">IF(H2359="Yes",B2359,"")</f>
        <v/>
      </c>
    </row>
    <row r="2360" customFormat="false" ht="15" hidden="false" customHeight="false" outlineLevel="0" collapsed="false">
      <c r="A2360" s="21" t="s">
        <v>3575</v>
      </c>
      <c r="B2360" s="21" t="s">
        <v>1129</v>
      </c>
      <c r="C2360" s="21" t="s">
        <v>1201</v>
      </c>
      <c r="D2360" s="21" t="s">
        <v>1184</v>
      </c>
      <c r="E2360" s="33" t="n">
        <v>45938</v>
      </c>
      <c r="F2360" s="21" t="s">
        <v>1197</v>
      </c>
      <c r="G2360" s="32"/>
      <c r="H2360" s="21"/>
      <c r="I2360" s="33"/>
      <c r="J2360" s="21" t="str">
        <f aca="false">INDEX(Students!$C$2:$C$601,MATCH(B2360,Students!$A$2:$A$601,0))</f>
        <v>Batch 2026</v>
      </c>
      <c r="K2360" s="21" t="str">
        <f aca="false">INDEX(Students!$D$2:$D$601,MATCH(B2360,Students!$A$2:$A$601,0))</f>
        <v>DSA with Java</v>
      </c>
      <c r="L2360" s="21" t="str">
        <f aca="false">INDEX(Companies!$C$2:$C$31,MATCH(C2360,Companies!$A$2:$A$31,0))</f>
        <v>IT Services</v>
      </c>
      <c r="M2360" s="21" t="str">
        <f aca="false">INDEX(Companies!$D$2:$D$31,MATCH(C2360,Companies!$A$2:$A$31,0))</f>
        <v>Tier 3</v>
      </c>
      <c r="N2360" s="34" t="n">
        <f aca="false">MATCH(F2360,Assumptions!$K$4:$K$8,0)</f>
        <v>3</v>
      </c>
      <c r="O2360" s="21" t="str">
        <f aca="false">IF(H2360="Yes",MONTH(I2360),"")</f>
        <v/>
      </c>
      <c r="P2360" s="21" t="str">
        <f aca="false">IF(H2360="Yes",B2360,"")</f>
        <v/>
      </c>
    </row>
    <row r="2361" customFormat="false" ht="15" hidden="false" customHeight="false" outlineLevel="0" collapsed="false">
      <c r="A2361" s="21" t="s">
        <v>3576</v>
      </c>
      <c r="B2361" s="21" t="s">
        <v>1089</v>
      </c>
      <c r="C2361" s="21" t="s">
        <v>1322</v>
      </c>
      <c r="D2361" s="21" t="s">
        <v>1184</v>
      </c>
      <c r="E2361" s="33" t="n">
        <v>45938</v>
      </c>
      <c r="F2361" s="21" t="s">
        <v>1185</v>
      </c>
      <c r="G2361" s="32" t="n">
        <v>10.2</v>
      </c>
      <c r="H2361" s="21" t="s">
        <v>120</v>
      </c>
      <c r="I2361" s="33" t="n">
        <v>45978</v>
      </c>
      <c r="J2361" s="21" t="str">
        <f aca="false">INDEX(Students!$C$2:$C$601,MATCH(B2361,Students!$A$2:$A$601,0))</f>
        <v>Batch 2026</v>
      </c>
      <c r="K2361" s="21" t="str">
        <f aca="false">INDEX(Students!$D$2:$D$601,MATCH(B2361,Students!$A$2:$A$601,0))</f>
        <v>DSA with Java</v>
      </c>
      <c r="L2361" s="21" t="str">
        <f aca="false">INDEX(Companies!$C$2:$C$31,MATCH(C2361,Companies!$A$2:$A$31,0))</f>
        <v>Healthtech</v>
      </c>
      <c r="M2361" s="21" t="str">
        <f aca="false">INDEX(Companies!$D$2:$D$31,MATCH(C2361,Companies!$A$2:$A$31,0))</f>
        <v>Tier 2</v>
      </c>
      <c r="N2361" s="34" t="n">
        <f aca="false">MATCH(F2361,Assumptions!$K$4:$K$8,0)</f>
        <v>5</v>
      </c>
      <c r="O2361" s="21" t="n">
        <f aca="false">IF(H2361="Yes",MONTH(I2361),"")</f>
        <v>11</v>
      </c>
      <c r="P2361" s="21" t="str">
        <f aca="false">IF(H2361="Yes",B2361,"")</f>
        <v>S0555</v>
      </c>
    </row>
    <row r="2362" customFormat="false" ht="15" hidden="false" customHeight="false" outlineLevel="0" collapsed="false">
      <c r="A2362" s="21" t="s">
        <v>3577</v>
      </c>
      <c r="B2362" s="21" t="s">
        <v>1015</v>
      </c>
      <c r="C2362" s="21" t="s">
        <v>1239</v>
      </c>
      <c r="D2362" s="21" t="s">
        <v>1188</v>
      </c>
      <c r="E2362" s="33" t="n">
        <v>45938</v>
      </c>
      <c r="F2362" s="21" t="s">
        <v>1178</v>
      </c>
      <c r="G2362" s="32"/>
      <c r="H2362" s="21"/>
      <c r="I2362" s="33"/>
      <c r="J2362" s="21" t="str">
        <f aca="false">INDEX(Students!$C$2:$C$601,MATCH(B2362,Students!$A$2:$A$601,0))</f>
        <v>Batch 2026</v>
      </c>
      <c r="K2362" s="21" t="str">
        <f aca="false">INDEX(Students!$D$2:$D$601,MATCH(B2362,Students!$A$2:$A$601,0))</f>
        <v>Data Analytics</v>
      </c>
      <c r="L2362" s="21" t="str">
        <f aca="false">INDEX(Companies!$C$2:$C$31,MATCH(C2362,Companies!$A$2:$A$31,0))</f>
        <v>E-commerce</v>
      </c>
      <c r="M2362" s="21" t="str">
        <f aca="false">INDEX(Companies!$D$2:$D$31,MATCH(C2362,Companies!$A$2:$A$31,0))</f>
        <v>Tier 3</v>
      </c>
      <c r="N2362" s="34" t="n">
        <f aca="false">MATCH(F2362,Assumptions!$K$4:$K$8,0)</f>
        <v>2</v>
      </c>
      <c r="O2362" s="21" t="str">
        <f aca="false">IF(H2362="Yes",MONTH(I2362),"")</f>
        <v/>
      </c>
      <c r="P2362" s="21" t="str">
        <f aca="false">IF(H2362="Yes",B2362,"")</f>
        <v/>
      </c>
    </row>
    <row r="2363" customFormat="false" ht="15" hidden="false" customHeight="false" outlineLevel="0" collapsed="false">
      <c r="A2363" s="21" t="s">
        <v>3578</v>
      </c>
      <c r="B2363" s="21" t="s">
        <v>923</v>
      </c>
      <c r="C2363" s="21" t="s">
        <v>1203</v>
      </c>
      <c r="D2363" s="21" t="s">
        <v>1209</v>
      </c>
      <c r="E2363" s="33" t="n">
        <v>45939</v>
      </c>
      <c r="F2363" s="21" t="s">
        <v>1175</v>
      </c>
      <c r="G2363" s="32"/>
      <c r="H2363" s="21"/>
      <c r="I2363" s="33"/>
      <c r="J2363" s="21" t="str">
        <f aca="false">INDEX(Students!$C$2:$C$601,MATCH(B2363,Students!$A$2:$A$601,0))</f>
        <v>Batch 2026</v>
      </c>
      <c r="K2363" s="21" t="str">
        <f aca="false">INDEX(Students!$D$2:$D$601,MATCH(B2363,Students!$A$2:$A$601,0))</f>
        <v>Data Analytics</v>
      </c>
      <c r="L2363" s="21" t="str">
        <f aca="false">INDEX(Companies!$C$2:$C$31,MATCH(C2363,Companies!$A$2:$A$31,0))</f>
        <v>Healthtech</v>
      </c>
      <c r="M2363" s="21" t="str">
        <f aca="false">INDEX(Companies!$D$2:$D$31,MATCH(C2363,Companies!$A$2:$A$31,0))</f>
        <v>Tier 2</v>
      </c>
      <c r="N2363" s="34" t="n">
        <f aca="false">MATCH(F2363,Assumptions!$K$4:$K$8,0)</f>
        <v>1</v>
      </c>
      <c r="O2363" s="21" t="str">
        <f aca="false">IF(H2363="Yes",MONTH(I2363),"")</f>
        <v/>
      </c>
      <c r="P2363" s="21" t="str">
        <f aca="false">IF(H2363="Yes",B2363,"")</f>
        <v/>
      </c>
    </row>
    <row r="2364" customFormat="false" ht="15" hidden="false" customHeight="false" outlineLevel="0" collapsed="false">
      <c r="A2364" s="21" t="s">
        <v>3579</v>
      </c>
      <c r="B2364" s="21" t="s">
        <v>947</v>
      </c>
      <c r="C2364" s="21" t="s">
        <v>1187</v>
      </c>
      <c r="D2364" s="21" t="s">
        <v>1184</v>
      </c>
      <c r="E2364" s="33" t="n">
        <v>45939</v>
      </c>
      <c r="F2364" s="21" t="s">
        <v>1185</v>
      </c>
      <c r="G2364" s="32" t="n">
        <v>27</v>
      </c>
      <c r="H2364" s="21" t="s">
        <v>113</v>
      </c>
      <c r="I2364" s="33" t="n">
        <v>45978</v>
      </c>
      <c r="J2364" s="21" t="str">
        <f aca="false">INDEX(Students!$C$2:$C$601,MATCH(B2364,Students!$A$2:$A$601,0))</f>
        <v>Batch 2026</v>
      </c>
      <c r="K2364" s="21" t="str">
        <f aca="false">INDEX(Students!$D$2:$D$601,MATCH(B2364,Students!$A$2:$A$601,0))</f>
        <v>DSA with Java</v>
      </c>
      <c r="L2364" s="21" t="str">
        <f aca="false">INDEX(Companies!$C$2:$C$31,MATCH(C2364,Companies!$A$2:$A$31,0))</f>
        <v>Product</v>
      </c>
      <c r="M2364" s="21" t="str">
        <f aca="false">INDEX(Companies!$D$2:$D$31,MATCH(C2364,Companies!$A$2:$A$31,0))</f>
        <v>Tier 1</v>
      </c>
      <c r="N2364" s="34" t="n">
        <f aca="false">MATCH(F2364,Assumptions!$K$4:$K$8,0)</f>
        <v>5</v>
      </c>
      <c r="O2364" s="21" t="str">
        <f aca="false">IF(H2364="Yes",MONTH(I2364),"")</f>
        <v/>
      </c>
      <c r="P2364" s="21" t="str">
        <f aca="false">IF(H2364="Yes",B2364,"")</f>
        <v/>
      </c>
    </row>
    <row r="2365" customFormat="false" ht="15" hidden="false" customHeight="false" outlineLevel="0" collapsed="false">
      <c r="A2365" s="21" t="s">
        <v>3580</v>
      </c>
      <c r="B2365" s="21" t="s">
        <v>1154</v>
      </c>
      <c r="C2365" s="21" t="s">
        <v>1199</v>
      </c>
      <c r="D2365" s="21" t="s">
        <v>1188</v>
      </c>
      <c r="E2365" s="33" t="n">
        <v>45940</v>
      </c>
      <c r="F2365" s="21" t="s">
        <v>1175</v>
      </c>
      <c r="G2365" s="32"/>
      <c r="H2365" s="21"/>
      <c r="I2365" s="33"/>
      <c r="J2365" s="21" t="str">
        <f aca="false">INDEX(Students!$C$2:$C$601,MATCH(B2365,Students!$A$2:$A$601,0))</f>
        <v>Batch 2026</v>
      </c>
      <c r="K2365" s="21" t="str">
        <f aca="false">INDEX(Students!$D$2:$D$601,MATCH(B2365,Students!$A$2:$A$601,0))</f>
        <v>Data Analytics</v>
      </c>
      <c r="L2365" s="21" t="str">
        <f aca="false">INDEX(Companies!$C$2:$C$31,MATCH(C2365,Companies!$A$2:$A$31,0))</f>
        <v>E-commerce</v>
      </c>
      <c r="M2365" s="21" t="str">
        <f aca="false">INDEX(Companies!$D$2:$D$31,MATCH(C2365,Companies!$A$2:$A$31,0))</f>
        <v>Tier 2</v>
      </c>
      <c r="N2365" s="34" t="n">
        <f aca="false">MATCH(F2365,Assumptions!$K$4:$K$8,0)</f>
        <v>1</v>
      </c>
      <c r="O2365" s="21" t="str">
        <f aca="false">IF(H2365="Yes",MONTH(I2365),"")</f>
        <v/>
      </c>
      <c r="P2365" s="21" t="str">
        <f aca="false">IF(H2365="Yes",B2365,"")</f>
        <v/>
      </c>
    </row>
    <row r="2366" customFormat="false" ht="15" hidden="false" customHeight="false" outlineLevel="0" collapsed="false">
      <c r="A2366" s="21" t="s">
        <v>3581</v>
      </c>
      <c r="B2366" s="21" t="s">
        <v>1037</v>
      </c>
      <c r="C2366" s="21" t="s">
        <v>1234</v>
      </c>
      <c r="D2366" s="21" t="s">
        <v>1174</v>
      </c>
      <c r="E2366" s="33" t="n">
        <v>45940</v>
      </c>
      <c r="F2366" s="21" t="s">
        <v>1185</v>
      </c>
      <c r="G2366" s="32" t="n">
        <v>6.1</v>
      </c>
      <c r="H2366" s="21" t="s">
        <v>120</v>
      </c>
      <c r="I2366" s="33" t="n">
        <v>45984</v>
      </c>
      <c r="J2366" s="21" t="str">
        <f aca="false">INDEX(Students!$C$2:$C$601,MATCH(B2366,Students!$A$2:$A$601,0))</f>
        <v>Batch 2026</v>
      </c>
      <c r="K2366" s="21" t="str">
        <f aca="false">INDEX(Students!$D$2:$D$601,MATCH(B2366,Students!$A$2:$A$601,0))</f>
        <v>Full Stack Development</v>
      </c>
      <c r="L2366" s="21" t="str">
        <f aca="false">INDEX(Companies!$C$2:$C$31,MATCH(C2366,Companies!$A$2:$A$31,0))</f>
        <v>EdTech</v>
      </c>
      <c r="M2366" s="21" t="str">
        <f aca="false">INDEX(Companies!$D$2:$D$31,MATCH(C2366,Companies!$A$2:$A$31,0))</f>
        <v>Tier 3</v>
      </c>
      <c r="N2366" s="34" t="n">
        <f aca="false">MATCH(F2366,Assumptions!$K$4:$K$8,0)</f>
        <v>5</v>
      </c>
      <c r="O2366" s="21" t="n">
        <f aca="false">IF(H2366="Yes",MONTH(I2366),"")</f>
        <v>11</v>
      </c>
      <c r="P2366" s="21" t="str">
        <f aca="false">IF(H2366="Yes",B2366,"")</f>
        <v>S0523</v>
      </c>
    </row>
    <row r="2367" customFormat="false" ht="15" hidden="false" customHeight="false" outlineLevel="0" collapsed="false">
      <c r="A2367" s="21" t="s">
        <v>3582</v>
      </c>
      <c r="B2367" s="21" t="s">
        <v>912</v>
      </c>
      <c r="C2367" s="21" t="s">
        <v>1222</v>
      </c>
      <c r="D2367" s="21" t="s">
        <v>1174</v>
      </c>
      <c r="E2367" s="33" t="n">
        <v>45940</v>
      </c>
      <c r="F2367" s="21" t="s">
        <v>1175</v>
      </c>
      <c r="G2367" s="32"/>
      <c r="H2367" s="21"/>
      <c r="I2367" s="33"/>
      <c r="J2367" s="21" t="str">
        <f aca="false">INDEX(Students!$C$2:$C$601,MATCH(B2367,Students!$A$2:$A$601,0))</f>
        <v>Batch 2026</v>
      </c>
      <c r="K2367" s="21" t="str">
        <f aca="false">INDEX(Students!$D$2:$D$601,MATCH(B2367,Students!$A$2:$A$601,0))</f>
        <v>Full Stack Development</v>
      </c>
      <c r="L2367" s="21" t="str">
        <f aca="false">INDEX(Companies!$C$2:$C$31,MATCH(C2367,Companies!$A$2:$A$31,0))</f>
        <v>Product</v>
      </c>
      <c r="M2367" s="21" t="str">
        <f aca="false">INDEX(Companies!$D$2:$D$31,MATCH(C2367,Companies!$A$2:$A$31,0))</f>
        <v>Tier 2</v>
      </c>
      <c r="N2367" s="34" t="n">
        <f aca="false">MATCH(F2367,Assumptions!$K$4:$K$8,0)</f>
        <v>1</v>
      </c>
      <c r="O2367" s="21" t="str">
        <f aca="false">IF(H2367="Yes",MONTH(I2367),"")</f>
        <v/>
      </c>
      <c r="P2367" s="21" t="str">
        <f aca="false">IF(H2367="Yes",B2367,"")</f>
        <v/>
      </c>
    </row>
    <row r="2368" customFormat="false" ht="15" hidden="false" customHeight="false" outlineLevel="0" collapsed="false">
      <c r="A2368" s="21" t="s">
        <v>3583</v>
      </c>
      <c r="B2368" s="21" t="s">
        <v>1112</v>
      </c>
      <c r="C2368" s="21" t="s">
        <v>1309</v>
      </c>
      <c r="D2368" s="21" t="s">
        <v>1240</v>
      </c>
      <c r="E2368" s="33" t="n">
        <v>45940</v>
      </c>
      <c r="F2368" s="21" t="s">
        <v>1175</v>
      </c>
      <c r="G2368" s="32"/>
      <c r="H2368" s="21"/>
      <c r="I2368" s="33"/>
      <c r="J2368" s="21" t="str">
        <f aca="false">INDEX(Students!$C$2:$C$601,MATCH(B2368,Students!$A$2:$A$601,0))</f>
        <v>Batch 2026</v>
      </c>
      <c r="K2368" s="21" t="str">
        <f aca="false">INDEX(Students!$D$2:$D$601,MATCH(B2368,Students!$A$2:$A$601,0))</f>
        <v>Cybersecurity</v>
      </c>
      <c r="L2368" s="21" t="str">
        <f aca="false">INDEX(Companies!$C$2:$C$31,MATCH(C2368,Companies!$A$2:$A$31,0))</f>
        <v>EdTech</v>
      </c>
      <c r="M2368" s="21" t="str">
        <f aca="false">INDEX(Companies!$D$2:$D$31,MATCH(C2368,Companies!$A$2:$A$31,0))</f>
        <v>Tier 2</v>
      </c>
      <c r="N2368" s="34" t="n">
        <f aca="false">MATCH(F2368,Assumptions!$K$4:$K$8,0)</f>
        <v>1</v>
      </c>
      <c r="O2368" s="21" t="str">
        <f aca="false">IF(H2368="Yes",MONTH(I2368),"")</f>
        <v/>
      </c>
      <c r="P2368" s="21" t="str">
        <f aca="false">IF(H2368="Yes",B2368,"")</f>
        <v/>
      </c>
    </row>
    <row r="2369" customFormat="false" ht="15" hidden="false" customHeight="false" outlineLevel="0" collapsed="false">
      <c r="A2369" s="21" t="s">
        <v>3584</v>
      </c>
      <c r="B2369" s="21" t="s">
        <v>849</v>
      </c>
      <c r="C2369" s="21" t="s">
        <v>1225</v>
      </c>
      <c r="D2369" s="21" t="s">
        <v>1194</v>
      </c>
      <c r="E2369" s="33" t="n">
        <v>45941</v>
      </c>
      <c r="F2369" s="21" t="s">
        <v>1178</v>
      </c>
      <c r="G2369" s="32"/>
      <c r="H2369" s="21"/>
      <c r="I2369" s="33"/>
      <c r="J2369" s="21" t="str">
        <f aca="false">INDEX(Students!$C$2:$C$601,MATCH(B2369,Students!$A$2:$A$601,0))</f>
        <v>Batch 2026</v>
      </c>
      <c r="K2369" s="21" t="str">
        <f aca="false">INDEX(Students!$D$2:$D$601,MATCH(B2369,Students!$A$2:$A$601,0))</f>
        <v>Data Science &amp; ML</v>
      </c>
      <c r="L2369" s="21" t="str">
        <f aca="false">INDEX(Companies!$C$2:$C$31,MATCH(C2369,Companies!$A$2:$A$31,0))</f>
        <v>EdTech</v>
      </c>
      <c r="M2369" s="21" t="str">
        <f aca="false">INDEX(Companies!$D$2:$D$31,MATCH(C2369,Companies!$A$2:$A$31,0))</f>
        <v>Tier 2</v>
      </c>
      <c r="N2369" s="34" t="n">
        <f aca="false">MATCH(F2369,Assumptions!$K$4:$K$8,0)</f>
        <v>2</v>
      </c>
      <c r="O2369" s="21" t="str">
        <f aca="false">IF(H2369="Yes",MONTH(I2369),"")</f>
        <v/>
      </c>
      <c r="P2369" s="21" t="str">
        <f aca="false">IF(H2369="Yes",B2369,"")</f>
        <v/>
      </c>
    </row>
    <row r="2370" customFormat="false" ht="15" hidden="false" customHeight="false" outlineLevel="0" collapsed="false">
      <c r="A2370" s="21" t="s">
        <v>3585</v>
      </c>
      <c r="B2370" s="21" t="s">
        <v>1145</v>
      </c>
      <c r="C2370" s="21" t="s">
        <v>1187</v>
      </c>
      <c r="D2370" s="21" t="s">
        <v>1194</v>
      </c>
      <c r="E2370" s="33" t="n">
        <v>45941</v>
      </c>
      <c r="F2370" s="21" t="s">
        <v>1175</v>
      </c>
      <c r="G2370" s="32"/>
      <c r="H2370" s="21"/>
      <c r="I2370" s="33"/>
      <c r="J2370" s="21" t="str">
        <f aca="false">INDEX(Students!$C$2:$C$601,MATCH(B2370,Students!$A$2:$A$601,0))</f>
        <v>Batch 2026</v>
      </c>
      <c r="K2370" s="21" t="str">
        <f aca="false">INDEX(Students!$D$2:$D$601,MATCH(B2370,Students!$A$2:$A$601,0))</f>
        <v>Data Science &amp; ML</v>
      </c>
      <c r="L2370" s="21" t="str">
        <f aca="false">INDEX(Companies!$C$2:$C$31,MATCH(C2370,Companies!$A$2:$A$31,0))</f>
        <v>Product</v>
      </c>
      <c r="M2370" s="21" t="str">
        <f aca="false">INDEX(Companies!$D$2:$D$31,MATCH(C2370,Companies!$A$2:$A$31,0))</f>
        <v>Tier 1</v>
      </c>
      <c r="N2370" s="34" t="n">
        <f aca="false">MATCH(F2370,Assumptions!$K$4:$K$8,0)</f>
        <v>1</v>
      </c>
      <c r="O2370" s="21" t="str">
        <f aca="false">IF(H2370="Yes",MONTH(I2370),"")</f>
        <v/>
      </c>
      <c r="P2370" s="21" t="str">
        <f aca="false">IF(H2370="Yes",B2370,"")</f>
        <v/>
      </c>
    </row>
    <row r="2371" customFormat="false" ht="15" hidden="false" customHeight="false" outlineLevel="0" collapsed="false">
      <c r="A2371" s="21" t="s">
        <v>3586</v>
      </c>
      <c r="B2371" s="21" t="s">
        <v>1117</v>
      </c>
      <c r="C2371" s="21" t="s">
        <v>1205</v>
      </c>
      <c r="D2371" s="21" t="s">
        <v>1209</v>
      </c>
      <c r="E2371" s="33" t="n">
        <v>45941</v>
      </c>
      <c r="F2371" s="21" t="s">
        <v>1218</v>
      </c>
      <c r="G2371" s="32"/>
      <c r="H2371" s="21"/>
      <c r="I2371" s="33"/>
      <c r="J2371" s="21" t="str">
        <f aca="false">INDEX(Students!$C$2:$C$601,MATCH(B2371,Students!$A$2:$A$601,0))</f>
        <v>Batch 2026</v>
      </c>
      <c r="K2371" s="21" t="str">
        <f aca="false">INDEX(Students!$D$2:$D$601,MATCH(B2371,Students!$A$2:$A$601,0))</f>
        <v>Data Analytics</v>
      </c>
      <c r="L2371" s="21" t="str">
        <f aca="false">INDEX(Companies!$C$2:$C$31,MATCH(C2371,Companies!$A$2:$A$31,0))</f>
        <v>Healthtech</v>
      </c>
      <c r="M2371" s="21" t="str">
        <f aca="false">INDEX(Companies!$D$2:$D$31,MATCH(C2371,Companies!$A$2:$A$31,0))</f>
        <v>Tier 3</v>
      </c>
      <c r="N2371" s="34" t="n">
        <f aca="false">MATCH(F2371,Assumptions!$K$4:$K$8,0)</f>
        <v>4</v>
      </c>
      <c r="O2371" s="21" t="str">
        <f aca="false">IF(H2371="Yes",MONTH(I2371),"")</f>
        <v/>
      </c>
      <c r="P2371" s="21" t="str">
        <f aca="false">IF(H2371="Yes",B2371,"")</f>
        <v/>
      </c>
    </row>
    <row r="2372" customFormat="false" ht="15" hidden="false" customHeight="false" outlineLevel="0" collapsed="false">
      <c r="A2372" s="21" t="s">
        <v>3587</v>
      </c>
      <c r="B2372" s="21" t="s">
        <v>1015</v>
      </c>
      <c r="C2372" s="21" t="s">
        <v>1177</v>
      </c>
      <c r="D2372" s="21" t="s">
        <v>1209</v>
      </c>
      <c r="E2372" s="33" t="n">
        <v>45941</v>
      </c>
      <c r="F2372" s="21" t="s">
        <v>1178</v>
      </c>
      <c r="G2372" s="32"/>
      <c r="H2372" s="21"/>
      <c r="I2372" s="33"/>
      <c r="J2372" s="21" t="str">
        <f aca="false">INDEX(Students!$C$2:$C$601,MATCH(B2372,Students!$A$2:$A$601,0))</f>
        <v>Batch 2026</v>
      </c>
      <c r="K2372" s="21" t="str">
        <f aca="false">INDEX(Students!$D$2:$D$601,MATCH(B2372,Students!$A$2:$A$601,0))</f>
        <v>Data Analytics</v>
      </c>
      <c r="L2372" s="21" t="str">
        <f aca="false">INDEX(Companies!$C$2:$C$31,MATCH(C2372,Companies!$A$2:$A$31,0))</f>
        <v>IT Services</v>
      </c>
      <c r="M2372" s="21" t="str">
        <f aca="false">INDEX(Companies!$D$2:$D$31,MATCH(C2372,Companies!$A$2:$A$31,0))</f>
        <v>Tier 3</v>
      </c>
      <c r="N2372" s="34" t="n">
        <f aca="false">MATCH(F2372,Assumptions!$K$4:$K$8,0)</f>
        <v>2</v>
      </c>
      <c r="O2372" s="21" t="str">
        <f aca="false">IF(H2372="Yes",MONTH(I2372),"")</f>
        <v/>
      </c>
      <c r="P2372" s="21" t="str">
        <f aca="false">IF(H2372="Yes",B2372,"")</f>
        <v/>
      </c>
    </row>
    <row r="2373" customFormat="false" ht="15" hidden="false" customHeight="false" outlineLevel="0" collapsed="false">
      <c r="A2373" s="21" t="s">
        <v>3588</v>
      </c>
      <c r="B2373" s="21" t="s">
        <v>910</v>
      </c>
      <c r="C2373" s="21" t="s">
        <v>1201</v>
      </c>
      <c r="D2373" s="21" t="s">
        <v>1181</v>
      </c>
      <c r="E2373" s="33" t="n">
        <v>45941</v>
      </c>
      <c r="F2373" s="21" t="s">
        <v>1178</v>
      </c>
      <c r="G2373" s="32"/>
      <c r="H2373" s="21"/>
      <c r="I2373" s="33"/>
      <c r="J2373" s="21" t="str">
        <f aca="false">INDEX(Students!$C$2:$C$601,MATCH(B2373,Students!$A$2:$A$601,0))</f>
        <v>Batch 2026</v>
      </c>
      <c r="K2373" s="21" t="str">
        <f aca="false">INDEX(Students!$D$2:$D$601,MATCH(B2373,Students!$A$2:$A$601,0))</f>
        <v>Full Stack Development</v>
      </c>
      <c r="L2373" s="21" t="str">
        <f aca="false">INDEX(Companies!$C$2:$C$31,MATCH(C2373,Companies!$A$2:$A$31,0))</f>
        <v>IT Services</v>
      </c>
      <c r="M2373" s="21" t="str">
        <f aca="false">INDEX(Companies!$D$2:$D$31,MATCH(C2373,Companies!$A$2:$A$31,0))</f>
        <v>Tier 3</v>
      </c>
      <c r="N2373" s="34" t="n">
        <f aca="false">MATCH(F2373,Assumptions!$K$4:$K$8,0)</f>
        <v>2</v>
      </c>
      <c r="O2373" s="21" t="str">
        <f aca="false">IF(H2373="Yes",MONTH(I2373),"")</f>
        <v/>
      </c>
      <c r="P2373" s="21" t="str">
        <f aca="false">IF(H2373="Yes",B2373,"")</f>
        <v/>
      </c>
    </row>
    <row r="2374" customFormat="false" ht="15" hidden="false" customHeight="false" outlineLevel="0" collapsed="false">
      <c r="A2374" s="21" t="s">
        <v>3589</v>
      </c>
      <c r="B2374" s="21" t="s">
        <v>863</v>
      </c>
      <c r="C2374" s="21" t="s">
        <v>1203</v>
      </c>
      <c r="D2374" s="21" t="s">
        <v>1181</v>
      </c>
      <c r="E2374" s="33" t="n">
        <v>45941</v>
      </c>
      <c r="F2374" s="21" t="s">
        <v>1175</v>
      </c>
      <c r="G2374" s="32"/>
      <c r="H2374" s="21"/>
      <c r="I2374" s="33"/>
      <c r="J2374" s="21" t="str">
        <f aca="false">INDEX(Students!$C$2:$C$601,MATCH(B2374,Students!$A$2:$A$601,0))</f>
        <v>Batch 2026</v>
      </c>
      <c r="K2374" s="21" t="str">
        <f aca="false">INDEX(Students!$D$2:$D$601,MATCH(B2374,Students!$A$2:$A$601,0))</f>
        <v>Full Stack Development</v>
      </c>
      <c r="L2374" s="21" t="str">
        <f aca="false">INDEX(Companies!$C$2:$C$31,MATCH(C2374,Companies!$A$2:$A$31,0))</f>
        <v>Healthtech</v>
      </c>
      <c r="M2374" s="21" t="str">
        <f aca="false">INDEX(Companies!$D$2:$D$31,MATCH(C2374,Companies!$A$2:$A$31,0))</f>
        <v>Tier 2</v>
      </c>
      <c r="N2374" s="34" t="n">
        <f aca="false">MATCH(F2374,Assumptions!$K$4:$K$8,0)</f>
        <v>1</v>
      </c>
      <c r="O2374" s="21" t="str">
        <f aca="false">IF(H2374="Yes",MONTH(I2374),"")</f>
        <v/>
      </c>
      <c r="P2374" s="21" t="str">
        <f aca="false">IF(H2374="Yes",B2374,"")</f>
        <v/>
      </c>
    </row>
    <row r="2375" customFormat="false" ht="15" hidden="false" customHeight="false" outlineLevel="0" collapsed="false">
      <c r="A2375" s="21" t="s">
        <v>3590</v>
      </c>
      <c r="B2375" s="21" t="s">
        <v>907</v>
      </c>
      <c r="C2375" s="21" t="s">
        <v>1196</v>
      </c>
      <c r="D2375" s="21" t="s">
        <v>1243</v>
      </c>
      <c r="E2375" s="33" t="n">
        <v>45941</v>
      </c>
      <c r="F2375" s="21" t="s">
        <v>1185</v>
      </c>
      <c r="G2375" s="32" t="n">
        <v>5.9</v>
      </c>
      <c r="H2375" s="21" t="s">
        <v>120</v>
      </c>
      <c r="I2375" s="33" t="n">
        <v>45964</v>
      </c>
      <c r="J2375" s="21" t="str">
        <f aca="false">INDEX(Students!$C$2:$C$601,MATCH(B2375,Students!$A$2:$A$601,0))</f>
        <v>Batch 2026</v>
      </c>
      <c r="K2375" s="21" t="str">
        <f aca="false">INDEX(Students!$D$2:$D$601,MATCH(B2375,Students!$A$2:$A$601,0))</f>
        <v>Data Science &amp; ML</v>
      </c>
      <c r="L2375" s="21" t="str">
        <f aca="false">INDEX(Companies!$C$2:$C$31,MATCH(C2375,Companies!$A$2:$A$31,0))</f>
        <v>IT Services</v>
      </c>
      <c r="M2375" s="21" t="str">
        <f aca="false">INDEX(Companies!$D$2:$D$31,MATCH(C2375,Companies!$A$2:$A$31,0))</f>
        <v>Tier 3</v>
      </c>
      <c r="N2375" s="34" t="n">
        <f aca="false">MATCH(F2375,Assumptions!$K$4:$K$8,0)</f>
        <v>5</v>
      </c>
      <c r="O2375" s="21" t="n">
        <f aca="false">IF(H2375="Yes",MONTH(I2375),"")</f>
        <v>11</v>
      </c>
      <c r="P2375" s="21" t="str">
        <f aca="false">IF(H2375="Yes",B2375,"")</f>
        <v>S0441</v>
      </c>
    </row>
    <row r="2376" customFormat="false" ht="15" hidden="false" customHeight="false" outlineLevel="0" collapsed="false">
      <c r="A2376" s="21" t="s">
        <v>3591</v>
      </c>
      <c r="B2376" s="21" t="s">
        <v>863</v>
      </c>
      <c r="C2376" s="21" t="s">
        <v>1173</v>
      </c>
      <c r="D2376" s="21" t="s">
        <v>1181</v>
      </c>
      <c r="E2376" s="33" t="n">
        <v>45941</v>
      </c>
      <c r="F2376" s="21" t="s">
        <v>1175</v>
      </c>
      <c r="G2376" s="32"/>
      <c r="H2376" s="21"/>
      <c r="I2376" s="33"/>
      <c r="J2376" s="21" t="str">
        <f aca="false">INDEX(Students!$C$2:$C$601,MATCH(B2376,Students!$A$2:$A$601,0))</f>
        <v>Batch 2026</v>
      </c>
      <c r="K2376" s="21" t="str">
        <f aca="false">INDEX(Students!$D$2:$D$601,MATCH(B2376,Students!$A$2:$A$601,0))</f>
        <v>Full Stack Development</v>
      </c>
      <c r="L2376" s="21" t="str">
        <f aca="false">INDEX(Companies!$C$2:$C$31,MATCH(C2376,Companies!$A$2:$A$31,0))</f>
        <v>Cybersecurity</v>
      </c>
      <c r="M2376" s="21" t="str">
        <f aca="false">INDEX(Companies!$D$2:$D$31,MATCH(C2376,Companies!$A$2:$A$31,0))</f>
        <v>Tier 1</v>
      </c>
      <c r="N2376" s="34" t="n">
        <f aca="false">MATCH(F2376,Assumptions!$K$4:$K$8,0)</f>
        <v>1</v>
      </c>
      <c r="O2376" s="21" t="str">
        <f aca="false">IF(H2376="Yes",MONTH(I2376),"")</f>
        <v/>
      </c>
      <c r="P2376" s="21" t="str">
        <f aca="false">IF(H2376="Yes",B2376,"")</f>
        <v/>
      </c>
    </row>
    <row r="2377" customFormat="false" ht="15" hidden="false" customHeight="false" outlineLevel="0" collapsed="false">
      <c r="A2377" s="21" t="s">
        <v>3592</v>
      </c>
      <c r="B2377" s="21" t="s">
        <v>1023</v>
      </c>
      <c r="C2377" s="21" t="s">
        <v>1205</v>
      </c>
      <c r="D2377" s="21" t="s">
        <v>1191</v>
      </c>
      <c r="E2377" s="33" t="n">
        <v>45941</v>
      </c>
      <c r="F2377" s="21" t="s">
        <v>1197</v>
      </c>
      <c r="G2377" s="32"/>
      <c r="H2377" s="21"/>
      <c r="I2377" s="33"/>
      <c r="J2377" s="21" t="str">
        <f aca="false">INDEX(Students!$C$2:$C$601,MATCH(B2377,Students!$A$2:$A$601,0))</f>
        <v>Batch 2026</v>
      </c>
      <c r="K2377" s="21" t="str">
        <f aca="false">INDEX(Students!$D$2:$D$601,MATCH(B2377,Students!$A$2:$A$601,0))</f>
        <v>DSA with Java</v>
      </c>
      <c r="L2377" s="21" t="str">
        <f aca="false">INDEX(Companies!$C$2:$C$31,MATCH(C2377,Companies!$A$2:$A$31,0))</f>
        <v>Healthtech</v>
      </c>
      <c r="M2377" s="21" t="str">
        <f aca="false">INDEX(Companies!$D$2:$D$31,MATCH(C2377,Companies!$A$2:$A$31,0))</f>
        <v>Tier 3</v>
      </c>
      <c r="N2377" s="34" t="n">
        <f aca="false">MATCH(F2377,Assumptions!$K$4:$K$8,0)</f>
        <v>3</v>
      </c>
      <c r="O2377" s="21" t="str">
        <f aca="false">IF(H2377="Yes",MONTH(I2377),"")</f>
        <v/>
      </c>
      <c r="P2377" s="21" t="str">
        <f aca="false">IF(H2377="Yes",B2377,"")</f>
        <v/>
      </c>
    </row>
    <row r="2378" customFormat="false" ht="15" hidden="false" customHeight="false" outlineLevel="0" collapsed="false">
      <c r="A2378" s="21" t="s">
        <v>3593</v>
      </c>
      <c r="B2378" s="21" t="s">
        <v>956</v>
      </c>
      <c r="C2378" s="21" t="s">
        <v>1196</v>
      </c>
      <c r="D2378" s="21" t="s">
        <v>1188</v>
      </c>
      <c r="E2378" s="33" t="n">
        <v>45941</v>
      </c>
      <c r="F2378" s="21" t="s">
        <v>1178</v>
      </c>
      <c r="G2378" s="32"/>
      <c r="H2378" s="21"/>
      <c r="I2378" s="33"/>
      <c r="J2378" s="21" t="str">
        <f aca="false">INDEX(Students!$C$2:$C$601,MATCH(B2378,Students!$A$2:$A$601,0))</f>
        <v>Batch 2026</v>
      </c>
      <c r="K2378" s="21" t="str">
        <f aca="false">INDEX(Students!$D$2:$D$601,MATCH(B2378,Students!$A$2:$A$601,0))</f>
        <v>Data Analytics</v>
      </c>
      <c r="L2378" s="21" t="str">
        <f aca="false">INDEX(Companies!$C$2:$C$31,MATCH(C2378,Companies!$A$2:$A$31,0))</f>
        <v>IT Services</v>
      </c>
      <c r="M2378" s="21" t="str">
        <f aca="false">INDEX(Companies!$D$2:$D$31,MATCH(C2378,Companies!$A$2:$A$31,0))</f>
        <v>Tier 3</v>
      </c>
      <c r="N2378" s="34" t="n">
        <f aca="false">MATCH(F2378,Assumptions!$K$4:$K$8,0)</f>
        <v>2</v>
      </c>
      <c r="O2378" s="21" t="str">
        <f aca="false">IF(H2378="Yes",MONTH(I2378),"")</f>
        <v/>
      </c>
      <c r="P2378" s="21" t="str">
        <f aca="false">IF(H2378="Yes",B2378,"")</f>
        <v/>
      </c>
    </row>
    <row r="2379" customFormat="false" ht="15" hidden="false" customHeight="false" outlineLevel="0" collapsed="false">
      <c r="A2379" s="21" t="s">
        <v>3594</v>
      </c>
      <c r="B2379" s="21" t="s">
        <v>910</v>
      </c>
      <c r="C2379" s="21" t="s">
        <v>1180</v>
      </c>
      <c r="D2379" s="21" t="s">
        <v>1174</v>
      </c>
      <c r="E2379" s="33" t="n">
        <v>45941</v>
      </c>
      <c r="F2379" s="21" t="s">
        <v>1175</v>
      </c>
      <c r="G2379" s="32"/>
      <c r="H2379" s="21"/>
      <c r="I2379" s="33"/>
      <c r="J2379" s="21" t="str">
        <f aca="false">INDEX(Students!$C$2:$C$601,MATCH(B2379,Students!$A$2:$A$601,0))</f>
        <v>Batch 2026</v>
      </c>
      <c r="K2379" s="21" t="str">
        <f aca="false">INDEX(Students!$D$2:$D$601,MATCH(B2379,Students!$A$2:$A$601,0))</f>
        <v>Full Stack Development</v>
      </c>
      <c r="L2379" s="21" t="str">
        <f aca="false">INDEX(Companies!$C$2:$C$31,MATCH(C2379,Companies!$A$2:$A$31,0))</f>
        <v>IT Services</v>
      </c>
      <c r="M2379" s="21" t="str">
        <f aca="false">INDEX(Companies!$D$2:$D$31,MATCH(C2379,Companies!$A$2:$A$31,0))</f>
        <v>Tier 3</v>
      </c>
      <c r="N2379" s="34" t="n">
        <f aca="false">MATCH(F2379,Assumptions!$K$4:$K$8,0)</f>
        <v>1</v>
      </c>
      <c r="O2379" s="21" t="str">
        <f aca="false">IF(H2379="Yes",MONTH(I2379),"")</f>
        <v/>
      </c>
      <c r="P2379" s="21" t="str">
        <f aca="false">IF(H2379="Yes",B2379,"")</f>
        <v/>
      </c>
    </row>
    <row r="2380" customFormat="false" ht="15" hidden="false" customHeight="false" outlineLevel="0" collapsed="false">
      <c r="A2380" s="21" t="s">
        <v>3595</v>
      </c>
      <c r="B2380" s="21" t="s">
        <v>1070</v>
      </c>
      <c r="C2380" s="21" t="s">
        <v>1298</v>
      </c>
      <c r="D2380" s="21" t="s">
        <v>1181</v>
      </c>
      <c r="E2380" s="33" t="n">
        <v>45942</v>
      </c>
      <c r="F2380" s="21" t="s">
        <v>1175</v>
      </c>
      <c r="G2380" s="32"/>
      <c r="H2380" s="21"/>
      <c r="I2380" s="33"/>
      <c r="J2380" s="21" t="str">
        <f aca="false">INDEX(Students!$C$2:$C$601,MATCH(B2380,Students!$A$2:$A$601,0))</f>
        <v>Batch 2026</v>
      </c>
      <c r="K2380" s="21" t="str">
        <f aca="false">INDEX(Students!$D$2:$D$601,MATCH(B2380,Students!$A$2:$A$601,0))</f>
        <v>Full Stack Development</v>
      </c>
      <c r="L2380" s="21" t="str">
        <f aca="false">INDEX(Companies!$C$2:$C$31,MATCH(C2380,Companies!$A$2:$A$31,0))</f>
        <v>Fintech</v>
      </c>
      <c r="M2380" s="21" t="str">
        <f aca="false">INDEX(Companies!$D$2:$D$31,MATCH(C2380,Companies!$A$2:$A$31,0))</f>
        <v>Tier 2</v>
      </c>
      <c r="N2380" s="34" t="n">
        <f aca="false">MATCH(F2380,Assumptions!$K$4:$K$8,0)</f>
        <v>1</v>
      </c>
      <c r="O2380" s="21" t="str">
        <f aca="false">IF(H2380="Yes",MONTH(I2380),"")</f>
        <v/>
      </c>
      <c r="P2380" s="21" t="str">
        <f aca="false">IF(H2380="Yes",B2380,"")</f>
        <v/>
      </c>
    </row>
    <row r="2381" customFormat="false" ht="15" hidden="false" customHeight="false" outlineLevel="0" collapsed="false">
      <c r="A2381" s="21" t="s">
        <v>3596</v>
      </c>
      <c r="B2381" s="21" t="s">
        <v>861</v>
      </c>
      <c r="C2381" s="21" t="s">
        <v>1214</v>
      </c>
      <c r="D2381" s="21" t="s">
        <v>1184</v>
      </c>
      <c r="E2381" s="33" t="n">
        <v>45942</v>
      </c>
      <c r="F2381" s="21" t="s">
        <v>1175</v>
      </c>
      <c r="G2381" s="32"/>
      <c r="H2381" s="21"/>
      <c r="I2381" s="33"/>
      <c r="J2381" s="21" t="str">
        <f aca="false">INDEX(Students!$C$2:$C$601,MATCH(B2381,Students!$A$2:$A$601,0))</f>
        <v>Batch 2026</v>
      </c>
      <c r="K2381" s="21" t="str">
        <f aca="false">INDEX(Students!$D$2:$D$601,MATCH(B2381,Students!$A$2:$A$601,0))</f>
        <v>DSA with Java</v>
      </c>
      <c r="L2381" s="21" t="str">
        <f aca="false">INDEX(Companies!$C$2:$C$31,MATCH(C2381,Companies!$A$2:$A$31,0))</f>
        <v>Product</v>
      </c>
      <c r="M2381" s="21" t="str">
        <f aca="false">INDEX(Companies!$D$2:$D$31,MATCH(C2381,Companies!$A$2:$A$31,0))</f>
        <v>Tier 1</v>
      </c>
      <c r="N2381" s="34" t="n">
        <f aca="false">MATCH(F2381,Assumptions!$K$4:$K$8,0)</f>
        <v>1</v>
      </c>
      <c r="O2381" s="21" t="str">
        <f aca="false">IF(H2381="Yes",MONTH(I2381),"")</f>
        <v/>
      </c>
      <c r="P2381" s="21" t="str">
        <f aca="false">IF(H2381="Yes",B2381,"")</f>
        <v/>
      </c>
    </row>
    <row r="2382" customFormat="false" ht="15" hidden="false" customHeight="false" outlineLevel="0" collapsed="false">
      <c r="A2382" s="21" t="s">
        <v>3597</v>
      </c>
      <c r="B2382" s="21" t="s">
        <v>829</v>
      </c>
      <c r="C2382" s="21" t="s">
        <v>1322</v>
      </c>
      <c r="D2382" s="21" t="s">
        <v>1191</v>
      </c>
      <c r="E2382" s="33" t="n">
        <v>45942</v>
      </c>
      <c r="F2382" s="21" t="s">
        <v>1185</v>
      </c>
      <c r="G2382" s="32" t="n">
        <v>13.9</v>
      </c>
      <c r="H2382" s="21" t="s">
        <v>120</v>
      </c>
      <c r="I2382" s="33" t="n">
        <v>45967</v>
      </c>
      <c r="J2382" s="21" t="str">
        <f aca="false">INDEX(Students!$C$2:$C$601,MATCH(B2382,Students!$A$2:$A$601,0))</f>
        <v>Batch 2026</v>
      </c>
      <c r="K2382" s="21" t="str">
        <f aca="false">INDEX(Students!$D$2:$D$601,MATCH(B2382,Students!$A$2:$A$601,0))</f>
        <v>DSA with Java</v>
      </c>
      <c r="L2382" s="21" t="str">
        <f aca="false">INDEX(Companies!$C$2:$C$31,MATCH(C2382,Companies!$A$2:$A$31,0))</f>
        <v>Healthtech</v>
      </c>
      <c r="M2382" s="21" t="str">
        <f aca="false">INDEX(Companies!$D$2:$D$31,MATCH(C2382,Companies!$A$2:$A$31,0))</f>
        <v>Tier 2</v>
      </c>
      <c r="N2382" s="34" t="n">
        <f aca="false">MATCH(F2382,Assumptions!$K$4:$K$8,0)</f>
        <v>5</v>
      </c>
      <c r="O2382" s="21" t="n">
        <f aca="false">IF(H2382="Yes",MONTH(I2382),"")</f>
        <v>11</v>
      </c>
      <c r="P2382" s="21" t="str">
        <f aca="false">IF(H2382="Yes",B2382,"")</f>
        <v>S0394</v>
      </c>
    </row>
    <row r="2383" customFormat="false" ht="15" hidden="false" customHeight="false" outlineLevel="0" collapsed="false">
      <c r="A2383" s="21" t="s">
        <v>3598</v>
      </c>
      <c r="B2383" s="21" t="s">
        <v>947</v>
      </c>
      <c r="C2383" s="21" t="s">
        <v>1177</v>
      </c>
      <c r="D2383" s="21" t="s">
        <v>1191</v>
      </c>
      <c r="E2383" s="33" t="n">
        <v>45942</v>
      </c>
      <c r="F2383" s="21" t="s">
        <v>1185</v>
      </c>
      <c r="G2383" s="32" t="n">
        <v>7.1</v>
      </c>
      <c r="H2383" s="21" t="s">
        <v>113</v>
      </c>
      <c r="I2383" s="33" t="n">
        <v>45982</v>
      </c>
      <c r="J2383" s="21" t="str">
        <f aca="false">INDEX(Students!$C$2:$C$601,MATCH(B2383,Students!$A$2:$A$601,0))</f>
        <v>Batch 2026</v>
      </c>
      <c r="K2383" s="21" t="str">
        <f aca="false">INDEX(Students!$D$2:$D$601,MATCH(B2383,Students!$A$2:$A$601,0))</f>
        <v>DSA with Java</v>
      </c>
      <c r="L2383" s="21" t="str">
        <f aca="false">INDEX(Companies!$C$2:$C$31,MATCH(C2383,Companies!$A$2:$A$31,0))</f>
        <v>IT Services</v>
      </c>
      <c r="M2383" s="21" t="str">
        <f aca="false">INDEX(Companies!$D$2:$D$31,MATCH(C2383,Companies!$A$2:$A$31,0))</f>
        <v>Tier 3</v>
      </c>
      <c r="N2383" s="34" t="n">
        <f aca="false">MATCH(F2383,Assumptions!$K$4:$K$8,0)</f>
        <v>5</v>
      </c>
      <c r="O2383" s="21" t="str">
        <f aca="false">IF(H2383="Yes",MONTH(I2383),"")</f>
        <v/>
      </c>
      <c r="P2383" s="21" t="str">
        <f aca="false">IF(H2383="Yes",B2383,"")</f>
        <v/>
      </c>
    </row>
    <row r="2384" customFormat="false" ht="15" hidden="false" customHeight="false" outlineLevel="0" collapsed="false">
      <c r="A2384" s="21" t="s">
        <v>3599</v>
      </c>
      <c r="B2384" s="21" t="s">
        <v>967</v>
      </c>
      <c r="C2384" s="21" t="s">
        <v>1208</v>
      </c>
      <c r="D2384" s="21" t="s">
        <v>1174</v>
      </c>
      <c r="E2384" s="33" t="n">
        <v>45943</v>
      </c>
      <c r="F2384" s="21" t="s">
        <v>1175</v>
      </c>
      <c r="G2384" s="32"/>
      <c r="H2384" s="21"/>
      <c r="I2384" s="33"/>
      <c r="J2384" s="21" t="str">
        <f aca="false">INDEX(Students!$C$2:$C$601,MATCH(B2384,Students!$A$2:$A$601,0))</f>
        <v>Batch 2026</v>
      </c>
      <c r="K2384" s="21" t="str">
        <f aca="false">INDEX(Students!$D$2:$D$601,MATCH(B2384,Students!$A$2:$A$601,0))</f>
        <v>Full Stack Development</v>
      </c>
      <c r="L2384" s="21" t="str">
        <f aca="false">INDEX(Companies!$C$2:$C$31,MATCH(C2384,Companies!$A$2:$A$31,0))</f>
        <v>E-commerce</v>
      </c>
      <c r="M2384" s="21" t="str">
        <f aca="false">INDEX(Companies!$D$2:$D$31,MATCH(C2384,Companies!$A$2:$A$31,0))</f>
        <v>Tier 1</v>
      </c>
      <c r="N2384" s="34" t="n">
        <f aca="false">MATCH(F2384,Assumptions!$K$4:$K$8,0)</f>
        <v>1</v>
      </c>
      <c r="O2384" s="21" t="str">
        <f aca="false">IF(H2384="Yes",MONTH(I2384),"")</f>
        <v/>
      </c>
      <c r="P2384" s="21" t="str">
        <f aca="false">IF(H2384="Yes",B2384,"")</f>
        <v/>
      </c>
    </row>
    <row r="2385" customFormat="false" ht="15" hidden="false" customHeight="false" outlineLevel="0" collapsed="false">
      <c r="A2385" s="21" t="s">
        <v>3600</v>
      </c>
      <c r="B2385" s="21" t="s">
        <v>925</v>
      </c>
      <c r="C2385" s="21" t="s">
        <v>1173</v>
      </c>
      <c r="D2385" s="21" t="s">
        <v>1181</v>
      </c>
      <c r="E2385" s="33" t="n">
        <v>45943</v>
      </c>
      <c r="F2385" s="21" t="s">
        <v>1175</v>
      </c>
      <c r="G2385" s="32"/>
      <c r="H2385" s="21"/>
      <c r="I2385" s="33"/>
      <c r="J2385" s="21" t="str">
        <f aca="false">INDEX(Students!$C$2:$C$601,MATCH(B2385,Students!$A$2:$A$601,0))</f>
        <v>Batch 2026</v>
      </c>
      <c r="K2385" s="21" t="str">
        <f aca="false">INDEX(Students!$D$2:$D$601,MATCH(B2385,Students!$A$2:$A$601,0))</f>
        <v>Full Stack Development</v>
      </c>
      <c r="L2385" s="21" t="str">
        <f aca="false">INDEX(Companies!$C$2:$C$31,MATCH(C2385,Companies!$A$2:$A$31,0))</f>
        <v>Cybersecurity</v>
      </c>
      <c r="M2385" s="21" t="str">
        <f aca="false">INDEX(Companies!$D$2:$D$31,MATCH(C2385,Companies!$A$2:$A$31,0))</f>
        <v>Tier 1</v>
      </c>
      <c r="N2385" s="34" t="n">
        <f aca="false">MATCH(F2385,Assumptions!$K$4:$K$8,0)</f>
        <v>1</v>
      </c>
      <c r="O2385" s="21" t="str">
        <f aca="false">IF(H2385="Yes",MONTH(I2385),"")</f>
        <v/>
      </c>
      <c r="P2385" s="21" t="str">
        <f aca="false">IF(H2385="Yes",B2385,"")</f>
        <v/>
      </c>
    </row>
    <row r="2386" customFormat="false" ht="15" hidden="false" customHeight="false" outlineLevel="0" collapsed="false">
      <c r="A2386" s="21" t="s">
        <v>3601</v>
      </c>
      <c r="B2386" s="21" t="s">
        <v>1058</v>
      </c>
      <c r="C2386" s="21" t="s">
        <v>1201</v>
      </c>
      <c r="D2386" s="21" t="s">
        <v>1174</v>
      </c>
      <c r="E2386" s="33" t="n">
        <v>45943</v>
      </c>
      <c r="F2386" s="21" t="s">
        <v>1185</v>
      </c>
      <c r="G2386" s="32" t="n">
        <v>4.7</v>
      </c>
      <c r="H2386" s="21" t="s">
        <v>113</v>
      </c>
      <c r="I2386" s="33" t="n">
        <v>45972</v>
      </c>
      <c r="J2386" s="21" t="str">
        <f aca="false">INDEX(Students!$C$2:$C$601,MATCH(B2386,Students!$A$2:$A$601,0))</f>
        <v>Batch 2026</v>
      </c>
      <c r="K2386" s="21" t="str">
        <f aca="false">INDEX(Students!$D$2:$D$601,MATCH(B2386,Students!$A$2:$A$601,0))</f>
        <v>Full Stack Development</v>
      </c>
      <c r="L2386" s="21" t="str">
        <f aca="false">INDEX(Companies!$C$2:$C$31,MATCH(C2386,Companies!$A$2:$A$31,0))</f>
        <v>IT Services</v>
      </c>
      <c r="M2386" s="21" t="str">
        <f aca="false">INDEX(Companies!$D$2:$D$31,MATCH(C2386,Companies!$A$2:$A$31,0))</f>
        <v>Tier 3</v>
      </c>
      <c r="N2386" s="34" t="n">
        <f aca="false">MATCH(F2386,Assumptions!$K$4:$K$8,0)</f>
        <v>5</v>
      </c>
      <c r="O2386" s="21" t="str">
        <f aca="false">IF(H2386="Yes",MONTH(I2386),"")</f>
        <v/>
      </c>
      <c r="P2386" s="21" t="str">
        <f aca="false">IF(H2386="Yes",B2386,"")</f>
        <v/>
      </c>
    </row>
    <row r="2387" customFormat="false" ht="15" hidden="false" customHeight="false" outlineLevel="0" collapsed="false">
      <c r="A2387" s="21" t="s">
        <v>3602</v>
      </c>
      <c r="B2387" s="21" t="s">
        <v>928</v>
      </c>
      <c r="C2387" s="21" t="s">
        <v>1177</v>
      </c>
      <c r="D2387" s="21" t="s">
        <v>1181</v>
      </c>
      <c r="E2387" s="33" t="n">
        <v>45943</v>
      </c>
      <c r="F2387" s="21" t="s">
        <v>1185</v>
      </c>
      <c r="G2387" s="32" t="n">
        <v>7.1</v>
      </c>
      <c r="H2387" s="21" t="s">
        <v>120</v>
      </c>
      <c r="I2387" s="33" t="n">
        <v>45970</v>
      </c>
      <c r="J2387" s="21" t="str">
        <f aca="false">INDEX(Students!$C$2:$C$601,MATCH(B2387,Students!$A$2:$A$601,0))</f>
        <v>Batch 2026</v>
      </c>
      <c r="K2387" s="21" t="str">
        <f aca="false">INDEX(Students!$D$2:$D$601,MATCH(B2387,Students!$A$2:$A$601,0))</f>
        <v>Full Stack Development</v>
      </c>
      <c r="L2387" s="21" t="str">
        <f aca="false">INDEX(Companies!$C$2:$C$31,MATCH(C2387,Companies!$A$2:$A$31,0))</f>
        <v>IT Services</v>
      </c>
      <c r="M2387" s="21" t="str">
        <f aca="false">INDEX(Companies!$D$2:$D$31,MATCH(C2387,Companies!$A$2:$A$31,0))</f>
        <v>Tier 3</v>
      </c>
      <c r="N2387" s="34" t="n">
        <f aca="false">MATCH(F2387,Assumptions!$K$4:$K$8,0)</f>
        <v>5</v>
      </c>
      <c r="O2387" s="21" t="n">
        <f aca="false">IF(H2387="Yes",MONTH(I2387),"")</f>
        <v>11</v>
      </c>
      <c r="P2387" s="21" t="str">
        <f aca="false">IF(H2387="Yes",B2387,"")</f>
        <v>S0456</v>
      </c>
    </row>
    <row r="2388" customFormat="false" ht="15" hidden="false" customHeight="false" outlineLevel="0" collapsed="false">
      <c r="A2388" s="21" t="s">
        <v>3603</v>
      </c>
      <c r="B2388" s="21" t="s">
        <v>1122</v>
      </c>
      <c r="C2388" s="21" t="s">
        <v>1222</v>
      </c>
      <c r="D2388" s="21" t="s">
        <v>1243</v>
      </c>
      <c r="E2388" s="33" t="n">
        <v>45943</v>
      </c>
      <c r="F2388" s="21" t="s">
        <v>1175</v>
      </c>
      <c r="G2388" s="32"/>
      <c r="H2388" s="21"/>
      <c r="I2388" s="33"/>
      <c r="J2388" s="21" t="str">
        <f aca="false">INDEX(Students!$C$2:$C$601,MATCH(B2388,Students!$A$2:$A$601,0))</f>
        <v>Batch 2026</v>
      </c>
      <c r="K2388" s="21" t="str">
        <f aca="false">INDEX(Students!$D$2:$D$601,MATCH(B2388,Students!$A$2:$A$601,0))</f>
        <v>Data Science &amp; ML</v>
      </c>
      <c r="L2388" s="21" t="str">
        <f aca="false">INDEX(Companies!$C$2:$C$31,MATCH(C2388,Companies!$A$2:$A$31,0))</f>
        <v>Product</v>
      </c>
      <c r="M2388" s="21" t="str">
        <f aca="false">INDEX(Companies!$D$2:$D$31,MATCH(C2388,Companies!$A$2:$A$31,0))</f>
        <v>Tier 2</v>
      </c>
      <c r="N2388" s="34" t="n">
        <f aca="false">MATCH(F2388,Assumptions!$K$4:$K$8,0)</f>
        <v>1</v>
      </c>
      <c r="O2388" s="21" t="str">
        <f aca="false">IF(H2388="Yes",MONTH(I2388),"")</f>
        <v/>
      </c>
      <c r="P2388" s="21" t="str">
        <f aca="false">IF(H2388="Yes",B2388,"")</f>
        <v/>
      </c>
    </row>
    <row r="2389" customFormat="false" ht="15" hidden="false" customHeight="false" outlineLevel="0" collapsed="false">
      <c r="A2389" s="21" t="s">
        <v>3604</v>
      </c>
      <c r="B2389" s="21" t="s">
        <v>1153</v>
      </c>
      <c r="C2389" s="21" t="s">
        <v>1211</v>
      </c>
      <c r="D2389" s="21" t="s">
        <v>1188</v>
      </c>
      <c r="E2389" s="33" t="n">
        <v>45943</v>
      </c>
      <c r="F2389" s="21" t="s">
        <v>1185</v>
      </c>
      <c r="G2389" s="32" t="n">
        <v>6.5</v>
      </c>
      <c r="H2389" s="21" t="s">
        <v>120</v>
      </c>
      <c r="I2389" s="33" t="n">
        <v>45971</v>
      </c>
      <c r="J2389" s="21" t="str">
        <f aca="false">INDEX(Students!$C$2:$C$601,MATCH(B2389,Students!$A$2:$A$601,0))</f>
        <v>Batch 2026</v>
      </c>
      <c r="K2389" s="21" t="str">
        <f aca="false">INDEX(Students!$D$2:$D$601,MATCH(B2389,Students!$A$2:$A$601,0))</f>
        <v>Data Analytics</v>
      </c>
      <c r="L2389" s="21" t="str">
        <f aca="false">INDEX(Companies!$C$2:$C$31,MATCH(C2389,Companies!$A$2:$A$31,0))</f>
        <v>Analytics &amp; Consulting</v>
      </c>
      <c r="M2389" s="21" t="str">
        <f aca="false">INDEX(Companies!$D$2:$D$31,MATCH(C2389,Companies!$A$2:$A$31,0))</f>
        <v>Tier 3</v>
      </c>
      <c r="N2389" s="34" t="n">
        <f aca="false">MATCH(F2389,Assumptions!$K$4:$K$8,0)</f>
        <v>5</v>
      </c>
      <c r="O2389" s="21" t="n">
        <f aca="false">IF(H2389="Yes",MONTH(I2389),"")</f>
        <v>11</v>
      </c>
      <c r="P2389" s="21" t="str">
        <f aca="false">IF(H2389="Yes",B2389,"")</f>
        <v>S0596</v>
      </c>
    </row>
    <row r="2390" customFormat="false" ht="15" hidden="false" customHeight="false" outlineLevel="0" collapsed="false">
      <c r="A2390" s="21" t="s">
        <v>3605</v>
      </c>
      <c r="B2390" s="21" t="s">
        <v>1147</v>
      </c>
      <c r="C2390" s="21" t="s">
        <v>1173</v>
      </c>
      <c r="D2390" s="21" t="s">
        <v>1191</v>
      </c>
      <c r="E2390" s="33" t="n">
        <v>45943</v>
      </c>
      <c r="F2390" s="21" t="s">
        <v>1178</v>
      </c>
      <c r="G2390" s="32"/>
      <c r="H2390" s="21"/>
      <c r="I2390" s="33"/>
      <c r="J2390" s="21" t="str">
        <f aca="false">INDEX(Students!$C$2:$C$601,MATCH(B2390,Students!$A$2:$A$601,0))</f>
        <v>Batch 2026</v>
      </c>
      <c r="K2390" s="21" t="str">
        <f aca="false">INDEX(Students!$D$2:$D$601,MATCH(B2390,Students!$A$2:$A$601,0))</f>
        <v>DSA with Java</v>
      </c>
      <c r="L2390" s="21" t="str">
        <f aca="false">INDEX(Companies!$C$2:$C$31,MATCH(C2390,Companies!$A$2:$A$31,0))</f>
        <v>Cybersecurity</v>
      </c>
      <c r="M2390" s="21" t="str">
        <f aca="false">INDEX(Companies!$D$2:$D$31,MATCH(C2390,Companies!$A$2:$A$31,0))</f>
        <v>Tier 1</v>
      </c>
      <c r="N2390" s="34" t="n">
        <f aca="false">MATCH(F2390,Assumptions!$K$4:$K$8,0)</f>
        <v>2</v>
      </c>
      <c r="O2390" s="21" t="str">
        <f aca="false">IF(H2390="Yes",MONTH(I2390),"")</f>
        <v/>
      </c>
      <c r="P2390" s="21" t="str">
        <f aca="false">IF(H2390="Yes",B2390,"")</f>
        <v/>
      </c>
    </row>
    <row r="2391" customFormat="false" ht="15" hidden="false" customHeight="false" outlineLevel="0" collapsed="false">
      <c r="A2391" s="21" t="s">
        <v>3606</v>
      </c>
      <c r="B2391" s="21" t="s">
        <v>1114</v>
      </c>
      <c r="C2391" s="21" t="s">
        <v>1180</v>
      </c>
      <c r="D2391" s="21" t="s">
        <v>1243</v>
      </c>
      <c r="E2391" s="33" t="n">
        <v>45943</v>
      </c>
      <c r="F2391" s="21" t="s">
        <v>1175</v>
      </c>
      <c r="G2391" s="32"/>
      <c r="H2391" s="21"/>
      <c r="I2391" s="33"/>
      <c r="J2391" s="21" t="str">
        <f aca="false">INDEX(Students!$C$2:$C$601,MATCH(B2391,Students!$A$2:$A$601,0))</f>
        <v>Batch 2026</v>
      </c>
      <c r="K2391" s="21" t="str">
        <f aca="false">INDEX(Students!$D$2:$D$601,MATCH(B2391,Students!$A$2:$A$601,0))</f>
        <v>Data Science &amp; ML</v>
      </c>
      <c r="L2391" s="21" t="str">
        <f aca="false">INDEX(Companies!$C$2:$C$31,MATCH(C2391,Companies!$A$2:$A$31,0))</f>
        <v>IT Services</v>
      </c>
      <c r="M2391" s="21" t="str">
        <f aca="false">INDEX(Companies!$D$2:$D$31,MATCH(C2391,Companies!$A$2:$A$31,0))</f>
        <v>Tier 3</v>
      </c>
      <c r="N2391" s="34" t="n">
        <f aca="false">MATCH(F2391,Assumptions!$K$4:$K$8,0)</f>
        <v>1</v>
      </c>
      <c r="O2391" s="21" t="str">
        <f aca="false">IF(H2391="Yes",MONTH(I2391),"")</f>
        <v/>
      </c>
      <c r="P2391" s="21" t="str">
        <f aca="false">IF(H2391="Yes",B2391,"")</f>
        <v/>
      </c>
    </row>
    <row r="2392" customFormat="false" ht="15" hidden="false" customHeight="false" outlineLevel="0" collapsed="false">
      <c r="A2392" s="21" t="s">
        <v>3607</v>
      </c>
      <c r="B2392" s="21" t="s">
        <v>1091</v>
      </c>
      <c r="C2392" s="21" t="s">
        <v>1228</v>
      </c>
      <c r="D2392" s="21" t="s">
        <v>1181</v>
      </c>
      <c r="E2392" s="33" t="n">
        <v>45944</v>
      </c>
      <c r="F2392" s="21" t="s">
        <v>1178</v>
      </c>
      <c r="G2392" s="32"/>
      <c r="H2392" s="21"/>
      <c r="I2392" s="33"/>
      <c r="J2392" s="21" t="str">
        <f aca="false">INDEX(Students!$C$2:$C$601,MATCH(B2392,Students!$A$2:$A$601,0))</f>
        <v>Batch 2026</v>
      </c>
      <c r="K2392" s="21" t="str">
        <f aca="false">INDEX(Students!$D$2:$D$601,MATCH(B2392,Students!$A$2:$A$601,0))</f>
        <v>Full Stack Development</v>
      </c>
      <c r="L2392" s="21" t="str">
        <f aca="false">INDEX(Companies!$C$2:$C$31,MATCH(C2392,Companies!$A$2:$A$31,0))</f>
        <v>Fintech</v>
      </c>
      <c r="M2392" s="21" t="str">
        <f aca="false">INDEX(Companies!$D$2:$D$31,MATCH(C2392,Companies!$A$2:$A$31,0))</f>
        <v>Tier 1</v>
      </c>
      <c r="N2392" s="34" t="n">
        <f aca="false">MATCH(F2392,Assumptions!$K$4:$K$8,0)</f>
        <v>2</v>
      </c>
      <c r="O2392" s="21" t="str">
        <f aca="false">IF(H2392="Yes",MONTH(I2392),"")</f>
        <v/>
      </c>
      <c r="P2392" s="21" t="str">
        <f aca="false">IF(H2392="Yes",B2392,"")</f>
        <v/>
      </c>
    </row>
    <row r="2393" customFormat="false" ht="15" hidden="false" customHeight="false" outlineLevel="0" collapsed="false">
      <c r="A2393" s="21" t="s">
        <v>3608</v>
      </c>
      <c r="B2393" s="21" t="s">
        <v>1015</v>
      </c>
      <c r="C2393" s="21" t="s">
        <v>1211</v>
      </c>
      <c r="D2393" s="21" t="s">
        <v>1188</v>
      </c>
      <c r="E2393" s="33" t="n">
        <v>45944</v>
      </c>
      <c r="F2393" s="21" t="s">
        <v>1185</v>
      </c>
      <c r="G2393" s="32" t="n">
        <v>5.2</v>
      </c>
      <c r="H2393" s="21" t="s">
        <v>120</v>
      </c>
      <c r="I2393" s="33" t="n">
        <v>45972</v>
      </c>
      <c r="J2393" s="21" t="str">
        <f aca="false">INDEX(Students!$C$2:$C$601,MATCH(B2393,Students!$A$2:$A$601,0))</f>
        <v>Batch 2026</v>
      </c>
      <c r="K2393" s="21" t="str">
        <f aca="false">INDEX(Students!$D$2:$D$601,MATCH(B2393,Students!$A$2:$A$601,0))</f>
        <v>Data Analytics</v>
      </c>
      <c r="L2393" s="21" t="str">
        <f aca="false">INDEX(Companies!$C$2:$C$31,MATCH(C2393,Companies!$A$2:$A$31,0))</f>
        <v>Analytics &amp; Consulting</v>
      </c>
      <c r="M2393" s="21" t="str">
        <f aca="false">INDEX(Companies!$D$2:$D$31,MATCH(C2393,Companies!$A$2:$A$31,0))</f>
        <v>Tier 3</v>
      </c>
      <c r="N2393" s="34" t="n">
        <f aca="false">MATCH(F2393,Assumptions!$K$4:$K$8,0)</f>
        <v>5</v>
      </c>
      <c r="O2393" s="21" t="n">
        <f aca="false">IF(H2393="Yes",MONTH(I2393),"")</f>
        <v>11</v>
      </c>
      <c r="P2393" s="21" t="str">
        <f aca="false">IF(H2393="Yes",B2393,"")</f>
        <v>S0509</v>
      </c>
    </row>
    <row r="2394" customFormat="false" ht="15" hidden="false" customHeight="false" outlineLevel="0" collapsed="false">
      <c r="A2394" s="21" t="s">
        <v>3609</v>
      </c>
      <c r="B2394" s="21" t="s">
        <v>1119</v>
      </c>
      <c r="C2394" s="21" t="s">
        <v>1177</v>
      </c>
      <c r="D2394" s="21" t="s">
        <v>1209</v>
      </c>
      <c r="E2394" s="33" t="n">
        <v>45944</v>
      </c>
      <c r="F2394" s="21" t="s">
        <v>1218</v>
      </c>
      <c r="G2394" s="32"/>
      <c r="H2394" s="21"/>
      <c r="I2394" s="33"/>
      <c r="J2394" s="21" t="str">
        <f aca="false">INDEX(Students!$C$2:$C$601,MATCH(B2394,Students!$A$2:$A$601,0))</f>
        <v>Batch 2026</v>
      </c>
      <c r="K2394" s="21" t="str">
        <f aca="false">INDEX(Students!$D$2:$D$601,MATCH(B2394,Students!$A$2:$A$601,0))</f>
        <v>Data Analytics</v>
      </c>
      <c r="L2394" s="21" t="str">
        <f aca="false">INDEX(Companies!$C$2:$C$31,MATCH(C2394,Companies!$A$2:$A$31,0))</f>
        <v>IT Services</v>
      </c>
      <c r="M2394" s="21" t="str">
        <f aca="false">INDEX(Companies!$D$2:$D$31,MATCH(C2394,Companies!$A$2:$A$31,0))</f>
        <v>Tier 3</v>
      </c>
      <c r="N2394" s="34" t="n">
        <f aca="false">MATCH(F2394,Assumptions!$K$4:$K$8,0)</f>
        <v>4</v>
      </c>
      <c r="O2394" s="21" t="str">
        <f aca="false">IF(H2394="Yes",MONTH(I2394),"")</f>
        <v/>
      </c>
      <c r="P2394" s="21" t="str">
        <f aca="false">IF(H2394="Yes",B2394,"")</f>
        <v/>
      </c>
    </row>
    <row r="2395" customFormat="false" ht="15" hidden="false" customHeight="false" outlineLevel="0" collapsed="false">
      <c r="A2395" s="21" t="s">
        <v>3610</v>
      </c>
      <c r="B2395" s="21" t="s">
        <v>956</v>
      </c>
      <c r="C2395" s="21" t="s">
        <v>1309</v>
      </c>
      <c r="D2395" s="21" t="s">
        <v>1209</v>
      </c>
      <c r="E2395" s="33" t="n">
        <v>45944</v>
      </c>
      <c r="F2395" s="21" t="s">
        <v>1218</v>
      </c>
      <c r="G2395" s="32"/>
      <c r="H2395" s="21"/>
      <c r="I2395" s="33"/>
      <c r="J2395" s="21" t="str">
        <f aca="false">INDEX(Students!$C$2:$C$601,MATCH(B2395,Students!$A$2:$A$601,0))</f>
        <v>Batch 2026</v>
      </c>
      <c r="K2395" s="21" t="str">
        <f aca="false">INDEX(Students!$D$2:$D$601,MATCH(B2395,Students!$A$2:$A$601,0))</f>
        <v>Data Analytics</v>
      </c>
      <c r="L2395" s="21" t="str">
        <f aca="false">INDEX(Companies!$C$2:$C$31,MATCH(C2395,Companies!$A$2:$A$31,0))</f>
        <v>EdTech</v>
      </c>
      <c r="M2395" s="21" t="str">
        <f aca="false">INDEX(Companies!$D$2:$D$31,MATCH(C2395,Companies!$A$2:$A$31,0))</f>
        <v>Tier 2</v>
      </c>
      <c r="N2395" s="34" t="n">
        <f aca="false">MATCH(F2395,Assumptions!$K$4:$K$8,0)</f>
        <v>4</v>
      </c>
      <c r="O2395" s="21" t="str">
        <f aca="false">IF(H2395="Yes",MONTH(I2395),"")</f>
        <v/>
      </c>
      <c r="P2395" s="21" t="str">
        <f aca="false">IF(H2395="Yes",B2395,"")</f>
        <v/>
      </c>
    </row>
    <row r="2396" customFormat="false" ht="15" hidden="false" customHeight="false" outlineLevel="0" collapsed="false">
      <c r="A2396" s="21" t="s">
        <v>3611</v>
      </c>
      <c r="B2396" s="21" t="s">
        <v>824</v>
      </c>
      <c r="C2396" s="21" t="s">
        <v>1211</v>
      </c>
      <c r="D2396" s="21" t="s">
        <v>1191</v>
      </c>
      <c r="E2396" s="33" t="n">
        <v>45945</v>
      </c>
      <c r="F2396" s="21" t="s">
        <v>1197</v>
      </c>
      <c r="G2396" s="32"/>
      <c r="H2396" s="21"/>
      <c r="I2396" s="33"/>
      <c r="J2396" s="21" t="str">
        <f aca="false">INDEX(Students!$C$2:$C$601,MATCH(B2396,Students!$A$2:$A$601,0))</f>
        <v>Batch 2026</v>
      </c>
      <c r="K2396" s="21" t="str">
        <f aca="false">INDEX(Students!$D$2:$D$601,MATCH(B2396,Students!$A$2:$A$601,0))</f>
        <v>DSA with Java</v>
      </c>
      <c r="L2396" s="21" t="str">
        <f aca="false">INDEX(Companies!$C$2:$C$31,MATCH(C2396,Companies!$A$2:$A$31,0))</f>
        <v>Analytics &amp; Consulting</v>
      </c>
      <c r="M2396" s="21" t="str">
        <f aca="false">INDEX(Companies!$D$2:$D$31,MATCH(C2396,Companies!$A$2:$A$31,0))</f>
        <v>Tier 3</v>
      </c>
      <c r="N2396" s="34" t="n">
        <f aca="false">MATCH(F2396,Assumptions!$K$4:$K$8,0)</f>
        <v>3</v>
      </c>
      <c r="O2396" s="21" t="str">
        <f aca="false">IF(H2396="Yes",MONTH(I2396),"")</f>
        <v/>
      </c>
      <c r="P2396" s="21" t="str">
        <f aca="false">IF(H2396="Yes",B2396,"")</f>
        <v/>
      </c>
    </row>
    <row r="2397" customFormat="false" ht="15" hidden="false" customHeight="false" outlineLevel="0" collapsed="false">
      <c r="A2397" s="21" t="s">
        <v>3612</v>
      </c>
      <c r="B2397" s="21" t="s">
        <v>836</v>
      </c>
      <c r="C2397" s="21" t="s">
        <v>1214</v>
      </c>
      <c r="D2397" s="21" t="s">
        <v>1243</v>
      </c>
      <c r="E2397" s="33" t="n">
        <v>45945</v>
      </c>
      <c r="F2397" s="21" t="s">
        <v>1175</v>
      </c>
      <c r="G2397" s="32"/>
      <c r="H2397" s="21"/>
      <c r="I2397" s="33"/>
      <c r="J2397" s="21" t="str">
        <f aca="false">INDEX(Students!$C$2:$C$601,MATCH(B2397,Students!$A$2:$A$601,0))</f>
        <v>Batch 2026</v>
      </c>
      <c r="K2397" s="21" t="str">
        <f aca="false">INDEX(Students!$D$2:$D$601,MATCH(B2397,Students!$A$2:$A$601,0))</f>
        <v>Data Science &amp; ML</v>
      </c>
      <c r="L2397" s="21" t="str">
        <f aca="false">INDEX(Companies!$C$2:$C$31,MATCH(C2397,Companies!$A$2:$A$31,0))</f>
        <v>Product</v>
      </c>
      <c r="M2397" s="21" t="str">
        <f aca="false">INDEX(Companies!$D$2:$D$31,MATCH(C2397,Companies!$A$2:$A$31,0))</f>
        <v>Tier 1</v>
      </c>
      <c r="N2397" s="34" t="n">
        <f aca="false">MATCH(F2397,Assumptions!$K$4:$K$8,0)</f>
        <v>1</v>
      </c>
      <c r="O2397" s="21" t="str">
        <f aca="false">IF(H2397="Yes",MONTH(I2397),"")</f>
        <v/>
      </c>
      <c r="P2397" s="21" t="str">
        <f aca="false">IF(H2397="Yes",B2397,"")</f>
        <v/>
      </c>
    </row>
    <row r="2398" customFormat="false" ht="15" hidden="false" customHeight="false" outlineLevel="0" collapsed="false">
      <c r="A2398" s="21" t="s">
        <v>3613</v>
      </c>
      <c r="B2398" s="21" t="s">
        <v>1035</v>
      </c>
      <c r="C2398" s="21" t="s">
        <v>1230</v>
      </c>
      <c r="D2398" s="21" t="s">
        <v>1181</v>
      </c>
      <c r="E2398" s="33" t="n">
        <v>45945</v>
      </c>
      <c r="F2398" s="21" t="s">
        <v>1175</v>
      </c>
      <c r="G2398" s="32"/>
      <c r="H2398" s="21"/>
      <c r="I2398" s="33"/>
      <c r="J2398" s="21" t="str">
        <f aca="false">INDEX(Students!$C$2:$C$601,MATCH(B2398,Students!$A$2:$A$601,0))</f>
        <v>Batch 2026</v>
      </c>
      <c r="K2398" s="21" t="str">
        <f aca="false">INDEX(Students!$D$2:$D$601,MATCH(B2398,Students!$A$2:$A$601,0))</f>
        <v>Full Stack Development</v>
      </c>
      <c r="L2398" s="21" t="str">
        <f aca="false">INDEX(Companies!$C$2:$C$31,MATCH(C2398,Companies!$A$2:$A$31,0))</f>
        <v>IT Services</v>
      </c>
      <c r="M2398" s="21" t="str">
        <f aca="false">INDEX(Companies!$D$2:$D$31,MATCH(C2398,Companies!$A$2:$A$31,0))</f>
        <v>Tier 3</v>
      </c>
      <c r="N2398" s="34" t="n">
        <f aca="false">MATCH(F2398,Assumptions!$K$4:$K$8,0)</f>
        <v>1</v>
      </c>
      <c r="O2398" s="21" t="str">
        <f aca="false">IF(H2398="Yes",MONTH(I2398),"")</f>
        <v/>
      </c>
      <c r="P2398" s="21" t="str">
        <f aca="false">IF(H2398="Yes",B2398,"")</f>
        <v/>
      </c>
    </row>
    <row r="2399" customFormat="false" ht="15" hidden="false" customHeight="false" outlineLevel="0" collapsed="false">
      <c r="A2399" s="21" t="s">
        <v>3614</v>
      </c>
      <c r="B2399" s="21" t="s">
        <v>858</v>
      </c>
      <c r="C2399" s="21" t="s">
        <v>1222</v>
      </c>
      <c r="D2399" s="21" t="s">
        <v>1191</v>
      </c>
      <c r="E2399" s="33" t="n">
        <v>45945</v>
      </c>
      <c r="F2399" s="21" t="s">
        <v>1185</v>
      </c>
      <c r="G2399" s="32" t="n">
        <v>12.7</v>
      </c>
      <c r="H2399" s="21" t="s">
        <v>113</v>
      </c>
      <c r="I2399" s="33" t="n">
        <v>45998</v>
      </c>
      <c r="J2399" s="21" t="str">
        <f aca="false">INDEX(Students!$C$2:$C$601,MATCH(B2399,Students!$A$2:$A$601,0))</f>
        <v>Batch 2026</v>
      </c>
      <c r="K2399" s="21" t="str">
        <f aca="false">INDEX(Students!$D$2:$D$601,MATCH(B2399,Students!$A$2:$A$601,0))</f>
        <v>DSA with Java</v>
      </c>
      <c r="L2399" s="21" t="str">
        <f aca="false">INDEX(Companies!$C$2:$C$31,MATCH(C2399,Companies!$A$2:$A$31,0))</f>
        <v>Product</v>
      </c>
      <c r="M2399" s="21" t="str">
        <f aca="false">INDEX(Companies!$D$2:$D$31,MATCH(C2399,Companies!$A$2:$A$31,0))</f>
        <v>Tier 2</v>
      </c>
      <c r="N2399" s="34" t="n">
        <f aca="false">MATCH(F2399,Assumptions!$K$4:$K$8,0)</f>
        <v>5</v>
      </c>
      <c r="O2399" s="21" t="str">
        <f aca="false">IF(H2399="Yes",MONTH(I2399),"")</f>
        <v/>
      </c>
      <c r="P2399" s="21" t="str">
        <f aca="false">IF(H2399="Yes",B2399,"")</f>
        <v/>
      </c>
    </row>
    <row r="2400" customFormat="false" ht="15" hidden="false" customHeight="false" outlineLevel="0" collapsed="false">
      <c r="A2400" s="21" t="s">
        <v>3615</v>
      </c>
      <c r="B2400" s="21" t="s">
        <v>847</v>
      </c>
      <c r="C2400" s="21" t="s">
        <v>1290</v>
      </c>
      <c r="D2400" s="21" t="s">
        <v>1188</v>
      </c>
      <c r="E2400" s="33" t="n">
        <v>45945</v>
      </c>
      <c r="F2400" s="21" t="s">
        <v>1218</v>
      </c>
      <c r="G2400" s="32"/>
      <c r="H2400" s="21"/>
      <c r="I2400" s="33"/>
      <c r="J2400" s="21" t="str">
        <f aca="false">INDEX(Students!$C$2:$C$601,MATCH(B2400,Students!$A$2:$A$601,0))</f>
        <v>Batch 2026</v>
      </c>
      <c r="K2400" s="21" t="str">
        <f aca="false">INDEX(Students!$D$2:$D$601,MATCH(B2400,Students!$A$2:$A$601,0))</f>
        <v>Data Analytics</v>
      </c>
      <c r="L2400" s="21" t="str">
        <f aca="false">INDEX(Companies!$C$2:$C$31,MATCH(C2400,Companies!$A$2:$A$31,0))</f>
        <v>Fintech</v>
      </c>
      <c r="M2400" s="21" t="str">
        <f aca="false">INDEX(Companies!$D$2:$D$31,MATCH(C2400,Companies!$A$2:$A$31,0))</f>
        <v>Tier 2</v>
      </c>
      <c r="N2400" s="34" t="n">
        <f aca="false">MATCH(F2400,Assumptions!$K$4:$K$8,0)</f>
        <v>4</v>
      </c>
      <c r="O2400" s="21" t="str">
        <f aca="false">IF(H2400="Yes",MONTH(I2400),"")</f>
        <v/>
      </c>
      <c r="P2400" s="21" t="str">
        <f aca="false">IF(H2400="Yes",B2400,"")</f>
        <v/>
      </c>
    </row>
    <row r="2401" customFormat="false" ht="15" hidden="false" customHeight="false" outlineLevel="0" collapsed="false">
      <c r="A2401" s="21" t="s">
        <v>3616</v>
      </c>
      <c r="B2401" s="21" t="s">
        <v>1136</v>
      </c>
      <c r="C2401" s="21" t="s">
        <v>1234</v>
      </c>
      <c r="D2401" s="21" t="s">
        <v>1209</v>
      </c>
      <c r="E2401" s="33" t="n">
        <v>45945</v>
      </c>
      <c r="F2401" s="21" t="s">
        <v>1185</v>
      </c>
      <c r="G2401" s="32" t="n">
        <v>5.6</v>
      </c>
      <c r="H2401" s="21" t="s">
        <v>120</v>
      </c>
      <c r="I2401" s="33" t="n">
        <v>45974</v>
      </c>
      <c r="J2401" s="21" t="str">
        <f aca="false">INDEX(Students!$C$2:$C$601,MATCH(B2401,Students!$A$2:$A$601,0))</f>
        <v>Batch 2026</v>
      </c>
      <c r="K2401" s="21" t="str">
        <f aca="false">INDEX(Students!$D$2:$D$601,MATCH(B2401,Students!$A$2:$A$601,0))</f>
        <v>Data Analytics</v>
      </c>
      <c r="L2401" s="21" t="str">
        <f aca="false">INDEX(Companies!$C$2:$C$31,MATCH(C2401,Companies!$A$2:$A$31,0))</f>
        <v>EdTech</v>
      </c>
      <c r="M2401" s="21" t="str">
        <f aca="false">INDEX(Companies!$D$2:$D$31,MATCH(C2401,Companies!$A$2:$A$31,0))</f>
        <v>Tier 3</v>
      </c>
      <c r="N2401" s="34" t="n">
        <f aca="false">MATCH(F2401,Assumptions!$K$4:$K$8,0)</f>
        <v>5</v>
      </c>
      <c r="O2401" s="21" t="n">
        <f aca="false">IF(H2401="Yes",MONTH(I2401),"")</f>
        <v>11</v>
      </c>
      <c r="P2401" s="21" t="str">
        <f aca="false">IF(H2401="Yes",B2401,"")</f>
        <v>S0586</v>
      </c>
    </row>
    <row r="2402" customFormat="false" ht="15" hidden="false" customHeight="false" outlineLevel="0" collapsed="false">
      <c r="A2402" s="21" t="s">
        <v>3617</v>
      </c>
      <c r="B2402" s="21" t="s">
        <v>855</v>
      </c>
      <c r="C2402" s="21" t="s">
        <v>1208</v>
      </c>
      <c r="D2402" s="21" t="s">
        <v>1188</v>
      </c>
      <c r="E2402" s="33" t="n">
        <v>45945</v>
      </c>
      <c r="F2402" s="21" t="s">
        <v>1197</v>
      </c>
      <c r="G2402" s="32"/>
      <c r="H2402" s="21"/>
      <c r="I2402" s="33"/>
      <c r="J2402" s="21" t="str">
        <f aca="false">INDEX(Students!$C$2:$C$601,MATCH(B2402,Students!$A$2:$A$601,0))</f>
        <v>Batch 2026</v>
      </c>
      <c r="K2402" s="21" t="str">
        <f aca="false">INDEX(Students!$D$2:$D$601,MATCH(B2402,Students!$A$2:$A$601,0))</f>
        <v>Data Analytics</v>
      </c>
      <c r="L2402" s="21" t="str">
        <f aca="false">INDEX(Companies!$C$2:$C$31,MATCH(C2402,Companies!$A$2:$A$31,0))</f>
        <v>E-commerce</v>
      </c>
      <c r="M2402" s="21" t="str">
        <f aca="false">INDEX(Companies!$D$2:$D$31,MATCH(C2402,Companies!$A$2:$A$31,0))</f>
        <v>Tier 1</v>
      </c>
      <c r="N2402" s="34" t="n">
        <f aca="false">MATCH(F2402,Assumptions!$K$4:$K$8,0)</f>
        <v>3</v>
      </c>
      <c r="O2402" s="21" t="str">
        <f aca="false">IF(H2402="Yes",MONTH(I2402),"")</f>
        <v/>
      </c>
      <c r="P2402" s="21" t="str">
        <f aca="false">IF(H2402="Yes",B2402,"")</f>
        <v/>
      </c>
    </row>
    <row r="2403" customFormat="false" ht="15" hidden="false" customHeight="false" outlineLevel="0" collapsed="false">
      <c r="A2403" s="21" t="s">
        <v>3618</v>
      </c>
      <c r="B2403" s="21" t="s">
        <v>886</v>
      </c>
      <c r="C2403" s="21" t="s">
        <v>1193</v>
      </c>
      <c r="D2403" s="21" t="s">
        <v>1209</v>
      </c>
      <c r="E2403" s="33" t="n">
        <v>45946</v>
      </c>
      <c r="F2403" s="21" t="s">
        <v>1175</v>
      </c>
      <c r="G2403" s="32"/>
      <c r="H2403" s="21"/>
      <c r="I2403" s="33"/>
      <c r="J2403" s="21" t="str">
        <f aca="false">INDEX(Students!$C$2:$C$601,MATCH(B2403,Students!$A$2:$A$601,0))</f>
        <v>Batch 2026</v>
      </c>
      <c r="K2403" s="21" t="str">
        <f aca="false">INDEX(Students!$D$2:$D$601,MATCH(B2403,Students!$A$2:$A$601,0))</f>
        <v>Data Analytics</v>
      </c>
      <c r="L2403" s="21" t="str">
        <f aca="false">INDEX(Companies!$C$2:$C$31,MATCH(C2403,Companies!$A$2:$A$31,0))</f>
        <v>Analytics &amp; Consulting</v>
      </c>
      <c r="M2403" s="21" t="str">
        <f aca="false">INDEX(Companies!$D$2:$D$31,MATCH(C2403,Companies!$A$2:$A$31,0))</f>
        <v>Tier 2</v>
      </c>
      <c r="N2403" s="34" t="n">
        <f aca="false">MATCH(F2403,Assumptions!$K$4:$K$8,0)</f>
        <v>1</v>
      </c>
      <c r="O2403" s="21" t="str">
        <f aca="false">IF(H2403="Yes",MONTH(I2403),"")</f>
        <v/>
      </c>
      <c r="P2403" s="21" t="str">
        <f aca="false">IF(H2403="Yes",B2403,"")</f>
        <v/>
      </c>
    </row>
    <row r="2404" customFormat="false" ht="15" hidden="false" customHeight="false" outlineLevel="0" collapsed="false">
      <c r="A2404" s="21" t="s">
        <v>3619</v>
      </c>
      <c r="B2404" s="21" t="s">
        <v>1074</v>
      </c>
      <c r="C2404" s="21" t="s">
        <v>1177</v>
      </c>
      <c r="D2404" s="21" t="s">
        <v>1184</v>
      </c>
      <c r="E2404" s="33" t="n">
        <v>45946</v>
      </c>
      <c r="F2404" s="21" t="s">
        <v>1197</v>
      </c>
      <c r="G2404" s="32"/>
      <c r="H2404" s="21"/>
      <c r="I2404" s="33"/>
      <c r="J2404" s="21" t="str">
        <f aca="false">INDEX(Students!$C$2:$C$601,MATCH(B2404,Students!$A$2:$A$601,0))</f>
        <v>Batch 2026</v>
      </c>
      <c r="K2404" s="21" t="str">
        <f aca="false">INDEX(Students!$D$2:$D$601,MATCH(B2404,Students!$A$2:$A$601,0))</f>
        <v>DSA with Java</v>
      </c>
      <c r="L2404" s="21" t="str">
        <f aca="false">INDEX(Companies!$C$2:$C$31,MATCH(C2404,Companies!$A$2:$A$31,0))</f>
        <v>IT Services</v>
      </c>
      <c r="M2404" s="21" t="str">
        <f aca="false">INDEX(Companies!$D$2:$D$31,MATCH(C2404,Companies!$A$2:$A$31,0))</f>
        <v>Tier 3</v>
      </c>
      <c r="N2404" s="34" t="n">
        <f aca="false">MATCH(F2404,Assumptions!$K$4:$K$8,0)</f>
        <v>3</v>
      </c>
      <c r="O2404" s="21" t="str">
        <f aca="false">IF(H2404="Yes",MONTH(I2404),"")</f>
        <v/>
      </c>
      <c r="P2404" s="21" t="str">
        <f aca="false">IF(H2404="Yes",B2404,"")</f>
        <v/>
      </c>
    </row>
    <row r="2405" customFormat="false" ht="15" hidden="false" customHeight="false" outlineLevel="0" collapsed="false">
      <c r="A2405" s="21" t="s">
        <v>3620</v>
      </c>
      <c r="B2405" s="21" t="s">
        <v>989</v>
      </c>
      <c r="C2405" s="21" t="s">
        <v>1211</v>
      </c>
      <c r="D2405" s="21" t="s">
        <v>1174</v>
      </c>
      <c r="E2405" s="33" t="n">
        <v>45946</v>
      </c>
      <c r="F2405" s="21" t="s">
        <v>1185</v>
      </c>
      <c r="G2405" s="32" t="n">
        <v>6.4</v>
      </c>
      <c r="H2405" s="21" t="s">
        <v>120</v>
      </c>
      <c r="I2405" s="33" t="n">
        <v>45992</v>
      </c>
      <c r="J2405" s="21" t="str">
        <f aca="false">INDEX(Students!$C$2:$C$601,MATCH(B2405,Students!$A$2:$A$601,0))</f>
        <v>Batch 2026</v>
      </c>
      <c r="K2405" s="21" t="str">
        <f aca="false">INDEX(Students!$D$2:$D$601,MATCH(B2405,Students!$A$2:$A$601,0))</f>
        <v>Full Stack Development</v>
      </c>
      <c r="L2405" s="21" t="str">
        <f aca="false">INDEX(Companies!$C$2:$C$31,MATCH(C2405,Companies!$A$2:$A$31,0))</f>
        <v>Analytics &amp; Consulting</v>
      </c>
      <c r="M2405" s="21" t="str">
        <f aca="false">INDEX(Companies!$D$2:$D$31,MATCH(C2405,Companies!$A$2:$A$31,0))</f>
        <v>Tier 3</v>
      </c>
      <c r="N2405" s="34" t="n">
        <f aca="false">MATCH(F2405,Assumptions!$K$4:$K$8,0)</f>
        <v>5</v>
      </c>
      <c r="O2405" s="21" t="n">
        <f aca="false">IF(H2405="Yes",MONTH(I2405),"")</f>
        <v>12</v>
      </c>
      <c r="P2405" s="21" t="str">
        <f aca="false">IF(H2405="Yes",B2405,"")</f>
        <v>S0493</v>
      </c>
    </row>
    <row r="2406" customFormat="false" ht="15" hidden="false" customHeight="false" outlineLevel="0" collapsed="false">
      <c r="A2406" s="21" t="s">
        <v>3621</v>
      </c>
      <c r="B2406" s="21" t="s">
        <v>974</v>
      </c>
      <c r="C2406" s="21" t="s">
        <v>1298</v>
      </c>
      <c r="D2406" s="21" t="s">
        <v>1188</v>
      </c>
      <c r="E2406" s="33" t="n">
        <v>45946</v>
      </c>
      <c r="F2406" s="21" t="s">
        <v>1178</v>
      </c>
      <c r="G2406" s="32"/>
      <c r="H2406" s="21"/>
      <c r="I2406" s="33"/>
      <c r="J2406" s="21" t="str">
        <f aca="false">INDEX(Students!$C$2:$C$601,MATCH(B2406,Students!$A$2:$A$601,0))</f>
        <v>Batch 2026</v>
      </c>
      <c r="K2406" s="21" t="str">
        <f aca="false">INDEX(Students!$D$2:$D$601,MATCH(B2406,Students!$A$2:$A$601,0))</f>
        <v>Data Analytics</v>
      </c>
      <c r="L2406" s="21" t="str">
        <f aca="false">INDEX(Companies!$C$2:$C$31,MATCH(C2406,Companies!$A$2:$A$31,0))</f>
        <v>Fintech</v>
      </c>
      <c r="M2406" s="21" t="str">
        <f aca="false">INDEX(Companies!$D$2:$D$31,MATCH(C2406,Companies!$A$2:$A$31,0))</f>
        <v>Tier 2</v>
      </c>
      <c r="N2406" s="34" t="n">
        <f aca="false">MATCH(F2406,Assumptions!$K$4:$K$8,0)</f>
        <v>2</v>
      </c>
      <c r="O2406" s="21" t="str">
        <f aca="false">IF(H2406="Yes",MONTH(I2406),"")</f>
        <v/>
      </c>
      <c r="P2406" s="21" t="str">
        <f aca="false">IF(H2406="Yes",B2406,"")</f>
        <v/>
      </c>
    </row>
    <row r="2407" customFormat="false" ht="15" hidden="false" customHeight="false" outlineLevel="0" collapsed="false">
      <c r="A2407" s="21" t="s">
        <v>3622</v>
      </c>
      <c r="B2407" s="21" t="s">
        <v>1097</v>
      </c>
      <c r="C2407" s="21" t="s">
        <v>1225</v>
      </c>
      <c r="D2407" s="21" t="s">
        <v>1191</v>
      </c>
      <c r="E2407" s="33" t="n">
        <v>45946</v>
      </c>
      <c r="F2407" s="21" t="s">
        <v>1175</v>
      </c>
      <c r="G2407" s="32"/>
      <c r="H2407" s="21"/>
      <c r="I2407" s="33"/>
      <c r="J2407" s="21" t="str">
        <f aca="false">INDEX(Students!$C$2:$C$601,MATCH(B2407,Students!$A$2:$A$601,0))</f>
        <v>Batch 2026</v>
      </c>
      <c r="K2407" s="21" t="str">
        <f aca="false">INDEX(Students!$D$2:$D$601,MATCH(B2407,Students!$A$2:$A$601,0))</f>
        <v>DSA with Java</v>
      </c>
      <c r="L2407" s="21" t="str">
        <f aca="false">INDEX(Companies!$C$2:$C$31,MATCH(C2407,Companies!$A$2:$A$31,0))</f>
        <v>EdTech</v>
      </c>
      <c r="M2407" s="21" t="str">
        <f aca="false">INDEX(Companies!$D$2:$D$31,MATCH(C2407,Companies!$A$2:$A$31,0))</f>
        <v>Tier 2</v>
      </c>
      <c r="N2407" s="34" t="n">
        <f aca="false">MATCH(F2407,Assumptions!$K$4:$K$8,0)</f>
        <v>1</v>
      </c>
      <c r="O2407" s="21" t="str">
        <f aca="false">IF(H2407="Yes",MONTH(I2407),"")</f>
        <v/>
      </c>
      <c r="P2407" s="21" t="str">
        <f aca="false">IF(H2407="Yes",B2407,"")</f>
        <v/>
      </c>
    </row>
    <row r="2408" customFormat="false" ht="15" hidden="false" customHeight="false" outlineLevel="0" collapsed="false">
      <c r="A2408" s="21" t="s">
        <v>3623</v>
      </c>
      <c r="B2408" s="21" t="s">
        <v>890</v>
      </c>
      <c r="C2408" s="21" t="s">
        <v>1203</v>
      </c>
      <c r="D2408" s="21" t="s">
        <v>1191</v>
      </c>
      <c r="E2408" s="33" t="n">
        <v>45947</v>
      </c>
      <c r="F2408" s="21" t="s">
        <v>1185</v>
      </c>
      <c r="G2408" s="32" t="n">
        <v>13.7</v>
      </c>
      <c r="H2408" s="21" t="s">
        <v>113</v>
      </c>
      <c r="I2408" s="33" t="n">
        <v>45991</v>
      </c>
      <c r="J2408" s="21" t="str">
        <f aca="false">INDEX(Students!$C$2:$C$601,MATCH(B2408,Students!$A$2:$A$601,0))</f>
        <v>Batch 2026</v>
      </c>
      <c r="K2408" s="21" t="str">
        <f aca="false">INDEX(Students!$D$2:$D$601,MATCH(B2408,Students!$A$2:$A$601,0))</f>
        <v>DSA with Java</v>
      </c>
      <c r="L2408" s="21" t="str">
        <f aca="false">INDEX(Companies!$C$2:$C$31,MATCH(C2408,Companies!$A$2:$A$31,0))</f>
        <v>Healthtech</v>
      </c>
      <c r="M2408" s="21" t="str">
        <f aca="false">INDEX(Companies!$D$2:$D$31,MATCH(C2408,Companies!$A$2:$A$31,0))</f>
        <v>Tier 2</v>
      </c>
      <c r="N2408" s="34" t="n">
        <f aca="false">MATCH(F2408,Assumptions!$K$4:$K$8,0)</f>
        <v>5</v>
      </c>
      <c r="O2408" s="21" t="str">
        <f aca="false">IF(H2408="Yes",MONTH(I2408),"")</f>
        <v/>
      </c>
      <c r="P2408" s="21" t="str">
        <f aca="false">IF(H2408="Yes",B2408,"")</f>
        <v/>
      </c>
    </row>
    <row r="2409" customFormat="false" ht="15" hidden="false" customHeight="false" outlineLevel="0" collapsed="false">
      <c r="A2409" s="21" t="s">
        <v>3624</v>
      </c>
      <c r="B2409" s="21" t="s">
        <v>1042</v>
      </c>
      <c r="C2409" s="21" t="s">
        <v>1214</v>
      </c>
      <c r="D2409" s="21" t="s">
        <v>1194</v>
      </c>
      <c r="E2409" s="33" t="n">
        <v>45948</v>
      </c>
      <c r="F2409" s="21" t="s">
        <v>1178</v>
      </c>
      <c r="G2409" s="32"/>
      <c r="H2409" s="21"/>
      <c r="I2409" s="33"/>
      <c r="J2409" s="21" t="str">
        <f aca="false">INDEX(Students!$C$2:$C$601,MATCH(B2409,Students!$A$2:$A$601,0))</f>
        <v>Batch 2026</v>
      </c>
      <c r="K2409" s="21" t="str">
        <f aca="false">INDEX(Students!$D$2:$D$601,MATCH(B2409,Students!$A$2:$A$601,0))</f>
        <v>Data Science &amp; ML</v>
      </c>
      <c r="L2409" s="21" t="str">
        <f aca="false">INDEX(Companies!$C$2:$C$31,MATCH(C2409,Companies!$A$2:$A$31,0))</f>
        <v>Product</v>
      </c>
      <c r="M2409" s="21" t="str">
        <f aca="false">INDEX(Companies!$D$2:$D$31,MATCH(C2409,Companies!$A$2:$A$31,0))</f>
        <v>Tier 1</v>
      </c>
      <c r="N2409" s="34" t="n">
        <f aca="false">MATCH(F2409,Assumptions!$K$4:$K$8,0)</f>
        <v>2</v>
      </c>
      <c r="O2409" s="21" t="str">
        <f aca="false">IF(H2409="Yes",MONTH(I2409),"")</f>
        <v/>
      </c>
      <c r="P2409" s="21" t="str">
        <f aca="false">IF(H2409="Yes",B2409,"")</f>
        <v/>
      </c>
    </row>
    <row r="2410" customFormat="false" ht="15" hidden="false" customHeight="false" outlineLevel="0" collapsed="false">
      <c r="A2410" s="21" t="s">
        <v>3625</v>
      </c>
      <c r="B2410" s="21" t="s">
        <v>874</v>
      </c>
      <c r="C2410" s="21" t="s">
        <v>1187</v>
      </c>
      <c r="D2410" s="21" t="s">
        <v>1184</v>
      </c>
      <c r="E2410" s="33" t="n">
        <v>45948</v>
      </c>
      <c r="F2410" s="21" t="s">
        <v>1185</v>
      </c>
      <c r="G2410" s="32" t="n">
        <v>23.8</v>
      </c>
      <c r="H2410" s="21" t="s">
        <v>120</v>
      </c>
      <c r="I2410" s="33" t="n">
        <v>45975</v>
      </c>
      <c r="J2410" s="21" t="str">
        <f aca="false">INDEX(Students!$C$2:$C$601,MATCH(B2410,Students!$A$2:$A$601,0))</f>
        <v>Batch 2026</v>
      </c>
      <c r="K2410" s="21" t="str">
        <f aca="false">INDEX(Students!$D$2:$D$601,MATCH(B2410,Students!$A$2:$A$601,0))</f>
        <v>DSA with Java</v>
      </c>
      <c r="L2410" s="21" t="str">
        <f aca="false">INDEX(Companies!$C$2:$C$31,MATCH(C2410,Companies!$A$2:$A$31,0))</f>
        <v>Product</v>
      </c>
      <c r="M2410" s="21" t="str">
        <f aca="false">INDEX(Companies!$D$2:$D$31,MATCH(C2410,Companies!$A$2:$A$31,0))</f>
        <v>Tier 1</v>
      </c>
      <c r="N2410" s="34" t="n">
        <f aca="false">MATCH(F2410,Assumptions!$K$4:$K$8,0)</f>
        <v>5</v>
      </c>
      <c r="O2410" s="21" t="n">
        <f aca="false">IF(H2410="Yes",MONTH(I2410),"")</f>
        <v>11</v>
      </c>
      <c r="P2410" s="21" t="str">
        <f aca="false">IF(H2410="Yes",B2410,"")</f>
        <v>S0422</v>
      </c>
    </row>
    <row r="2411" customFormat="false" ht="15" hidden="false" customHeight="false" outlineLevel="0" collapsed="false">
      <c r="A2411" s="21" t="s">
        <v>3626</v>
      </c>
      <c r="B2411" s="21" t="s">
        <v>907</v>
      </c>
      <c r="C2411" s="21" t="s">
        <v>1225</v>
      </c>
      <c r="D2411" s="21" t="s">
        <v>1243</v>
      </c>
      <c r="E2411" s="33" t="n">
        <v>45948</v>
      </c>
      <c r="F2411" s="21" t="s">
        <v>1218</v>
      </c>
      <c r="G2411" s="32"/>
      <c r="H2411" s="21"/>
      <c r="I2411" s="33"/>
      <c r="J2411" s="21" t="str">
        <f aca="false">INDEX(Students!$C$2:$C$601,MATCH(B2411,Students!$A$2:$A$601,0))</f>
        <v>Batch 2026</v>
      </c>
      <c r="K2411" s="21" t="str">
        <f aca="false">INDEX(Students!$D$2:$D$601,MATCH(B2411,Students!$A$2:$A$601,0))</f>
        <v>Data Science &amp; ML</v>
      </c>
      <c r="L2411" s="21" t="str">
        <f aca="false">INDEX(Companies!$C$2:$C$31,MATCH(C2411,Companies!$A$2:$A$31,0))</f>
        <v>EdTech</v>
      </c>
      <c r="M2411" s="21" t="str">
        <f aca="false">INDEX(Companies!$D$2:$D$31,MATCH(C2411,Companies!$A$2:$A$31,0))</f>
        <v>Tier 2</v>
      </c>
      <c r="N2411" s="34" t="n">
        <f aca="false">MATCH(F2411,Assumptions!$K$4:$K$8,0)</f>
        <v>4</v>
      </c>
      <c r="O2411" s="21" t="str">
        <f aca="false">IF(H2411="Yes",MONTH(I2411),"")</f>
        <v/>
      </c>
      <c r="P2411" s="21" t="str">
        <f aca="false">IF(H2411="Yes",B2411,"")</f>
        <v/>
      </c>
    </row>
    <row r="2412" customFormat="false" ht="15" hidden="false" customHeight="false" outlineLevel="0" collapsed="false">
      <c r="A2412" s="21" t="s">
        <v>3627</v>
      </c>
      <c r="B2412" s="21" t="s">
        <v>1147</v>
      </c>
      <c r="C2412" s="21" t="s">
        <v>1211</v>
      </c>
      <c r="D2412" s="21" t="s">
        <v>1191</v>
      </c>
      <c r="E2412" s="33" t="n">
        <v>45948</v>
      </c>
      <c r="F2412" s="21" t="s">
        <v>1218</v>
      </c>
      <c r="G2412" s="32"/>
      <c r="H2412" s="21"/>
      <c r="I2412" s="33"/>
      <c r="J2412" s="21" t="str">
        <f aca="false">INDEX(Students!$C$2:$C$601,MATCH(B2412,Students!$A$2:$A$601,0))</f>
        <v>Batch 2026</v>
      </c>
      <c r="K2412" s="21" t="str">
        <f aca="false">INDEX(Students!$D$2:$D$601,MATCH(B2412,Students!$A$2:$A$601,0))</f>
        <v>DSA with Java</v>
      </c>
      <c r="L2412" s="21" t="str">
        <f aca="false">INDEX(Companies!$C$2:$C$31,MATCH(C2412,Companies!$A$2:$A$31,0))</f>
        <v>Analytics &amp; Consulting</v>
      </c>
      <c r="M2412" s="21" t="str">
        <f aca="false">INDEX(Companies!$D$2:$D$31,MATCH(C2412,Companies!$A$2:$A$31,0))</f>
        <v>Tier 3</v>
      </c>
      <c r="N2412" s="34" t="n">
        <f aca="false">MATCH(F2412,Assumptions!$K$4:$K$8,0)</f>
        <v>4</v>
      </c>
      <c r="O2412" s="21" t="str">
        <f aca="false">IF(H2412="Yes",MONTH(I2412),"")</f>
        <v/>
      </c>
      <c r="P2412" s="21" t="str">
        <f aca="false">IF(H2412="Yes",B2412,"")</f>
        <v/>
      </c>
    </row>
    <row r="2413" customFormat="false" ht="15" hidden="false" customHeight="false" outlineLevel="0" collapsed="false">
      <c r="A2413" s="21" t="s">
        <v>3628</v>
      </c>
      <c r="B2413" s="21" t="s">
        <v>1127</v>
      </c>
      <c r="C2413" s="21" t="s">
        <v>1214</v>
      </c>
      <c r="D2413" s="21" t="s">
        <v>1181</v>
      </c>
      <c r="E2413" s="33" t="n">
        <v>45948</v>
      </c>
      <c r="F2413" s="21" t="s">
        <v>1218</v>
      </c>
      <c r="G2413" s="32"/>
      <c r="H2413" s="21"/>
      <c r="I2413" s="33"/>
      <c r="J2413" s="21" t="str">
        <f aca="false">INDEX(Students!$C$2:$C$601,MATCH(B2413,Students!$A$2:$A$601,0))</f>
        <v>Batch 2026</v>
      </c>
      <c r="K2413" s="21" t="str">
        <f aca="false">INDEX(Students!$D$2:$D$601,MATCH(B2413,Students!$A$2:$A$601,0))</f>
        <v>Full Stack Development</v>
      </c>
      <c r="L2413" s="21" t="str">
        <f aca="false">INDEX(Companies!$C$2:$C$31,MATCH(C2413,Companies!$A$2:$A$31,0))</f>
        <v>Product</v>
      </c>
      <c r="M2413" s="21" t="str">
        <f aca="false">INDEX(Companies!$D$2:$D$31,MATCH(C2413,Companies!$A$2:$A$31,0))</f>
        <v>Tier 1</v>
      </c>
      <c r="N2413" s="34" t="n">
        <f aca="false">MATCH(F2413,Assumptions!$K$4:$K$8,0)</f>
        <v>4</v>
      </c>
      <c r="O2413" s="21" t="str">
        <f aca="false">IF(H2413="Yes",MONTH(I2413),"")</f>
        <v/>
      </c>
      <c r="P2413" s="21" t="str">
        <f aca="false">IF(H2413="Yes",B2413,"")</f>
        <v/>
      </c>
    </row>
    <row r="2414" customFormat="false" ht="15" hidden="false" customHeight="false" outlineLevel="0" collapsed="false">
      <c r="A2414" s="21" t="s">
        <v>3629</v>
      </c>
      <c r="B2414" s="21" t="s">
        <v>828</v>
      </c>
      <c r="C2414" s="21" t="s">
        <v>1199</v>
      </c>
      <c r="D2414" s="21" t="s">
        <v>1181</v>
      </c>
      <c r="E2414" s="33" t="n">
        <v>45948</v>
      </c>
      <c r="F2414" s="21" t="s">
        <v>1178</v>
      </c>
      <c r="G2414" s="32"/>
      <c r="H2414" s="21"/>
      <c r="I2414" s="33"/>
      <c r="J2414" s="21" t="str">
        <f aca="false">INDEX(Students!$C$2:$C$601,MATCH(B2414,Students!$A$2:$A$601,0))</f>
        <v>Batch 2026</v>
      </c>
      <c r="K2414" s="21" t="str">
        <f aca="false">INDEX(Students!$D$2:$D$601,MATCH(B2414,Students!$A$2:$A$601,0))</f>
        <v>Full Stack Development</v>
      </c>
      <c r="L2414" s="21" t="str">
        <f aca="false">INDEX(Companies!$C$2:$C$31,MATCH(C2414,Companies!$A$2:$A$31,0))</f>
        <v>E-commerce</v>
      </c>
      <c r="M2414" s="21" t="str">
        <f aca="false">INDEX(Companies!$D$2:$D$31,MATCH(C2414,Companies!$A$2:$A$31,0))</f>
        <v>Tier 2</v>
      </c>
      <c r="N2414" s="34" t="n">
        <f aca="false">MATCH(F2414,Assumptions!$K$4:$K$8,0)</f>
        <v>2</v>
      </c>
      <c r="O2414" s="21" t="str">
        <f aca="false">IF(H2414="Yes",MONTH(I2414),"")</f>
        <v/>
      </c>
      <c r="P2414" s="21" t="str">
        <f aca="false">IF(H2414="Yes",B2414,"")</f>
        <v/>
      </c>
    </row>
    <row r="2415" customFormat="false" ht="15" hidden="false" customHeight="false" outlineLevel="0" collapsed="false">
      <c r="A2415" s="21" t="s">
        <v>3630</v>
      </c>
      <c r="B2415" s="21" t="s">
        <v>880</v>
      </c>
      <c r="C2415" s="21" t="s">
        <v>1309</v>
      </c>
      <c r="D2415" s="21" t="s">
        <v>1191</v>
      </c>
      <c r="E2415" s="33" t="n">
        <v>45948</v>
      </c>
      <c r="F2415" s="21" t="s">
        <v>1197</v>
      </c>
      <c r="G2415" s="32"/>
      <c r="H2415" s="21"/>
      <c r="I2415" s="33"/>
      <c r="J2415" s="21" t="str">
        <f aca="false">INDEX(Students!$C$2:$C$601,MATCH(B2415,Students!$A$2:$A$601,0))</f>
        <v>Batch 2026</v>
      </c>
      <c r="K2415" s="21" t="str">
        <f aca="false">INDEX(Students!$D$2:$D$601,MATCH(B2415,Students!$A$2:$A$601,0))</f>
        <v>DSA with Java</v>
      </c>
      <c r="L2415" s="21" t="str">
        <f aca="false">INDEX(Companies!$C$2:$C$31,MATCH(C2415,Companies!$A$2:$A$31,0))</f>
        <v>EdTech</v>
      </c>
      <c r="M2415" s="21" t="str">
        <f aca="false">INDEX(Companies!$D$2:$D$31,MATCH(C2415,Companies!$A$2:$A$31,0))</f>
        <v>Tier 2</v>
      </c>
      <c r="N2415" s="34" t="n">
        <f aca="false">MATCH(F2415,Assumptions!$K$4:$K$8,0)</f>
        <v>3</v>
      </c>
      <c r="O2415" s="21" t="str">
        <f aca="false">IF(H2415="Yes",MONTH(I2415),"")</f>
        <v/>
      </c>
      <c r="P2415" s="21" t="str">
        <f aca="false">IF(H2415="Yes",B2415,"")</f>
        <v/>
      </c>
    </row>
    <row r="2416" customFormat="false" ht="15" hidden="false" customHeight="false" outlineLevel="0" collapsed="false">
      <c r="A2416" s="21" t="s">
        <v>3631</v>
      </c>
      <c r="B2416" s="21" t="s">
        <v>1123</v>
      </c>
      <c r="C2416" s="21" t="s">
        <v>1239</v>
      </c>
      <c r="D2416" s="21" t="s">
        <v>1181</v>
      </c>
      <c r="E2416" s="33" t="n">
        <v>45948</v>
      </c>
      <c r="F2416" s="21" t="s">
        <v>1175</v>
      </c>
      <c r="G2416" s="32"/>
      <c r="H2416" s="21"/>
      <c r="I2416" s="33"/>
      <c r="J2416" s="21" t="str">
        <f aca="false">INDEX(Students!$C$2:$C$601,MATCH(B2416,Students!$A$2:$A$601,0))</f>
        <v>Batch 2026</v>
      </c>
      <c r="K2416" s="21" t="str">
        <f aca="false">INDEX(Students!$D$2:$D$601,MATCH(B2416,Students!$A$2:$A$601,0))</f>
        <v>Full Stack Development</v>
      </c>
      <c r="L2416" s="21" t="str">
        <f aca="false">INDEX(Companies!$C$2:$C$31,MATCH(C2416,Companies!$A$2:$A$31,0))</f>
        <v>E-commerce</v>
      </c>
      <c r="M2416" s="21" t="str">
        <f aca="false">INDEX(Companies!$D$2:$D$31,MATCH(C2416,Companies!$A$2:$A$31,0))</f>
        <v>Tier 3</v>
      </c>
      <c r="N2416" s="34" t="n">
        <f aca="false">MATCH(F2416,Assumptions!$K$4:$K$8,0)</f>
        <v>1</v>
      </c>
      <c r="O2416" s="21" t="str">
        <f aca="false">IF(H2416="Yes",MONTH(I2416),"")</f>
        <v/>
      </c>
      <c r="P2416" s="21" t="str">
        <f aca="false">IF(H2416="Yes",B2416,"")</f>
        <v/>
      </c>
    </row>
    <row r="2417" customFormat="false" ht="15" hidden="false" customHeight="false" outlineLevel="0" collapsed="false">
      <c r="A2417" s="21" t="s">
        <v>3632</v>
      </c>
      <c r="B2417" s="21" t="s">
        <v>958</v>
      </c>
      <c r="C2417" s="21" t="s">
        <v>1196</v>
      </c>
      <c r="D2417" s="21" t="s">
        <v>1191</v>
      </c>
      <c r="E2417" s="33" t="n">
        <v>45949</v>
      </c>
      <c r="F2417" s="21" t="s">
        <v>1185</v>
      </c>
      <c r="G2417" s="32" t="n">
        <v>6.2</v>
      </c>
      <c r="H2417" s="21" t="s">
        <v>113</v>
      </c>
      <c r="I2417" s="33" t="n">
        <v>46004</v>
      </c>
      <c r="J2417" s="21" t="str">
        <f aca="false">INDEX(Students!$C$2:$C$601,MATCH(B2417,Students!$A$2:$A$601,0))</f>
        <v>Batch 2026</v>
      </c>
      <c r="K2417" s="21" t="str">
        <f aca="false">INDEX(Students!$D$2:$D$601,MATCH(B2417,Students!$A$2:$A$601,0))</f>
        <v>DSA with Java</v>
      </c>
      <c r="L2417" s="21" t="str">
        <f aca="false">INDEX(Companies!$C$2:$C$31,MATCH(C2417,Companies!$A$2:$A$31,0))</f>
        <v>IT Services</v>
      </c>
      <c r="M2417" s="21" t="str">
        <f aca="false">INDEX(Companies!$D$2:$D$31,MATCH(C2417,Companies!$A$2:$A$31,0))</f>
        <v>Tier 3</v>
      </c>
      <c r="N2417" s="34" t="n">
        <f aca="false">MATCH(F2417,Assumptions!$K$4:$K$8,0)</f>
        <v>5</v>
      </c>
      <c r="O2417" s="21" t="str">
        <f aca="false">IF(H2417="Yes",MONTH(I2417),"")</f>
        <v/>
      </c>
      <c r="P2417" s="21" t="str">
        <f aca="false">IF(H2417="Yes",B2417,"")</f>
        <v/>
      </c>
    </row>
    <row r="2418" customFormat="false" ht="15" hidden="false" customHeight="false" outlineLevel="0" collapsed="false">
      <c r="A2418" s="21" t="s">
        <v>3633</v>
      </c>
      <c r="B2418" s="21" t="s">
        <v>1054</v>
      </c>
      <c r="C2418" s="21" t="s">
        <v>1322</v>
      </c>
      <c r="D2418" s="21" t="s">
        <v>1181</v>
      </c>
      <c r="E2418" s="33" t="n">
        <v>45949</v>
      </c>
      <c r="F2418" s="21" t="s">
        <v>1218</v>
      </c>
      <c r="G2418" s="32"/>
      <c r="H2418" s="21"/>
      <c r="I2418" s="33"/>
      <c r="J2418" s="21" t="str">
        <f aca="false">INDEX(Students!$C$2:$C$601,MATCH(B2418,Students!$A$2:$A$601,0))</f>
        <v>Batch 2026</v>
      </c>
      <c r="K2418" s="21" t="str">
        <f aca="false">INDEX(Students!$D$2:$D$601,MATCH(B2418,Students!$A$2:$A$601,0))</f>
        <v>Full Stack Development</v>
      </c>
      <c r="L2418" s="21" t="str">
        <f aca="false">INDEX(Companies!$C$2:$C$31,MATCH(C2418,Companies!$A$2:$A$31,0))</f>
        <v>Healthtech</v>
      </c>
      <c r="M2418" s="21" t="str">
        <f aca="false">INDEX(Companies!$D$2:$D$31,MATCH(C2418,Companies!$A$2:$A$31,0))</f>
        <v>Tier 2</v>
      </c>
      <c r="N2418" s="34" t="n">
        <f aca="false">MATCH(F2418,Assumptions!$K$4:$K$8,0)</f>
        <v>4</v>
      </c>
      <c r="O2418" s="21" t="str">
        <f aca="false">IF(H2418="Yes",MONTH(I2418),"")</f>
        <v/>
      </c>
      <c r="P2418" s="21" t="str">
        <f aca="false">IF(H2418="Yes",B2418,"")</f>
        <v/>
      </c>
    </row>
    <row r="2419" customFormat="false" ht="15" hidden="false" customHeight="false" outlineLevel="0" collapsed="false">
      <c r="A2419" s="21" t="s">
        <v>3634</v>
      </c>
      <c r="B2419" s="21" t="s">
        <v>812</v>
      </c>
      <c r="C2419" s="21" t="s">
        <v>1255</v>
      </c>
      <c r="D2419" s="21" t="s">
        <v>1181</v>
      </c>
      <c r="E2419" s="33" t="n">
        <v>45950</v>
      </c>
      <c r="F2419" s="21" t="s">
        <v>1185</v>
      </c>
      <c r="G2419" s="32" t="n">
        <v>7.2</v>
      </c>
      <c r="H2419" s="21" t="s">
        <v>113</v>
      </c>
      <c r="I2419" s="33" t="n">
        <v>45974</v>
      </c>
      <c r="J2419" s="21" t="str">
        <f aca="false">INDEX(Students!$C$2:$C$601,MATCH(B2419,Students!$A$2:$A$601,0))</f>
        <v>Batch 2026</v>
      </c>
      <c r="K2419" s="21" t="str">
        <f aca="false">INDEX(Students!$D$2:$D$601,MATCH(B2419,Students!$A$2:$A$601,0))</f>
        <v>Full Stack Development</v>
      </c>
      <c r="L2419" s="21" t="str">
        <f aca="false">INDEX(Companies!$C$2:$C$31,MATCH(C2419,Companies!$A$2:$A$31,0))</f>
        <v>IT Services</v>
      </c>
      <c r="M2419" s="21" t="str">
        <f aca="false">INDEX(Companies!$D$2:$D$31,MATCH(C2419,Companies!$A$2:$A$31,0))</f>
        <v>Tier 3</v>
      </c>
      <c r="N2419" s="34" t="n">
        <f aca="false">MATCH(F2419,Assumptions!$K$4:$K$8,0)</f>
        <v>5</v>
      </c>
      <c r="O2419" s="21" t="str">
        <f aca="false">IF(H2419="Yes",MONTH(I2419),"")</f>
        <v/>
      </c>
      <c r="P2419" s="21" t="str">
        <f aca="false">IF(H2419="Yes",B2419,"")</f>
        <v/>
      </c>
    </row>
    <row r="2420" customFormat="false" ht="15" hidden="false" customHeight="false" outlineLevel="0" collapsed="false">
      <c r="A2420" s="21" t="s">
        <v>3635</v>
      </c>
      <c r="B2420" s="21" t="s">
        <v>1011</v>
      </c>
      <c r="C2420" s="21" t="s">
        <v>1216</v>
      </c>
      <c r="D2420" s="21" t="s">
        <v>1174</v>
      </c>
      <c r="E2420" s="33" t="n">
        <v>45950</v>
      </c>
      <c r="F2420" s="21" t="s">
        <v>1185</v>
      </c>
      <c r="G2420" s="32" t="n">
        <v>4.5</v>
      </c>
      <c r="H2420" s="21" t="s">
        <v>120</v>
      </c>
      <c r="I2420" s="33" t="n">
        <v>45999</v>
      </c>
      <c r="J2420" s="21" t="str">
        <f aca="false">INDEX(Students!$C$2:$C$601,MATCH(B2420,Students!$A$2:$A$601,0))</f>
        <v>Batch 2026</v>
      </c>
      <c r="K2420" s="21" t="str">
        <f aca="false">INDEX(Students!$D$2:$D$601,MATCH(B2420,Students!$A$2:$A$601,0))</f>
        <v>Full Stack Development</v>
      </c>
      <c r="L2420" s="21" t="str">
        <f aca="false">INDEX(Companies!$C$2:$C$31,MATCH(C2420,Companies!$A$2:$A$31,0))</f>
        <v>IT Services</v>
      </c>
      <c r="M2420" s="21" t="str">
        <f aca="false">INDEX(Companies!$D$2:$D$31,MATCH(C2420,Companies!$A$2:$A$31,0))</f>
        <v>Tier 3</v>
      </c>
      <c r="N2420" s="34" t="n">
        <f aca="false">MATCH(F2420,Assumptions!$K$4:$K$8,0)</f>
        <v>5</v>
      </c>
      <c r="O2420" s="21" t="n">
        <f aca="false">IF(H2420="Yes",MONTH(I2420),"")</f>
        <v>12</v>
      </c>
      <c r="P2420" s="21" t="str">
        <f aca="false">IF(H2420="Yes",B2420,"")</f>
        <v>S0507</v>
      </c>
    </row>
    <row r="2421" customFormat="false" ht="15" hidden="false" customHeight="false" outlineLevel="0" collapsed="false">
      <c r="A2421" s="21" t="s">
        <v>3636</v>
      </c>
      <c r="B2421" s="21" t="s">
        <v>1147</v>
      </c>
      <c r="C2421" s="21" t="s">
        <v>1203</v>
      </c>
      <c r="D2421" s="21" t="s">
        <v>1191</v>
      </c>
      <c r="E2421" s="33" t="n">
        <v>45950</v>
      </c>
      <c r="F2421" s="21" t="s">
        <v>1185</v>
      </c>
      <c r="G2421" s="32" t="n">
        <v>12.6</v>
      </c>
      <c r="H2421" s="21" t="s">
        <v>120</v>
      </c>
      <c r="I2421" s="33" t="n">
        <v>45977</v>
      </c>
      <c r="J2421" s="21" t="str">
        <f aca="false">INDEX(Students!$C$2:$C$601,MATCH(B2421,Students!$A$2:$A$601,0))</f>
        <v>Batch 2026</v>
      </c>
      <c r="K2421" s="21" t="str">
        <f aca="false">INDEX(Students!$D$2:$D$601,MATCH(B2421,Students!$A$2:$A$601,0))</f>
        <v>DSA with Java</v>
      </c>
      <c r="L2421" s="21" t="str">
        <f aca="false">INDEX(Companies!$C$2:$C$31,MATCH(C2421,Companies!$A$2:$A$31,0))</f>
        <v>Healthtech</v>
      </c>
      <c r="M2421" s="21" t="str">
        <f aca="false">INDEX(Companies!$D$2:$D$31,MATCH(C2421,Companies!$A$2:$A$31,0))</f>
        <v>Tier 2</v>
      </c>
      <c r="N2421" s="34" t="n">
        <f aca="false">MATCH(F2421,Assumptions!$K$4:$K$8,0)</f>
        <v>5</v>
      </c>
      <c r="O2421" s="21" t="n">
        <f aca="false">IF(H2421="Yes",MONTH(I2421),"")</f>
        <v>11</v>
      </c>
      <c r="P2421" s="21" t="str">
        <f aca="false">IF(H2421="Yes",B2421,"")</f>
        <v>S0592</v>
      </c>
    </row>
    <row r="2422" customFormat="false" ht="15" hidden="false" customHeight="false" outlineLevel="0" collapsed="false">
      <c r="A2422" s="21" t="s">
        <v>3637</v>
      </c>
      <c r="B2422" s="21" t="s">
        <v>870</v>
      </c>
      <c r="C2422" s="21" t="s">
        <v>1255</v>
      </c>
      <c r="D2422" s="21" t="s">
        <v>1174</v>
      </c>
      <c r="E2422" s="33" t="n">
        <v>45950</v>
      </c>
      <c r="F2422" s="21" t="s">
        <v>1178</v>
      </c>
      <c r="G2422" s="32"/>
      <c r="H2422" s="21"/>
      <c r="I2422" s="33"/>
      <c r="J2422" s="21" t="str">
        <f aca="false">INDEX(Students!$C$2:$C$601,MATCH(B2422,Students!$A$2:$A$601,0))</f>
        <v>Batch 2026</v>
      </c>
      <c r="K2422" s="21" t="str">
        <f aca="false">INDEX(Students!$D$2:$D$601,MATCH(B2422,Students!$A$2:$A$601,0))</f>
        <v>Full Stack Development</v>
      </c>
      <c r="L2422" s="21" t="str">
        <f aca="false">INDEX(Companies!$C$2:$C$31,MATCH(C2422,Companies!$A$2:$A$31,0))</f>
        <v>IT Services</v>
      </c>
      <c r="M2422" s="21" t="str">
        <f aca="false">INDEX(Companies!$D$2:$D$31,MATCH(C2422,Companies!$A$2:$A$31,0))</f>
        <v>Tier 3</v>
      </c>
      <c r="N2422" s="34" t="n">
        <f aca="false">MATCH(F2422,Assumptions!$K$4:$K$8,0)</f>
        <v>2</v>
      </c>
      <c r="O2422" s="21" t="str">
        <f aca="false">IF(H2422="Yes",MONTH(I2422),"")</f>
        <v/>
      </c>
      <c r="P2422" s="21" t="str">
        <f aca="false">IF(H2422="Yes",B2422,"")</f>
        <v/>
      </c>
    </row>
    <row r="2423" customFormat="false" ht="15" hidden="false" customHeight="false" outlineLevel="0" collapsed="false">
      <c r="A2423" s="21" t="s">
        <v>3638</v>
      </c>
      <c r="B2423" s="21" t="s">
        <v>1088</v>
      </c>
      <c r="C2423" s="21" t="s">
        <v>1228</v>
      </c>
      <c r="D2423" s="21" t="s">
        <v>1181</v>
      </c>
      <c r="E2423" s="33" t="n">
        <v>45950</v>
      </c>
      <c r="F2423" s="21" t="s">
        <v>1175</v>
      </c>
      <c r="G2423" s="32"/>
      <c r="H2423" s="21"/>
      <c r="I2423" s="33"/>
      <c r="J2423" s="21" t="str">
        <f aca="false">INDEX(Students!$C$2:$C$601,MATCH(B2423,Students!$A$2:$A$601,0))</f>
        <v>Batch 2026</v>
      </c>
      <c r="K2423" s="21" t="str">
        <f aca="false">INDEX(Students!$D$2:$D$601,MATCH(B2423,Students!$A$2:$A$601,0))</f>
        <v>Full Stack Development</v>
      </c>
      <c r="L2423" s="21" t="str">
        <f aca="false">INDEX(Companies!$C$2:$C$31,MATCH(C2423,Companies!$A$2:$A$31,0))</f>
        <v>Fintech</v>
      </c>
      <c r="M2423" s="21" t="str">
        <f aca="false">INDEX(Companies!$D$2:$D$31,MATCH(C2423,Companies!$A$2:$A$31,0))</f>
        <v>Tier 1</v>
      </c>
      <c r="N2423" s="34" t="n">
        <f aca="false">MATCH(F2423,Assumptions!$K$4:$K$8,0)</f>
        <v>1</v>
      </c>
      <c r="O2423" s="21" t="str">
        <f aca="false">IF(H2423="Yes",MONTH(I2423),"")</f>
        <v/>
      </c>
      <c r="P2423" s="21" t="str">
        <f aca="false">IF(H2423="Yes",B2423,"")</f>
        <v/>
      </c>
    </row>
    <row r="2424" customFormat="false" ht="15" hidden="false" customHeight="false" outlineLevel="0" collapsed="false">
      <c r="A2424" s="21" t="s">
        <v>3639</v>
      </c>
      <c r="B2424" s="21" t="s">
        <v>918</v>
      </c>
      <c r="C2424" s="21" t="s">
        <v>1214</v>
      </c>
      <c r="D2424" s="21" t="s">
        <v>1194</v>
      </c>
      <c r="E2424" s="33" t="n">
        <v>45950</v>
      </c>
      <c r="F2424" s="21" t="s">
        <v>1175</v>
      </c>
      <c r="G2424" s="32"/>
      <c r="H2424" s="21"/>
      <c r="I2424" s="33"/>
      <c r="J2424" s="21" t="str">
        <f aca="false">INDEX(Students!$C$2:$C$601,MATCH(B2424,Students!$A$2:$A$601,0))</f>
        <v>Batch 2026</v>
      </c>
      <c r="K2424" s="21" t="str">
        <f aca="false">INDEX(Students!$D$2:$D$601,MATCH(B2424,Students!$A$2:$A$601,0))</f>
        <v>Data Science &amp; ML</v>
      </c>
      <c r="L2424" s="21" t="str">
        <f aca="false">INDEX(Companies!$C$2:$C$31,MATCH(C2424,Companies!$A$2:$A$31,0))</f>
        <v>Product</v>
      </c>
      <c r="M2424" s="21" t="str">
        <f aca="false">INDEX(Companies!$D$2:$D$31,MATCH(C2424,Companies!$A$2:$A$31,0))</f>
        <v>Tier 1</v>
      </c>
      <c r="N2424" s="34" t="n">
        <f aca="false">MATCH(F2424,Assumptions!$K$4:$K$8,0)</f>
        <v>1</v>
      </c>
      <c r="O2424" s="21" t="str">
        <f aca="false">IF(H2424="Yes",MONTH(I2424),"")</f>
        <v/>
      </c>
      <c r="P2424" s="21" t="str">
        <f aca="false">IF(H2424="Yes",B2424,"")</f>
        <v/>
      </c>
    </row>
    <row r="2425" customFormat="false" ht="15" hidden="false" customHeight="false" outlineLevel="0" collapsed="false">
      <c r="A2425" s="21" t="s">
        <v>3640</v>
      </c>
      <c r="B2425" s="21" t="s">
        <v>1121</v>
      </c>
      <c r="C2425" s="21" t="s">
        <v>1203</v>
      </c>
      <c r="D2425" s="21" t="s">
        <v>1191</v>
      </c>
      <c r="E2425" s="33" t="n">
        <v>45950</v>
      </c>
      <c r="F2425" s="21" t="s">
        <v>1175</v>
      </c>
      <c r="G2425" s="32"/>
      <c r="H2425" s="21"/>
      <c r="I2425" s="33"/>
      <c r="J2425" s="21" t="str">
        <f aca="false">INDEX(Students!$C$2:$C$601,MATCH(B2425,Students!$A$2:$A$601,0))</f>
        <v>Batch 2026</v>
      </c>
      <c r="K2425" s="21" t="str">
        <f aca="false">INDEX(Students!$D$2:$D$601,MATCH(B2425,Students!$A$2:$A$601,0))</f>
        <v>DSA with Java</v>
      </c>
      <c r="L2425" s="21" t="str">
        <f aca="false">INDEX(Companies!$C$2:$C$31,MATCH(C2425,Companies!$A$2:$A$31,0))</f>
        <v>Healthtech</v>
      </c>
      <c r="M2425" s="21" t="str">
        <f aca="false">INDEX(Companies!$D$2:$D$31,MATCH(C2425,Companies!$A$2:$A$31,0))</f>
        <v>Tier 2</v>
      </c>
      <c r="N2425" s="34" t="n">
        <f aca="false">MATCH(F2425,Assumptions!$K$4:$K$8,0)</f>
        <v>1</v>
      </c>
      <c r="O2425" s="21" t="str">
        <f aca="false">IF(H2425="Yes",MONTH(I2425),"")</f>
        <v/>
      </c>
      <c r="P2425" s="21" t="str">
        <f aca="false">IF(H2425="Yes",B2425,"")</f>
        <v/>
      </c>
    </row>
    <row r="2426" customFormat="false" ht="15" hidden="false" customHeight="false" outlineLevel="0" collapsed="false">
      <c r="A2426" s="21" t="s">
        <v>3641</v>
      </c>
      <c r="B2426" s="21" t="s">
        <v>842</v>
      </c>
      <c r="C2426" s="21" t="s">
        <v>1255</v>
      </c>
      <c r="D2426" s="21" t="s">
        <v>1191</v>
      </c>
      <c r="E2426" s="33" t="n">
        <v>45950</v>
      </c>
      <c r="F2426" s="21" t="s">
        <v>1175</v>
      </c>
      <c r="G2426" s="32"/>
      <c r="H2426" s="21"/>
      <c r="I2426" s="33"/>
      <c r="J2426" s="21" t="str">
        <f aca="false">INDEX(Students!$C$2:$C$601,MATCH(B2426,Students!$A$2:$A$601,0))</f>
        <v>Batch 2026</v>
      </c>
      <c r="K2426" s="21" t="str">
        <f aca="false">INDEX(Students!$D$2:$D$601,MATCH(B2426,Students!$A$2:$A$601,0))</f>
        <v>DSA with Java</v>
      </c>
      <c r="L2426" s="21" t="str">
        <f aca="false">INDEX(Companies!$C$2:$C$31,MATCH(C2426,Companies!$A$2:$A$31,0))</f>
        <v>IT Services</v>
      </c>
      <c r="M2426" s="21" t="str">
        <f aca="false">INDEX(Companies!$D$2:$D$31,MATCH(C2426,Companies!$A$2:$A$31,0))</f>
        <v>Tier 3</v>
      </c>
      <c r="N2426" s="34" t="n">
        <f aca="false">MATCH(F2426,Assumptions!$K$4:$K$8,0)</f>
        <v>1</v>
      </c>
      <c r="O2426" s="21" t="str">
        <f aca="false">IF(H2426="Yes",MONTH(I2426),"")</f>
        <v/>
      </c>
      <c r="P2426" s="21" t="str">
        <f aca="false">IF(H2426="Yes",B2426,"")</f>
        <v/>
      </c>
    </row>
    <row r="2427" customFormat="false" ht="15" hidden="false" customHeight="false" outlineLevel="0" collapsed="false">
      <c r="A2427" s="21" t="s">
        <v>3642</v>
      </c>
      <c r="B2427" s="21" t="s">
        <v>1078</v>
      </c>
      <c r="C2427" s="21" t="s">
        <v>1290</v>
      </c>
      <c r="D2427" s="21" t="s">
        <v>1184</v>
      </c>
      <c r="E2427" s="33" t="n">
        <v>45950</v>
      </c>
      <c r="F2427" s="21" t="s">
        <v>1178</v>
      </c>
      <c r="G2427" s="32"/>
      <c r="H2427" s="21"/>
      <c r="I2427" s="33"/>
      <c r="J2427" s="21" t="str">
        <f aca="false">INDEX(Students!$C$2:$C$601,MATCH(B2427,Students!$A$2:$A$601,0))</f>
        <v>Batch 2026</v>
      </c>
      <c r="K2427" s="21" t="str">
        <f aca="false">INDEX(Students!$D$2:$D$601,MATCH(B2427,Students!$A$2:$A$601,0))</f>
        <v>DSA with Java</v>
      </c>
      <c r="L2427" s="21" t="str">
        <f aca="false">INDEX(Companies!$C$2:$C$31,MATCH(C2427,Companies!$A$2:$A$31,0))</f>
        <v>Fintech</v>
      </c>
      <c r="M2427" s="21" t="str">
        <f aca="false">INDEX(Companies!$D$2:$D$31,MATCH(C2427,Companies!$A$2:$A$31,0))</f>
        <v>Tier 2</v>
      </c>
      <c r="N2427" s="34" t="n">
        <f aca="false">MATCH(F2427,Assumptions!$K$4:$K$8,0)</f>
        <v>2</v>
      </c>
      <c r="O2427" s="21" t="str">
        <f aca="false">IF(H2427="Yes",MONTH(I2427),"")</f>
        <v/>
      </c>
      <c r="P2427" s="21" t="str">
        <f aca="false">IF(H2427="Yes",B2427,"")</f>
        <v/>
      </c>
    </row>
    <row r="2428" customFormat="false" ht="15" hidden="false" customHeight="false" outlineLevel="0" collapsed="false">
      <c r="A2428" s="21" t="s">
        <v>3643</v>
      </c>
      <c r="B2428" s="21" t="s">
        <v>1067</v>
      </c>
      <c r="C2428" s="21" t="s">
        <v>1263</v>
      </c>
      <c r="D2428" s="21" t="s">
        <v>1174</v>
      </c>
      <c r="E2428" s="33" t="n">
        <v>45951</v>
      </c>
      <c r="F2428" s="21" t="s">
        <v>1178</v>
      </c>
      <c r="G2428" s="32"/>
      <c r="H2428" s="21"/>
      <c r="I2428" s="33"/>
      <c r="J2428" s="21" t="str">
        <f aca="false">INDEX(Students!$C$2:$C$601,MATCH(B2428,Students!$A$2:$A$601,0))</f>
        <v>Batch 2026</v>
      </c>
      <c r="K2428" s="21" t="str">
        <f aca="false">INDEX(Students!$D$2:$D$601,MATCH(B2428,Students!$A$2:$A$601,0))</f>
        <v>Full Stack Development</v>
      </c>
      <c r="L2428" s="21" t="str">
        <f aca="false">INDEX(Companies!$C$2:$C$31,MATCH(C2428,Companies!$A$2:$A$31,0))</f>
        <v>Analytics &amp; Consulting</v>
      </c>
      <c r="M2428" s="21" t="str">
        <f aca="false">INDEX(Companies!$D$2:$D$31,MATCH(C2428,Companies!$A$2:$A$31,0))</f>
        <v>Tier 2</v>
      </c>
      <c r="N2428" s="34" t="n">
        <f aca="false">MATCH(F2428,Assumptions!$K$4:$K$8,0)</f>
        <v>2</v>
      </c>
      <c r="O2428" s="21" t="str">
        <f aca="false">IF(H2428="Yes",MONTH(I2428),"")</f>
        <v/>
      </c>
      <c r="P2428" s="21" t="str">
        <f aca="false">IF(H2428="Yes",B2428,"")</f>
        <v/>
      </c>
    </row>
    <row r="2429" customFormat="false" ht="15" hidden="false" customHeight="false" outlineLevel="0" collapsed="false">
      <c r="A2429" s="21" t="s">
        <v>3644</v>
      </c>
      <c r="B2429" s="21" t="s">
        <v>925</v>
      </c>
      <c r="C2429" s="21" t="s">
        <v>1225</v>
      </c>
      <c r="D2429" s="21" t="s">
        <v>1181</v>
      </c>
      <c r="E2429" s="33" t="n">
        <v>45951</v>
      </c>
      <c r="F2429" s="21" t="s">
        <v>1178</v>
      </c>
      <c r="G2429" s="32"/>
      <c r="H2429" s="21"/>
      <c r="I2429" s="33"/>
      <c r="J2429" s="21" t="str">
        <f aca="false">INDEX(Students!$C$2:$C$601,MATCH(B2429,Students!$A$2:$A$601,0))</f>
        <v>Batch 2026</v>
      </c>
      <c r="K2429" s="21" t="str">
        <f aca="false">INDEX(Students!$D$2:$D$601,MATCH(B2429,Students!$A$2:$A$601,0))</f>
        <v>Full Stack Development</v>
      </c>
      <c r="L2429" s="21" t="str">
        <f aca="false">INDEX(Companies!$C$2:$C$31,MATCH(C2429,Companies!$A$2:$A$31,0))</f>
        <v>EdTech</v>
      </c>
      <c r="M2429" s="21" t="str">
        <f aca="false">INDEX(Companies!$D$2:$D$31,MATCH(C2429,Companies!$A$2:$A$31,0))</f>
        <v>Tier 2</v>
      </c>
      <c r="N2429" s="34" t="n">
        <f aca="false">MATCH(F2429,Assumptions!$K$4:$K$8,0)</f>
        <v>2</v>
      </c>
      <c r="O2429" s="21" t="str">
        <f aca="false">IF(H2429="Yes",MONTH(I2429),"")</f>
        <v/>
      </c>
      <c r="P2429" s="21" t="str">
        <f aca="false">IF(H2429="Yes",B2429,"")</f>
        <v/>
      </c>
    </row>
    <row r="2430" customFormat="false" ht="15" hidden="false" customHeight="false" outlineLevel="0" collapsed="false">
      <c r="A2430" s="21" t="s">
        <v>3645</v>
      </c>
      <c r="B2430" s="21" t="s">
        <v>925</v>
      </c>
      <c r="C2430" s="21" t="s">
        <v>1222</v>
      </c>
      <c r="D2430" s="21" t="s">
        <v>1174</v>
      </c>
      <c r="E2430" s="33" t="n">
        <v>45951</v>
      </c>
      <c r="F2430" s="21" t="s">
        <v>1175</v>
      </c>
      <c r="G2430" s="32"/>
      <c r="H2430" s="21"/>
      <c r="I2430" s="33"/>
      <c r="J2430" s="21" t="str">
        <f aca="false">INDEX(Students!$C$2:$C$601,MATCH(B2430,Students!$A$2:$A$601,0))</f>
        <v>Batch 2026</v>
      </c>
      <c r="K2430" s="21" t="str">
        <f aca="false">INDEX(Students!$D$2:$D$601,MATCH(B2430,Students!$A$2:$A$601,0))</f>
        <v>Full Stack Development</v>
      </c>
      <c r="L2430" s="21" t="str">
        <f aca="false">INDEX(Companies!$C$2:$C$31,MATCH(C2430,Companies!$A$2:$A$31,0))</f>
        <v>Product</v>
      </c>
      <c r="M2430" s="21" t="str">
        <f aca="false">INDEX(Companies!$D$2:$D$31,MATCH(C2430,Companies!$A$2:$A$31,0))</f>
        <v>Tier 2</v>
      </c>
      <c r="N2430" s="34" t="n">
        <f aca="false">MATCH(F2430,Assumptions!$K$4:$K$8,0)</f>
        <v>1</v>
      </c>
      <c r="O2430" s="21" t="str">
        <f aca="false">IF(H2430="Yes",MONTH(I2430),"")</f>
        <v/>
      </c>
      <c r="P2430" s="21" t="str">
        <f aca="false">IF(H2430="Yes",B2430,"")</f>
        <v/>
      </c>
    </row>
    <row r="2431" customFormat="false" ht="15" hidden="false" customHeight="false" outlineLevel="0" collapsed="false">
      <c r="A2431" s="21" t="s">
        <v>3646</v>
      </c>
      <c r="B2431" s="21" t="s">
        <v>1093</v>
      </c>
      <c r="C2431" s="21" t="s">
        <v>1309</v>
      </c>
      <c r="D2431" s="21" t="s">
        <v>1184</v>
      </c>
      <c r="E2431" s="33" t="n">
        <v>45951</v>
      </c>
      <c r="F2431" s="21" t="s">
        <v>1197</v>
      </c>
      <c r="G2431" s="32"/>
      <c r="H2431" s="21"/>
      <c r="I2431" s="33"/>
      <c r="J2431" s="21" t="str">
        <f aca="false">INDEX(Students!$C$2:$C$601,MATCH(B2431,Students!$A$2:$A$601,0))</f>
        <v>Batch 2026</v>
      </c>
      <c r="K2431" s="21" t="str">
        <f aca="false">INDEX(Students!$D$2:$D$601,MATCH(B2431,Students!$A$2:$A$601,0))</f>
        <v>DSA with Java</v>
      </c>
      <c r="L2431" s="21" t="str">
        <f aca="false">INDEX(Companies!$C$2:$C$31,MATCH(C2431,Companies!$A$2:$A$31,0))</f>
        <v>EdTech</v>
      </c>
      <c r="M2431" s="21" t="str">
        <f aca="false">INDEX(Companies!$D$2:$D$31,MATCH(C2431,Companies!$A$2:$A$31,0))</f>
        <v>Tier 2</v>
      </c>
      <c r="N2431" s="34" t="n">
        <f aca="false">MATCH(F2431,Assumptions!$K$4:$K$8,0)</f>
        <v>3</v>
      </c>
      <c r="O2431" s="21" t="str">
        <f aca="false">IF(H2431="Yes",MONTH(I2431),"")</f>
        <v/>
      </c>
      <c r="P2431" s="21" t="str">
        <f aca="false">IF(H2431="Yes",B2431,"")</f>
        <v/>
      </c>
    </row>
    <row r="2432" customFormat="false" ht="15" hidden="false" customHeight="false" outlineLevel="0" collapsed="false">
      <c r="A2432" s="21" t="s">
        <v>3647</v>
      </c>
      <c r="B2432" s="21" t="s">
        <v>903</v>
      </c>
      <c r="C2432" s="21" t="s">
        <v>1290</v>
      </c>
      <c r="D2432" s="21" t="s">
        <v>1181</v>
      </c>
      <c r="E2432" s="33" t="n">
        <v>45951</v>
      </c>
      <c r="F2432" s="21" t="s">
        <v>1175</v>
      </c>
      <c r="G2432" s="32"/>
      <c r="H2432" s="21"/>
      <c r="I2432" s="33"/>
      <c r="J2432" s="21" t="str">
        <f aca="false">INDEX(Students!$C$2:$C$601,MATCH(B2432,Students!$A$2:$A$601,0))</f>
        <v>Batch 2026</v>
      </c>
      <c r="K2432" s="21" t="str">
        <f aca="false">INDEX(Students!$D$2:$D$601,MATCH(B2432,Students!$A$2:$A$601,0))</f>
        <v>Full Stack Development</v>
      </c>
      <c r="L2432" s="21" t="str">
        <f aca="false">INDEX(Companies!$C$2:$C$31,MATCH(C2432,Companies!$A$2:$A$31,0))</f>
        <v>Fintech</v>
      </c>
      <c r="M2432" s="21" t="str">
        <f aca="false">INDEX(Companies!$D$2:$D$31,MATCH(C2432,Companies!$A$2:$A$31,0))</f>
        <v>Tier 2</v>
      </c>
      <c r="N2432" s="34" t="n">
        <f aca="false">MATCH(F2432,Assumptions!$K$4:$K$8,0)</f>
        <v>1</v>
      </c>
      <c r="O2432" s="21" t="str">
        <f aca="false">IF(H2432="Yes",MONTH(I2432),"")</f>
        <v/>
      </c>
      <c r="P2432" s="21" t="str">
        <f aca="false">IF(H2432="Yes",B2432,"")</f>
        <v/>
      </c>
    </row>
    <row r="2433" customFormat="false" ht="15" hidden="false" customHeight="false" outlineLevel="0" collapsed="false">
      <c r="A2433" s="21" t="s">
        <v>3648</v>
      </c>
      <c r="B2433" s="21" t="s">
        <v>1015</v>
      </c>
      <c r="C2433" s="21" t="s">
        <v>1290</v>
      </c>
      <c r="D2433" s="21" t="s">
        <v>1188</v>
      </c>
      <c r="E2433" s="33" t="n">
        <v>45951</v>
      </c>
      <c r="F2433" s="21" t="s">
        <v>1175</v>
      </c>
      <c r="G2433" s="32"/>
      <c r="H2433" s="21"/>
      <c r="I2433" s="33"/>
      <c r="J2433" s="21" t="str">
        <f aca="false">INDEX(Students!$C$2:$C$601,MATCH(B2433,Students!$A$2:$A$601,0))</f>
        <v>Batch 2026</v>
      </c>
      <c r="K2433" s="21" t="str">
        <f aca="false">INDEX(Students!$D$2:$D$601,MATCH(B2433,Students!$A$2:$A$601,0))</f>
        <v>Data Analytics</v>
      </c>
      <c r="L2433" s="21" t="str">
        <f aca="false">INDEX(Companies!$C$2:$C$31,MATCH(C2433,Companies!$A$2:$A$31,0))</f>
        <v>Fintech</v>
      </c>
      <c r="M2433" s="21" t="str">
        <f aca="false">INDEX(Companies!$D$2:$D$31,MATCH(C2433,Companies!$A$2:$A$31,0))</f>
        <v>Tier 2</v>
      </c>
      <c r="N2433" s="34" t="n">
        <f aca="false">MATCH(F2433,Assumptions!$K$4:$K$8,0)</f>
        <v>1</v>
      </c>
      <c r="O2433" s="21" t="str">
        <f aca="false">IF(H2433="Yes",MONTH(I2433),"")</f>
        <v/>
      </c>
      <c r="P2433" s="21" t="str">
        <f aca="false">IF(H2433="Yes",B2433,"")</f>
        <v/>
      </c>
    </row>
    <row r="2434" customFormat="false" ht="15" hidden="false" customHeight="false" outlineLevel="0" collapsed="false">
      <c r="A2434" s="21" t="s">
        <v>3649</v>
      </c>
      <c r="B2434" s="21" t="s">
        <v>1103</v>
      </c>
      <c r="C2434" s="21" t="s">
        <v>1239</v>
      </c>
      <c r="D2434" s="21" t="s">
        <v>1174</v>
      </c>
      <c r="E2434" s="33" t="n">
        <v>45951</v>
      </c>
      <c r="F2434" s="21" t="s">
        <v>1197</v>
      </c>
      <c r="G2434" s="32"/>
      <c r="H2434" s="21"/>
      <c r="I2434" s="33"/>
      <c r="J2434" s="21" t="str">
        <f aca="false">INDEX(Students!$C$2:$C$601,MATCH(B2434,Students!$A$2:$A$601,0))</f>
        <v>Batch 2026</v>
      </c>
      <c r="K2434" s="21" t="str">
        <f aca="false">INDEX(Students!$D$2:$D$601,MATCH(B2434,Students!$A$2:$A$601,0))</f>
        <v>Full Stack Development</v>
      </c>
      <c r="L2434" s="21" t="str">
        <f aca="false">INDEX(Companies!$C$2:$C$31,MATCH(C2434,Companies!$A$2:$A$31,0))</f>
        <v>E-commerce</v>
      </c>
      <c r="M2434" s="21" t="str">
        <f aca="false">INDEX(Companies!$D$2:$D$31,MATCH(C2434,Companies!$A$2:$A$31,0))</f>
        <v>Tier 3</v>
      </c>
      <c r="N2434" s="34" t="n">
        <f aca="false">MATCH(F2434,Assumptions!$K$4:$K$8,0)</f>
        <v>3</v>
      </c>
      <c r="O2434" s="21" t="str">
        <f aca="false">IF(H2434="Yes",MONTH(I2434),"")</f>
        <v/>
      </c>
      <c r="P2434" s="21" t="str">
        <f aca="false">IF(H2434="Yes",B2434,"")</f>
        <v/>
      </c>
    </row>
    <row r="2435" customFormat="false" ht="15" hidden="false" customHeight="false" outlineLevel="0" collapsed="false">
      <c r="A2435" s="21" t="s">
        <v>3650</v>
      </c>
      <c r="B2435" s="21" t="s">
        <v>936</v>
      </c>
      <c r="C2435" s="21" t="s">
        <v>1183</v>
      </c>
      <c r="D2435" s="21" t="s">
        <v>1181</v>
      </c>
      <c r="E2435" s="33" t="n">
        <v>45951</v>
      </c>
      <c r="F2435" s="21" t="s">
        <v>1185</v>
      </c>
      <c r="G2435" s="32" t="n">
        <v>9.9</v>
      </c>
      <c r="H2435" s="21" t="s">
        <v>120</v>
      </c>
      <c r="I2435" s="33" t="n">
        <v>46000</v>
      </c>
      <c r="J2435" s="21" t="str">
        <f aca="false">INDEX(Students!$C$2:$C$601,MATCH(B2435,Students!$A$2:$A$601,0))</f>
        <v>Batch 2026</v>
      </c>
      <c r="K2435" s="21" t="str">
        <f aca="false">INDEX(Students!$D$2:$D$601,MATCH(B2435,Students!$A$2:$A$601,0))</f>
        <v>Full Stack Development</v>
      </c>
      <c r="L2435" s="21" t="str">
        <f aca="false">INDEX(Companies!$C$2:$C$31,MATCH(C2435,Companies!$A$2:$A$31,0))</f>
        <v>E-commerce</v>
      </c>
      <c r="M2435" s="21" t="str">
        <f aca="false">INDEX(Companies!$D$2:$D$31,MATCH(C2435,Companies!$A$2:$A$31,0))</f>
        <v>Tier 2</v>
      </c>
      <c r="N2435" s="34" t="n">
        <f aca="false">MATCH(F2435,Assumptions!$K$4:$K$8,0)</f>
        <v>5</v>
      </c>
      <c r="O2435" s="21" t="n">
        <f aca="false">IF(H2435="Yes",MONTH(I2435),"")</f>
        <v>12</v>
      </c>
      <c r="P2435" s="21" t="str">
        <f aca="false">IF(H2435="Yes",B2435,"")</f>
        <v>S0461</v>
      </c>
    </row>
    <row r="2436" customFormat="false" ht="15" hidden="false" customHeight="false" outlineLevel="0" collapsed="false">
      <c r="A2436" s="21" t="s">
        <v>3651</v>
      </c>
      <c r="B2436" s="21" t="s">
        <v>979</v>
      </c>
      <c r="C2436" s="21" t="s">
        <v>1322</v>
      </c>
      <c r="D2436" s="21" t="s">
        <v>1191</v>
      </c>
      <c r="E2436" s="33" t="n">
        <v>45951</v>
      </c>
      <c r="F2436" s="21" t="s">
        <v>1185</v>
      </c>
      <c r="G2436" s="32" t="n">
        <v>12.8</v>
      </c>
      <c r="H2436" s="21" t="s">
        <v>113</v>
      </c>
      <c r="I2436" s="33" t="n">
        <v>45982</v>
      </c>
      <c r="J2436" s="21" t="str">
        <f aca="false">INDEX(Students!$C$2:$C$601,MATCH(B2436,Students!$A$2:$A$601,0))</f>
        <v>Batch 2026</v>
      </c>
      <c r="K2436" s="21" t="str">
        <f aca="false">INDEX(Students!$D$2:$D$601,MATCH(B2436,Students!$A$2:$A$601,0))</f>
        <v>DSA with Java</v>
      </c>
      <c r="L2436" s="21" t="str">
        <f aca="false">INDEX(Companies!$C$2:$C$31,MATCH(C2436,Companies!$A$2:$A$31,0))</f>
        <v>Healthtech</v>
      </c>
      <c r="M2436" s="21" t="str">
        <f aca="false">INDEX(Companies!$D$2:$D$31,MATCH(C2436,Companies!$A$2:$A$31,0))</f>
        <v>Tier 2</v>
      </c>
      <c r="N2436" s="34" t="n">
        <f aca="false">MATCH(F2436,Assumptions!$K$4:$K$8,0)</f>
        <v>5</v>
      </c>
      <c r="O2436" s="21" t="str">
        <f aca="false">IF(H2436="Yes",MONTH(I2436),"")</f>
        <v/>
      </c>
      <c r="P2436" s="21" t="str">
        <f aca="false">IF(H2436="Yes",B2436,"")</f>
        <v/>
      </c>
    </row>
    <row r="2437" customFormat="false" ht="15" hidden="false" customHeight="false" outlineLevel="0" collapsed="false">
      <c r="A2437" s="21" t="s">
        <v>3652</v>
      </c>
      <c r="B2437" s="21" t="s">
        <v>847</v>
      </c>
      <c r="C2437" s="21" t="s">
        <v>1322</v>
      </c>
      <c r="D2437" s="21" t="s">
        <v>1209</v>
      </c>
      <c r="E2437" s="33" t="n">
        <v>45952</v>
      </c>
      <c r="F2437" s="21" t="s">
        <v>1197</v>
      </c>
      <c r="G2437" s="32"/>
      <c r="H2437" s="21"/>
      <c r="I2437" s="33"/>
      <c r="J2437" s="21" t="str">
        <f aca="false">INDEX(Students!$C$2:$C$601,MATCH(B2437,Students!$A$2:$A$601,0))</f>
        <v>Batch 2026</v>
      </c>
      <c r="K2437" s="21" t="str">
        <f aca="false">INDEX(Students!$D$2:$D$601,MATCH(B2437,Students!$A$2:$A$601,0))</f>
        <v>Data Analytics</v>
      </c>
      <c r="L2437" s="21" t="str">
        <f aca="false">INDEX(Companies!$C$2:$C$31,MATCH(C2437,Companies!$A$2:$A$31,0))</f>
        <v>Healthtech</v>
      </c>
      <c r="M2437" s="21" t="str">
        <f aca="false">INDEX(Companies!$D$2:$D$31,MATCH(C2437,Companies!$A$2:$A$31,0))</f>
        <v>Tier 2</v>
      </c>
      <c r="N2437" s="34" t="n">
        <f aca="false">MATCH(F2437,Assumptions!$K$4:$K$8,0)</f>
        <v>3</v>
      </c>
      <c r="O2437" s="21" t="str">
        <f aca="false">IF(H2437="Yes",MONTH(I2437),"")</f>
        <v/>
      </c>
      <c r="P2437" s="21" t="str">
        <f aca="false">IF(H2437="Yes",B2437,"")</f>
        <v/>
      </c>
    </row>
    <row r="2438" customFormat="false" ht="15" hidden="false" customHeight="false" outlineLevel="0" collapsed="false">
      <c r="A2438" s="21" t="s">
        <v>3653</v>
      </c>
      <c r="B2438" s="21" t="s">
        <v>935</v>
      </c>
      <c r="C2438" s="21" t="s">
        <v>1199</v>
      </c>
      <c r="D2438" s="21" t="s">
        <v>1188</v>
      </c>
      <c r="E2438" s="33" t="n">
        <v>45952</v>
      </c>
      <c r="F2438" s="21" t="s">
        <v>1197</v>
      </c>
      <c r="G2438" s="32"/>
      <c r="H2438" s="21"/>
      <c r="I2438" s="33"/>
      <c r="J2438" s="21" t="str">
        <f aca="false">INDEX(Students!$C$2:$C$601,MATCH(B2438,Students!$A$2:$A$601,0))</f>
        <v>Batch 2026</v>
      </c>
      <c r="K2438" s="21" t="str">
        <f aca="false">INDEX(Students!$D$2:$D$601,MATCH(B2438,Students!$A$2:$A$601,0))</f>
        <v>Data Analytics</v>
      </c>
      <c r="L2438" s="21" t="str">
        <f aca="false">INDEX(Companies!$C$2:$C$31,MATCH(C2438,Companies!$A$2:$A$31,0))</f>
        <v>E-commerce</v>
      </c>
      <c r="M2438" s="21" t="str">
        <f aca="false">INDEX(Companies!$D$2:$D$31,MATCH(C2438,Companies!$A$2:$A$31,0))</f>
        <v>Tier 2</v>
      </c>
      <c r="N2438" s="34" t="n">
        <f aca="false">MATCH(F2438,Assumptions!$K$4:$K$8,0)</f>
        <v>3</v>
      </c>
      <c r="O2438" s="21" t="str">
        <f aca="false">IF(H2438="Yes",MONTH(I2438),"")</f>
        <v/>
      </c>
      <c r="P2438" s="21" t="str">
        <f aca="false">IF(H2438="Yes",B2438,"")</f>
        <v/>
      </c>
    </row>
    <row r="2439" customFormat="false" ht="15" hidden="false" customHeight="false" outlineLevel="0" collapsed="false">
      <c r="A2439" s="21" t="s">
        <v>3654</v>
      </c>
      <c r="B2439" s="21" t="s">
        <v>1032</v>
      </c>
      <c r="C2439" s="21" t="s">
        <v>1201</v>
      </c>
      <c r="D2439" s="21" t="s">
        <v>1209</v>
      </c>
      <c r="E2439" s="33" t="n">
        <v>45952</v>
      </c>
      <c r="F2439" s="21" t="s">
        <v>1178</v>
      </c>
      <c r="G2439" s="32"/>
      <c r="H2439" s="21"/>
      <c r="I2439" s="33"/>
      <c r="J2439" s="21" t="str">
        <f aca="false">INDEX(Students!$C$2:$C$601,MATCH(B2439,Students!$A$2:$A$601,0))</f>
        <v>Batch 2026</v>
      </c>
      <c r="K2439" s="21" t="str">
        <f aca="false">INDEX(Students!$D$2:$D$601,MATCH(B2439,Students!$A$2:$A$601,0))</f>
        <v>Data Analytics</v>
      </c>
      <c r="L2439" s="21" t="str">
        <f aca="false">INDEX(Companies!$C$2:$C$31,MATCH(C2439,Companies!$A$2:$A$31,0))</f>
        <v>IT Services</v>
      </c>
      <c r="M2439" s="21" t="str">
        <f aca="false">INDEX(Companies!$D$2:$D$31,MATCH(C2439,Companies!$A$2:$A$31,0))</f>
        <v>Tier 3</v>
      </c>
      <c r="N2439" s="34" t="n">
        <f aca="false">MATCH(F2439,Assumptions!$K$4:$K$8,0)</f>
        <v>2</v>
      </c>
      <c r="O2439" s="21" t="str">
        <f aca="false">IF(H2439="Yes",MONTH(I2439),"")</f>
        <v/>
      </c>
      <c r="P2439" s="21" t="str">
        <f aca="false">IF(H2439="Yes",B2439,"")</f>
        <v/>
      </c>
    </row>
    <row r="2440" customFormat="false" ht="15" hidden="false" customHeight="false" outlineLevel="0" collapsed="false">
      <c r="A2440" s="21" t="s">
        <v>3655</v>
      </c>
      <c r="B2440" s="21" t="s">
        <v>950</v>
      </c>
      <c r="C2440" s="21" t="s">
        <v>1193</v>
      </c>
      <c r="D2440" s="21" t="s">
        <v>1184</v>
      </c>
      <c r="E2440" s="33" t="n">
        <v>45952</v>
      </c>
      <c r="F2440" s="21" t="s">
        <v>1175</v>
      </c>
      <c r="G2440" s="32"/>
      <c r="H2440" s="21"/>
      <c r="I2440" s="33"/>
      <c r="J2440" s="21" t="str">
        <f aca="false">INDEX(Students!$C$2:$C$601,MATCH(B2440,Students!$A$2:$A$601,0))</f>
        <v>Batch 2026</v>
      </c>
      <c r="K2440" s="21" t="str">
        <f aca="false">INDEX(Students!$D$2:$D$601,MATCH(B2440,Students!$A$2:$A$601,0))</f>
        <v>DSA with Java</v>
      </c>
      <c r="L2440" s="21" t="str">
        <f aca="false">INDEX(Companies!$C$2:$C$31,MATCH(C2440,Companies!$A$2:$A$31,0))</f>
        <v>Analytics &amp; Consulting</v>
      </c>
      <c r="M2440" s="21" t="str">
        <f aca="false">INDEX(Companies!$D$2:$D$31,MATCH(C2440,Companies!$A$2:$A$31,0))</f>
        <v>Tier 2</v>
      </c>
      <c r="N2440" s="34" t="n">
        <f aca="false">MATCH(F2440,Assumptions!$K$4:$K$8,0)</f>
        <v>1</v>
      </c>
      <c r="O2440" s="21" t="str">
        <f aca="false">IF(H2440="Yes",MONTH(I2440),"")</f>
        <v/>
      </c>
      <c r="P2440" s="21" t="str">
        <f aca="false">IF(H2440="Yes",B2440,"")</f>
        <v/>
      </c>
    </row>
    <row r="2441" customFormat="false" ht="15" hidden="false" customHeight="false" outlineLevel="0" collapsed="false">
      <c r="A2441" s="21" t="s">
        <v>3656</v>
      </c>
      <c r="B2441" s="21" t="s">
        <v>1051</v>
      </c>
      <c r="C2441" s="21" t="s">
        <v>1201</v>
      </c>
      <c r="D2441" s="21" t="s">
        <v>1191</v>
      </c>
      <c r="E2441" s="33" t="n">
        <v>45952</v>
      </c>
      <c r="F2441" s="21" t="s">
        <v>1175</v>
      </c>
      <c r="G2441" s="32"/>
      <c r="H2441" s="21"/>
      <c r="I2441" s="33"/>
      <c r="J2441" s="21" t="str">
        <f aca="false">INDEX(Students!$C$2:$C$601,MATCH(B2441,Students!$A$2:$A$601,0))</f>
        <v>Batch 2026</v>
      </c>
      <c r="K2441" s="21" t="str">
        <f aca="false">INDEX(Students!$D$2:$D$601,MATCH(B2441,Students!$A$2:$A$601,0))</f>
        <v>DSA with Java</v>
      </c>
      <c r="L2441" s="21" t="str">
        <f aca="false">INDEX(Companies!$C$2:$C$31,MATCH(C2441,Companies!$A$2:$A$31,0))</f>
        <v>IT Services</v>
      </c>
      <c r="M2441" s="21" t="str">
        <f aca="false">INDEX(Companies!$D$2:$D$31,MATCH(C2441,Companies!$A$2:$A$31,0))</f>
        <v>Tier 3</v>
      </c>
      <c r="N2441" s="34" t="n">
        <f aca="false">MATCH(F2441,Assumptions!$K$4:$K$8,0)</f>
        <v>1</v>
      </c>
      <c r="O2441" s="21" t="str">
        <f aca="false">IF(H2441="Yes",MONTH(I2441),"")</f>
        <v/>
      </c>
      <c r="P2441" s="21" t="str">
        <f aca="false">IF(H2441="Yes",B2441,"")</f>
        <v/>
      </c>
    </row>
    <row r="2442" customFormat="false" ht="15" hidden="false" customHeight="false" outlineLevel="0" collapsed="false">
      <c r="A2442" s="21" t="s">
        <v>3657</v>
      </c>
      <c r="B2442" s="21" t="s">
        <v>1013</v>
      </c>
      <c r="C2442" s="21" t="s">
        <v>1203</v>
      </c>
      <c r="D2442" s="21" t="s">
        <v>1209</v>
      </c>
      <c r="E2442" s="33" t="n">
        <v>45952</v>
      </c>
      <c r="F2442" s="21" t="s">
        <v>1178</v>
      </c>
      <c r="G2442" s="32"/>
      <c r="H2442" s="21"/>
      <c r="I2442" s="33"/>
      <c r="J2442" s="21" t="str">
        <f aca="false">INDEX(Students!$C$2:$C$601,MATCH(B2442,Students!$A$2:$A$601,0))</f>
        <v>Batch 2026</v>
      </c>
      <c r="K2442" s="21" t="str">
        <f aca="false">INDEX(Students!$D$2:$D$601,MATCH(B2442,Students!$A$2:$A$601,0))</f>
        <v>Data Analytics</v>
      </c>
      <c r="L2442" s="21" t="str">
        <f aca="false">INDEX(Companies!$C$2:$C$31,MATCH(C2442,Companies!$A$2:$A$31,0))</f>
        <v>Healthtech</v>
      </c>
      <c r="M2442" s="21" t="str">
        <f aca="false">INDEX(Companies!$D$2:$D$31,MATCH(C2442,Companies!$A$2:$A$31,0))</f>
        <v>Tier 2</v>
      </c>
      <c r="N2442" s="34" t="n">
        <f aca="false">MATCH(F2442,Assumptions!$K$4:$K$8,0)</f>
        <v>2</v>
      </c>
      <c r="O2442" s="21" t="str">
        <f aca="false">IF(H2442="Yes",MONTH(I2442),"")</f>
        <v/>
      </c>
      <c r="P2442" s="21" t="str">
        <f aca="false">IF(H2442="Yes",B2442,"")</f>
        <v/>
      </c>
    </row>
    <row r="2443" customFormat="false" ht="15" hidden="false" customHeight="false" outlineLevel="0" collapsed="false">
      <c r="A2443" s="21" t="s">
        <v>3658</v>
      </c>
      <c r="B2443" s="21" t="s">
        <v>890</v>
      </c>
      <c r="C2443" s="21" t="s">
        <v>1208</v>
      </c>
      <c r="D2443" s="21" t="s">
        <v>1184</v>
      </c>
      <c r="E2443" s="33" t="n">
        <v>45952</v>
      </c>
      <c r="F2443" s="21" t="s">
        <v>1178</v>
      </c>
      <c r="G2443" s="32"/>
      <c r="H2443" s="21"/>
      <c r="I2443" s="33"/>
      <c r="J2443" s="21" t="str">
        <f aca="false">INDEX(Students!$C$2:$C$601,MATCH(B2443,Students!$A$2:$A$601,0))</f>
        <v>Batch 2026</v>
      </c>
      <c r="K2443" s="21" t="str">
        <f aca="false">INDEX(Students!$D$2:$D$601,MATCH(B2443,Students!$A$2:$A$601,0))</f>
        <v>DSA with Java</v>
      </c>
      <c r="L2443" s="21" t="str">
        <f aca="false">INDEX(Companies!$C$2:$C$31,MATCH(C2443,Companies!$A$2:$A$31,0))</f>
        <v>E-commerce</v>
      </c>
      <c r="M2443" s="21" t="str">
        <f aca="false">INDEX(Companies!$D$2:$D$31,MATCH(C2443,Companies!$A$2:$A$31,0))</f>
        <v>Tier 1</v>
      </c>
      <c r="N2443" s="34" t="n">
        <f aca="false">MATCH(F2443,Assumptions!$K$4:$K$8,0)</f>
        <v>2</v>
      </c>
      <c r="O2443" s="21" t="str">
        <f aca="false">IF(H2443="Yes",MONTH(I2443),"")</f>
        <v/>
      </c>
      <c r="P2443" s="21" t="str">
        <f aca="false">IF(H2443="Yes",B2443,"")</f>
        <v/>
      </c>
    </row>
    <row r="2444" customFormat="false" ht="15" hidden="false" customHeight="false" outlineLevel="0" collapsed="false">
      <c r="A2444" s="21" t="s">
        <v>3659</v>
      </c>
      <c r="B2444" s="21" t="s">
        <v>961</v>
      </c>
      <c r="C2444" s="21" t="s">
        <v>1263</v>
      </c>
      <c r="D2444" s="21" t="s">
        <v>1209</v>
      </c>
      <c r="E2444" s="33" t="n">
        <v>45953</v>
      </c>
      <c r="F2444" s="21" t="s">
        <v>1197</v>
      </c>
      <c r="G2444" s="32"/>
      <c r="H2444" s="21"/>
      <c r="I2444" s="33"/>
      <c r="J2444" s="21" t="str">
        <f aca="false">INDEX(Students!$C$2:$C$601,MATCH(B2444,Students!$A$2:$A$601,0))</f>
        <v>Batch 2026</v>
      </c>
      <c r="K2444" s="21" t="str">
        <f aca="false">INDEX(Students!$D$2:$D$601,MATCH(B2444,Students!$A$2:$A$601,0))</f>
        <v>Data Analytics</v>
      </c>
      <c r="L2444" s="21" t="str">
        <f aca="false">INDEX(Companies!$C$2:$C$31,MATCH(C2444,Companies!$A$2:$A$31,0))</f>
        <v>Analytics &amp; Consulting</v>
      </c>
      <c r="M2444" s="21" t="str">
        <f aca="false">INDEX(Companies!$D$2:$D$31,MATCH(C2444,Companies!$A$2:$A$31,0))</f>
        <v>Tier 2</v>
      </c>
      <c r="N2444" s="34" t="n">
        <f aca="false">MATCH(F2444,Assumptions!$K$4:$K$8,0)</f>
        <v>3</v>
      </c>
      <c r="O2444" s="21" t="str">
        <f aca="false">IF(H2444="Yes",MONTH(I2444),"")</f>
        <v/>
      </c>
      <c r="P2444" s="21" t="str">
        <f aca="false">IF(H2444="Yes",B2444,"")</f>
        <v/>
      </c>
    </row>
    <row r="2445" customFormat="false" ht="15" hidden="false" customHeight="false" outlineLevel="0" collapsed="false">
      <c r="A2445" s="21" t="s">
        <v>3660</v>
      </c>
      <c r="B2445" s="21" t="s">
        <v>1150</v>
      </c>
      <c r="C2445" s="21" t="s">
        <v>1234</v>
      </c>
      <c r="D2445" s="21" t="s">
        <v>1188</v>
      </c>
      <c r="E2445" s="33" t="n">
        <v>45953</v>
      </c>
      <c r="F2445" s="21" t="s">
        <v>1178</v>
      </c>
      <c r="G2445" s="32"/>
      <c r="H2445" s="21"/>
      <c r="I2445" s="33"/>
      <c r="J2445" s="21" t="str">
        <f aca="false">INDEX(Students!$C$2:$C$601,MATCH(B2445,Students!$A$2:$A$601,0))</f>
        <v>Batch 2026</v>
      </c>
      <c r="K2445" s="21" t="str">
        <f aca="false">INDEX(Students!$D$2:$D$601,MATCH(B2445,Students!$A$2:$A$601,0))</f>
        <v>Data Analytics</v>
      </c>
      <c r="L2445" s="21" t="str">
        <f aca="false">INDEX(Companies!$C$2:$C$31,MATCH(C2445,Companies!$A$2:$A$31,0))</f>
        <v>EdTech</v>
      </c>
      <c r="M2445" s="21" t="str">
        <f aca="false">INDEX(Companies!$D$2:$D$31,MATCH(C2445,Companies!$A$2:$A$31,0))</f>
        <v>Tier 3</v>
      </c>
      <c r="N2445" s="34" t="n">
        <f aca="false">MATCH(F2445,Assumptions!$K$4:$K$8,0)</f>
        <v>2</v>
      </c>
      <c r="O2445" s="21" t="str">
        <f aca="false">IF(H2445="Yes",MONTH(I2445),"")</f>
        <v/>
      </c>
      <c r="P2445" s="21" t="str">
        <f aca="false">IF(H2445="Yes",B2445,"")</f>
        <v/>
      </c>
    </row>
    <row r="2446" customFormat="false" ht="15" hidden="false" customHeight="false" outlineLevel="0" collapsed="false">
      <c r="A2446" s="21" t="s">
        <v>3661</v>
      </c>
      <c r="B2446" s="21" t="s">
        <v>1143</v>
      </c>
      <c r="C2446" s="21" t="s">
        <v>1222</v>
      </c>
      <c r="D2446" s="21" t="s">
        <v>1194</v>
      </c>
      <c r="E2446" s="33" t="n">
        <v>45953</v>
      </c>
      <c r="F2446" s="21" t="s">
        <v>1185</v>
      </c>
      <c r="G2446" s="32" t="n">
        <v>12.6</v>
      </c>
      <c r="H2446" s="21" t="s">
        <v>113</v>
      </c>
      <c r="I2446" s="33" t="n">
        <v>45998</v>
      </c>
      <c r="J2446" s="21" t="str">
        <f aca="false">INDEX(Students!$C$2:$C$601,MATCH(B2446,Students!$A$2:$A$601,0))</f>
        <v>Batch 2026</v>
      </c>
      <c r="K2446" s="21" t="str">
        <f aca="false">INDEX(Students!$D$2:$D$601,MATCH(B2446,Students!$A$2:$A$601,0))</f>
        <v>Data Science &amp; ML</v>
      </c>
      <c r="L2446" s="21" t="str">
        <f aca="false">INDEX(Companies!$C$2:$C$31,MATCH(C2446,Companies!$A$2:$A$31,0))</f>
        <v>Product</v>
      </c>
      <c r="M2446" s="21" t="str">
        <f aca="false">INDEX(Companies!$D$2:$D$31,MATCH(C2446,Companies!$A$2:$A$31,0))</f>
        <v>Tier 2</v>
      </c>
      <c r="N2446" s="34" t="n">
        <f aca="false">MATCH(F2446,Assumptions!$K$4:$K$8,0)</f>
        <v>5</v>
      </c>
      <c r="O2446" s="21" t="str">
        <f aca="false">IF(H2446="Yes",MONTH(I2446),"")</f>
        <v/>
      </c>
      <c r="P2446" s="21" t="str">
        <f aca="false">IF(H2446="Yes",B2446,"")</f>
        <v/>
      </c>
    </row>
    <row r="2447" customFormat="false" ht="15" hidden="false" customHeight="false" outlineLevel="0" collapsed="false">
      <c r="A2447" s="21" t="s">
        <v>3662</v>
      </c>
      <c r="B2447" s="21" t="s">
        <v>850</v>
      </c>
      <c r="C2447" s="21" t="s">
        <v>1225</v>
      </c>
      <c r="D2447" s="21" t="s">
        <v>1181</v>
      </c>
      <c r="E2447" s="33" t="n">
        <v>45953</v>
      </c>
      <c r="F2447" s="21" t="s">
        <v>1178</v>
      </c>
      <c r="G2447" s="32"/>
      <c r="H2447" s="21"/>
      <c r="I2447" s="33"/>
      <c r="J2447" s="21" t="str">
        <f aca="false">INDEX(Students!$C$2:$C$601,MATCH(B2447,Students!$A$2:$A$601,0))</f>
        <v>Batch 2026</v>
      </c>
      <c r="K2447" s="21" t="str">
        <f aca="false">INDEX(Students!$D$2:$D$601,MATCH(B2447,Students!$A$2:$A$601,0))</f>
        <v>Full Stack Development</v>
      </c>
      <c r="L2447" s="21" t="str">
        <f aca="false">INDEX(Companies!$C$2:$C$31,MATCH(C2447,Companies!$A$2:$A$31,0))</f>
        <v>EdTech</v>
      </c>
      <c r="M2447" s="21" t="str">
        <f aca="false">INDEX(Companies!$D$2:$D$31,MATCH(C2447,Companies!$A$2:$A$31,0))</f>
        <v>Tier 2</v>
      </c>
      <c r="N2447" s="34" t="n">
        <f aca="false">MATCH(F2447,Assumptions!$K$4:$K$8,0)</f>
        <v>2</v>
      </c>
      <c r="O2447" s="21" t="str">
        <f aca="false">IF(H2447="Yes",MONTH(I2447),"")</f>
        <v/>
      </c>
      <c r="P2447" s="21" t="str">
        <f aca="false">IF(H2447="Yes",B2447,"")</f>
        <v/>
      </c>
    </row>
    <row r="2448" customFormat="false" ht="15" hidden="false" customHeight="false" outlineLevel="0" collapsed="false">
      <c r="A2448" s="21" t="s">
        <v>3663</v>
      </c>
      <c r="B2448" s="21" t="s">
        <v>890</v>
      </c>
      <c r="C2448" s="21" t="s">
        <v>1322</v>
      </c>
      <c r="D2448" s="21" t="s">
        <v>1191</v>
      </c>
      <c r="E2448" s="33" t="n">
        <v>45953</v>
      </c>
      <c r="F2448" s="21" t="s">
        <v>1185</v>
      </c>
      <c r="G2448" s="32" t="n">
        <v>12.3</v>
      </c>
      <c r="H2448" s="21" t="s">
        <v>113</v>
      </c>
      <c r="I2448" s="33" t="n">
        <v>45984</v>
      </c>
      <c r="J2448" s="21" t="str">
        <f aca="false">INDEX(Students!$C$2:$C$601,MATCH(B2448,Students!$A$2:$A$601,0))</f>
        <v>Batch 2026</v>
      </c>
      <c r="K2448" s="21" t="str">
        <f aca="false">INDEX(Students!$D$2:$D$601,MATCH(B2448,Students!$A$2:$A$601,0))</f>
        <v>DSA with Java</v>
      </c>
      <c r="L2448" s="21" t="str">
        <f aca="false">INDEX(Companies!$C$2:$C$31,MATCH(C2448,Companies!$A$2:$A$31,0))</f>
        <v>Healthtech</v>
      </c>
      <c r="M2448" s="21" t="str">
        <f aca="false">INDEX(Companies!$D$2:$D$31,MATCH(C2448,Companies!$A$2:$A$31,0))</f>
        <v>Tier 2</v>
      </c>
      <c r="N2448" s="34" t="n">
        <f aca="false">MATCH(F2448,Assumptions!$K$4:$K$8,0)</f>
        <v>5</v>
      </c>
      <c r="O2448" s="21" t="str">
        <f aca="false">IF(H2448="Yes",MONTH(I2448),"")</f>
        <v/>
      </c>
      <c r="P2448" s="21" t="str">
        <f aca="false">IF(H2448="Yes",B2448,"")</f>
        <v/>
      </c>
    </row>
    <row r="2449" customFormat="false" ht="15" hidden="false" customHeight="false" outlineLevel="0" collapsed="false">
      <c r="A2449" s="21" t="s">
        <v>3664</v>
      </c>
      <c r="B2449" s="21" t="s">
        <v>876</v>
      </c>
      <c r="C2449" s="21" t="s">
        <v>1201</v>
      </c>
      <c r="D2449" s="21" t="s">
        <v>1191</v>
      </c>
      <c r="E2449" s="33" t="n">
        <v>45954</v>
      </c>
      <c r="F2449" s="21" t="s">
        <v>1185</v>
      </c>
      <c r="G2449" s="32" t="n">
        <v>6.6</v>
      </c>
      <c r="H2449" s="21" t="s">
        <v>113</v>
      </c>
      <c r="I2449" s="33" t="n">
        <v>45988</v>
      </c>
      <c r="J2449" s="21" t="str">
        <f aca="false">INDEX(Students!$C$2:$C$601,MATCH(B2449,Students!$A$2:$A$601,0))</f>
        <v>Batch 2026</v>
      </c>
      <c r="K2449" s="21" t="str">
        <f aca="false">INDEX(Students!$D$2:$D$601,MATCH(B2449,Students!$A$2:$A$601,0))</f>
        <v>DSA with Java</v>
      </c>
      <c r="L2449" s="21" t="str">
        <f aca="false">INDEX(Companies!$C$2:$C$31,MATCH(C2449,Companies!$A$2:$A$31,0))</f>
        <v>IT Services</v>
      </c>
      <c r="M2449" s="21" t="str">
        <f aca="false">INDEX(Companies!$D$2:$D$31,MATCH(C2449,Companies!$A$2:$A$31,0))</f>
        <v>Tier 3</v>
      </c>
      <c r="N2449" s="34" t="n">
        <f aca="false">MATCH(F2449,Assumptions!$K$4:$K$8,0)</f>
        <v>5</v>
      </c>
      <c r="O2449" s="21" t="str">
        <f aca="false">IF(H2449="Yes",MONTH(I2449),"")</f>
        <v/>
      </c>
      <c r="P2449" s="21" t="str">
        <f aca="false">IF(H2449="Yes",B2449,"")</f>
        <v/>
      </c>
    </row>
    <row r="2450" customFormat="false" ht="15" hidden="false" customHeight="false" outlineLevel="0" collapsed="false">
      <c r="A2450" s="21" t="s">
        <v>3665</v>
      </c>
      <c r="B2450" s="21" t="s">
        <v>1127</v>
      </c>
      <c r="C2450" s="21" t="s">
        <v>1266</v>
      </c>
      <c r="D2450" s="21" t="s">
        <v>1181</v>
      </c>
      <c r="E2450" s="33" t="n">
        <v>45954</v>
      </c>
      <c r="F2450" s="21" t="s">
        <v>1175</v>
      </c>
      <c r="G2450" s="32"/>
      <c r="H2450" s="21"/>
      <c r="I2450" s="33"/>
      <c r="J2450" s="21" t="str">
        <f aca="false">INDEX(Students!$C$2:$C$601,MATCH(B2450,Students!$A$2:$A$601,0))</f>
        <v>Batch 2026</v>
      </c>
      <c r="K2450" s="21" t="str">
        <f aca="false">INDEX(Students!$D$2:$D$601,MATCH(B2450,Students!$A$2:$A$601,0))</f>
        <v>Full Stack Development</v>
      </c>
      <c r="L2450" s="21" t="str">
        <f aca="false">INDEX(Companies!$C$2:$C$31,MATCH(C2450,Companies!$A$2:$A$31,0))</f>
        <v>IT Services</v>
      </c>
      <c r="M2450" s="21" t="str">
        <f aca="false">INDEX(Companies!$D$2:$D$31,MATCH(C2450,Companies!$A$2:$A$31,0))</f>
        <v>Tier 3</v>
      </c>
      <c r="N2450" s="34" t="n">
        <f aca="false">MATCH(F2450,Assumptions!$K$4:$K$8,0)</f>
        <v>1</v>
      </c>
      <c r="O2450" s="21" t="str">
        <f aca="false">IF(H2450="Yes",MONTH(I2450),"")</f>
        <v/>
      </c>
      <c r="P2450" s="21" t="str">
        <f aca="false">IF(H2450="Yes",B2450,"")</f>
        <v/>
      </c>
    </row>
    <row r="2451" customFormat="false" ht="15" hidden="false" customHeight="false" outlineLevel="0" collapsed="false">
      <c r="A2451" s="21" t="s">
        <v>3666</v>
      </c>
      <c r="B2451" s="21" t="s">
        <v>937</v>
      </c>
      <c r="C2451" s="21" t="s">
        <v>1183</v>
      </c>
      <c r="D2451" s="21" t="s">
        <v>1191</v>
      </c>
      <c r="E2451" s="33" t="n">
        <v>45954</v>
      </c>
      <c r="F2451" s="21" t="s">
        <v>1178</v>
      </c>
      <c r="G2451" s="32"/>
      <c r="H2451" s="21"/>
      <c r="I2451" s="33"/>
      <c r="J2451" s="21" t="str">
        <f aca="false">INDEX(Students!$C$2:$C$601,MATCH(B2451,Students!$A$2:$A$601,0))</f>
        <v>Batch 2026</v>
      </c>
      <c r="K2451" s="21" t="str">
        <f aca="false">INDEX(Students!$D$2:$D$601,MATCH(B2451,Students!$A$2:$A$601,0))</f>
        <v>DSA with Java</v>
      </c>
      <c r="L2451" s="21" t="str">
        <f aca="false">INDEX(Companies!$C$2:$C$31,MATCH(C2451,Companies!$A$2:$A$31,0))</f>
        <v>E-commerce</v>
      </c>
      <c r="M2451" s="21" t="str">
        <f aca="false">INDEX(Companies!$D$2:$D$31,MATCH(C2451,Companies!$A$2:$A$31,0))</f>
        <v>Tier 2</v>
      </c>
      <c r="N2451" s="34" t="n">
        <f aca="false">MATCH(F2451,Assumptions!$K$4:$K$8,0)</f>
        <v>2</v>
      </c>
      <c r="O2451" s="21" t="str">
        <f aca="false">IF(H2451="Yes",MONTH(I2451),"")</f>
        <v/>
      </c>
      <c r="P2451" s="21" t="str">
        <f aca="false">IF(H2451="Yes",B2451,"")</f>
        <v/>
      </c>
    </row>
    <row r="2452" customFormat="false" ht="15" hidden="false" customHeight="false" outlineLevel="0" collapsed="false">
      <c r="A2452" s="21" t="s">
        <v>3667</v>
      </c>
      <c r="B2452" s="21" t="s">
        <v>1005</v>
      </c>
      <c r="C2452" s="21" t="s">
        <v>1214</v>
      </c>
      <c r="D2452" s="21" t="s">
        <v>1243</v>
      </c>
      <c r="E2452" s="33" t="n">
        <v>45954</v>
      </c>
      <c r="F2452" s="21" t="s">
        <v>1185</v>
      </c>
      <c r="G2452" s="32" t="n">
        <v>21.6</v>
      </c>
      <c r="H2452" s="21" t="s">
        <v>120</v>
      </c>
      <c r="I2452" s="33" t="n">
        <v>45990</v>
      </c>
      <c r="J2452" s="21" t="str">
        <f aca="false">INDEX(Students!$C$2:$C$601,MATCH(B2452,Students!$A$2:$A$601,0))</f>
        <v>Batch 2026</v>
      </c>
      <c r="K2452" s="21" t="str">
        <f aca="false">INDEX(Students!$D$2:$D$601,MATCH(B2452,Students!$A$2:$A$601,0))</f>
        <v>Data Science &amp; ML</v>
      </c>
      <c r="L2452" s="21" t="str">
        <f aca="false">INDEX(Companies!$C$2:$C$31,MATCH(C2452,Companies!$A$2:$A$31,0))</f>
        <v>Product</v>
      </c>
      <c r="M2452" s="21" t="str">
        <f aca="false">INDEX(Companies!$D$2:$D$31,MATCH(C2452,Companies!$A$2:$A$31,0))</f>
        <v>Tier 1</v>
      </c>
      <c r="N2452" s="34" t="n">
        <f aca="false">MATCH(F2452,Assumptions!$K$4:$K$8,0)</f>
        <v>5</v>
      </c>
      <c r="O2452" s="21" t="n">
        <f aca="false">IF(H2452="Yes",MONTH(I2452),"")</f>
        <v>11</v>
      </c>
      <c r="P2452" s="21" t="str">
        <f aca="false">IF(H2452="Yes",B2452,"")</f>
        <v>S0503</v>
      </c>
    </row>
    <row r="2453" customFormat="false" ht="15" hidden="false" customHeight="false" outlineLevel="0" collapsed="false">
      <c r="A2453" s="21" t="s">
        <v>3668</v>
      </c>
      <c r="B2453" s="21" t="s">
        <v>817</v>
      </c>
      <c r="C2453" s="21" t="s">
        <v>1216</v>
      </c>
      <c r="D2453" s="21" t="s">
        <v>1184</v>
      </c>
      <c r="E2453" s="33" t="n">
        <v>45955</v>
      </c>
      <c r="F2453" s="21" t="s">
        <v>1175</v>
      </c>
      <c r="G2453" s="32"/>
      <c r="H2453" s="21"/>
      <c r="I2453" s="33"/>
      <c r="J2453" s="21" t="str">
        <f aca="false">INDEX(Students!$C$2:$C$601,MATCH(B2453,Students!$A$2:$A$601,0))</f>
        <v>Batch 2026</v>
      </c>
      <c r="K2453" s="21" t="str">
        <f aca="false">INDEX(Students!$D$2:$D$601,MATCH(B2453,Students!$A$2:$A$601,0))</f>
        <v>DSA with Java</v>
      </c>
      <c r="L2453" s="21" t="str">
        <f aca="false">INDEX(Companies!$C$2:$C$31,MATCH(C2453,Companies!$A$2:$A$31,0))</f>
        <v>IT Services</v>
      </c>
      <c r="M2453" s="21" t="str">
        <f aca="false">INDEX(Companies!$D$2:$D$31,MATCH(C2453,Companies!$A$2:$A$31,0))</f>
        <v>Tier 3</v>
      </c>
      <c r="N2453" s="34" t="n">
        <f aca="false">MATCH(F2453,Assumptions!$K$4:$K$8,0)</f>
        <v>1</v>
      </c>
      <c r="O2453" s="21" t="str">
        <f aca="false">IF(H2453="Yes",MONTH(I2453),"")</f>
        <v/>
      </c>
      <c r="P2453" s="21" t="str">
        <f aca="false">IF(H2453="Yes",B2453,"")</f>
        <v/>
      </c>
    </row>
    <row r="2454" customFormat="false" ht="15" hidden="false" customHeight="false" outlineLevel="0" collapsed="false">
      <c r="A2454" s="21" t="s">
        <v>3669</v>
      </c>
      <c r="B2454" s="21" t="s">
        <v>876</v>
      </c>
      <c r="C2454" s="21" t="s">
        <v>1234</v>
      </c>
      <c r="D2454" s="21" t="s">
        <v>1191</v>
      </c>
      <c r="E2454" s="33" t="n">
        <v>45955</v>
      </c>
      <c r="F2454" s="21" t="s">
        <v>1178</v>
      </c>
      <c r="G2454" s="32"/>
      <c r="H2454" s="21"/>
      <c r="I2454" s="33"/>
      <c r="J2454" s="21" t="str">
        <f aca="false">INDEX(Students!$C$2:$C$601,MATCH(B2454,Students!$A$2:$A$601,0))</f>
        <v>Batch 2026</v>
      </c>
      <c r="K2454" s="21" t="str">
        <f aca="false">INDEX(Students!$D$2:$D$601,MATCH(B2454,Students!$A$2:$A$601,0))</f>
        <v>DSA with Java</v>
      </c>
      <c r="L2454" s="21" t="str">
        <f aca="false">INDEX(Companies!$C$2:$C$31,MATCH(C2454,Companies!$A$2:$A$31,0))</f>
        <v>EdTech</v>
      </c>
      <c r="M2454" s="21" t="str">
        <f aca="false">INDEX(Companies!$D$2:$D$31,MATCH(C2454,Companies!$A$2:$A$31,0))</f>
        <v>Tier 3</v>
      </c>
      <c r="N2454" s="34" t="n">
        <f aca="false">MATCH(F2454,Assumptions!$K$4:$K$8,0)</f>
        <v>2</v>
      </c>
      <c r="O2454" s="21" t="str">
        <f aca="false">IF(H2454="Yes",MONTH(I2454),"")</f>
        <v/>
      </c>
      <c r="P2454" s="21" t="str">
        <f aca="false">IF(H2454="Yes",B2454,"")</f>
        <v/>
      </c>
    </row>
    <row r="2455" customFormat="false" ht="15" hidden="false" customHeight="false" outlineLevel="0" collapsed="false">
      <c r="A2455" s="21" t="s">
        <v>3670</v>
      </c>
      <c r="B2455" s="21" t="s">
        <v>900</v>
      </c>
      <c r="C2455" s="21" t="s">
        <v>1263</v>
      </c>
      <c r="D2455" s="21" t="s">
        <v>1184</v>
      </c>
      <c r="E2455" s="33" t="n">
        <v>45955</v>
      </c>
      <c r="F2455" s="21" t="s">
        <v>1185</v>
      </c>
      <c r="G2455" s="32" t="n">
        <v>11.9</v>
      </c>
      <c r="H2455" s="21" t="s">
        <v>120</v>
      </c>
      <c r="I2455" s="33" t="n">
        <v>46000</v>
      </c>
      <c r="J2455" s="21" t="str">
        <f aca="false">INDEX(Students!$C$2:$C$601,MATCH(B2455,Students!$A$2:$A$601,0))</f>
        <v>Batch 2026</v>
      </c>
      <c r="K2455" s="21" t="str">
        <f aca="false">INDEX(Students!$D$2:$D$601,MATCH(B2455,Students!$A$2:$A$601,0))</f>
        <v>DSA with Java</v>
      </c>
      <c r="L2455" s="21" t="str">
        <f aca="false">INDEX(Companies!$C$2:$C$31,MATCH(C2455,Companies!$A$2:$A$31,0))</f>
        <v>Analytics &amp; Consulting</v>
      </c>
      <c r="M2455" s="21" t="str">
        <f aca="false">INDEX(Companies!$D$2:$D$31,MATCH(C2455,Companies!$A$2:$A$31,0))</f>
        <v>Tier 2</v>
      </c>
      <c r="N2455" s="34" t="n">
        <f aca="false">MATCH(F2455,Assumptions!$K$4:$K$8,0)</f>
        <v>5</v>
      </c>
      <c r="O2455" s="21" t="n">
        <f aca="false">IF(H2455="Yes",MONTH(I2455),"")</f>
        <v>12</v>
      </c>
      <c r="P2455" s="21" t="str">
        <f aca="false">IF(H2455="Yes",B2455,"")</f>
        <v>S0437</v>
      </c>
    </row>
    <row r="2456" customFormat="false" ht="15" hidden="false" customHeight="false" outlineLevel="0" collapsed="false">
      <c r="A2456" s="21" t="s">
        <v>3671</v>
      </c>
      <c r="B2456" s="21" t="s">
        <v>1139</v>
      </c>
      <c r="C2456" s="21" t="s">
        <v>1205</v>
      </c>
      <c r="D2456" s="21" t="s">
        <v>1240</v>
      </c>
      <c r="E2456" s="33" t="n">
        <v>45955</v>
      </c>
      <c r="F2456" s="21" t="s">
        <v>1178</v>
      </c>
      <c r="G2456" s="32"/>
      <c r="H2456" s="21"/>
      <c r="I2456" s="33"/>
      <c r="J2456" s="21" t="str">
        <f aca="false">INDEX(Students!$C$2:$C$601,MATCH(B2456,Students!$A$2:$A$601,0))</f>
        <v>Batch 2026</v>
      </c>
      <c r="K2456" s="21" t="str">
        <f aca="false">INDEX(Students!$D$2:$D$601,MATCH(B2456,Students!$A$2:$A$601,0))</f>
        <v>Cybersecurity</v>
      </c>
      <c r="L2456" s="21" t="str">
        <f aca="false">INDEX(Companies!$C$2:$C$31,MATCH(C2456,Companies!$A$2:$A$31,0))</f>
        <v>Healthtech</v>
      </c>
      <c r="M2456" s="21" t="str">
        <f aca="false">INDEX(Companies!$D$2:$D$31,MATCH(C2456,Companies!$A$2:$A$31,0))</f>
        <v>Tier 3</v>
      </c>
      <c r="N2456" s="34" t="n">
        <f aca="false">MATCH(F2456,Assumptions!$K$4:$K$8,0)</f>
        <v>2</v>
      </c>
      <c r="O2456" s="21" t="str">
        <f aca="false">IF(H2456="Yes",MONTH(I2456),"")</f>
        <v/>
      </c>
      <c r="P2456" s="21" t="str">
        <f aca="false">IF(H2456="Yes",B2456,"")</f>
        <v/>
      </c>
    </row>
    <row r="2457" customFormat="false" ht="15" hidden="false" customHeight="false" outlineLevel="0" collapsed="false">
      <c r="A2457" s="21" t="s">
        <v>3672</v>
      </c>
      <c r="B2457" s="21" t="s">
        <v>1130</v>
      </c>
      <c r="C2457" s="21" t="s">
        <v>1183</v>
      </c>
      <c r="D2457" s="21" t="s">
        <v>1209</v>
      </c>
      <c r="E2457" s="33" t="n">
        <v>45955</v>
      </c>
      <c r="F2457" s="21" t="s">
        <v>1185</v>
      </c>
      <c r="G2457" s="32" t="n">
        <v>8.5</v>
      </c>
      <c r="H2457" s="21" t="s">
        <v>120</v>
      </c>
      <c r="I2457" s="33" t="n">
        <v>46007</v>
      </c>
      <c r="J2457" s="21" t="str">
        <f aca="false">INDEX(Students!$C$2:$C$601,MATCH(B2457,Students!$A$2:$A$601,0))</f>
        <v>Batch 2026</v>
      </c>
      <c r="K2457" s="21" t="str">
        <f aca="false">INDEX(Students!$D$2:$D$601,MATCH(B2457,Students!$A$2:$A$601,0))</f>
        <v>Data Analytics</v>
      </c>
      <c r="L2457" s="21" t="str">
        <f aca="false">INDEX(Companies!$C$2:$C$31,MATCH(C2457,Companies!$A$2:$A$31,0))</f>
        <v>E-commerce</v>
      </c>
      <c r="M2457" s="21" t="str">
        <f aca="false">INDEX(Companies!$D$2:$D$31,MATCH(C2457,Companies!$A$2:$A$31,0))</f>
        <v>Tier 2</v>
      </c>
      <c r="N2457" s="34" t="n">
        <f aca="false">MATCH(F2457,Assumptions!$K$4:$K$8,0)</f>
        <v>5</v>
      </c>
      <c r="O2457" s="21" t="n">
        <f aca="false">IF(H2457="Yes",MONTH(I2457),"")</f>
        <v>12</v>
      </c>
      <c r="P2457" s="21" t="str">
        <f aca="false">IF(H2457="Yes",B2457,"")</f>
        <v>S0582</v>
      </c>
    </row>
    <row r="2458" customFormat="false" ht="15" hidden="false" customHeight="false" outlineLevel="0" collapsed="false">
      <c r="A2458" s="21" t="s">
        <v>3673</v>
      </c>
      <c r="B2458" s="21" t="s">
        <v>957</v>
      </c>
      <c r="C2458" s="21" t="s">
        <v>1193</v>
      </c>
      <c r="D2458" s="21" t="s">
        <v>1184</v>
      </c>
      <c r="E2458" s="33" t="n">
        <v>45956</v>
      </c>
      <c r="F2458" s="21" t="s">
        <v>1197</v>
      </c>
      <c r="G2458" s="32"/>
      <c r="H2458" s="21"/>
      <c r="I2458" s="33"/>
      <c r="J2458" s="21" t="str">
        <f aca="false">INDEX(Students!$C$2:$C$601,MATCH(B2458,Students!$A$2:$A$601,0))</f>
        <v>Batch 2026</v>
      </c>
      <c r="K2458" s="21" t="str">
        <f aca="false">INDEX(Students!$D$2:$D$601,MATCH(B2458,Students!$A$2:$A$601,0))</f>
        <v>DSA with Java</v>
      </c>
      <c r="L2458" s="21" t="str">
        <f aca="false">INDEX(Companies!$C$2:$C$31,MATCH(C2458,Companies!$A$2:$A$31,0))</f>
        <v>Analytics &amp; Consulting</v>
      </c>
      <c r="M2458" s="21" t="str">
        <f aca="false">INDEX(Companies!$D$2:$D$31,MATCH(C2458,Companies!$A$2:$A$31,0))</f>
        <v>Tier 2</v>
      </c>
      <c r="N2458" s="34" t="n">
        <f aca="false">MATCH(F2458,Assumptions!$K$4:$K$8,0)</f>
        <v>3</v>
      </c>
      <c r="O2458" s="21" t="str">
        <f aca="false">IF(H2458="Yes",MONTH(I2458),"")</f>
        <v/>
      </c>
      <c r="P2458" s="21" t="str">
        <f aca="false">IF(H2458="Yes",B2458,"")</f>
        <v/>
      </c>
    </row>
    <row r="2459" customFormat="false" ht="15" hidden="false" customHeight="false" outlineLevel="0" collapsed="false">
      <c r="A2459" s="21" t="s">
        <v>3674</v>
      </c>
      <c r="B2459" s="21" t="s">
        <v>1138</v>
      </c>
      <c r="C2459" s="21" t="s">
        <v>1298</v>
      </c>
      <c r="D2459" s="21" t="s">
        <v>1191</v>
      </c>
      <c r="E2459" s="33" t="n">
        <v>45956</v>
      </c>
      <c r="F2459" s="21" t="s">
        <v>1178</v>
      </c>
      <c r="G2459" s="32"/>
      <c r="H2459" s="21"/>
      <c r="I2459" s="33"/>
      <c r="J2459" s="21" t="str">
        <f aca="false">INDEX(Students!$C$2:$C$601,MATCH(B2459,Students!$A$2:$A$601,0))</f>
        <v>Batch 2026</v>
      </c>
      <c r="K2459" s="21" t="str">
        <f aca="false">INDEX(Students!$D$2:$D$601,MATCH(B2459,Students!$A$2:$A$601,0))</f>
        <v>DSA with Java</v>
      </c>
      <c r="L2459" s="21" t="str">
        <f aca="false">INDEX(Companies!$C$2:$C$31,MATCH(C2459,Companies!$A$2:$A$31,0))</f>
        <v>Fintech</v>
      </c>
      <c r="M2459" s="21" t="str">
        <f aca="false">INDEX(Companies!$D$2:$D$31,MATCH(C2459,Companies!$A$2:$A$31,0))</f>
        <v>Tier 2</v>
      </c>
      <c r="N2459" s="34" t="n">
        <f aca="false">MATCH(F2459,Assumptions!$K$4:$K$8,0)</f>
        <v>2</v>
      </c>
      <c r="O2459" s="21" t="str">
        <f aca="false">IF(H2459="Yes",MONTH(I2459),"")</f>
        <v/>
      </c>
      <c r="P2459" s="21" t="str">
        <f aca="false">IF(H2459="Yes",B2459,"")</f>
        <v/>
      </c>
    </row>
    <row r="2460" customFormat="false" ht="15" hidden="false" customHeight="false" outlineLevel="0" collapsed="false">
      <c r="A2460" s="21" t="s">
        <v>3675</v>
      </c>
      <c r="B2460" s="21" t="s">
        <v>1147</v>
      </c>
      <c r="C2460" s="21" t="s">
        <v>1201</v>
      </c>
      <c r="D2460" s="21" t="s">
        <v>1191</v>
      </c>
      <c r="E2460" s="33" t="n">
        <v>45956</v>
      </c>
      <c r="F2460" s="21" t="s">
        <v>1185</v>
      </c>
      <c r="G2460" s="32" t="n">
        <v>5.9</v>
      </c>
      <c r="H2460" s="21" t="s">
        <v>113</v>
      </c>
      <c r="I2460" s="33" t="n">
        <v>45986</v>
      </c>
      <c r="J2460" s="21" t="str">
        <f aca="false">INDEX(Students!$C$2:$C$601,MATCH(B2460,Students!$A$2:$A$601,0))</f>
        <v>Batch 2026</v>
      </c>
      <c r="K2460" s="21" t="str">
        <f aca="false">INDEX(Students!$D$2:$D$601,MATCH(B2460,Students!$A$2:$A$601,0))</f>
        <v>DSA with Java</v>
      </c>
      <c r="L2460" s="21" t="str">
        <f aca="false">INDEX(Companies!$C$2:$C$31,MATCH(C2460,Companies!$A$2:$A$31,0))</f>
        <v>IT Services</v>
      </c>
      <c r="M2460" s="21" t="str">
        <f aca="false">INDEX(Companies!$D$2:$D$31,MATCH(C2460,Companies!$A$2:$A$31,0))</f>
        <v>Tier 3</v>
      </c>
      <c r="N2460" s="34" t="n">
        <f aca="false">MATCH(F2460,Assumptions!$K$4:$K$8,0)</f>
        <v>5</v>
      </c>
      <c r="O2460" s="21" t="str">
        <f aca="false">IF(H2460="Yes",MONTH(I2460),"")</f>
        <v/>
      </c>
      <c r="P2460" s="21" t="str">
        <f aca="false">IF(H2460="Yes",B2460,"")</f>
        <v/>
      </c>
    </row>
    <row r="2461" customFormat="false" ht="15" hidden="false" customHeight="false" outlineLevel="0" collapsed="false">
      <c r="A2461" s="21" t="s">
        <v>3676</v>
      </c>
      <c r="B2461" s="21" t="s">
        <v>1024</v>
      </c>
      <c r="C2461" s="21" t="s">
        <v>1230</v>
      </c>
      <c r="D2461" s="21" t="s">
        <v>1191</v>
      </c>
      <c r="E2461" s="33" t="n">
        <v>45956</v>
      </c>
      <c r="F2461" s="21" t="s">
        <v>1175</v>
      </c>
      <c r="G2461" s="32"/>
      <c r="H2461" s="21"/>
      <c r="I2461" s="33"/>
      <c r="J2461" s="21" t="str">
        <f aca="false">INDEX(Students!$C$2:$C$601,MATCH(B2461,Students!$A$2:$A$601,0))</f>
        <v>Batch 2026</v>
      </c>
      <c r="K2461" s="21" t="str">
        <f aca="false">INDEX(Students!$D$2:$D$601,MATCH(B2461,Students!$A$2:$A$601,0))</f>
        <v>DSA with Java</v>
      </c>
      <c r="L2461" s="21" t="str">
        <f aca="false">INDEX(Companies!$C$2:$C$31,MATCH(C2461,Companies!$A$2:$A$31,0))</f>
        <v>IT Services</v>
      </c>
      <c r="M2461" s="21" t="str">
        <f aca="false">INDEX(Companies!$D$2:$D$31,MATCH(C2461,Companies!$A$2:$A$31,0))</f>
        <v>Tier 3</v>
      </c>
      <c r="N2461" s="34" t="n">
        <f aca="false">MATCH(F2461,Assumptions!$K$4:$K$8,0)</f>
        <v>1</v>
      </c>
      <c r="O2461" s="21" t="str">
        <f aca="false">IF(H2461="Yes",MONTH(I2461),"")</f>
        <v/>
      </c>
      <c r="P2461" s="21" t="str">
        <f aca="false">IF(H2461="Yes",B2461,"")</f>
        <v/>
      </c>
    </row>
    <row r="2462" customFormat="false" ht="15" hidden="false" customHeight="false" outlineLevel="0" collapsed="false">
      <c r="A2462" s="21" t="s">
        <v>3677</v>
      </c>
      <c r="B2462" s="21" t="s">
        <v>937</v>
      </c>
      <c r="C2462" s="21" t="s">
        <v>1190</v>
      </c>
      <c r="D2462" s="21" t="s">
        <v>1184</v>
      </c>
      <c r="E2462" s="33" t="n">
        <v>45956</v>
      </c>
      <c r="F2462" s="21" t="s">
        <v>1218</v>
      </c>
      <c r="G2462" s="32"/>
      <c r="H2462" s="21"/>
      <c r="I2462" s="33"/>
      <c r="J2462" s="21" t="str">
        <f aca="false">INDEX(Students!$C$2:$C$601,MATCH(B2462,Students!$A$2:$A$601,0))</f>
        <v>Batch 2026</v>
      </c>
      <c r="K2462" s="21" t="str">
        <f aca="false">INDEX(Students!$D$2:$D$601,MATCH(B2462,Students!$A$2:$A$601,0))</f>
        <v>DSA with Java</v>
      </c>
      <c r="L2462" s="21" t="str">
        <f aca="false">INDEX(Companies!$C$2:$C$31,MATCH(C2462,Companies!$A$2:$A$31,0))</f>
        <v>Analytics &amp; Consulting</v>
      </c>
      <c r="M2462" s="21" t="str">
        <f aca="false">INDEX(Companies!$D$2:$D$31,MATCH(C2462,Companies!$A$2:$A$31,0))</f>
        <v>Tier 1</v>
      </c>
      <c r="N2462" s="34" t="n">
        <f aca="false">MATCH(F2462,Assumptions!$K$4:$K$8,0)</f>
        <v>4</v>
      </c>
      <c r="O2462" s="21" t="str">
        <f aca="false">IF(H2462="Yes",MONTH(I2462),"")</f>
        <v/>
      </c>
      <c r="P2462" s="21" t="str">
        <f aca="false">IF(H2462="Yes",B2462,"")</f>
        <v/>
      </c>
    </row>
    <row r="2463" customFormat="false" ht="15" hidden="false" customHeight="false" outlineLevel="0" collapsed="false">
      <c r="A2463" s="21" t="s">
        <v>3678</v>
      </c>
      <c r="B2463" s="21" t="s">
        <v>1103</v>
      </c>
      <c r="C2463" s="21" t="s">
        <v>1230</v>
      </c>
      <c r="D2463" s="21" t="s">
        <v>1181</v>
      </c>
      <c r="E2463" s="33" t="n">
        <v>45956</v>
      </c>
      <c r="F2463" s="21" t="s">
        <v>1185</v>
      </c>
      <c r="G2463" s="32" t="n">
        <v>5.3</v>
      </c>
      <c r="H2463" s="21" t="s">
        <v>120</v>
      </c>
      <c r="I2463" s="33" t="n">
        <v>46001</v>
      </c>
      <c r="J2463" s="21" t="str">
        <f aca="false">INDEX(Students!$C$2:$C$601,MATCH(B2463,Students!$A$2:$A$601,0))</f>
        <v>Batch 2026</v>
      </c>
      <c r="K2463" s="21" t="str">
        <f aca="false">INDEX(Students!$D$2:$D$601,MATCH(B2463,Students!$A$2:$A$601,0))</f>
        <v>Full Stack Development</v>
      </c>
      <c r="L2463" s="21" t="str">
        <f aca="false">INDEX(Companies!$C$2:$C$31,MATCH(C2463,Companies!$A$2:$A$31,0))</f>
        <v>IT Services</v>
      </c>
      <c r="M2463" s="21" t="str">
        <f aca="false">INDEX(Companies!$D$2:$D$31,MATCH(C2463,Companies!$A$2:$A$31,0))</f>
        <v>Tier 3</v>
      </c>
      <c r="N2463" s="34" t="n">
        <f aca="false">MATCH(F2463,Assumptions!$K$4:$K$8,0)</f>
        <v>5</v>
      </c>
      <c r="O2463" s="21" t="n">
        <f aca="false">IF(H2463="Yes",MONTH(I2463),"")</f>
        <v>12</v>
      </c>
      <c r="P2463" s="21" t="str">
        <f aca="false">IF(H2463="Yes",B2463,"")</f>
        <v>S0564</v>
      </c>
    </row>
    <row r="2464" customFormat="false" ht="15" hidden="false" customHeight="false" outlineLevel="0" collapsed="false">
      <c r="A2464" s="21" t="s">
        <v>3679</v>
      </c>
      <c r="B2464" s="21" t="s">
        <v>952</v>
      </c>
      <c r="C2464" s="21" t="s">
        <v>1239</v>
      </c>
      <c r="D2464" s="21" t="s">
        <v>1191</v>
      </c>
      <c r="E2464" s="33" t="n">
        <v>45956</v>
      </c>
      <c r="F2464" s="21" t="s">
        <v>1178</v>
      </c>
      <c r="G2464" s="32"/>
      <c r="H2464" s="21"/>
      <c r="I2464" s="33"/>
      <c r="J2464" s="21" t="str">
        <f aca="false">INDEX(Students!$C$2:$C$601,MATCH(B2464,Students!$A$2:$A$601,0))</f>
        <v>Batch 2026</v>
      </c>
      <c r="K2464" s="21" t="str">
        <f aca="false">INDEX(Students!$D$2:$D$601,MATCH(B2464,Students!$A$2:$A$601,0))</f>
        <v>DSA with Java</v>
      </c>
      <c r="L2464" s="21" t="str">
        <f aca="false">INDEX(Companies!$C$2:$C$31,MATCH(C2464,Companies!$A$2:$A$31,0))</f>
        <v>E-commerce</v>
      </c>
      <c r="M2464" s="21" t="str">
        <f aca="false">INDEX(Companies!$D$2:$D$31,MATCH(C2464,Companies!$A$2:$A$31,0))</f>
        <v>Tier 3</v>
      </c>
      <c r="N2464" s="34" t="n">
        <f aca="false">MATCH(F2464,Assumptions!$K$4:$K$8,0)</f>
        <v>2</v>
      </c>
      <c r="O2464" s="21" t="str">
        <f aca="false">IF(H2464="Yes",MONTH(I2464),"")</f>
        <v/>
      </c>
      <c r="P2464" s="21" t="str">
        <f aca="false">IF(H2464="Yes",B2464,"")</f>
        <v/>
      </c>
    </row>
    <row r="2465" customFormat="false" ht="15" hidden="false" customHeight="false" outlineLevel="0" collapsed="false">
      <c r="A2465" s="21" t="s">
        <v>3680</v>
      </c>
      <c r="B2465" s="21" t="s">
        <v>950</v>
      </c>
      <c r="C2465" s="21" t="s">
        <v>1290</v>
      </c>
      <c r="D2465" s="21" t="s">
        <v>1184</v>
      </c>
      <c r="E2465" s="33" t="n">
        <v>45956</v>
      </c>
      <c r="F2465" s="21" t="s">
        <v>1178</v>
      </c>
      <c r="G2465" s="32"/>
      <c r="H2465" s="21"/>
      <c r="I2465" s="33"/>
      <c r="J2465" s="21" t="str">
        <f aca="false">INDEX(Students!$C$2:$C$601,MATCH(B2465,Students!$A$2:$A$601,0))</f>
        <v>Batch 2026</v>
      </c>
      <c r="K2465" s="21" t="str">
        <f aca="false">INDEX(Students!$D$2:$D$601,MATCH(B2465,Students!$A$2:$A$601,0))</f>
        <v>DSA with Java</v>
      </c>
      <c r="L2465" s="21" t="str">
        <f aca="false">INDEX(Companies!$C$2:$C$31,MATCH(C2465,Companies!$A$2:$A$31,0))</f>
        <v>Fintech</v>
      </c>
      <c r="M2465" s="21" t="str">
        <f aca="false">INDEX(Companies!$D$2:$D$31,MATCH(C2465,Companies!$A$2:$A$31,0))</f>
        <v>Tier 2</v>
      </c>
      <c r="N2465" s="34" t="n">
        <f aca="false">MATCH(F2465,Assumptions!$K$4:$K$8,0)</f>
        <v>2</v>
      </c>
      <c r="O2465" s="21" t="str">
        <f aca="false">IF(H2465="Yes",MONTH(I2465),"")</f>
        <v/>
      </c>
      <c r="P2465" s="21" t="str">
        <f aca="false">IF(H2465="Yes",B2465,"")</f>
        <v/>
      </c>
    </row>
    <row r="2466" customFormat="false" ht="15" hidden="false" customHeight="false" outlineLevel="0" collapsed="false">
      <c r="A2466" s="21" t="s">
        <v>3681</v>
      </c>
      <c r="B2466" s="21" t="s">
        <v>819</v>
      </c>
      <c r="C2466" s="21" t="s">
        <v>1290</v>
      </c>
      <c r="D2466" s="21" t="s">
        <v>1184</v>
      </c>
      <c r="E2466" s="33" t="n">
        <v>45957</v>
      </c>
      <c r="F2466" s="21" t="s">
        <v>1178</v>
      </c>
      <c r="G2466" s="32"/>
      <c r="H2466" s="21"/>
      <c r="I2466" s="33"/>
      <c r="J2466" s="21" t="str">
        <f aca="false">INDEX(Students!$C$2:$C$601,MATCH(B2466,Students!$A$2:$A$601,0))</f>
        <v>Batch 2026</v>
      </c>
      <c r="K2466" s="21" t="str">
        <f aca="false">INDEX(Students!$D$2:$D$601,MATCH(B2466,Students!$A$2:$A$601,0))</f>
        <v>DSA with Java</v>
      </c>
      <c r="L2466" s="21" t="str">
        <f aca="false">INDEX(Companies!$C$2:$C$31,MATCH(C2466,Companies!$A$2:$A$31,0))</f>
        <v>Fintech</v>
      </c>
      <c r="M2466" s="21" t="str">
        <f aca="false">INDEX(Companies!$D$2:$D$31,MATCH(C2466,Companies!$A$2:$A$31,0))</f>
        <v>Tier 2</v>
      </c>
      <c r="N2466" s="34" t="n">
        <f aca="false">MATCH(F2466,Assumptions!$K$4:$K$8,0)</f>
        <v>2</v>
      </c>
      <c r="O2466" s="21" t="str">
        <f aca="false">IF(H2466="Yes",MONTH(I2466),"")</f>
        <v/>
      </c>
      <c r="P2466" s="21" t="str">
        <f aca="false">IF(H2466="Yes",B2466,"")</f>
        <v/>
      </c>
    </row>
    <row r="2467" customFormat="false" ht="15" hidden="false" customHeight="false" outlineLevel="0" collapsed="false">
      <c r="A2467" s="21" t="s">
        <v>3682</v>
      </c>
      <c r="B2467" s="21" t="s">
        <v>1076</v>
      </c>
      <c r="C2467" s="21" t="s">
        <v>1234</v>
      </c>
      <c r="D2467" s="21" t="s">
        <v>1243</v>
      </c>
      <c r="E2467" s="33" t="n">
        <v>45957</v>
      </c>
      <c r="F2467" s="21" t="s">
        <v>1175</v>
      </c>
      <c r="G2467" s="32"/>
      <c r="H2467" s="21"/>
      <c r="I2467" s="33"/>
      <c r="J2467" s="21" t="str">
        <f aca="false">INDEX(Students!$C$2:$C$601,MATCH(B2467,Students!$A$2:$A$601,0))</f>
        <v>Batch 2026</v>
      </c>
      <c r="K2467" s="21" t="str">
        <f aca="false">INDEX(Students!$D$2:$D$601,MATCH(B2467,Students!$A$2:$A$601,0))</f>
        <v>Data Science &amp; ML</v>
      </c>
      <c r="L2467" s="21" t="str">
        <f aca="false">INDEX(Companies!$C$2:$C$31,MATCH(C2467,Companies!$A$2:$A$31,0))</f>
        <v>EdTech</v>
      </c>
      <c r="M2467" s="21" t="str">
        <f aca="false">INDEX(Companies!$D$2:$D$31,MATCH(C2467,Companies!$A$2:$A$31,0))</f>
        <v>Tier 3</v>
      </c>
      <c r="N2467" s="34" t="n">
        <f aca="false">MATCH(F2467,Assumptions!$K$4:$K$8,0)</f>
        <v>1</v>
      </c>
      <c r="O2467" s="21" t="str">
        <f aca="false">IF(H2467="Yes",MONTH(I2467),"")</f>
        <v/>
      </c>
      <c r="P2467" s="21" t="str">
        <f aca="false">IF(H2467="Yes",B2467,"")</f>
        <v/>
      </c>
    </row>
    <row r="2468" customFormat="false" ht="15" hidden="false" customHeight="false" outlineLevel="0" collapsed="false">
      <c r="A2468" s="21" t="s">
        <v>3683</v>
      </c>
      <c r="B2468" s="21" t="s">
        <v>1073</v>
      </c>
      <c r="C2468" s="21" t="s">
        <v>1216</v>
      </c>
      <c r="D2468" s="21" t="s">
        <v>1174</v>
      </c>
      <c r="E2468" s="33" t="n">
        <v>45957</v>
      </c>
      <c r="F2468" s="21" t="s">
        <v>1197</v>
      </c>
      <c r="G2468" s="32"/>
      <c r="H2468" s="21"/>
      <c r="I2468" s="33"/>
      <c r="J2468" s="21" t="str">
        <f aca="false">INDEX(Students!$C$2:$C$601,MATCH(B2468,Students!$A$2:$A$601,0))</f>
        <v>Batch 2026</v>
      </c>
      <c r="K2468" s="21" t="str">
        <f aca="false">INDEX(Students!$D$2:$D$601,MATCH(B2468,Students!$A$2:$A$601,0))</f>
        <v>Full Stack Development</v>
      </c>
      <c r="L2468" s="21" t="str">
        <f aca="false">INDEX(Companies!$C$2:$C$31,MATCH(C2468,Companies!$A$2:$A$31,0))</f>
        <v>IT Services</v>
      </c>
      <c r="M2468" s="21" t="str">
        <f aca="false">INDEX(Companies!$D$2:$D$31,MATCH(C2468,Companies!$A$2:$A$31,0))</f>
        <v>Tier 3</v>
      </c>
      <c r="N2468" s="34" t="n">
        <f aca="false">MATCH(F2468,Assumptions!$K$4:$K$8,0)</f>
        <v>3</v>
      </c>
      <c r="O2468" s="21" t="str">
        <f aca="false">IF(H2468="Yes",MONTH(I2468),"")</f>
        <v/>
      </c>
      <c r="P2468" s="21" t="str">
        <f aca="false">IF(H2468="Yes",B2468,"")</f>
        <v/>
      </c>
    </row>
    <row r="2469" customFormat="false" ht="15" hidden="false" customHeight="false" outlineLevel="0" collapsed="false">
      <c r="A2469" s="21" t="s">
        <v>3684</v>
      </c>
      <c r="B2469" s="21" t="s">
        <v>866</v>
      </c>
      <c r="C2469" s="21" t="s">
        <v>1173</v>
      </c>
      <c r="D2469" s="21" t="s">
        <v>1174</v>
      </c>
      <c r="E2469" s="33" t="n">
        <v>45957</v>
      </c>
      <c r="F2469" s="21" t="s">
        <v>1175</v>
      </c>
      <c r="G2469" s="32"/>
      <c r="H2469" s="21"/>
      <c r="I2469" s="33"/>
      <c r="J2469" s="21" t="str">
        <f aca="false">INDEX(Students!$C$2:$C$601,MATCH(B2469,Students!$A$2:$A$601,0))</f>
        <v>Batch 2026</v>
      </c>
      <c r="K2469" s="21" t="str">
        <f aca="false">INDEX(Students!$D$2:$D$601,MATCH(B2469,Students!$A$2:$A$601,0))</f>
        <v>Full Stack Development</v>
      </c>
      <c r="L2469" s="21" t="str">
        <f aca="false">INDEX(Companies!$C$2:$C$31,MATCH(C2469,Companies!$A$2:$A$31,0))</f>
        <v>Cybersecurity</v>
      </c>
      <c r="M2469" s="21" t="str">
        <f aca="false">INDEX(Companies!$D$2:$D$31,MATCH(C2469,Companies!$A$2:$A$31,0))</f>
        <v>Tier 1</v>
      </c>
      <c r="N2469" s="34" t="n">
        <f aca="false">MATCH(F2469,Assumptions!$K$4:$K$8,0)</f>
        <v>1</v>
      </c>
      <c r="O2469" s="21" t="str">
        <f aca="false">IF(H2469="Yes",MONTH(I2469),"")</f>
        <v/>
      </c>
      <c r="P2469" s="21" t="str">
        <f aca="false">IF(H2469="Yes",B2469,"")</f>
        <v/>
      </c>
    </row>
    <row r="2470" customFormat="false" ht="15" hidden="false" customHeight="false" outlineLevel="0" collapsed="false">
      <c r="A2470" s="21" t="s">
        <v>3685</v>
      </c>
      <c r="B2470" s="21" t="s">
        <v>886</v>
      </c>
      <c r="C2470" s="21" t="s">
        <v>1228</v>
      </c>
      <c r="D2470" s="21" t="s">
        <v>1188</v>
      </c>
      <c r="E2470" s="33" t="n">
        <v>45957</v>
      </c>
      <c r="F2470" s="21" t="s">
        <v>1178</v>
      </c>
      <c r="G2470" s="32"/>
      <c r="H2470" s="21"/>
      <c r="I2470" s="33"/>
      <c r="J2470" s="21" t="str">
        <f aca="false">INDEX(Students!$C$2:$C$601,MATCH(B2470,Students!$A$2:$A$601,0))</f>
        <v>Batch 2026</v>
      </c>
      <c r="K2470" s="21" t="str">
        <f aca="false">INDEX(Students!$D$2:$D$601,MATCH(B2470,Students!$A$2:$A$601,0))</f>
        <v>Data Analytics</v>
      </c>
      <c r="L2470" s="21" t="str">
        <f aca="false">INDEX(Companies!$C$2:$C$31,MATCH(C2470,Companies!$A$2:$A$31,0))</f>
        <v>Fintech</v>
      </c>
      <c r="M2470" s="21" t="str">
        <f aca="false">INDEX(Companies!$D$2:$D$31,MATCH(C2470,Companies!$A$2:$A$31,0))</f>
        <v>Tier 1</v>
      </c>
      <c r="N2470" s="34" t="n">
        <f aca="false">MATCH(F2470,Assumptions!$K$4:$K$8,0)</f>
        <v>2</v>
      </c>
      <c r="O2470" s="21" t="str">
        <f aca="false">IF(H2470="Yes",MONTH(I2470),"")</f>
        <v/>
      </c>
      <c r="P2470" s="21" t="str">
        <f aca="false">IF(H2470="Yes",B2470,"")</f>
        <v/>
      </c>
    </row>
    <row r="2471" customFormat="false" ht="15" hidden="false" customHeight="false" outlineLevel="0" collapsed="false">
      <c r="A2471" s="21" t="s">
        <v>3686</v>
      </c>
      <c r="B2471" s="21" t="s">
        <v>828</v>
      </c>
      <c r="C2471" s="21" t="s">
        <v>1216</v>
      </c>
      <c r="D2471" s="21" t="s">
        <v>1174</v>
      </c>
      <c r="E2471" s="33" t="n">
        <v>45957</v>
      </c>
      <c r="F2471" s="21" t="s">
        <v>1185</v>
      </c>
      <c r="G2471" s="32" t="n">
        <v>7.7</v>
      </c>
      <c r="H2471" s="21" t="s">
        <v>120</v>
      </c>
      <c r="I2471" s="33" t="n">
        <v>45980</v>
      </c>
      <c r="J2471" s="21" t="str">
        <f aca="false">INDEX(Students!$C$2:$C$601,MATCH(B2471,Students!$A$2:$A$601,0))</f>
        <v>Batch 2026</v>
      </c>
      <c r="K2471" s="21" t="str">
        <f aca="false">INDEX(Students!$D$2:$D$601,MATCH(B2471,Students!$A$2:$A$601,0))</f>
        <v>Full Stack Development</v>
      </c>
      <c r="L2471" s="21" t="str">
        <f aca="false">INDEX(Companies!$C$2:$C$31,MATCH(C2471,Companies!$A$2:$A$31,0))</f>
        <v>IT Services</v>
      </c>
      <c r="M2471" s="21" t="str">
        <f aca="false">INDEX(Companies!$D$2:$D$31,MATCH(C2471,Companies!$A$2:$A$31,0))</f>
        <v>Tier 3</v>
      </c>
      <c r="N2471" s="34" t="n">
        <f aca="false">MATCH(F2471,Assumptions!$K$4:$K$8,0)</f>
        <v>5</v>
      </c>
      <c r="O2471" s="21" t="n">
        <f aca="false">IF(H2471="Yes",MONTH(I2471),"")</f>
        <v>11</v>
      </c>
      <c r="P2471" s="21" t="str">
        <f aca="false">IF(H2471="Yes",B2471,"")</f>
        <v>S0393</v>
      </c>
    </row>
    <row r="2472" customFormat="false" ht="15" hidden="false" customHeight="false" outlineLevel="0" collapsed="false">
      <c r="A2472" s="21" t="s">
        <v>3687</v>
      </c>
      <c r="B2472" s="21" t="s">
        <v>969</v>
      </c>
      <c r="C2472" s="21" t="s">
        <v>1222</v>
      </c>
      <c r="D2472" s="21" t="s">
        <v>1243</v>
      </c>
      <c r="E2472" s="33" t="n">
        <v>45957</v>
      </c>
      <c r="F2472" s="21" t="s">
        <v>1197</v>
      </c>
      <c r="G2472" s="32"/>
      <c r="H2472" s="21"/>
      <c r="I2472" s="33"/>
      <c r="J2472" s="21" t="str">
        <f aca="false">INDEX(Students!$C$2:$C$601,MATCH(B2472,Students!$A$2:$A$601,0))</f>
        <v>Batch 2026</v>
      </c>
      <c r="K2472" s="21" t="str">
        <f aca="false">INDEX(Students!$D$2:$D$601,MATCH(B2472,Students!$A$2:$A$601,0))</f>
        <v>Data Science &amp; ML</v>
      </c>
      <c r="L2472" s="21" t="str">
        <f aca="false">INDEX(Companies!$C$2:$C$31,MATCH(C2472,Companies!$A$2:$A$31,0))</f>
        <v>Product</v>
      </c>
      <c r="M2472" s="21" t="str">
        <f aca="false">INDEX(Companies!$D$2:$D$31,MATCH(C2472,Companies!$A$2:$A$31,0))</f>
        <v>Tier 2</v>
      </c>
      <c r="N2472" s="34" t="n">
        <f aca="false">MATCH(F2472,Assumptions!$K$4:$K$8,0)</f>
        <v>3</v>
      </c>
      <c r="O2472" s="21" t="str">
        <f aca="false">IF(H2472="Yes",MONTH(I2472),"")</f>
        <v/>
      </c>
      <c r="P2472" s="21" t="str">
        <f aca="false">IF(H2472="Yes",B2472,"")</f>
        <v/>
      </c>
    </row>
    <row r="2473" customFormat="false" ht="15" hidden="false" customHeight="false" outlineLevel="0" collapsed="false">
      <c r="A2473" s="21" t="s">
        <v>3688</v>
      </c>
      <c r="B2473" s="21" t="s">
        <v>1024</v>
      </c>
      <c r="C2473" s="21" t="s">
        <v>1263</v>
      </c>
      <c r="D2473" s="21" t="s">
        <v>1191</v>
      </c>
      <c r="E2473" s="33" t="n">
        <v>45957</v>
      </c>
      <c r="F2473" s="21" t="s">
        <v>1218</v>
      </c>
      <c r="G2473" s="32"/>
      <c r="H2473" s="21"/>
      <c r="I2473" s="33"/>
      <c r="J2473" s="21" t="str">
        <f aca="false">INDEX(Students!$C$2:$C$601,MATCH(B2473,Students!$A$2:$A$601,0))</f>
        <v>Batch 2026</v>
      </c>
      <c r="K2473" s="21" t="str">
        <f aca="false">INDEX(Students!$D$2:$D$601,MATCH(B2473,Students!$A$2:$A$601,0))</f>
        <v>DSA with Java</v>
      </c>
      <c r="L2473" s="21" t="str">
        <f aca="false">INDEX(Companies!$C$2:$C$31,MATCH(C2473,Companies!$A$2:$A$31,0))</f>
        <v>Analytics &amp; Consulting</v>
      </c>
      <c r="M2473" s="21" t="str">
        <f aca="false">INDEX(Companies!$D$2:$D$31,MATCH(C2473,Companies!$A$2:$A$31,0))</f>
        <v>Tier 2</v>
      </c>
      <c r="N2473" s="34" t="n">
        <f aca="false">MATCH(F2473,Assumptions!$K$4:$K$8,0)</f>
        <v>4</v>
      </c>
      <c r="O2473" s="21" t="str">
        <f aca="false">IF(H2473="Yes",MONTH(I2473),"")</f>
        <v/>
      </c>
      <c r="P2473" s="21" t="str">
        <f aca="false">IF(H2473="Yes",B2473,"")</f>
        <v/>
      </c>
    </row>
    <row r="2474" customFormat="false" ht="15" hidden="false" customHeight="false" outlineLevel="0" collapsed="false">
      <c r="A2474" s="21" t="s">
        <v>3689</v>
      </c>
      <c r="B2474" s="21" t="s">
        <v>1059</v>
      </c>
      <c r="C2474" s="21" t="s">
        <v>1205</v>
      </c>
      <c r="D2474" s="21" t="s">
        <v>1181</v>
      </c>
      <c r="E2474" s="33" t="n">
        <v>45957</v>
      </c>
      <c r="F2474" s="21" t="s">
        <v>1185</v>
      </c>
      <c r="G2474" s="32" t="n">
        <v>7.4</v>
      </c>
      <c r="H2474" s="21" t="s">
        <v>113</v>
      </c>
      <c r="I2474" s="33" t="n">
        <v>46007</v>
      </c>
      <c r="J2474" s="21" t="str">
        <f aca="false">INDEX(Students!$C$2:$C$601,MATCH(B2474,Students!$A$2:$A$601,0))</f>
        <v>Batch 2026</v>
      </c>
      <c r="K2474" s="21" t="str">
        <f aca="false">INDEX(Students!$D$2:$D$601,MATCH(B2474,Students!$A$2:$A$601,0))</f>
        <v>Full Stack Development</v>
      </c>
      <c r="L2474" s="21" t="str">
        <f aca="false">INDEX(Companies!$C$2:$C$31,MATCH(C2474,Companies!$A$2:$A$31,0))</f>
        <v>Healthtech</v>
      </c>
      <c r="M2474" s="21" t="str">
        <f aca="false">INDEX(Companies!$D$2:$D$31,MATCH(C2474,Companies!$A$2:$A$31,0))</f>
        <v>Tier 3</v>
      </c>
      <c r="N2474" s="34" t="n">
        <f aca="false">MATCH(F2474,Assumptions!$K$4:$K$8,0)</f>
        <v>5</v>
      </c>
      <c r="O2474" s="21" t="str">
        <f aca="false">IF(H2474="Yes",MONTH(I2474),"")</f>
        <v/>
      </c>
      <c r="P2474" s="21" t="str">
        <f aca="false">IF(H2474="Yes",B2474,"")</f>
        <v/>
      </c>
    </row>
    <row r="2475" customFormat="false" ht="15" hidden="false" customHeight="false" outlineLevel="0" collapsed="false">
      <c r="A2475" s="21" t="s">
        <v>3690</v>
      </c>
      <c r="B2475" s="21" t="s">
        <v>1122</v>
      </c>
      <c r="C2475" s="21" t="s">
        <v>1266</v>
      </c>
      <c r="D2475" s="21" t="s">
        <v>1194</v>
      </c>
      <c r="E2475" s="33" t="n">
        <v>45957</v>
      </c>
      <c r="F2475" s="21" t="s">
        <v>1175</v>
      </c>
      <c r="G2475" s="32"/>
      <c r="H2475" s="21"/>
      <c r="I2475" s="33"/>
      <c r="J2475" s="21" t="str">
        <f aca="false">INDEX(Students!$C$2:$C$601,MATCH(B2475,Students!$A$2:$A$601,0))</f>
        <v>Batch 2026</v>
      </c>
      <c r="K2475" s="21" t="str">
        <f aca="false">INDEX(Students!$D$2:$D$601,MATCH(B2475,Students!$A$2:$A$601,0))</f>
        <v>Data Science &amp; ML</v>
      </c>
      <c r="L2475" s="21" t="str">
        <f aca="false">INDEX(Companies!$C$2:$C$31,MATCH(C2475,Companies!$A$2:$A$31,0))</f>
        <v>IT Services</v>
      </c>
      <c r="M2475" s="21" t="str">
        <f aca="false">INDEX(Companies!$D$2:$D$31,MATCH(C2475,Companies!$A$2:$A$31,0))</f>
        <v>Tier 3</v>
      </c>
      <c r="N2475" s="34" t="n">
        <f aca="false">MATCH(F2475,Assumptions!$K$4:$K$8,0)</f>
        <v>1</v>
      </c>
      <c r="O2475" s="21" t="str">
        <f aca="false">IF(H2475="Yes",MONTH(I2475),"")</f>
        <v/>
      </c>
      <c r="P2475" s="21" t="str">
        <f aca="false">IF(H2475="Yes",B2475,"")</f>
        <v/>
      </c>
    </row>
    <row r="2476" customFormat="false" ht="15" hidden="false" customHeight="false" outlineLevel="0" collapsed="false">
      <c r="A2476" s="21" t="s">
        <v>3691</v>
      </c>
      <c r="B2476" s="21" t="s">
        <v>1100</v>
      </c>
      <c r="C2476" s="21" t="s">
        <v>1290</v>
      </c>
      <c r="D2476" s="21" t="s">
        <v>1181</v>
      </c>
      <c r="E2476" s="33" t="n">
        <v>45957</v>
      </c>
      <c r="F2476" s="21" t="s">
        <v>1175</v>
      </c>
      <c r="G2476" s="32"/>
      <c r="H2476" s="21"/>
      <c r="I2476" s="33"/>
      <c r="J2476" s="21" t="str">
        <f aca="false">INDEX(Students!$C$2:$C$601,MATCH(B2476,Students!$A$2:$A$601,0))</f>
        <v>Batch 2026</v>
      </c>
      <c r="K2476" s="21" t="str">
        <f aca="false">INDEX(Students!$D$2:$D$601,MATCH(B2476,Students!$A$2:$A$601,0))</f>
        <v>Full Stack Development</v>
      </c>
      <c r="L2476" s="21" t="str">
        <f aca="false">INDEX(Companies!$C$2:$C$31,MATCH(C2476,Companies!$A$2:$A$31,0))</f>
        <v>Fintech</v>
      </c>
      <c r="M2476" s="21" t="str">
        <f aca="false">INDEX(Companies!$D$2:$D$31,MATCH(C2476,Companies!$A$2:$A$31,0))</f>
        <v>Tier 2</v>
      </c>
      <c r="N2476" s="34" t="n">
        <f aca="false">MATCH(F2476,Assumptions!$K$4:$K$8,0)</f>
        <v>1</v>
      </c>
      <c r="O2476" s="21" t="str">
        <f aca="false">IF(H2476="Yes",MONTH(I2476),"")</f>
        <v/>
      </c>
      <c r="P2476" s="21" t="str">
        <f aca="false">IF(H2476="Yes",B2476,"")</f>
        <v/>
      </c>
    </row>
    <row r="2477" customFormat="false" ht="15" hidden="false" customHeight="false" outlineLevel="0" collapsed="false">
      <c r="A2477" s="21" t="s">
        <v>3692</v>
      </c>
      <c r="B2477" s="21" t="s">
        <v>1018</v>
      </c>
      <c r="C2477" s="21" t="s">
        <v>1196</v>
      </c>
      <c r="D2477" s="21" t="s">
        <v>1191</v>
      </c>
      <c r="E2477" s="33" t="n">
        <v>45958</v>
      </c>
      <c r="F2477" s="21" t="s">
        <v>1175</v>
      </c>
      <c r="G2477" s="32"/>
      <c r="H2477" s="21"/>
      <c r="I2477" s="33"/>
      <c r="J2477" s="21" t="str">
        <f aca="false">INDEX(Students!$C$2:$C$601,MATCH(B2477,Students!$A$2:$A$601,0))</f>
        <v>Batch 2026</v>
      </c>
      <c r="K2477" s="21" t="str">
        <f aca="false">INDEX(Students!$D$2:$D$601,MATCH(B2477,Students!$A$2:$A$601,0))</f>
        <v>DSA with Java</v>
      </c>
      <c r="L2477" s="21" t="str">
        <f aca="false">INDEX(Companies!$C$2:$C$31,MATCH(C2477,Companies!$A$2:$A$31,0))</f>
        <v>IT Services</v>
      </c>
      <c r="M2477" s="21" t="str">
        <f aca="false">INDEX(Companies!$D$2:$D$31,MATCH(C2477,Companies!$A$2:$A$31,0))</f>
        <v>Tier 3</v>
      </c>
      <c r="N2477" s="34" t="n">
        <f aca="false">MATCH(F2477,Assumptions!$K$4:$K$8,0)</f>
        <v>1</v>
      </c>
      <c r="O2477" s="21" t="str">
        <f aca="false">IF(H2477="Yes",MONTH(I2477),"")</f>
        <v/>
      </c>
      <c r="P2477" s="21" t="str">
        <f aca="false">IF(H2477="Yes",B2477,"")</f>
        <v/>
      </c>
    </row>
    <row r="2478" customFormat="false" ht="15" hidden="false" customHeight="false" outlineLevel="0" collapsed="false">
      <c r="A2478" s="21" t="s">
        <v>3693</v>
      </c>
      <c r="B2478" s="21" t="s">
        <v>1024</v>
      </c>
      <c r="C2478" s="21" t="s">
        <v>1187</v>
      </c>
      <c r="D2478" s="21" t="s">
        <v>1191</v>
      </c>
      <c r="E2478" s="33" t="n">
        <v>45958</v>
      </c>
      <c r="F2478" s="21" t="s">
        <v>1175</v>
      </c>
      <c r="G2478" s="32"/>
      <c r="H2478" s="21"/>
      <c r="I2478" s="33"/>
      <c r="J2478" s="21" t="str">
        <f aca="false">INDEX(Students!$C$2:$C$601,MATCH(B2478,Students!$A$2:$A$601,0))</f>
        <v>Batch 2026</v>
      </c>
      <c r="K2478" s="21" t="str">
        <f aca="false">INDEX(Students!$D$2:$D$601,MATCH(B2478,Students!$A$2:$A$601,0))</f>
        <v>DSA with Java</v>
      </c>
      <c r="L2478" s="21" t="str">
        <f aca="false">INDEX(Companies!$C$2:$C$31,MATCH(C2478,Companies!$A$2:$A$31,0))</f>
        <v>Product</v>
      </c>
      <c r="M2478" s="21" t="str">
        <f aca="false">INDEX(Companies!$D$2:$D$31,MATCH(C2478,Companies!$A$2:$A$31,0))</f>
        <v>Tier 1</v>
      </c>
      <c r="N2478" s="34" t="n">
        <f aca="false">MATCH(F2478,Assumptions!$K$4:$K$8,0)</f>
        <v>1</v>
      </c>
      <c r="O2478" s="21" t="str">
        <f aca="false">IF(H2478="Yes",MONTH(I2478),"")</f>
        <v/>
      </c>
      <c r="P2478" s="21" t="str">
        <f aca="false">IF(H2478="Yes",B2478,"")</f>
        <v/>
      </c>
    </row>
    <row r="2479" customFormat="false" ht="15" hidden="false" customHeight="false" outlineLevel="0" collapsed="false">
      <c r="A2479" s="21" t="s">
        <v>3694</v>
      </c>
      <c r="B2479" s="21" t="s">
        <v>1105</v>
      </c>
      <c r="C2479" s="21" t="s">
        <v>1196</v>
      </c>
      <c r="D2479" s="21" t="s">
        <v>1191</v>
      </c>
      <c r="E2479" s="33" t="n">
        <v>45958</v>
      </c>
      <c r="F2479" s="21" t="s">
        <v>1175</v>
      </c>
      <c r="G2479" s="32"/>
      <c r="H2479" s="21"/>
      <c r="I2479" s="33"/>
      <c r="J2479" s="21" t="str">
        <f aca="false">INDEX(Students!$C$2:$C$601,MATCH(B2479,Students!$A$2:$A$601,0))</f>
        <v>Batch 2026</v>
      </c>
      <c r="K2479" s="21" t="str">
        <f aca="false">INDEX(Students!$D$2:$D$601,MATCH(B2479,Students!$A$2:$A$601,0))</f>
        <v>DSA with Java</v>
      </c>
      <c r="L2479" s="21" t="str">
        <f aca="false">INDEX(Companies!$C$2:$C$31,MATCH(C2479,Companies!$A$2:$A$31,0))</f>
        <v>IT Services</v>
      </c>
      <c r="M2479" s="21" t="str">
        <f aca="false">INDEX(Companies!$D$2:$D$31,MATCH(C2479,Companies!$A$2:$A$31,0))</f>
        <v>Tier 3</v>
      </c>
      <c r="N2479" s="34" t="n">
        <f aca="false">MATCH(F2479,Assumptions!$K$4:$K$8,0)</f>
        <v>1</v>
      </c>
      <c r="O2479" s="21" t="str">
        <f aca="false">IF(H2479="Yes",MONTH(I2479),"")</f>
        <v/>
      </c>
      <c r="P2479" s="21" t="str">
        <f aca="false">IF(H2479="Yes",B2479,"")</f>
        <v/>
      </c>
    </row>
    <row r="2480" customFormat="false" ht="15" hidden="false" customHeight="false" outlineLevel="0" collapsed="false">
      <c r="A2480" s="21" t="s">
        <v>3695</v>
      </c>
      <c r="B2480" s="21" t="s">
        <v>1065</v>
      </c>
      <c r="C2480" s="21" t="s">
        <v>1222</v>
      </c>
      <c r="D2480" s="21" t="s">
        <v>1209</v>
      </c>
      <c r="E2480" s="33" t="n">
        <v>45958</v>
      </c>
      <c r="F2480" s="21" t="s">
        <v>1185</v>
      </c>
      <c r="G2480" s="32" t="n">
        <v>7.4</v>
      </c>
      <c r="H2480" s="21" t="s">
        <v>120</v>
      </c>
      <c r="I2480" s="33" t="n">
        <v>46011</v>
      </c>
      <c r="J2480" s="21" t="str">
        <f aca="false">INDEX(Students!$C$2:$C$601,MATCH(B2480,Students!$A$2:$A$601,0))</f>
        <v>Batch 2026</v>
      </c>
      <c r="K2480" s="21" t="str">
        <f aca="false">INDEX(Students!$D$2:$D$601,MATCH(B2480,Students!$A$2:$A$601,0))</f>
        <v>Data Analytics</v>
      </c>
      <c r="L2480" s="21" t="str">
        <f aca="false">INDEX(Companies!$C$2:$C$31,MATCH(C2480,Companies!$A$2:$A$31,0))</f>
        <v>Product</v>
      </c>
      <c r="M2480" s="21" t="str">
        <f aca="false">INDEX(Companies!$D$2:$D$31,MATCH(C2480,Companies!$A$2:$A$31,0))</f>
        <v>Tier 2</v>
      </c>
      <c r="N2480" s="34" t="n">
        <f aca="false">MATCH(F2480,Assumptions!$K$4:$K$8,0)</f>
        <v>5</v>
      </c>
      <c r="O2480" s="21" t="n">
        <f aca="false">IF(H2480="Yes",MONTH(I2480),"")</f>
        <v>12</v>
      </c>
      <c r="P2480" s="21" t="str">
        <f aca="false">IF(H2480="Yes",B2480,"")</f>
        <v>S0540</v>
      </c>
    </row>
    <row r="2481" customFormat="false" ht="15" hidden="false" customHeight="false" outlineLevel="0" collapsed="false">
      <c r="A2481" s="21" t="s">
        <v>3696</v>
      </c>
      <c r="B2481" s="21" t="s">
        <v>1030</v>
      </c>
      <c r="C2481" s="21" t="s">
        <v>1190</v>
      </c>
      <c r="D2481" s="21" t="s">
        <v>1194</v>
      </c>
      <c r="E2481" s="33" t="n">
        <v>45958</v>
      </c>
      <c r="F2481" s="21" t="s">
        <v>1175</v>
      </c>
      <c r="G2481" s="32"/>
      <c r="H2481" s="21"/>
      <c r="I2481" s="33"/>
      <c r="J2481" s="21" t="str">
        <f aca="false">INDEX(Students!$C$2:$C$601,MATCH(B2481,Students!$A$2:$A$601,0))</f>
        <v>Batch 2026</v>
      </c>
      <c r="K2481" s="21" t="str">
        <f aca="false">INDEX(Students!$D$2:$D$601,MATCH(B2481,Students!$A$2:$A$601,0))</f>
        <v>Data Science &amp; ML</v>
      </c>
      <c r="L2481" s="21" t="str">
        <f aca="false">INDEX(Companies!$C$2:$C$31,MATCH(C2481,Companies!$A$2:$A$31,0))</f>
        <v>Analytics &amp; Consulting</v>
      </c>
      <c r="M2481" s="21" t="str">
        <f aca="false">INDEX(Companies!$D$2:$D$31,MATCH(C2481,Companies!$A$2:$A$31,0))</f>
        <v>Tier 1</v>
      </c>
      <c r="N2481" s="34" t="n">
        <f aca="false">MATCH(F2481,Assumptions!$K$4:$K$8,0)</f>
        <v>1</v>
      </c>
      <c r="O2481" s="21" t="str">
        <f aca="false">IF(H2481="Yes",MONTH(I2481),"")</f>
        <v/>
      </c>
      <c r="P2481" s="21" t="str">
        <f aca="false">IF(H2481="Yes",B2481,"")</f>
        <v/>
      </c>
    </row>
    <row r="2482" customFormat="false" ht="15" hidden="false" customHeight="false" outlineLevel="0" collapsed="false">
      <c r="A2482" s="21" t="s">
        <v>3697</v>
      </c>
      <c r="B2482" s="21" t="s">
        <v>866</v>
      </c>
      <c r="C2482" s="21" t="s">
        <v>1275</v>
      </c>
      <c r="D2482" s="21" t="s">
        <v>1174</v>
      </c>
      <c r="E2482" s="33" t="n">
        <v>45958</v>
      </c>
      <c r="F2482" s="21" t="s">
        <v>1175</v>
      </c>
      <c r="G2482" s="32"/>
      <c r="H2482" s="21"/>
      <c r="I2482" s="33"/>
      <c r="J2482" s="21" t="str">
        <f aca="false">INDEX(Students!$C$2:$C$601,MATCH(B2482,Students!$A$2:$A$601,0))</f>
        <v>Batch 2026</v>
      </c>
      <c r="K2482" s="21" t="str">
        <f aca="false">INDEX(Students!$D$2:$D$601,MATCH(B2482,Students!$A$2:$A$601,0))</f>
        <v>Full Stack Development</v>
      </c>
      <c r="L2482" s="21" t="str">
        <f aca="false">INDEX(Companies!$C$2:$C$31,MATCH(C2482,Companies!$A$2:$A$31,0))</f>
        <v>Cybersecurity</v>
      </c>
      <c r="M2482" s="21" t="str">
        <f aca="false">INDEX(Companies!$D$2:$D$31,MATCH(C2482,Companies!$A$2:$A$31,0))</f>
        <v>Tier 2</v>
      </c>
      <c r="N2482" s="34" t="n">
        <f aca="false">MATCH(F2482,Assumptions!$K$4:$K$8,0)</f>
        <v>1</v>
      </c>
      <c r="O2482" s="21" t="str">
        <f aca="false">IF(H2482="Yes",MONTH(I2482),"")</f>
        <v/>
      </c>
      <c r="P2482" s="21" t="str">
        <f aca="false">IF(H2482="Yes",B2482,"")</f>
        <v/>
      </c>
    </row>
    <row r="2483" customFormat="false" ht="15" hidden="false" customHeight="false" outlineLevel="0" collapsed="false">
      <c r="A2483" s="21" t="s">
        <v>3698</v>
      </c>
      <c r="B2483" s="21" t="s">
        <v>829</v>
      </c>
      <c r="C2483" s="21" t="s">
        <v>1290</v>
      </c>
      <c r="D2483" s="21" t="s">
        <v>1184</v>
      </c>
      <c r="E2483" s="33" t="n">
        <v>45959</v>
      </c>
      <c r="F2483" s="21" t="s">
        <v>1175</v>
      </c>
      <c r="G2483" s="32"/>
      <c r="H2483" s="21"/>
      <c r="I2483" s="33"/>
      <c r="J2483" s="21" t="str">
        <f aca="false">INDEX(Students!$C$2:$C$601,MATCH(B2483,Students!$A$2:$A$601,0))</f>
        <v>Batch 2026</v>
      </c>
      <c r="K2483" s="21" t="str">
        <f aca="false">INDEX(Students!$D$2:$D$601,MATCH(B2483,Students!$A$2:$A$601,0))</f>
        <v>DSA with Java</v>
      </c>
      <c r="L2483" s="21" t="str">
        <f aca="false">INDEX(Companies!$C$2:$C$31,MATCH(C2483,Companies!$A$2:$A$31,0))</f>
        <v>Fintech</v>
      </c>
      <c r="M2483" s="21" t="str">
        <f aca="false">INDEX(Companies!$D$2:$D$31,MATCH(C2483,Companies!$A$2:$A$31,0))</f>
        <v>Tier 2</v>
      </c>
      <c r="N2483" s="34" t="n">
        <f aca="false">MATCH(F2483,Assumptions!$K$4:$K$8,0)</f>
        <v>1</v>
      </c>
      <c r="O2483" s="21" t="str">
        <f aca="false">IF(H2483="Yes",MONTH(I2483),"")</f>
        <v/>
      </c>
      <c r="P2483" s="21" t="str">
        <f aca="false">IF(H2483="Yes",B2483,"")</f>
        <v/>
      </c>
    </row>
    <row r="2484" customFormat="false" ht="15" hidden="false" customHeight="false" outlineLevel="0" collapsed="false">
      <c r="A2484" s="21" t="s">
        <v>3699</v>
      </c>
      <c r="B2484" s="21" t="s">
        <v>1098</v>
      </c>
      <c r="C2484" s="21" t="s">
        <v>1309</v>
      </c>
      <c r="D2484" s="21" t="s">
        <v>1191</v>
      </c>
      <c r="E2484" s="33" t="n">
        <v>45959</v>
      </c>
      <c r="F2484" s="21" t="s">
        <v>1218</v>
      </c>
      <c r="G2484" s="32"/>
      <c r="H2484" s="21"/>
      <c r="I2484" s="33"/>
      <c r="J2484" s="21" t="str">
        <f aca="false">INDEX(Students!$C$2:$C$601,MATCH(B2484,Students!$A$2:$A$601,0))</f>
        <v>Batch 2026</v>
      </c>
      <c r="K2484" s="21" t="str">
        <f aca="false">INDEX(Students!$D$2:$D$601,MATCH(B2484,Students!$A$2:$A$601,0))</f>
        <v>DSA with Java</v>
      </c>
      <c r="L2484" s="21" t="str">
        <f aca="false">INDEX(Companies!$C$2:$C$31,MATCH(C2484,Companies!$A$2:$A$31,0))</f>
        <v>EdTech</v>
      </c>
      <c r="M2484" s="21" t="str">
        <f aca="false">INDEX(Companies!$D$2:$D$31,MATCH(C2484,Companies!$A$2:$A$31,0))</f>
        <v>Tier 2</v>
      </c>
      <c r="N2484" s="34" t="n">
        <f aca="false">MATCH(F2484,Assumptions!$K$4:$K$8,0)</f>
        <v>4</v>
      </c>
      <c r="O2484" s="21" t="str">
        <f aca="false">IF(H2484="Yes",MONTH(I2484),"")</f>
        <v/>
      </c>
      <c r="P2484" s="21" t="str">
        <f aca="false">IF(H2484="Yes",B2484,"")</f>
        <v/>
      </c>
    </row>
    <row r="2485" customFormat="false" ht="15" hidden="false" customHeight="false" outlineLevel="0" collapsed="false">
      <c r="A2485" s="21" t="s">
        <v>3700</v>
      </c>
      <c r="B2485" s="21" t="s">
        <v>947</v>
      </c>
      <c r="C2485" s="21" t="s">
        <v>1239</v>
      </c>
      <c r="D2485" s="21" t="s">
        <v>1191</v>
      </c>
      <c r="E2485" s="33" t="n">
        <v>45959</v>
      </c>
      <c r="F2485" s="21" t="s">
        <v>1185</v>
      </c>
      <c r="G2485" s="32" t="n">
        <v>6.5</v>
      </c>
      <c r="H2485" s="21" t="s">
        <v>113</v>
      </c>
      <c r="I2485" s="33" t="n">
        <v>46001</v>
      </c>
      <c r="J2485" s="21" t="str">
        <f aca="false">INDEX(Students!$C$2:$C$601,MATCH(B2485,Students!$A$2:$A$601,0))</f>
        <v>Batch 2026</v>
      </c>
      <c r="K2485" s="21" t="str">
        <f aca="false">INDEX(Students!$D$2:$D$601,MATCH(B2485,Students!$A$2:$A$601,0))</f>
        <v>DSA with Java</v>
      </c>
      <c r="L2485" s="21" t="str">
        <f aca="false">INDEX(Companies!$C$2:$C$31,MATCH(C2485,Companies!$A$2:$A$31,0))</f>
        <v>E-commerce</v>
      </c>
      <c r="M2485" s="21" t="str">
        <f aca="false">INDEX(Companies!$D$2:$D$31,MATCH(C2485,Companies!$A$2:$A$31,0))</f>
        <v>Tier 3</v>
      </c>
      <c r="N2485" s="34" t="n">
        <f aca="false">MATCH(F2485,Assumptions!$K$4:$K$8,0)</f>
        <v>5</v>
      </c>
      <c r="O2485" s="21" t="str">
        <f aca="false">IF(H2485="Yes",MONTH(I2485),"")</f>
        <v/>
      </c>
      <c r="P2485" s="21" t="str">
        <f aca="false">IF(H2485="Yes",B2485,"")</f>
        <v/>
      </c>
    </row>
    <row r="2486" customFormat="false" ht="15" hidden="false" customHeight="false" outlineLevel="0" collapsed="false">
      <c r="A2486" s="21" t="s">
        <v>3701</v>
      </c>
      <c r="B2486" s="21" t="s">
        <v>828</v>
      </c>
      <c r="C2486" s="21" t="s">
        <v>1263</v>
      </c>
      <c r="D2486" s="21" t="s">
        <v>1181</v>
      </c>
      <c r="E2486" s="33" t="n">
        <v>45959</v>
      </c>
      <c r="F2486" s="21" t="s">
        <v>1218</v>
      </c>
      <c r="G2486" s="32"/>
      <c r="H2486" s="21"/>
      <c r="I2486" s="33"/>
      <c r="J2486" s="21" t="str">
        <f aca="false">INDEX(Students!$C$2:$C$601,MATCH(B2486,Students!$A$2:$A$601,0))</f>
        <v>Batch 2026</v>
      </c>
      <c r="K2486" s="21" t="str">
        <f aca="false">INDEX(Students!$D$2:$D$601,MATCH(B2486,Students!$A$2:$A$601,0))</f>
        <v>Full Stack Development</v>
      </c>
      <c r="L2486" s="21" t="str">
        <f aca="false">INDEX(Companies!$C$2:$C$31,MATCH(C2486,Companies!$A$2:$A$31,0))</f>
        <v>Analytics &amp; Consulting</v>
      </c>
      <c r="M2486" s="21" t="str">
        <f aca="false">INDEX(Companies!$D$2:$D$31,MATCH(C2486,Companies!$A$2:$A$31,0))</f>
        <v>Tier 2</v>
      </c>
      <c r="N2486" s="34" t="n">
        <f aca="false">MATCH(F2486,Assumptions!$K$4:$K$8,0)</f>
        <v>4</v>
      </c>
      <c r="O2486" s="21" t="str">
        <f aca="false">IF(H2486="Yes",MONTH(I2486),"")</f>
        <v/>
      </c>
      <c r="P2486" s="21" t="str">
        <f aca="false">IF(H2486="Yes",B2486,"")</f>
        <v/>
      </c>
    </row>
    <row r="2487" customFormat="false" ht="15" hidden="false" customHeight="false" outlineLevel="0" collapsed="false">
      <c r="A2487" s="21" t="s">
        <v>3702</v>
      </c>
      <c r="B2487" s="21" t="s">
        <v>1015</v>
      </c>
      <c r="C2487" s="21" t="s">
        <v>1193</v>
      </c>
      <c r="D2487" s="21" t="s">
        <v>1209</v>
      </c>
      <c r="E2487" s="33" t="n">
        <v>45960</v>
      </c>
      <c r="F2487" s="21" t="s">
        <v>1218</v>
      </c>
      <c r="G2487" s="32"/>
      <c r="H2487" s="21"/>
      <c r="I2487" s="33"/>
      <c r="J2487" s="21" t="str">
        <f aca="false">INDEX(Students!$C$2:$C$601,MATCH(B2487,Students!$A$2:$A$601,0))</f>
        <v>Batch 2026</v>
      </c>
      <c r="K2487" s="21" t="str">
        <f aca="false">INDEX(Students!$D$2:$D$601,MATCH(B2487,Students!$A$2:$A$601,0))</f>
        <v>Data Analytics</v>
      </c>
      <c r="L2487" s="21" t="str">
        <f aca="false">INDEX(Companies!$C$2:$C$31,MATCH(C2487,Companies!$A$2:$A$31,0))</f>
        <v>Analytics &amp; Consulting</v>
      </c>
      <c r="M2487" s="21" t="str">
        <f aca="false">INDEX(Companies!$D$2:$D$31,MATCH(C2487,Companies!$A$2:$A$31,0))</f>
        <v>Tier 2</v>
      </c>
      <c r="N2487" s="34" t="n">
        <f aca="false">MATCH(F2487,Assumptions!$K$4:$K$8,0)</f>
        <v>4</v>
      </c>
      <c r="O2487" s="21" t="str">
        <f aca="false">IF(H2487="Yes",MONTH(I2487),"")</f>
        <v/>
      </c>
      <c r="P2487" s="21" t="str">
        <f aca="false">IF(H2487="Yes",B2487,"")</f>
        <v/>
      </c>
    </row>
    <row r="2488" customFormat="false" ht="15" hidden="false" customHeight="false" outlineLevel="0" collapsed="false">
      <c r="A2488" s="21" t="s">
        <v>3703</v>
      </c>
      <c r="B2488" s="21" t="s">
        <v>864</v>
      </c>
      <c r="C2488" s="21" t="s">
        <v>1263</v>
      </c>
      <c r="D2488" s="21" t="s">
        <v>1209</v>
      </c>
      <c r="E2488" s="33" t="n">
        <v>45960</v>
      </c>
      <c r="F2488" s="21" t="s">
        <v>1185</v>
      </c>
      <c r="G2488" s="32" t="n">
        <v>8.9</v>
      </c>
      <c r="H2488" s="21" t="s">
        <v>120</v>
      </c>
      <c r="I2488" s="33" t="n">
        <v>45988</v>
      </c>
      <c r="J2488" s="21" t="str">
        <f aca="false">INDEX(Students!$C$2:$C$601,MATCH(B2488,Students!$A$2:$A$601,0))</f>
        <v>Batch 2026</v>
      </c>
      <c r="K2488" s="21" t="str">
        <f aca="false">INDEX(Students!$D$2:$D$601,MATCH(B2488,Students!$A$2:$A$601,0))</f>
        <v>Data Analytics</v>
      </c>
      <c r="L2488" s="21" t="str">
        <f aca="false">INDEX(Companies!$C$2:$C$31,MATCH(C2488,Companies!$A$2:$A$31,0))</f>
        <v>Analytics &amp; Consulting</v>
      </c>
      <c r="M2488" s="21" t="str">
        <f aca="false">INDEX(Companies!$D$2:$D$31,MATCH(C2488,Companies!$A$2:$A$31,0))</f>
        <v>Tier 2</v>
      </c>
      <c r="N2488" s="34" t="n">
        <f aca="false">MATCH(F2488,Assumptions!$K$4:$K$8,0)</f>
        <v>5</v>
      </c>
      <c r="O2488" s="21" t="n">
        <f aca="false">IF(H2488="Yes",MONTH(I2488),"")</f>
        <v>11</v>
      </c>
      <c r="P2488" s="21" t="str">
        <f aca="false">IF(H2488="Yes",B2488,"")</f>
        <v>S0416</v>
      </c>
    </row>
    <row r="2489" customFormat="false" ht="15" hidden="false" customHeight="false" outlineLevel="0" collapsed="false">
      <c r="A2489" s="21" t="s">
        <v>3704</v>
      </c>
      <c r="B2489" s="21" t="s">
        <v>1138</v>
      </c>
      <c r="C2489" s="21" t="s">
        <v>1214</v>
      </c>
      <c r="D2489" s="21" t="s">
        <v>1191</v>
      </c>
      <c r="E2489" s="33" t="n">
        <v>45960</v>
      </c>
      <c r="F2489" s="21" t="s">
        <v>1178</v>
      </c>
      <c r="G2489" s="32"/>
      <c r="H2489" s="21"/>
      <c r="I2489" s="33"/>
      <c r="J2489" s="21" t="str">
        <f aca="false">INDEX(Students!$C$2:$C$601,MATCH(B2489,Students!$A$2:$A$601,0))</f>
        <v>Batch 2026</v>
      </c>
      <c r="K2489" s="21" t="str">
        <f aca="false">INDEX(Students!$D$2:$D$601,MATCH(B2489,Students!$A$2:$A$601,0))</f>
        <v>DSA with Java</v>
      </c>
      <c r="L2489" s="21" t="str">
        <f aca="false">INDEX(Companies!$C$2:$C$31,MATCH(C2489,Companies!$A$2:$A$31,0))</f>
        <v>Product</v>
      </c>
      <c r="M2489" s="21" t="str">
        <f aca="false">INDEX(Companies!$D$2:$D$31,MATCH(C2489,Companies!$A$2:$A$31,0))</f>
        <v>Tier 1</v>
      </c>
      <c r="N2489" s="34" t="n">
        <f aca="false">MATCH(F2489,Assumptions!$K$4:$K$8,0)</f>
        <v>2</v>
      </c>
      <c r="O2489" s="21" t="str">
        <f aca="false">IF(H2489="Yes",MONTH(I2489),"")</f>
        <v/>
      </c>
      <c r="P2489" s="21" t="str">
        <f aca="false">IF(H2489="Yes",B2489,"")</f>
        <v/>
      </c>
    </row>
    <row r="2490" customFormat="false" ht="15" hidden="false" customHeight="false" outlineLevel="0" collapsed="false">
      <c r="A2490" s="21" t="s">
        <v>3705</v>
      </c>
      <c r="B2490" s="21" t="s">
        <v>1088</v>
      </c>
      <c r="C2490" s="21" t="s">
        <v>1216</v>
      </c>
      <c r="D2490" s="21" t="s">
        <v>1181</v>
      </c>
      <c r="E2490" s="33" t="n">
        <v>45960</v>
      </c>
      <c r="F2490" s="21" t="s">
        <v>1175</v>
      </c>
      <c r="G2490" s="32"/>
      <c r="H2490" s="21"/>
      <c r="I2490" s="33"/>
      <c r="J2490" s="21" t="str">
        <f aca="false">INDEX(Students!$C$2:$C$601,MATCH(B2490,Students!$A$2:$A$601,0))</f>
        <v>Batch 2026</v>
      </c>
      <c r="K2490" s="21" t="str">
        <f aca="false">INDEX(Students!$D$2:$D$601,MATCH(B2490,Students!$A$2:$A$601,0))</f>
        <v>Full Stack Development</v>
      </c>
      <c r="L2490" s="21" t="str">
        <f aca="false">INDEX(Companies!$C$2:$C$31,MATCH(C2490,Companies!$A$2:$A$31,0))</f>
        <v>IT Services</v>
      </c>
      <c r="M2490" s="21" t="str">
        <f aca="false">INDEX(Companies!$D$2:$D$31,MATCH(C2490,Companies!$A$2:$A$31,0))</f>
        <v>Tier 3</v>
      </c>
      <c r="N2490" s="34" t="n">
        <f aca="false">MATCH(F2490,Assumptions!$K$4:$K$8,0)</f>
        <v>1</v>
      </c>
      <c r="O2490" s="21" t="str">
        <f aca="false">IF(H2490="Yes",MONTH(I2490),"")</f>
        <v/>
      </c>
      <c r="P2490" s="21" t="str">
        <f aca="false">IF(H2490="Yes",B2490,"")</f>
        <v/>
      </c>
    </row>
    <row r="2491" customFormat="false" ht="15" hidden="false" customHeight="false" outlineLevel="0" collapsed="false">
      <c r="A2491" s="21" t="s">
        <v>3706</v>
      </c>
      <c r="B2491" s="21" t="s">
        <v>871</v>
      </c>
      <c r="C2491" s="21" t="s">
        <v>1211</v>
      </c>
      <c r="D2491" s="21" t="s">
        <v>1194</v>
      </c>
      <c r="E2491" s="33" t="n">
        <v>45960</v>
      </c>
      <c r="F2491" s="21" t="s">
        <v>1185</v>
      </c>
      <c r="G2491" s="32" t="n">
        <v>6.3</v>
      </c>
      <c r="H2491" s="21" t="s">
        <v>113</v>
      </c>
      <c r="I2491" s="33" t="n">
        <v>46007</v>
      </c>
      <c r="J2491" s="21" t="str">
        <f aca="false">INDEX(Students!$C$2:$C$601,MATCH(B2491,Students!$A$2:$A$601,0))</f>
        <v>Batch 2026</v>
      </c>
      <c r="K2491" s="21" t="str">
        <f aca="false">INDEX(Students!$D$2:$D$601,MATCH(B2491,Students!$A$2:$A$601,0))</f>
        <v>Data Science &amp; ML</v>
      </c>
      <c r="L2491" s="21" t="str">
        <f aca="false">INDEX(Companies!$C$2:$C$31,MATCH(C2491,Companies!$A$2:$A$31,0))</f>
        <v>Analytics &amp; Consulting</v>
      </c>
      <c r="M2491" s="21" t="str">
        <f aca="false">INDEX(Companies!$D$2:$D$31,MATCH(C2491,Companies!$A$2:$A$31,0))</f>
        <v>Tier 3</v>
      </c>
      <c r="N2491" s="34" t="n">
        <f aca="false">MATCH(F2491,Assumptions!$K$4:$K$8,0)</f>
        <v>5</v>
      </c>
      <c r="O2491" s="21" t="str">
        <f aca="false">IF(H2491="Yes",MONTH(I2491),"")</f>
        <v/>
      </c>
      <c r="P2491" s="21" t="str">
        <f aca="false">IF(H2491="Yes",B2491,"")</f>
        <v/>
      </c>
    </row>
    <row r="2492" customFormat="false" ht="15" hidden="false" customHeight="false" outlineLevel="0" collapsed="false">
      <c r="A2492" s="21" t="s">
        <v>3707</v>
      </c>
      <c r="B2492" s="21" t="s">
        <v>1053</v>
      </c>
      <c r="C2492" s="21" t="s">
        <v>1183</v>
      </c>
      <c r="D2492" s="21" t="s">
        <v>1184</v>
      </c>
      <c r="E2492" s="33" t="n">
        <v>45960</v>
      </c>
      <c r="F2492" s="21" t="s">
        <v>1178</v>
      </c>
      <c r="G2492" s="32"/>
      <c r="H2492" s="21"/>
      <c r="I2492" s="33"/>
      <c r="J2492" s="21" t="str">
        <f aca="false">INDEX(Students!$C$2:$C$601,MATCH(B2492,Students!$A$2:$A$601,0))</f>
        <v>Batch 2026</v>
      </c>
      <c r="K2492" s="21" t="str">
        <f aca="false">INDEX(Students!$D$2:$D$601,MATCH(B2492,Students!$A$2:$A$601,0))</f>
        <v>DSA with Java</v>
      </c>
      <c r="L2492" s="21" t="str">
        <f aca="false">INDEX(Companies!$C$2:$C$31,MATCH(C2492,Companies!$A$2:$A$31,0))</f>
        <v>E-commerce</v>
      </c>
      <c r="M2492" s="21" t="str">
        <f aca="false">INDEX(Companies!$D$2:$D$31,MATCH(C2492,Companies!$A$2:$A$31,0))</f>
        <v>Tier 2</v>
      </c>
      <c r="N2492" s="34" t="n">
        <f aca="false">MATCH(F2492,Assumptions!$K$4:$K$8,0)</f>
        <v>2</v>
      </c>
      <c r="O2492" s="21" t="str">
        <f aca="false">IF(H2492="Yes",MONTH(I2492),"")</f>
        <v/>
      </c>
      <c r="P2492" s="21" t="str">
        <f aca="false">IF(H2492="Yes",B2492,"")</f>
        <v/>
      </c>
    </row>
    <row r="2493" customFormat="false" ht="15" hidden="false" customHeight="false" outlineLevel="0" collapsed="false">
      <c r="A2493" s="21" t="s">
        <v>3708</v>
      </c>
      <c r="B2493" s="21" t="s">
        <v>1082</v>
      </c>
      <c r="C2493" s="21" t="s">
        <v>1187</v>
      </c>
      <c r="D2493" s="21" t="s">
        <v>1209</v>
      </c>
      <c r="E2493" s="33" t="n">
        <v>45960</v>
      </c>
      <c r="F2493" s="21" t="s">
        <v>1178</v>
      </c>
      <c r="G2493" s="32"/>
      <c r="H2493" s="21"/>
      <c r="I2493" s="33"/>
      <c r="J2493" s="21" t="str">
        <f aca="false">INDEX(Students!$C$2:$C$601,MATCH(B2493,Students!$A$2:$A$601,0))</f>
        <v>Batch 2026</v>
      </c>
      <c r="K2493" s="21" t="str">
        <f aca="false">INDEX(Students!$D$2:$D$601,MATCH(B2493,Students!$A$2:$A$601,0))</f>
        <v>Data Analytics</v>
      </c>
      <c r="L2493" s="21" t="str">
        <f aca="false">INDEX(Companies!$C$2:$C$31,MATCH(C2493,Companies!$A$2:$A$31,0))</f>
        <v>Product</v>
      </c>
      <c r="M2493" s="21" t="str">
        <f aca="false">INDEX(Companies!$D$2:$D$31,MATCH(C2493,Companies!$A$2:$A$31,0))</f>
        <v>Tier 1</v>
      </c>
      <c r="N2493" s="34" t="n">
        <f aca="false">MATCH(F2493,Assumptions!$K$4:$K$8,0)</f>
        <v>2</v>
      </c>
      <c r="O2493" s="21" t="str">
        <f aca="false">IF(H2493="Yes",MONTH(I2493),"")</f>
        <v/>
      </c>
      <c r="P2493" s="21" t="str">
        <f aca="false">IF(H2493="Yes",B2493,"")</f>
        <v/>
      </c>
    </row>
    <row r="2494" customFormat="false" ht="15" hidden="false" customHeight="false" outlineLevel="0" collapsed="false">
      <c r="A2494" s="21" t="s">
        <v>3709</v>
      </c>
      <c r="B2494" s="21" t="s">
        <v>961</v>
      </c>
      <c r="C2494" s="21" t="s">
        <v>1180</v>
      </c>
      <c r="D2494" s="21" t="s">
        <v>1188</v>
      </c>
      <c r="E2494" s="33" t="n">
        <v>45961</v>
      </c>
      <c r="F2494" s="21" t="s">
        <v>1178</v>
      </c>
      <c r="G2494" s="32"/>
      <c r="H2494" s="21"/>
      <c r="I2494" s="33"/>
      <c r="J2494" s="21" t="str">
        <f aca="false">INDEX(Students!$C$2:$C$601,MATCH(B2494,Students!$A$2:$A$601,0))</f>
        <v>Batch 2026</v>
      </c>
      <c r="K2494" s="21" t="str">
        <f aca="false">INDEX(Students!$D$2:$D$601,MATCH(B2494,Students!$A$2:$A$601,0))</f>
        <v>Data Analytics</v>
      </c>
      <c r="L2494" s="21" t="str">
        <f aca="false">INDEX(Companies!$C$2:$C$31,MATCH(C2494,Companies!$A$2:$A$31,0))</f>
        <v>IT Services</v>
      </c>
      <c r="M2494" s="21" t="str">
        <f aca="false">INDEX(Companies!$D$2:$D$31,MATCH(C2494,Companies!$A$2:$A$31,0))</f>
        <v>Tier 3</v>
      </c>
      <c r="N2494" s="34" t="n">
        <f aca="false">MATCH(F2494,Assumptions!$K$4:$K$8,0)</f>
        <v>2</v>
      </c>
      <c r="O2494" s="21" t="str">
        <f aca="false">IF(H2494="Yes",MONTH(I2494),"")</f>
        <v/>
      </c>
      <c r="P2494" s="21" t="str">
        <f aca="false">IF(H2494="Yes",B2494,"")</f>
        <v/>
      </c>
    </row>
    <row r="2495" customFormat="false" ht="15" hidden="false" customHeight="false" outlineLevel="0" collapsed="false">
      <c r="A2495" s="21" t="s">
        <v>3710</v>
      </c>
      <c r="B2495" s="21" t="s">
        <v>963</v>
      </c>
      <c r="C2495" s="21" t="s">
        <v>1203</v>
      </c>
      <c r="D2495" s="21" t="s">
        <v>1181</v>
      </c>
      <c r="E2495" s="33" t="n">
        <v>45961</v>
      </c>
      <c r="F2495" s="21" t="s">
        <v>1197</v>
      </c>
      <c r="G2495" s="32"/>
      <c r="H2495" s="21"/>
      <c r="I2495" s="33"/>
      <c r="J2495" s="21" t="str">
        <f aca="false">INDEX(Students!$C$2:$C$601,MATCH(B2495,Students!$A$2:$A$601,0))</f>
        <v>Batch 2026</v>
      </c>
      <c r="K2495" s="21" t="str">
        <f aca="false">INDEX(Students!$D$2:$D$601,MATCH(B2495,Students!$A$2:$A$601,0))</f>
        <v>Full Stack Development</v>
      </c>
      <c r="L2495" s="21" t="str">
        <f aca="false">INDEX(Companies!$C$2:$C$31,MATCH(C2495,Companies!$A$2:$A$31,0))</f>
        <v>Healthtech</v>
      </c>
      <c r="M2495" s="21" t="str">
        <f aca="false">INDEX(Companies!$D$2:$D$31,MATCH(C2495,Companies!$A$2:$A$31,0))</f>
        <v>Tier 2</v>
      </c>
      <c r="N2495" s="34" t="n">
        <f aca="false">MATCH(F2495,Assumptions!$K$4:$K$8,0)</f>
        <v>3</v>
      </c>
      <c r="O2495" s="21" t="str">
        <f aca="false">IF(H2495="Yes",MONTH(I2495),"")</f>
        <v/>
      </c>
      <c r="P2495" s="21" t="str">
        <f aca="false">IF(H2495="Yes",B2495,"")</f>
        <v/>
      </c>
    </row>
    <row r="2496" customFormat="false" ht="15" hidden="false" customHeight="false" outlineLevel="0" collapsed="false">
      <c r="A2496" s="21" t="s">
        <v>3711</v>
      </c>
      <c r="B2496" s="21" t="s">
        <v>977</v>
      </c>
      <c r="C2496" s="21" t="s">
        <v>1205</v>
      </c>
      <c r="D2496" s="21" t="s">
        <v>1181</v>
      </c>
      <c r="E2496" s="33" t="n">
        <v>45961</v>
      </c>
      <c r="F2496" s="21" t="s">
        <v>1185</v>
      </c>
      <c r="G2496" s="32" t="n">
        <v>5.2</v>
      </c>
      <c r="H2496" s="21" t="s">
        <v>113</v>
      </c>
      <c r="I2496" s="33" t="n">
        <v>45981</v>
      </c>
      <c r="J2496" s="21" t="str">
        <f aca="false">INDEX(Students!$C$2:$C$601,MATCH(B2496,Students!$A$2:$A$601,0))</f>
        <v>Batch 2026</v>
      </c>
      <c r="K2496" s="21" t="str">
        <f aca="false">INDEX(Students!$D$2:$D$601,MATCH(B2496,Students!$A$2:$A$601,0))</f>
        <v>Full Stack Development</v>
      </c>
      <c r="L2496" s="21" t="str">
        <f aca="false">INDEX(Companies!$C$2:$C$31,MATCH(C2496,Companies!$A$2:$A$31,0))</f>
        <v>Healthtech</v>
      </c>
      <c r="M2496" s="21" t="str">
        <f aca="false">INDEX(Companies!$D$2:$D$31,MATCH(C2496,Companies!$A$2:$A$31,0))</f>
        <v>Tier 3</v>
      </c>
      <c r="N2496" s="34" t="n">
        <f aca="false">MATCH(F2496,Assumptions!$K$4:$K$8,0)</f>
        <v>5</v>
      </c>
      <c r="O2496" s="21" t="str">
        <f aca="false">IF(H2496="Yes",MONTH(I2496),"")</f>
        <v/>
      </c>
      <c r="P2496" s="21" t="str">
        <f aca="false">IF(H2496="Yes",B2496,"")</f>
        <v/>
      </c>
    </row>
    <row r="2497" customFormat="false" ht="15" hidden="false" customHeight="false" outlineLevel="0" collapsed="false">
      <c r="A2497" s="21" t="s">
        <v>3712</v>
      </c>
      <c r="B2497" s="21" t="s">
        <v>1124</v>
      </c>
      <c r="C2497" s="21" t="s">
        <v>1211</v>
      </c>
      <c r="D2497" s="21" t="s">
        <v>1188</v>
      </c>
      <c r="E2497" s="33" t="n">
        <v>45962</v>
      </c>
      <c r="F2497" s="21" t="s">
        <v>1218</v>
      </c>
      <c r="G2497" s="32"/>
      <c r="H2497" s="21"/>
      <c r="I2497" s="33"/>
      <c r="J2497" s="21" t="str">
        <f aca="false">INDEX(Students!$C$2:$C$601,MATCH(B2497,Students!$A$2:$A$601,0))</f>
        <v>Batch 2026</v>
      </c>
      <c r="K2497" s="21" t="str">
        <f aca="false">INDEX(Students!$D$2:$D$601,MATCH(B2497,Students!$A$2:$A$601,0))</f>
        <v>Data Analytics</v>
      </c>
      <c r="L2497" s="21" t="str">
        <f aca="false">INDEX(Companies!$C$2:$C$31,MATCH(C2497,Companies!$A$2:$A$31,0))</f>
        <v>Analytics &amp; Consulting</v>
      </c>
      <c r="M2497" s="21" t="str">
        <f aca="false">INDEX(Companies!$D$2:$D$31,MATCH(C2497,Companies!$A$2:$A$31,0))</f>
        <v>Tier 3</v>
      </c>
      <c r="N2497" s="34" t="n">
        <f aca="false">MATCH(F2497,Assumptions!$K$4:$K$8,0)</f>
        <v>4</v>
      </c>
      <c r="O2497" s="21" t="str">
        <f aca="false">IF(H2497="Yes",MONTH(I2497),"")</f>
        <v/>
      </c>
      <c r="P2497" s="21" t="str">
        <f aca="false">IF(H2497="Yes",B2497,"")</f>
        <v/>
      </c>
    </row>
    <row r="2498" customFormat="false" ht="15" hidden="false" customHeight="false" outlineLevel="0" collapsed="false">
      <c r="A2498" s="21" t="s">
        <v>3713</v>
      </c>
      <c r="B2498" s="21" t="s">
        <v>987</v>
      </c>
      <c r="C2498" s="21" t="s">
        <v>1199</v>
      </c>
      <c r="D2498" s="21" t="s">
        <v>1240</v>
      </c>
      <c r="E2498" s="33" t="n">
        <v>45962</v>
      </c>
      <c r="F2498" s="21" t="s">
        <v>1197</v>
      </c>
      <c r="G2498" s="32"/>
      <c r="H2498" s="21"/>
      <c r="I2498" s="33"/>
      <c r="J2498" s="21" t="str">
        <f aca="false">INDEX(Students!$C$2:$C$601,MATCH(B2498,Students!$A$2:$A$601,0))</f>
        <v>Batch 2026</v>
      </c>
      <c r="K2498" s="21" t="str">
        <f aca="false">INDEX(Students!$D$2:$D$601,MATCH(B2498,Students!$A$2:$A$601,0))</f>
        <v>Cybersecurity</v>
      </c>
      <c r="L2498" s="21" t="str">
        <f aca="false">INDEX(Companies!$C$2:$C$31,MATCH(C2498,Companies!$A$2:$A$31,0))</f>
        <v>E-commerce</v>
      </c>
      <c r="M2498" s="21" t="str">
        <f aca="false">INDEX(Companies!$D$2:$D$31,MATCH(C2498,Companies!$A$2:$A$31,0))</f>
        <v>Tier 2</v>
      </c>
      <c r="N2498" s="34" t="n">
        <f aca="false">MATCH(F2498,Assumptions!$K$4:$K$8,0)</f>
        <v>3</v>
      </c>
      <c r="O2498" s="21" t="str">
        <f aca="false">IF(H2498="Yes",MONTH(I2498),"")</f>
        <v/>
      </c>
      <c r="P2498" s="21" t="str">
        <f aca="false">IF(H2498="Yes",B2498,"")</f>
        <v/>
      </c>
    </row>
    <row r="2499" customFormat="false" ht="15" hidden="false" customHeight="false" outlineLevel="0" collapsed="false">
      <c r="A2499" s="21" t="s">
        <v>3714</v>
      </c>
      <c r="B2499" s="21" t="s">
        <v>1135</v>
      </c>
      <c r="C2499" s="21" t="s">
        <v>1173</v>
      </c>
      <c r="D2499" s="21" t="s">
        <v>1209</v>
      </c>
      <c r="E2499" s="33" t="n">
        <v>45962</v>
      </c>
      <c r="F2499" s="21" t="s">
        <v>1175</v>
      </c>
      <c r="G2499" s="32"/>
      <c r="H2499" s="21"/>
      <c r="I2499" s="33"/>
      <c r="J2499" s="21" t="str">
        <f aca="false">INDEX(Students!$C$2:$C$601,MATCH(B2499,Students!$A$2:$A$601,0))</f>
        <v>Batch 2026</v>
      </c>
      <c r="K2499" s="21" t="str">
        <f aca="false">INDEX(Students!$D$2:$D$601,MATCH(B2499,Students!$A$2:$A$601,0))</f>
        <v>Data Analytics</v>
      </c>
      <c r="L2499" s="21" t="str">
        <f aca="false">INDEX(Companies!$C$2:$C$31,MATCH(C2499,Companies!$A$2:$A$31,0))</f>
        <v>Cybersecurity</v>
      </c>
      <c r="M2499" s="21" t="str">
        <f aca="false">INDEX(Companies!$D$2:$D$31,MATCH(C2499,Companies!$A$2:$A$31,0))</f>
        <v>Tier 1</v>
      </c>
      <c r="N2499" s="34" t="n">
        <f aca="false">MATCH(F2499,Assumptions!$K$4:$K$8,0)</f>
        <v>1</v>
      </c>
      <c r="O2499" s="21" t="str">
        <f aca="false">IF(H2499="Yes",MONTH(I2499),"")</f>
        <v/>
      </c>
      <c r="P2499" s="21" t="str">
        <f aca="false">IF(H2499="Yes",B2499,"")</f>
        <v/>
      </c>
    </row>
    <row r="2500" customFormat="false" ht="15" hidden="false" customHeight="false" outlineLevel="0" collapsed="false">
      <c r="A2500" s="21" t="s">
        <v>3715</v>
      </c>
      <c r="B2500" s="21" t="s">
        <v>815</v>
      </c>
      <c r="C2500" s="21" t="s">
        <v>1205</v>
      </c>
      <c r="D2500" s="21" t="s">
        <v>1240</v>
      </c>
      <c r="E2500" s="33" t="n">
        <v>45962</v>
      </c>
      <c r="F2500" s="21" t="s">
        <v>1185</v>
      </c>
      <c r="G2500" s="32" t="n">
        <v>6.5</v>
      </c>
      <c r="H2500" s="21" t="s">
        <v>113</v>
      </c>
      <c r="I2500" s="33" t="n">
        <v>45987</v>
      </c>
      <c r="J2500" s="21" t="str">
        <f aca="false">INDEX(Students!$C$2:$C$601,MATCH(B2500,Students!$A$2:$A$601,0))</f>
        <v>Batch 2026</v>
      </c>
      <c r="K2500" s="21" t="str">
        <f aca="false">INDEX(Students!$D$2:$D$601,MATCH(B2500,Students!$A$2:$A$601,0))</f>
        <v>Cybersecurity</v>
      </c>
      <c r="L2500" s="21" t="str">
        <f aca="false">INDEX(Companies!$C$2:$C$31,MATCH(C2500,Companies!$A$2:$A$31,0))</f>
        <v>Healthtech</v>
      </c>
      <c r="M2500" s="21" t="str">
        <f aca="false">INDEX(Companies!$D$2:$D$31,MATCH(C2500,Companies!$A$2:$A$31,0))</f>
        <v>Tier 3</v>
      </c>
      <c r="N2500" s="34" t="n">
        <f aca="false">MATCH(F2500,Assumptions!$K$4:$K$8,0)</f>
        <v>5</v>
      </c>
      <c r="O2500" s="21" t="str">
        <f aca="false">IF(H2500="Yes",MONTH(I2500),"")</f>
        <v/>
      </c>
      <c r="P2500" s="21" t="str">
        <f aca="false">IF(H2500="Yes",B2500,"")</f>
        <v/>
      </c>
    </row>
    <row r="2501" customFormat="false" ht="15" hidden="false" customHeight="false" outlineLevel="0" collapsed="false">
      <c r="A2501" s="21" t="s">
        <v>3716</v>
      </c>
      <c r="B2501" s="21" t="s">
        <v>919</v>
      </c>
      <c r="C2501" s="21" t="s">
        <v>1228</v>
      </c>
      <c r="D2501" s="21" t="s">
        <v>1209</v>
      </c>
      <c r="E2501" s="33" t="n">
        <v>45962</v>
      </c>
      <c r="F2501" s="21" t="s">
        <v>1175</v>
      </c>
      <c r="G2501" s="32"/>
      <c r="H2501" s="21"/>
      <c r="I2501" s="33"/>
      <c r="J2501" s="21" t="str">
        <f aca="false">INDEX(Students!$C$2:$C$601,MATCH(B2501,Students!$A$2:$A$601,0))</f>
        <v>Batch 2026</v>
      </c>
      <c r="K2501" s="21" t="str">
        <f aca="false">INDEX(Students!$D$2:$D$601,MATCH(B2501,Students!$A$2:$A$601,0))</f>
        <v>Data Analytics</v>
      </c>
      <c r="L2501" s="21" t="str">
        <f aca="false">INDEX(Companies!$C$2:$C$31,MATCH(C2501,Companies!$A$2:$A$31,0))</f>
        <v>Fintech</v>
      </c>
      <c r="M2501" s="21" t="str">
        <f aca="false">INDEX(Companies!$D$2:$D$31,MATCH(C2501,Companies!$A$2:$A$31,0))</f>
        <v>Tier 1</v>
      </c>
      <c r="N2501" s="34" t="n">
        <f aca="false">MATCH(F2501,Assumptions!$K$4:$K$8,0)</f>
        <v>1</v>
      </c>
      <c r="O2501" s="21" t="str">
        <f aca="false">IF(H2501="Yes",MONTH(I2501),"")</f>
        <v/>
      </c>
      <c r="P2501" s="21" t="str">
        <f aca="false">IF(H2501="Yes",B2501,"")</f>
        <v/>
      </c>
    </row>
    <row r="2502" customFormat="false" ht="15" hidden="false" customHeight="false" outlineLevel="0" collapsed="false">
      <c r="A2502" s="21" t="s">
        <v>3717</v>
      </c>
      <c r="B2502" s="21" t="s">
        <v>918</v>
      </c>
      <c r="C2502" s="21" t="s">
        <v>1266</v>
      </c>
      <c r="D2502" s="21" t="s">
        <v>1194</v>
      </c>
      <c r="E2502" s="33" t="n">
        <v>45962</v>
      </c>
      <c r="F2502" s="21" t="s">
        <v>1175</v>
      </c>
      <c r="G2502" s="32"/>
      <c r="H2502" s="21"/>
      <c r="I2502" s="33"/>
      <c r="J2502" s="21" t="str">
        <f aca="false">INDEX(Students!$C$2:$C$601,MATCH(B2502,Students!$A$2:$A$601,0))</f>
        <v>Batch 2026</v>
      </c>
      <c r="K2502" s="21" t="str">
        <f aca="false">INDEX(Students!$D$2:$D$601,MATCH(B2502,Students!$A$2:$A$601,0))</f>
        <v>Data Science &amp; ML</v>
      </c>
      <c r="L2502" s="21" t="str">
        <f aca="false">INDEX(Companies!$C$2:$C$31,MATCH(C2502,Companies!$A$2:$A$31,0))</f>
        <v>IT Services</v>
      </c>
      <c r="M2502" s="21" t="str">
        <f aca="false">INDEX(Companies!$D$2:$D$31,MATCH(C2502,Companies!$A$2:$A$31,0))</f>
        <v>Tier 3</v>
      </c>
      <c r="N2502" s="34" t="n">
        <f aca="false">MATCH(F2502,Assumptions!$K$4:$K$8,0)</f>
        <v>1</v>
      </c>
      <c r="O2502" s="21" t="str">
        <f aca="false">IF(H2502="Yes",MONTH(I2502),"")</f>
        <v/>
      </c>
      <c r="P2502" s="21" t="str">
        <f aca="false">IF(H2502="Yes",B2502,"")</f>
        <v/>
      </c>
    </row>
    <row r="2503" customFormat="false" ht="15" hidden="false" customHeight="false" outlineLevel="0" collapsed="false">
      <c r="A2503" s="21" t="s">
        <v>3718</v>
      </c>
      <c r="B2503" s="21" t="s">
        <v>1054</v>
      </c>
      <c r="C2503" s="21" t="s">
        <v>1180</v>
      </c>
      <c r="D2503" s="21" t="s">
        <v>1181</v>
      </c>
      <c r="E2503" s="33" t="n">
        <v>45963</v>
      </c>
      <c r="F2503" s="21" t="s">
        <v>1185</v>
      </c>
      <c r="G2503" s="32" t="n">
        <v>4.6</v>
      </c>
      <c r="H2503" s="21" t="s">
        <v>113</v>
      </c>
      <c r="I2503" s="33" t="n">
        <v>45996</v>
      </c>
      <c r="J2503" s="21" t="str">
        <f aca="false">INDEX(Students!$C$2:$C$601,MATCH(B2503,Students!$A$2:$A$601,0))</f>
        <v>Batch 2026</v>
      </c>
      <c r="K2503" s="21" t="str">
        <f aca="false">INDEX(Students!$D$2:$D$601,MATCH(B2503,Students!$A$2:$A$601,0))</f>
        <v>Full Stack Development</v>
      </c>
      <c r="L2503" s="21" t="str">
        <f aca="false">INDEX(Companies!$C$2:$C$31,MATCH(C2503,Companies!$A$2:$A$31,0))</f>
        <v>IT Services</v>
      </c>
      <c r="M2503" s="21" t="str">
        <f aca="false">INDEX(Companies!$D$2:$D$31,MATCH(C2503,Companies!$A$2:$A$31,0))</f>
        <v>Tier 3</v>
      </c>
      <c r="N2503" s="34" t="n">
        <f aca="false">MATCH(F2503,Assumptions!$K$4:$K$8,0)</f>
        <v>5</v>
      </c>
      <c r="O2503" s="21" t="str">
        <f aca="false">IF(H2503="Yes",MONTH(I2503),"")</f>
        <v/>
      </c>
      <c r="P2503" s="21" t="str">
        <f aca="false">IF(H2503="Yes",B2503,"")</f>
        <v/>
      </c>
    </row>
    <row r="2504" customFormat="false" ht="15" hidden="false" customHeight="false" outlineLevel="0" collapsed="false">
      <c r="A2504" s="21" t="s">
        <v>3719</v>
      </c>
      <c r="B2504" s="21" t="s">
        <v>892</v>
      </c>
      <c r="C2504" s="21" t="s">
        <v>1275</v>
      </c>
      <c r="D2504" s="21" t="s">
        <v>1191</v>
      </c>
      <c r="E2504" s="33" t="n">
        <v>45963</v>
      </c>
      <c r="F2504" s="21" t="s">
        <v>1175</v>
      </c>
      <c r="G2504" s="32"/>
      <c r="H2504" s="21"/>
      <c r="I2504" s="33"/>
      <c r="J2504" s="21" t="str">
        <f aca="false">INDEX(Students!$C$2:$C$601,MATCH(B2504,Students!$A$2:$A$601,0))</f>
        <v>Batch 2026</v>
      </c>
      <c r="K2504" s="21" t="str">
        <f aca="false">INDEX(Students!$D$2:$D$601,MATCH(B2504,Students!$A$2:$A$601,0))</f>
        <v>DSA with Java</v>
      </c>
      <c r="L2504" s="21" t="str">
        <f aca="false">INDEX(Companies!$C$2:$C$31,MATCH(C2504,Companies!$A$2:$A$31,0))</f>
        <v>Cybersecurity</v>
      </c>
      <c r="M2504" s="21" t="str">
        <f aca="false">INDEX(Companies!$D$2:$D$31,MATCH(C2504,Companies!$A$2:$A$31,0))</f>
        <v>Tier 2</v>
      </c>
      <c r="N2504" s="34" t="n">
        <f aca="false">MATCH(F2504,Assumptions!$K$4:$K$8,0)</f>
        <v>1</v>
      </c>
      <c r="O2504" s="21" t="str">
        <f aca="false">IF(H2504="Yes",MONTH(I2504),"")</f>
        <v/>
      </c>
      <c r="P2504" s="21" t="str">
        <f aca="false">IF(H2504="Yes",B2504,"")</f>
        <v/>
      </c>
    </row>
    <row r="2505" customFormat="false" ht="15" hidden="false" customHeight="false" outlineLevel="0" collapsed="false">
      <c r="A2505" s="21" t="s">
        <v>3720</v>
      </c>
      <c r="B2505" s="21" t="s">
        <v>979</v>
      </c>
      <c r="C2505" s="21" t="s">
        <v>1190</v>
      </c>
      <c r="D2505" s="21" t="s">
        <v>1191</v>
      </c>
      <c r="E2505" s="33" t="n">
        <v>45963</v>
      </c>
      <c r="F2505" s="21" t="s">
        <v>1178</v>
      </c>
      <c r="G2505" s="32"/>
      <c r="H2505" s="21"/>
      <c r="I2505" s="33"/>
      <c r="J2505" s="21" t="str">
        <f aca="false">INDEX(Students!$C$2:$C$601,MATCH(B2505,Students!$A$2:$A$601,0))</f>
        <v>Batch 2026</v>
      </c>
      <c r="K2505" s="21" t="str">
        <f aca="false">INDEX(Students!$D$2:$D$601,MATCH(B2505,Students!$A$2:$A$601,0))</f>
        <v>DSA with Java</v>
      </c>
      <c r="L2505" s="21" t="str">
        <f aca="false">INDEX(Companies!$C$2:$C$31,MATCH(C2505,Companies!$A$2:$A$31,0))</f>
        <v>Analytics &amp; Consulting</v>
      </c>
      <c r="M2505" s="21" t="str">
        <f aca="false">INDEX(Companies!$D$2:$D$31,MATCH(C2505,Companies!$A$2:$A$31,0))</f>
        <v>Tier 1</v>
      </c>
      <c r="N2505" s="34" t="n">
        <f aca="false">MATCH(F2505,Assumptions!$K$4:$K$8,0)</f>
        <v>2</v>
      </c>
      <c r="O2505" s="21" t="str">
        <f aca="false">IF(H2505="Yes",MONTH(I2505),"")</f>
        <v/>
      </c>
      <c r="P2505" s="21" t="str">
        <f aca="false">IF(H2505="Yes",B2505,"")</f>
        <v/>
      </c>
    </row>
    <row r="2506" customFormat="false" ht="15" hidden="false" customHeight="false" outlineLevel="0" collapsed="false">
      <c r="A2506" s="21" t="s">
        <v>3721</v>
      </c>
      <c r="B2506" s="21" t="s">
        <v>868</v>
      </c>
      <c r="C2506" s="21" t="s">
        <v>1187</v>
      </c>
      <c r="D2506" s="21" t="s">
        <v>1226</v>
      </c>
      <c r="E2506" s="33" t="n">
        <v>45963</v>
      </c>
      <c r="F2506" s="21" t="s">
        <v>1218</v>
      </c>
      <c r="G2506" s="32"/>
      <c r="H2506" s="21"/>
      <c r="I2506" s="33"/>
      <c r="J2506" s="21" t="str">
        <f aca="false">INDEX(Students!$C$2:$C$601,MATCH(B2506,Students!$A$2:$A$601,0))</f>
        <v>Batch 2026</v>
      </c>
      <c r="K2506" s="21" t="str">
        <f aca="false">INDEX(Students!$D$2:$D$601,MATCH(B2506,Students!$A$2:$A$601,0))</f>
        <v>Cybersecurity</v>
      </c>
      <c r="L2506" s="21" t="str">
        <f aca="false">INDEX(Companies!$C$2:$C$31,MATCH(C2506,Companies!$A$2:$A$31,0))</f>
        <v>Product</v>
      </c>
      <c r="M2506" s="21" t="str">
        <f aca="false">INDEX(Companies!$D$2:$D$31,MATCH(C2506,Companies!$A$2:$A$31,0))</f>
        <v>Tier 1</v>
      </c>
      <c r="N2506" s="34" t="n">
        <f aca="false">MATCH(F2506,Assumptions!$K$4:$K$8,0)</f>
        <v>4</v>
      </c>
      <c r="O2506" s="21" t="str">
        <f aca="false">IF(H2506="Yes",MONTH(I2506),"")</f>
        <v/>
      </c>
      <c r="P2506" s="21" t="str">
        <f aca="false">IF(H2506="Yes",B2506,"")</f>
        <v/>
      </c>
    </row>
    <row r="2507" customFormat="false" ht="15" hidden="false" customHeight="false" outlineLevel="0" collapsed="false">
      <c r="A2507" s="21" t="s">
        <v>3722</v>
      </c>
      <c r="B2507" s="21" t="s">
        <v>999</v>
      </c>
      <c r="C2507" s="21" t="s">
        <v>1275</v>
      </c>
      <c r="D2507" s="21" t="s">
        <v>1184</v>
      </c>
      <c r="E2507" s="33" t="n">
        <v>45963</v>
      </c>
      <c r="F2507" s="21" t="s">
        <v>1185</v>
      </c>
      <c r="G2507" s="32" t="n">
        <v>10.3</v>
      </c>
      <c r="H2507" s="21" t="s">
        <v>120</v>
      </c>
      <c r="I2507" s="33" t="n">
        <v>46006</v>
      </c>
      <c r="J2507" s="21" t="str">
        <f aca="false">INDEX(Students!$C$2:$C$601,MATCH(B2507,Students!$A$2:$A$601,0))</f>
        <v>Batch 2026</v>
      </c>
      <c r="K2507" s="21" t="str">
        <f aca="false">INDEX(Students!$D$2:$D$601,MATCH(B2507,Students!$A$2:$A$601,0))</f>
        <v>DSA with Java</v>
      </c>
      <c r="L2507" s="21" t="str">
        <f aca="false">INDEX(Companies!$C$2:$C$31,MATCH(C2507,Companies!$A$2:$A$31,0))</f>
        <v>Cybersecurity</v>
      </c>
      <c r="M2507" s="21" t="str">
        <f aca="false">INDEX(Companies!$D$2:$D$31,MATCH(C2507,Companies!$A$2:$A$31,0))</f>
        <v>Tier 2</v>
      </c>
      <c r="N2507" s="34" t="n">
        <f aca="false">MATCH(F2507,Assumptions!$K$4:$K$8,0)</f>
        <v>5</v>
      </c>
      <c r="O2507" s="21" t="n">
        <f aca="false">IF(H2507="Yes",MONTH(I2507),"")</f>
        <v>12</v>
      </c>
      <c r="P2507" s="21" t="str">
        <f aca="false">IF(H2507="Yes",B2507,"")</f>
        <v>S0499</v>
      </c>
    </row>
    <row r="2508" customFormat="false" ht="15" hidden="false" customHeight="false" outlineLevel="0" collapsed="false">
      <c r="A2508" s="21" t="s">
        <v>3723</v>
      </c>
      <c r="B2508" s="21" t="s">
        <v>905</v>
      </c>
      <c r="C2508" s="21" t="s">
        <v>1234</v>
      </c>
      <c r="D2508" s="21" t="s">
        <v>1174</v>
      </c>
      <c r="E2508" s="33" t="n">
        <v>45963</v>
      </c>
      <c r="F2508" s="21" t="s">
        <v>1178</v>
      </c>
      <c r="G2508" s="32"/>
      <c r="H2508" s="21"/>
      <c r="I2508" s="33"/>
      <c r="J2508" s="21" t="str">
        <f aca="false">INDEX(Students!$C$2:$C$601,MATCH(B2508,Students!$A$2:$A$601,0))</f>
        <v>Batch 2026</v>
      </c>
      <c r="K2508" s="21" t="str">
        <f aca="false">INDEX(Students!$D$2:$D$601,MATCH(B2508,Students!$A$2:$A$601,0))</f>
        <v>Full Stack Development</v>
      </c>
      <c r="L2508" s="21" t="str">
        <f aca="false">INDEX(Companies!$C$2:$C$31,MATCH(C2508,Companies!$A$2:$A$31,0))</f>
        <v>EdTech</v>
      </c>
      <c r="M2508" s="21" t="str">
        <f aca="false">INDEX(Companies!$D$2:$D$31,MATCH(C2508,Companies!$A$2:$A$31,0))</f>
        <v>Tier 3</v>
      </c>
      <c r="N2508" s="34" t="n">
        <f aca="false">MATCH(F2508,Assumptions!$K$4:$K$8,0)</f>
        <v>2</v>
      </c>
      <c r="O2508" s="21" t="str">
        <f aca="false">IF(H2508="Yes",MONTH(I2508),"")</f>
        <v/>
      </c>
      <c r="P2508" s="21" t="str">
        <f aca="false">IF(H2508="Yes",B2508,"")</f>
        <v/>
      </c>
    </row>
    <row r="2509" customFormat="false" ht="15" hidden="false" customHeight="false" outlineLevel="0" collapsed="false">
      <c r="A2509" s="21" t="s">
        <v>3724</v>
      </c>
      <c r="B2509" s="21" t="s">
        <v>836</v>
      </c>
      <c r="C2509" s="21" t="s">
        <v>1263</v>
      </c>
      <c r="D2509" s="21" t="s">
        <v>1194</v>
      </c>
      <c r="E2509" s="33" t="n">
        <v>45964</v>
      </c>
      <c r="F2509" s="21" t="s">
        <v>1178</v>
      </c>
      <c r="G2509" s="32"/>
      <c r="H2509" s="21"/>
      <c r="I2509" s="33"/>
      <c r="J2509" s="21" t="str">
        <f aca="false">INDEX(Students!$C$2:$C$601,MATCH(B2509,Students!$A$2:$A$601,0))</f>
        <v>Batch 2026</v>
      </c>
      <c r="K2509" s="21" t="str">
        <f aca="false">INDEX(Students!$D$2:$D$601,MATCH(B2509,Students!$A$2:$A$601,0))</f>
        <v>Data Science &amp; ML</v>
      </c>
      <c r="L2509" s="21" t="str">
        <f aca="false">INDEX(Companies!$C$2:$C$31,MATCH(C2509,Companies!$A$2:$A$31,0))</f>
        <v>Analytics &amp; Consulting</v>
      </c>
      <c r="M2509" s="21" t="str">
        <f aca="false">INDEX(Companies!$D$2:$D$31,MATCH(C2509,Companies!$A$2:$A$31,0))</f>
        <v>Tier 2</v>
      </c>
      <c r="N2509" s="34" t="n">
        <f aca="false">MATCH(F2509,Assumptions!$K$4:$K$8,0)</f>
        <v>2</v>
      </c>
      <c r="O2509" s="21" t="str">
        <f aca="false">IF(H2509="Yes",MONTH(I2509),"")</f>
        <v/>
      </c>
      <c r="P2509" s="21" t="str">
        <f aca="false">IF(H2509="Yes",B2509,"")</f>
        <v/>
      </c>
    </row>
    <row r="2510" customFormat="false" ht="15" hidden="false" customHeight="false" outlineLevel="0" collapsed="false">
      <c r="A2510" s="21" t="s">
        <v>3725</v>
      </c>
      <c r="B2510" s="21" t="s">
        <v>1046</v>
      </c>
      <c r="C2510" s="21" t="s">
        <v>1230</v>
      </c>
      <c r="D2510" s="21" t="s">
        <v>1174</v>
      </c>
      <c r="E2510" s="33" t="n">
        <v>45964</v>
      </c>
      <c r="F2510" s="21" t="s">
        <v>1185</v>
      </c>
      <c r="G2510" s="32" t="n">
        <v>5.7</v>
      </c>
      <c r="H2510" s="21" t="s">
        <v>113</v>
      </c>
      <c r="I2510" s="33" t="n">
        <v>46010</v>
      </c>
      <c r="J2510" s="21" t="str">
        <f aca="false">INDEX(Students!$C$2:$C$601,MATCH(B2510,Students!$A$2:$A$601,0))</f>
        <v>Batch 2026</v>
      </c>
      <c r="K2510" s="21" t="str">
        <f aca="false">INDEX(Students!$D$2:$D$601,MATCH(B2510,Students!$A$2:$A$601,0))</f>
        <v>Full Stack Development</v>
      </c>
      <c r="L2510" s="21" t="str">
        <f aca="false">INDEX(Companies!$C$2:$C$31,MATCH(C2510,Companies!$A$2:$A$31,0))</f>
        <v>IT Services</v>
      </c>
      <c r="M2510" s="21" t="str">
        <f aca="false">INDEX(Companies!$D$2:$D$31,MATCH(C2510,Companies!$A$2:$A$31,0))</f>
        <v>Tier 3</v>
      </c>
      <c r="N2510" s="34" t="n">
        <f aca="false">MATCH(F2510,Assumptions!$K$4:$K$8,0)</f>
        <v>5</v>
      </c>
      <c r="O2510" s="21" t="str">
        <f aca="false">IF(H2510="Yes",MONTH(I2510),"")</f>
        <v/>
      </c>
      <c r="P2510" s="21" t="str">
        <f aca="false">IF(H2510="Yes",B2510,"")</f>
        <v/>
      </c>
    </row>
    <row r="2511" customFormat="false" ht="15" hidden="false" customHeight="false" outlineLevel="0" collapsed="false">
      <c r="A2511" s="21" t="s">
        <v>3726</v>
      </c>
      <c r="B2511" s="21" t="s">
        <v>1126</v>
      </c>
      <c r="C2511" s="21" t="s">
        <v>1205</v>
      </c>
      <c r="D2511" s="21" t="s">
        <v>1191</v>
      </c>
      <c r="E2511" s="33" t="n">
        <v>45964</v>
      </c>
      <c r="F2511" s="21" t="s">
        <v>1185</v>
      </c>
      <c r="G2511" s="32" t="n">
        <v>5.4</v>
      </c>
      <c r="H2511" s="21" t="s">
        <v>113</v>
      </c>
      <c r="I2511" s="33" t="n">
        <v>46011</v>
      </c>
      <c r="J2511" s="21" t="str">
        <f aca="false">INDEX(Students!$C$2:$C$601,MATCH(B2511,Students!$A$2:$A$601,0))</f>
        <v>Batch 2026</v>
      </c>
      <c r="K2511" s="21" t="str">
        <f aca="false">INDEX(Students!$D$2:$D$601,MATCH(B2511,Students!$A$2:$A$601,0))</f>
        <v>DSA with Java</v>
      </c>
      <c r="L2511" s="21" t="str">
        <f aca="false">INDEX(Companies!$C$2:$C$31,MATCH(C2511,Companies!$A$2:$A$31,0))</f>
        <v>Healthtech</v>
      </c>
      <c r="M2511" s="21" t="str">
        <f aca="false">INDEX(Companies!$D$2:$D$31,MATCH(C2511,Companies!$A$2:$A$31,0))</f>
        <v>Tier 3</v>
      </c>
      <c r="N2511" s="34" t="n">
        <f aca="false">MATCH(F2511,Assumptions!$K$4:$K$8,0)</f>
        <v>5</v>
      </c>
      <c r="O2511" s="21" t="str">
        <f aca="false">IF(H2511="Yes",MONTH(I2511),"")</f>
        <v/>
      </c>
      <c r="P2511" s="21" t="str">
        <f aca="false">IF(H2511="Yes",B2511,"")</f>
        <v/>
      </c>
    </row>
    <row r="2512" customFormat="false" ht="15" hidden="false" customHeight="false" outlineLevel="0" collapsed="false">
      <c r="A2512" s="21" t="s">
        <v>3727</v>
      </c>
      <c r="B2512" s="21" t="s">
        <v>1004</v>
      </c>
      <c r="C2512" s="21" t="s">
        <v>1309</v>
      </c>
      <c r="D2512" s="21" t="s">
        <v>1174</v>
      </c>
      <c r="E2512" s="33" t="n">
        <v>45965</v>
      </c>
      <c r="F2512" s="21" t="s">
        <v>1175</v>
      </c>
      <c r="G2512" s="32"/>
      <c r="H2512" s="21"/>
      <c r="I2512" s="33"/>
      <c r="J2512" s="21" t="str">
        <f aca="false">INDEX(Students!$C$2:$C$601,MATCH(B2512,Students!$A$2:$A$601,0))</f>
        <v>Batch 2026</v>
      </c>
      <c r="K2512" s="21" t="str">
        <f aca="false">INDEX(Students!$D$2:$D$601,MATCH(B2512,Students!$A$2:$A$601,0))</f>
        <v>Full Stack Development</v>
      </c>
      <c r="L2512" s="21" t="str">
        <f aca="false">INDEX(Companies!$C$2:$C$31,MATCH(C2512,Companies!$A$2:$A$31,0))</f>
        <v>EdTech</v>
      </c>
      <c r="M2512" s="21" t="str">
        <f aca="false">INDEX(Companies!$D$2:$D$31,MATCH(C2512,Companies!$A$2:$A$31,0))</f>
        <v>Tier 2</v>
      </c>
      <c r="N2512" s="34" t="n">
        <f aca="false">MATCH(F2512,Assumptions!$K$4:$K$8,0)</f>
        <v>1</v>
      </c>
      <c r="O2512" s="21" t="str">
        <f aca="false">IF(H2512="Yes",MONTH(I2512),"")</f>
        <v/>
      </c>
      <c r="P2512" s="21" t="str">
        <f aca="false">IF(H2512="Yes",B2512,"")</f>
        <v/>
      </c>
    </row>
    <row r="2513" customFormat="false" ht="15" hidden="false" customHeight="false" outlineLevel="0" collapsed="false">
      <c r="A2513" s="21" t="s">
        <v>3728</v>
      </c>
      <c r="B2513" s="21" t="s">
        <v>1114</v>
      </c>
      <c r="C2513" s="21" t="s">
        <v>1214</v>
      </c>
      <c r="D2513" s="21" t="s">
        <v>1243</v>
      </c>
      <c r="E2513" s="33" t="n">
        <v>45965</v>
      </c>
      <c r="F2513" s="21" t="s">
        <v>1197</v>
      </c>
      <c r="G2513" s="32"/>
      <c r="H2513" s="21"/>
      <c r="I2513" s="33"/>
      <c r="J2513" s="21" t="str">
        <f aca="false">INDEX(Students!$C$2:$C$601,MATCH(B2513,Students!$A$2:$A$601,0))</f>
        <v>Batch 2026</v>
      </c>
      <c r="K2513" s="21" t="str">
        <f aca="false">INDEX(Students!$D$2:$D$601,MATCH(B2513,Students!$A$2:$A$601,0))</f>
        <v>Data Science &amp; ML</v>
      </c>
      <c r="L2513" s="21" t="str">
        <f aca="false">INDEX(Companies!$C$2:$C$31,MATCH(C2513,Companies!$A$2:$A$31,0))</f>
        <v>Product</v>
      </c>
      <c r="M2513" s="21" t="str">
        <f aca="false">INDEX(Companies!$D$2:$D$31,MATCH(C2513,Companies!$A$2:$A$31,0))</f>
        <v>Tier 1</v>
      </c>
      <c r="N2513" s="34" t="n">
        <f aca="false">MATCH(F2513,Assumptions!$K$4:$K$8,0)</f>
        <v>3</v>
      </c>
      <c r="O2513" s="21" t="str">
        <f aca="false">IF(H2513="Yes",MONTH(I2513),"")</f>
        <v/>
      </c>
      <c r="P2513" s="21" t="str">
        <f aca="false">IF(H2513="Yes",B2513,"")</f>
        <v/>
      </c>
    </row>
    <row r="2514" customFormat="false" ht="15" hidden="false" customHeight="false" outlineLevel="0" collapsed="false">
      <c r="A2514" s="21" t="s">
        <v>3729</v>
      </c>
      <c r="B2514" s="21" t="s">
        <v>952</v>
      </c>
      <c r="C2514" s="21" t="s">
        <v>1234</v>
      </c>
      <c r="D2514" s="21" t="s">
        <v>1191</v>
      </c>
      <c r="E2514" s="33" t="n">
        <v>45965</v>
      </c>
      <c r="F2514" s="21" t="s">
        <v>1197</v>
      </c>
      <c r="G2514" s="32"/>
      <c r="H2514" s="21"/>
      <c r="I2514" s="33"/>
      <c r="J2514" s="21" t="str">
        <f aca="false">INDEX(Students!$C$2:$C$601,MATCH(B2514,Students!$A$2:$A$601,0))</f>
        <v>Batch 2026</v>
      </c>
      <c r="K2514" s="21" t="str">
        <f aca="false">INDEX(Students!$D$2:$D$601,MATCH(B2514,Students!$A$2:$A$601,0))</f>
        <v>DSA with Java</v>
      </c>
      <c r="L2514" s="21" t="str">
        <f aca="false">INDEX(Companies!$C$2:$C$31,MATCH(C2514,Companies!$A$2:$A$31,0))</f>
        <v>EdTech</v>
      </c>
      <c r="M2514" s="21" t="str">
        <f aca="false">INDEX(Companies!$D$2:$D$31,MATCH(C2514,Companies!$A$2:$A$31,0))</f>
        <v>Tier 3</v>
      </c>
      <c r="N2514" s="34" t="n">
        <f aca="false">MATCH(F2514,Assumptions!$K$4:$K$8,0)</f>
        <v>3</v>
      </c>
      <c r="O2514" s="21" t="str">
        <f aca="false">IF(H2514="Yes",MONTH(I2514),"")</f>
        <v/>
      </c>
      <c r="P2514" s="21" t="str">
        <f aca="false">IF(H2514="Yes",B2514,"")</f>
        <v/>
      </c>
    </row>
    <row r="2515" customFormat="false" ht="15" hidden="false" customHeight="false" outlineLevel="0" collapsed="false">
      <c r="A2515" s="21" t="s">
        <v>3730</v>
      </c>
      <c r="B2515" s="21" t="s">
        <v>950</v>
      </c>
      <c r="C2515" s="21" t="s">
        <v>1199</v>
      </c>
      <c r="D2515" s="21" t="s">
        <v>1191</v>
      </c>
      <c r="E2515" s="33" t="n">
        <v>45965</v>
      </c>
      <c r="F2515" s="21" t="s">
        <v>1185</v>
      </c>
      <c r="G2515" s="32" t="n">
        <v>11.8</v>
      </c>
      <c r="H2515" s="21" t="s">
        <v>113</v>
      </c>
      <c r="I2515" s="33" t="n">
        <v>46008</v>
      </c>
      <c r="J2515" s="21" t="str">
        <f aca="false">INDEX(Students!$C$2:$C$601,MATCH(B2515,Students!$A$2:$A$601,0))</f>
        <v>Batch 2026</v>
      </c>
      <c r="K2515" s="21" t="str">
        <f aca="false">INDEX(Students!$D$2:$D$601,MATCH(B2515,Students!$A$2:$A$601,0))</f>
        <v>DSA with Java</v>
      </c>
      <c r="L2515" s="21" t="str">
        <f aca="false">INDEX(Companies!$C$2:$C$31,MATCH(C2515,Companies!$A$2:$A$31,0))</f>
        <v>E-commerce</v>
      </c>
      <c r="M2515" s="21" t="str">
        <f aca="false">INDEX(Companies!$D$2:$D$31,MATCH(C2515,Companies!$A$2:$A$31,0))</f>
        <v>Tier 2</v>
      </c>
      <c r="N2515" s="34" t="n">
        <f aca="false">MATCH(F2515,Assumptions!$K$4:$K$8,0)</f>
        <v>5</v>
      </c>
      <c r="O2515" s="21" t="str">
        <f aca="false">IF(H2515="Yes",MONTH(I2515),"")</f>
        <v/>
      </c>
      <c r="P2515" s="21" t="str">
        <f aca="false">IF(H2515="Yes",B2515,"")</f>
        <v/>
      </c>
    </row>
    <row r="2516" customFormat="false" ht="15" hidden="false" customHeight="false" outlineLevel="0" collapsed="false">
      <c r="A2516" s="21" t="s">
        <v>3731</v>
      </c>
      <c r="B2516" s="21" t="s">
        <v>876</v>
      </c>
      <c r="C2516" s="21" t="s">
        <v>1228</v>
      </c>
      <c r="D2516" s="21" t="s">
        <v>1184</v>
      </c>
      <c r="E2516" s="33" t="n">
        <v>45966</v>
      </c>
      <c r="F2516" s="21" t="s">
        <v>1178</v>
      </c>
      <c r="G2516" s="32"/>
      <c r="H2516" s="21"/>
      <c r="I2516" s="33"/>
      <c r="J2516" s="21" t="str">
        <f aca="false">INDEX(Students!$C$2:$C$601,MATCH(B2516,Students!$A$2:$A$601,0))</f>
        <v>Batch 2026</v>
      </c>
      <c r="K2516" s="21" t="str">
        <f aca="false">INDEX(Students!$D$2:$D$601,MATCH(B2516,Students!$A$2:$A$601,0))</f>
        <v>DSA with Java</v>
      </c>
      <c r="L2516" s="21" t="str">
        <f aca="false">INDEX(Companies!$C$2:$C$31,MATCH(C2516,Companies!$A$2:$A$31,0))</f>
        <v>Fintech</v>
      </c>
      <c r="M2516" s="21" t="str">
        <f aca="false">INDEX(Companies!$D$2:$D$31,MATCH(C2516,Companies!$A$2:$A$31,0))</f>
        <v>Tier 1</v>
      </c>
      <c r="N2516" s="34" t="n">
        <f aca="false">MATCH(F2516,Assumptions!$K$4:$K$8,0)</f>
        <v>2</v>
      </c>
      <c r="O2516" s="21" t="str">
        <f aca="false">IF(H2516="Yes",MONTH(I2516),"")</f>
        <v/>
      </c>
      <c r="P2516" s="21" t="str">
        <f aca="false">IF(H2516="Yes",B2516,"")</f>
        <v/>
      </c>
    </row>
    <row r="2517" customFormat="false" ht="15" hidden="false" customHeight="false" outlineLevel="0" collapsed="false">
      <c r="A2517" s="21" t="s">
        <v>3732</v>
      </c>
      <c r="B2517" s="21" t="s">
        <v>999</v>
      </c>
      <c r="C2517" s="21" t="s">
        <v>1201</v>
      </c>
      <c r="D2517" s="21" t="s">
        <v>1191</v>
      </c>
      <c r="E2517" s="33" t="n">
        <v>45966</v>
      </c>
      <c r="F2517" s="21" t="s">
        <v>1175</v>
      </c>
      <c r="G2517" s="32"/>
      <c r="H2517" s="21"/>
      <c r="I2517" s="33"/>
      <c r="J2517" s="21" t="str">
        <f aca="false">INDEX(Students!$C$2:$C$601,MATCH(B2517,Students!$A$2:$A$601,0))</f>
        <v>Batch 2026</v>
      </c>
      <c r="K2517" s="21" t="str">
        <f aca="false">INDEX(Students!$D$2:$D$601,MATCH(B2517,Students!$A$2:$A$601,0))</f>
        <v>DSA with Java</v>
      </c>
      <c r="L2517" s="21" t="str">
        <f aca="false">INDEX(Companies!$C$2:$C$31,MATCH(C2517,Companies!$A$2:$A$31,0))</f>
        <v>IT Services</v>
      </c>
      <c r="M2517" s="21" t="str">
        <f aca="false">INDEX(Companies!$D$2:$D$31,MATCH(C2517,Companies!$A$2:$A$31,0))</f>
        <v>Tier 3</v>
      </c>
      <c r="N2517" s="34" t="n">
        <f aca="false">MATCH(F2517,Assumptions!$K$4:$K$8,0)</f>
        <v>1</v>
      </c>
      <c r="O2517" s="21" t="str">
        <f aca="false">IF(H2517="Yes",MONTH(I2517),"")</f>
        <v/>
      </c>
      <c r="P2517" s="21" t="str">
        <f aca="false">IF(H2517="Yes",B2517,"")</f>
        <v/>
      </c>
    </row>
    <row r="2518" customFormat="false" ht="15" hidden="false" customHeight="false" outlineLevel="0" collapsed="false">
      <c r="A2518" s="21" t="s">
        <v>3733</v>
      </c>
      <c r="B2518" s="21" t="s">
        <v>1046</v>
      </c>
      <c r="C2518" s="21" t="s">
        <v>1234</v>
      </c>
      <c r="D2518" s="21" t="s">
        <v>1181</v>
      </c>
      <c r="E2518" s="33" t="n">
        <v>45966</v>
      </c>
      <c r="F2518" s="21" t="s">
        <v>1185</v>
      </c>
      <c r="G2518" s="32" t="n">
        <v>6.4</v>
      </c>
      <c r="H2518" s="21" t="s">
        <v>120</v>
      </c>
      <c r="I2518" s="33" t="n">
        <v>46012</v>
      </c>
      <c r="J2518" s="21" t="str">
        <f aca="false">INDEX(Students!$C$2:$C$601,MATCH(B2518,Students!$A$2:$A$601,0))</f>
        <v>Batch 2026</v>
      </c>
      <c r="K2518" s="21" t="str">
        <f aca="false">INDEX(Students!$D$2:$D$601,MATCH(B2518,Students!$A$2:$A$601,0))</f>
        <v>Full Stack Development</v>
      </c>
      <c r="L2518" s="21" t="str">
        <f aca="false">INDEX(Companies!$C$2:$C$31,MATCH(C2518,Companies!$A$2:$A$31,0))</f>
        <v>EdTech</v>
      </c>
      <c r="M2518" s="21" t="str">
        <f aca="false">INDEX(Companies!$D$2:$D$31,MATCH(C2518,Companies!$A$2:$A$31,0))</f>
        <v>Tier 3</v>
      </c>
      <c r="N2518" s="34" t="n">
        <f aca="false">MATCH(F2518,Assumptions!$K$4:$K$8,0)</f>
        <v>5</v>
      </c>
      <c r="O2518" s="21" t="n">
        <f aca="false">IF(H2518="Yes",MONTH(I2518),"")</f>
        <v>12</v>
      </c>
      <c r="P2518" s="21" t="str">
        <f aca="false">IF(H2518="Yes",B2518,"")</f>
        <v>S0528</v>
      </c>
    </row>
    <row r="2519" customFormat="false" ht="15" hidden="false" customHeight="false" outlineLevel="0" collapsed="false">
      <c r="A2519" s="21" t="s">
        <v>3734</v>
      </c>
      <c r="B2519" s="21" t="s">
        <v>880</v>
      </c>
      <c r="C2519" s="21" t="s">
        <v>1216</v>
      </c>
      <c r="D2519" s="21" t="s">
        <v>1184</v>
      </c>
      <c r="E2519" s="33" t="n">
        <v>45966</v>
      </c>
      <c r="F2519" s="21" t="s">
        <v>1185</v>
      </c>
      <c r="G2519" s="32" t="n">
        <v>5.8</v>
      </c>
      <c r="H2519" s="21" t="s">
        <v>120</v>
      </c>
      <c r="I2519" s="33" t="n">
        <v>46020</v>
      </c>
      <c r="J2519" s="21" t="str">
        <f aca="false">INDEX(Students!$C$2:$C$601,MATCH(B2519,Students!$A$2:$A$601,0))</f>
        <v>Batch 2026</v>
      </c>
      <c r="K2519" s="21" t="str">
        <f aca="false">INDEX(Students!$D$2:$D$601,MATCH(B2519,Students!$A$2:$A$601,0))</f>
        <v>DSA with Java</v>
      </c>
      <c r="L2519" s="21" t="str">
        <f aca="false">INDEX(Companies!$C$2:$C$31,MATCH(C2519,Companies!$A$2:$A$31,0))</f>
        <v>IT Services</v>
      </c>
      <c r="M2519" s="21" t="str">
        <f aca="false">INDEX(Companies!$D$2:$D$31,MATCH(C2519,Companies!$A$2:$A$31,0))</f>
        <v>Tier 3</v>
      </c>
      <c r="N2519" s="34" t="n">
        <f aca="false">MATCH(F2519,Assumptions!$K$4:$K$8,0)</f>
        <v>5</v>
      </c>
      <c r="O2519" s="21" t="n">
        <f aca="false">IF(H2519="Yes",MONTH(I2519),"")</f>
        <v>12</v>
      </c>
      <c r="P2519" s="21" t="str">
        <f aca="false">IF(H2519="Yes",B2519,"")</f>
        <v>S0425</v>
      </c>
    </row>
    <row r="2520" customFormat="false" ht="15" hidden="false" customHeight="false" outlineLevel="0" collapsed="false">
      <c r="A2520" s="21" t="s">
        <v>3735</v>
      </c>
      <c r="B2520" s="21" t="s">
        <v>1009</v>
      </c>
      <c r="C2520" s="21" t="s">
        <v>1290</v>
      </c>
      <c r="D2520" s="21" t="s">
        <v>1191</v>
      </c>
      <c r="E2520" s="33" t="n">
        <v>45966</v>
      </c>
      <c r="F2520" s="21" t="s">
        <v>1178</v>
      </c>
      <c r="G2520" s="32"/>
      <c r="H2520" s="21"/>
      <c r="I2520" s="33"/>
      <c r="J2520" s="21" t="str">
        <f aca="false">INDEX(Students!$C$2:$C$601,MATCH(B2520,Students!$A$2:$A$601,0))</f>
        <v>Batch 2026</v>
      </c>
      <c r="K2520" s="21" t="str">
        <f aca="false">INDEX(Students!$D$2:$D$601,MATCH(B2520,Students!$A$2:$A$601,0))</f>
        <v>DSA with Java</v>
      </c>
      <c r="L2520" s="21" t="str">
        <f aca="false">INDEX(Companies!$C$2:$C$31,MATCH(C2520,Companies!$A$2:$A$31,0))</f>
        <v>Fintech</v>
      </c>
      <c r="M2520" s="21" t="str">
        <f aca="false">INDEX(Companies!$D$2:$D$31,MATCH(C2520,Companies!$A$2:$A$31,0))</f>
        <v>Tier 2</v>
      </c>
      <c r="N2520" s="34" t="n">
        <f aca="false">MATCH(F2520,Assumptions!$K$4:$K$8,0)</f>
        <v>2</v>
      </c>
      <c r="O2520" s="21" t="str">
        <f aca="false">IF(H2520="Yes",MONTH(I2520),"")</f>
        <v/>
      </c>
      <c r="P2520" s="21" t="str">
        <f aca="false">IF(H2520="Yes",B2520,"")</f>
        <v/>
      </c>
    </row>
    <row r="2521" customFormat="false" ht="15" hidden="false" customHeight="false" outlineLevel="0" collapsed="false">
      <c r="A2521" s="21" t="s">
        <v>3736</v>
      </c>
      <c r="B2521" s="21" t="s">
        <v>822</v>
      </c>
      <c r="C2521" s="21" t="s">
        <v>1322</v>
      </c>
      <c r="D2521" s="21" t="s">
        <v>1209</v>
      </c>
      <c r="E2521" s="33" t="n">
        <v>45966</v>
      </c>
      <c r="F2521" s="21" t="s">
        <v>1218</v>
      </c>
      <c r="G2521" s="32"/>
      <c r="H2521" s="21"/>
      <c r="I2521" s="33"/>
      <c r="J2521" s="21" t="str">
        <f aca="false">INDEX(Students!$C$2:$C$601,MATCH(B2521,Students!$A$2:$A$601,0))</f>
        <v>Batch 2026</v>
      </c>
      <c r="K2521" s="21" t="str">
        <f aca="false">INDEX(Students!$D$2:$D$601,MATCH(B2521,Students!$A$2:$A$601,0))</f>
        <v>Data Analytics</v>
      </c>
      <c r="L2521" s="21" t="str">
        <f aca="false">INDEX(Companies!$C$2:$C$31,MATCH(C2521,Companies!$A$2:$A$31,0))</f>
        <v>Healthtech</v>
      </c>
      <c r="M2521" s="21" t="str">
        <f aca="false">INDEX(Companies!$D$2:$D$31,MATCH(C2521,Companies!$A$2:$A$31,0))</f>
        <v>Tier 2</v>
      </c>
      <c r="N2521" s="34" t="n">
        <f aca="false">MATCH(F2521,Assumptions!$K$4:$K$8,0)</f>
        <v>4</v>
      </c>
      <c r="O2521" s="21" t="str">
        <f aca="false">IF(H2521="Yes",MONTH(I2521),"")</f>
        <v/>
      </c>
      <c r="P2521" s="21" t="str">
        <f aca="false">IF(H2521="Yes",B2521,"")</f>
        <v/>
      </c>
    </row>
    <row r="2522" customFormat="false" ht="15" hidden="false" customHeight="false" outlineLevel="0" collapsed="false">
      <c r="A2522" s="21" t="s">
        <v>3737</v>
      </c>
      <c r="B2522" s="21" t="s">
        <v>1080</v>
      </c>
      <c r="C2522" s="21" t="s">
        <v>1275</v>
      </c>
      <c r="D2522" s="21" t="s">
        <v>1191</v>
      </c>
      <c r="E2522" s="33" t="n">
        <v>45966</v>
      </c>
      <c r="F2522" s="21" t="s">
        <v>1185</v>
      </c>
      <c r="G2522" s="32" t="n">
        <v>14.5</v>
      </c>
      <c r="H2522" s="21" t="s">
        <v>120</v>
      </c>
      <c r="I2522" s="33" t="n">
        <v>46010</v>
      </c>
      <c r="J2522" s="21" t="str">
        <f aca="false">INDEX(Students!$C$2:$C$601,MATCH(B2522,Students!$A$2:$A$601,0))</f>
        <v>Batch 2026</v>
      </c>
      <c r="K2522" s="21" t="str">
        <f aca="false">INDEX(Students!$D$2:$D$601,MATCH(B2522,Students!$A$2:$A$601,0))</f>
        <v>DSA with Java</v>
      </c>
      <c r="L2522" s="21" t="str">
        <f aca="false">INDEX(Companies!$C$2:$C$31,MATCH(C2522,Companies!$A$2:$A$31,0))</f>
        <v>Cybersecurity</v>
      </c>
      <c r="M2522" s="21" t="str">
        <f aca="false">INDEX(Companies!$D$2:$D$31,MATCH(C2522,Companies!$A$2:$A$31,0))</f>
        <v>Tier 2</v>
      </c>
      <c r="N2522" s="34" t="n">
        <f aca="false">MATCH(F2522,Assumptions!$K$4:$K$8,0)</f>
        <v>5</v>
      </c>
      <c r="O2522" s="21" t="n">
        <f aca="false">IF(H2522="Yes",MONTH(I2522),"")</f>
        <v>12</v>
      </c>
      <c r="P2522" s="21" t="str">
        <f aca="false">IF(H2522="Yes",B2522,"")</f>
        <v>S0549</v>
      </c>
    </row>
    <row r="2523" customFormat="false" ht="15" hidden="false" customHeight="false" outlineLevel="0" collapsed="false">
      <c r="A2523" s="21" t="s">
        <v>3738</v>
      </c>
      <c r="B2523" s="21" t="s">
        <v>958</v>
      </c>
      <c r="C2523" s="21" t="s">
        <v>1234</v>
      </c>
      <c r="D2523" s="21" t="s">
        <v>1184</v>
      </c>
      <c r="E2523" s="33" t="n">
        <v>45966</v>
      </c>
      <c r="F2523" s="21" t="s">
        <v>1185</v>
      </c>
      <c r="G2523" s="32" t="n">
        <v>6</v>
      </c>
      <c r="H2523" s="21" t="s">
        <v>113</v>
      </c>
      <c r="I2523" s="33" t="n">
        <v>45996</v>
      </c>
      <c r="J2523" s="21" t="str">
        <f aca="false">INDEX(Students!$C$2:$C$601,MATCH(B2523,Students!$A$2:$A$601,0))</f>
        <v>Batch 2026</v>
      </c>
      <c r="K2523" s="21" t="str">
        <f aca="false">INDEX(Students!$D$2:$D$601,MATCH(B2523,Students!$A$2:$A$601,0))</f>
        <v>DSA with Java</v>
      </c>
      <c r="L2523" s="21" t="str">
        <f aca="false">INDEX(Companies!$C$2:$C$31,MATCH(C2523,Companies!$A$2:$A$31,0))</f>
        <v>EdTech</v>
      </c>
      <c r="M2523" s="21" t="str">
        <f aca="false">INDEX(Companies!$D$2:$D$31,MATCH(C2523,Companies!$A$2:$A$31,0))</f>
        <v>Tier 3</v>
      </c>
      <c r="N2523" s="34" t="n">
        <f aca="false">MATCH(F2523,Assumptions!$K$4:$K$8,0)</f>
        <v>5</v>
      </c>
      <c r="O2523" s="21" t="str">
        <f aca="false">IF(H2523="Yes",MONTH(I2523),"")</f>
        <v/>
      </c>
      <c r="P2523" s="21" t="str">
        <f aca="false">IF(H2523="Yes",B2523,"")</f>
        <v/>
      </c>
    </row>
    <row r="2524" customFormat="false" ht="15" hidden="false" customHeight="false" outlineLevel="0" collapsed="false">
      <c r="A2524" s="21" t="s">
        <v>3739</v>
      </c>
      <c r="B2524" s="21" t="s">
        <v>1153</v>
      </c>
      <c r="C2524" s="21" t="s">
        <v>1173</v>
      </c>
      <c r="D2524" s="21" t="s">
        <v>1188</v>
      </c>
      <c r="E2524" s="33" t="n">
        <v>45966</v>
      </c>
      <c r="F2524" s="21" t="s">
        <v>1178</v>
      </c>
      <c r="G2524" s="32"/>
      <c r="H2524" s="21"/>
      <c r="I2524" s="33"/>
      <c r="J2524" s="21" t="str">
        <f aca="false">INDEX(Students!$C$2:$C$601,MATCH(B2524,Students!$A$2:$A$601,0))</f>
        <v>Batch 2026</v>
      </c>
      <c r="K2524" s="21" t="str">
        <f aca="false">INDEX(Students!$D$2:$D$601,MATCH(B2524,Students!$A$2:$A$601,0))</f>
        <v>Data Analytics</v>
      </c>
      <c r="L2524" s="21" t="str">
        <f aca="false">INDEX(Companies!$C$2:$C$31,MATCH(C2524,Companies!$A$2:$A$31,0))</f>
        <v>Cybersecurity</v>
      </c>
      <c r="M2524" s="21" t="str">
        <f aca="false">INDEX(Companies!$D$2:$D$31,MATCH(C2524,Companies!$A$2:$A$31,0))</f>
        <v>Tier 1</v>
      </c>
      <c r="N2524" s="34" t="n">
        <f aca="false">MATCH(F2524,Assumptions!$K$4:$K$8,0)</f>
        <v>2</v>
      </c>
      <c r="O2524" s="21" t="str">
        <f aca="false">IF(H2524="Yes",MONTH(I2524),"")</f>
        <v/>
      </c>
      <c r="P2524" s="21" t="str">
        <f aca="false">IF(H2524="Yes",B2524,"")</f>
        <v/>
      </c>
    </row>
    <row r="2525" customFormat="false" ht="15" hidden="false" customHeight="false" outlineLevel="0" collapsed="false">
      <c r="A2525" s="21" t="s">
        <v>3740</v>
      </c>
      <c r="B2525" s="21" t="s">
        <v>861</v>
      </c>
      <c r="C2525" s="21" t="s">
        <v>1222</v>
      </c>
      <c r="D2525" s="21" t="s">
        <v>1184</v>
      </c>
      <c r="E2525" s="33" t="n">
        <v>45967</v>
      </c>
      <c r="F2525" s="21" t="s">
        <v>1175</v>
      </c>
      <c r="G2525" s="32"/>
      <c r="H2525" s="21"/>
      <c r="I2525" s="33"/>
      <c r="J2525" s="21" t="str">
        <f aca="false">INDEX(Students!$C$2:$C$601,MATCH(B2525,Students!$A$2:$A$601,0))</f>
        <v>Batch 2026</v>
      </c>
      <c r="K2525" s="21" t="str">
        <f aca="false">INDEX(Students!$D$2:$D$601,MATCH(B2525,Students!$A$2:$A$601,0))</f>
        <v>DSA with Java</v>
      </c>
      <c r="L2525" s="21" t="str">
        <f aca="false">INDEX(Companies!$C$2:$C$31,MATCH(C2525,Companies!$A$2:$A$31,0))</f>
        <v>Product</v>
      </c>
      <c r="M2525" s="21" t="str">
        <f aca="false">INDEX(Companies!$D$2:$D$31,MATCH(C2525,Companies!$A$2:$A$31,0))</f>
        <v>Tier 2</v>
      </c>
      <c r="N2525" s="34" t="n">
        <f aca="false">MATCH(F2525,Assumptions!$K$4:$K$8,0)</f>
        <v>1</v>
      </c>
      <c r="O2525" s="21" t="str">
        <f aca="false">IF(H2525="Yes",MONTH(I2525),"")</f>
        <v/>
      </c>
      <c r="P2525" s="21" t="str">
        <f aca="false">IF(H2525="Yes",B2525,"")</f>
        <v/>
      </c>
    </row>
    <row r="2526" customFormat="false" ht="15" hidden="false" customHeight="false" outlineLevel="0" collapsed="false">
      <c r="A2526" s="21" t="s">
        <v>3741</v>
      </c>
      <c r="B2526" s="21" t="s">
        <v>963</v>
      </c>
      <c r="C2526" s="21" t="s">
        <v>1196</v>
      </c>
      <c r="D2526" s="21" t="s">
        <v>1174</v>
      </c>
      <c r="E2526" s="33" t="n">
        <v>45967</v>
      </c>
      <c r="F2526" s="21" t="s">
        <v>1197</v>
      </c>
      <c r="G2526" s="32"/>
      <c r="H2526" s="21"/>
      <c r="I2526" s="33"/>
      <c r="J2526" s="21" t="str">
        <f aca="false">INDEX(Students!$C$2:$C$601,MATCH(B2526,Students!$A$2:$A$601,0))</f>
        <v>Batch 2026</v>
      </c>
      <c r="K2526" s="21" t="str">
        <f aca="false">INDEX(Students!$D$2:$D$601,MATCH(B2526,Students!$A$2:$A$601,0))</f>
        <v>Full Stack Development</v>
      </c>
      <c r="L2526" s="21" t="str">
        <f aca="false">INDEX(Companies!$C$2:$C$31,MATCH(C2526,Companies!$A$2:$A$31,0))</f>
        <v>IT Services</v>
      </c>
      <c r="M2526" s="21" t="str">
        <f aca="false">INDEX(Companies!$D$2:$D$31,MATCH(C2526,Companies!$A$2:$A$31,0))</f>
        <v>Tier 3</v>
      </c>
      <c r="N2526" s="34" t="n">
        <f aca="false">MATCH(F2526,Assumptions!$K$4:$K$8,0)</f>
        <v>3</v>
      </c>
      <c r="O2526" s="21" t="str">
        <f aca="false">IF(H2526="Yes",MONTH(I2526),"")</f>
        <v/>
      </c>
      <c r="P2526" s="21" t="str">
        <f aca="false">IF(H2526="Yes",B2526,"")</f>
        <v/>
      </c>
    </row>
    <row r="2527" customFormat="false" ht="15" hidden="false" customHeight="false" outlineLevel="0" collapsed="false">
      <c r="A2527" s="21" t="s">
        <v>3742</v>
      </c>
      <c r="B2527" s="21" t="s">
        <v>991</v>
      </c>
      <c r="C2527" s="21" t="s">
        <v>1263</v>
      </c>
      <c r="D2527" s="21" t="s">
        <v>1181</v>
      </c>
      <c r="E2527" s="33" t="n">
        <v>45967</v>
      </c>
      <c r="F2527" s="21" t="s">
        <v>1175</v>
      </c>
      <c r="G2527" s="32"/>
      <c r="H2527" s="21"/>
      <c r="I2527" s="33"/>
      <c r="J2527" s="21" t="str">
        <f aca="false">INDEX(Students!$C$2:$C$601,MATCH(B2527,Students!$A$2:$A$601,0))</f>
        <v>Batch 2026</v>
      </c>
      <c r="K2527" s="21" t="str">
        <f aca="false">INDEX(Students!$D$2:$D$601,MATCH(B2527,Students!$A$2:$A$601,0))</f>
        <v>Full Stack Development</v>
      </c>
      <c r="L2527" s="21" t="str">
        <f aca="false">INDEX(Companies!$C$2:$C$31,MATCH(C2527,Companies!$A$2:$A$31,0))</f>
        <v>Analytics &amp; Consulting</v>
      </c>
      <c r="M2527" s="21" t="str">
        <f aca="false">INDEX(Companies!$D$2:$D$31,MATCH(C2527,Companies!$A$2:$A$31,0))</f>
        <v>Tier 2</v>
      </c>
      <c r="N2527" s="34" t="n">
        <f aca="false">MATCH(F2527,Assumptions!$K$4:$K$8,0)</f>
        <v>1</v>
      </c>
      <c r="O2527" s="21" t="str">
        <f aca="false">IF(H2527="Yes",MONTH(I2527),"")</f>
        <v/>
      </c>
      <c r="P2527" s="21" t="str">
        <f aca="false">IF(H2527="Yes",B2527,"")</f>
        <v/>
      </c>
    </row>
    <row r="2528" customFormat="false" ht="15" hidden="false" customHeight="false" outlineLevel="0" collapsed="false">
      <c r="A2528" s="21" t="s">
        <v>3743</v>
      </c>
      <c r="B2528" s="21" t="s">
        <v>1097</v>
      </c>
      <c r="C2528" s="21" t="s">
        <v>1222</v>
      </c>
      <c r="D2528" s="21" t="s">
        <v>1191</v>
      </c>
      <c r="E2528" s="33" t="n">
        <v>45967</v>
      </c>
      <c r="F2528" s="21" t="s">
        <v>1175</v>
      </c>
      <c r="G2528" s="32"/>
      <c r="H2528" s="21"/>
      <c r="I2528" s="33"/>
      <c r="J2528" s="21" t="str">
        <f aca="false">INDEX(Students!$C$2:$C$601,MATCH(B2528,Students!$A$2:$A$601,0))</f>
        <v>Batch 2026</v>
      </c>
      <c r="K2528" s="21" t="str">
        <f aca="false">INDEX(Students!$D$2:$D$601,MATCH(B2528,Students!$A$2:$A$601,0))</f>
        <v>DSA with Java</v>
      </c>
      <c r="L2528" s="21" t="str">
        <f aca="false">INDEX(Companies!$C$2:$C$31,MATCH(C2528,Companies!$A$2:$A$31,0))</f>
        <v>Product</v>
      </c>
      <c r="M2528" s="21" t="str">
        <f aca="false">INDEX(Companies!$D$2:$D$31,MATCH(C2528,Companies!$A$2:$A$31,0))</f>
        <v>Tier 2</v>
      </c>
      <c r="N2528" s="34" t="n">
        <f aca="false">MATCH(F2528,Assumptions!$K$4:$K$8,0)</f>
        <v>1</v>
      </c>
      <c r="O2528" s="21" t="str">
        <f aca="false">IF(H2528="Yes",MONTH(I2528),"")</f>
        <v/>
      </c>
      <c r="P2528" s="21" t="str">
        <f aca="false">IF(H2528="Yes",B2528,"")</f>
        <v/>
      </c>
    </row>
    <row r="2529" customFormat="false" ht="15" hidden="false" customHeight="false" outlineLevel="0" collapsed="false">
      <c r="A2529" s="21" t="s">
        <v>3744</v>
      </c>
      <c r="B2529" s="21" t="s">
        <v>1147</v>
      </c>
      <c r="C2529" s="21" t="s">
        <v>1234</v>
      </c>
      <c r="D2529" s="21" t="s">
        <v>1191</v>
      </c>
      <c r="E2529" s="33" t="n">
        <v>45967</v>
      </c>
      <c r="F2529" s="21" t="s">
        <v>1197</v>
      </c>
      <c r="G2529" s="32"/>
      <c r="H2529" s="21"/>
      <c r="I2529" s="33"/>
      <c r="J2529" s="21" t="str">
        <f aca="false">INDEX(Students!$C$2:$C$601,MATCH(B2529,Students!$A$2:$A$601,0))</f>
        <v>Batch 2026</v>
      </c>
      <c r="K2529" s="21" t="str">
        <f aca="false">INDEX(Students!$D$2:$D$601,MATCH(B2529,Students!$A$2:$A$601,0))</f>
        <v>DSA with Java</v>
      </c>
      <c r="L2529" s="21" t="str">
        <f aca="false">INDEX(Companies!$C$2:$C$31,MATCH(C2529,Companies!$A$2:$A$31,0))</f>
        <v>EdTech</v>
      </c>
      <c r="M2529" s="21" t="str">
        <f aca="false">INDEX(Companies!$D$2:$D$31,MATCH(C2529,Companies!$A$2:$A$31,0))</f>
        <v>Tier 3</v>
      </c>
      <c r="N2529" s="34" t="n">
        <f aca="false">MATCH(F2529,Assumptions!$K$4:$K$8,0)</f>
        <v>3</v>
      </c>
      <c r="O2529" s="21" t="str">
        <f aca="false">IF(H2529="Yes",MONTH(I2529),"")</f>
        <v/>
      </c>
      <c r="P2529" s="21" t="str">
        <f aca="false">IF(H2529="Yes",B2529,"")</f>
        <v/>
      </c>
    </row>
    <row r="2530" customFormat="false" ht="15" hidden="false" customHeight="false" outlineLevel="0" collapsed="false">
      <c r="A2530" s="21" t="s">
        <v>3745</v>
      </c>
      <c r="B2530" s="21" t="s">
        <v>1049</v>
      </c>
      <c r="C2530" s="21" t="s">
        <v>1234</v>
      </c>
      <c r="D2530" s="21" t="s">
        <v>1174</v>
      </c>
      <c r="E2530" s="33" t="n">
        <v>45967</v>
      </c>
      <c r="F2530" s="21" t="s">
        <v>1185</v>
      </c>
      <c r="G2530" s="32" t="n">
        <v>5.1</v>
      </c>
      <c r="H2530" s="21" t="s">
        <v>113</v>
      </c>
      <c r="I2530" s="33" t="n">
        <v>46002</v>
      </c>
      <c r="J2530" s="21" t="str">
        <f aca="false">INDEX(Students!$C$2:$C$601,MATCH(B2530,Students!$A$2:$A$601,0))</f>
        <v>Batch 2026</v>
      </c>
      <c r="K2530" s="21" t="str">
        <f aca="false">INDEX(Students!$D$2:$D$601,MATCH(B2530,Students!$A$2:$A$601,0))</f>
        <v>Full Stack Development</v>
      </c>
      <c r="L2530" s="21" t="str">
        <f aca="false">INDEX(Companies!$C$2:$C$31,MATCH(C2530,Companies!$A$2:$A$31,0))</f>
        <v>EdTech</v>
      </c>
      <c r="M2530" s="21" t="str">
        <f aca="false">INDEX(Companies!$D$2:$D$31,MATCH(C2530,Companies!$A$2:$A$31,0))</f>
        <v>Tier 3</v>
      </c>
      <c r="N2530" s="34" t="n">
        <f aca="false">MATCH(F2530,Assumptions!$K$4:$K$8,0)</f>
        <v>5</v>
      </c>
      <c r="O2530" s="21" t="str">
        <f aca="false">IF(H2530="Yes",MONTH(I2530),"")</f>
        <v/>
      </c>
      <c r="P2530" s="21" t="str">
        <f aca="false">IF(H2530="Yes",B2530,"")</f>
        <v/>
      </c>
    </row>
    <row r="2531" customFormat="false" ht="15" hidden="false" customHeight="false" outlineLevel="0" collapsed="false">
      <c r="A2531" s="21" t="s">
        <v>3746</v>
      </c>
      <c r="B2531" s="21" t="s">
        <v>808</v>
      </c>
      <c r="C2531" s="21" t="s">
        <v>1298</v>
      </c>
      <c r="D2531" s="21" t="s">
        <v>1184</v>
      </c>
      <c r="E2531" s="33" t="n">
        <v>45967</v>
      </c>
      <c r="F2531" s="21" t="s">
        <v>1175</v>
      </c>
      <c r="G2531" s="32"/>
      <c r="H2531" s="21"/>
      <c r="I2531" s="33"/>
      <c r="J2531" s="21" t="str">
        <f aca="false">INDEX(Students!$C$2:$C$601,MATCH(B2531,Students!$A$2:$A$601,0))</f>
        <v>Batch 2026</v>
      </c>
      <c r="K2531" s="21" t="str">
        <f aca="false">INDEX(Students!$D$2:$D$601,MATCH(B2531,Students!$A$2:$A$601,0))</f>
        <v>DSA with Java</v>
      </c>
      <c r="L2531" s="21" t="str">
        <f aca="false">INDEX(Companies!$C$2:$C$31,MATCH(C2531,Companies!$A$2:$A$31,0))</f>
        <v>Fintech</v>
      </c>
      <c r="M2531" s="21" t="str">
        <f aca="false">INDEX(Companies!$D$2:$D$31,MATCH(C2531,Companies!$A$2:$A$31,0))</f>
        <v>Tier 2</v>
      </c>
      <c r="N2531" s="34" t="n">
        <f aca="false">MATCH(F2531,Assumptions!$K$4:$K$8,0)</f>
        <v>1</v>
      </c>
      <c r="O2531" s="21" t="str">
        <f aca="false">IF(H2531="Yes",MONTH(I2531),"")</f>
        <v/>
      </c>
      <c r="P2531" s="21" t="str">
        <f aca="false">IF(H2531="Yes",B2531,"")</f>
        <v/>
      </c>
    </row>
    <row r="2532" customFormat="false" ht="15" hidden="false" customHeight="false" outlineLevel="0" collapsed="false">
      <c r="A2532" s="21" t="s">
        <v>3747</v>
      </c>
      <c r="B2532" s="21" t="s">
        <v>1121</v>
      </c>
      <c r="C2532" s="21" t="s">
        <v>1239</v>
      </c>
      <c r="D2532" s="21" t="s">
        <v>1191</v>
      </c>
      <c r="E2532" s="33" t="n">
        <v>45967</v>
      </c>
      <c r="F2532" s="21" t="s">
        <v>1197</v>
      </c>
      <c r="G2532" s="32"/>
      <c r="H2532" s="21"/>
      <c r="I2532" s="33"/>
      <c r="J2532" s="21" t="str">
        <f aca="false">INDEX(Students!$C$2:$C$601,MATCH(B2532,Students!$A$2:$A$601,0))</f>
        <v>Batch 2026</v>
      </c>
      <c r="K2532" s="21" t="str">
        <f aca="false">INDEX(Students!$D$2:$D$601,MATCH(B2532,Students!$A$2:$A$601,0))</f>
        <v>DSA with Java</v>
      </c>
      <c r="L2532" s="21" t="str">
        <f aca="false">INDEX(Companies!$C$2:$C$31,MATCH(C2532,Companies!$A$2:$A$31,0))</f>
        <v>E-commerce</v>
      </c>
      <c r="M2532" s="21" t="str">
        <f aca="false">INDEX(Companies!$D$2:$D$31,MATCH(C2532,Companies!$A$2:$A$31,0))</f>
        <v>Tier 3</v>
      </c>
      <c r="N2532" s="34" t="n">
        <f aca="false">MATCH(F2532,Assumptions!$K$4:$K$8,0)</f>
        <v>3</v>
      </c>
      <c r="O2532" s="21" t="str">
        <f aca="false">IF(H2532="Yes",MONTH(I2532),"")</f>
        <v/>
      </c>
      <c r="P2532" s="21" t="str">
        <f aca="false">IF(H2532="Yes",B2532,"")</f>
        <v/>
      </c>
    </row>
    <row r="2533" customFormat="false" ht="15" hidden="false" customHeight="false" outlineLevel="0" collapsed="false">
      <c r="A2533" s="21" t="s">
        <v>3748</v>
      </c>
      <c r="B2533" s="21" t="s">
        <v>829</v>
      </c>
      <c r="C2533" s="21" t="s">
        <v>1193</v>
      </c>
      <c r="D2533" s="21" t="s">
        <v>1191</v>
      </c>
      <c r="E2533" s="33" t="n">
        <v>45967</v>
      </c>
      <c r="F2533" s="21" t="s">
        <v>1175</v>
      </c>
      <c r="G2533" s="32"/>
      <c r="H2533" s="21"/>
      <c r="I2533" s="33"/>
      <c r="J2533" s="21" t="str">
        <f aca="false">INDEX(Students!$C$2:$C$601,MATCH(B2533,Students!$A$2:$A$601,0))</f>
        <v>Batch 2026</v>
      </c>
      <c r="K2533" s="21" t="str">
        <f aca="false">INDEX(Students!$D$2:$D$601,MATCH(B2533,Students!$A$2:$A$601,0))</f>
        <v>DSA with Java</v>
      </c>
      <c r="L2533" s="21" t="str">
        <f aca="false">INDEX(Companies!$C$2:$C$31,MATCH(C2533,Companies!$A$2:$A$31,0))</f>
        <v>Analytics &amp; Consulting</v>
      </c>
      <c r="M2533" s="21" t="str">
        <f aca="false">INDEX(Companies!$D$2:$D$31,MATCH(C2533,Companies!$A$2:$A$31,0))</f>
        <v>Tier 2</v>
      </c>
      <c r="N2533" s="34" t="n">
        <f aca="false">MATCH(F2533,Assumptions!$K$4:$K$8,0)</f>
        <v>1</v>
      </c>
      <c r="O2533" s="21" t="str">
        <f aca="false">IF(H2533="Yes",MONTH(I2533),"")</f>
        <v/>
      </c>
      <c r="P2533" s="21" t="str">
        <f aca="false">IF(H2533="Yes",B2533,"")</f>
        <v/>
      </c>
    </row>
    <row r="2534" customFormat="false" ht="15" hidden="false" customHeight="false" outlineLevel="0" collapsed="false">
      <c r="A2534" s="21" t="s">
        <v>3749</v>
      </c>
      <c r="B2534" s="21" t="s">
        <v>935</v>
      </c>
      <c r="C2534" s="21" t="s">
        <v>1173</v>
      </c>
      <c r="D2534" s="21" t="s">
        <v>1188</v>
      </c>
      <c r="E2534" s="33" t="n">
        <v>45968</v>
      </c>
      <c r="F2534" s="21" t="s">
        <v>1178</v>
      </c>
      <c r="G2534" s="32"/>
      <c r="H2534" s="21"/>
      <c r="I2534" s="33"/>
      <c r="J2534" s="21" t="str">
        <f aca="false">INDEX(Students!$C$2:$C$601,MATCH(B2534,Students!$A$2:$A$601,0))</f>
        <v>Batch 2026</v>
      </c>
      <c r="K2534" s="21" t="str">
        <f aca="false">INDEX(Students!$D$2:$D$601,MATCH(B2534,Students!$A$2:$A$601,0))</f>
        <v>Data Analytics</v>
      </c>
      <c r="L2534" s="21" t="str">
        <f aca="false">INDEX(Companies!$C$2:$C$31,MATCH(C2534,Companies!$A$2:$A$31,0))</f>
        <v>Cybersecurity</v>
      </c>
      <c r="M2534" s="21" t="str">
        <f aca="false">INDEX(Companies!$D$2:$D$31,MATCH(C2534,Companies!$A$2:$A$31,0))</f>
        <v>Tier 1</v>
      </c>
      <c r="N2534" s="34" t="n">
        <f aca="false">MATCH(F2534,Assumptions!$K$4:$K$8,0)</f>
        <v>2</v>
      </c>
      <c r="O2534" s="21" t="str">
        <f aca="false">IF(H2534="Yes",MONTH(I2534),"")</f>
        <v/>
      </c>
      <c r="P2534" s="21" t="str">
        <f aca="false">IF(H2534="Yes",B2534,"")</f>
        <v/>
      </c>
    </row>
    <row r="2535" customFormat="false" ht="15" hidden="false" customHeight="false" outlineLevel="0" collapsed="false">
      <c r="A2535" s="21" t="s">
        <v>3750</v>
      </c>
      <c r="B2535" s="21" t="s">
        <v>894</v>
      </c>
      <c r="C2535" s="21" t="s">
        <v>1193</v>
      </c>
      <c r="D2535" s="21" t="s">
        <v>1174</v>
      </c>
      <c r="E2535" s="33" t="n">
        <v>45968</v>
      </c>
      <c r="F2535" s="21" t="s">
        <v>1178</v>
      </c>
      <c r="G2535" s="32"/>
      <c r="H2535" s="21"/>
      <c r="I2535" s="33"/>
      <c r="J2535" s="21" t="str">
        <f aca="false">INDEX(Students!$C$2:$C$601,MATCH(B2535,Students!$A$2:$A$601,0))</f>
        <v>Batch 2026</v>
      </c>
      <c r="K2535" s="21" t="str">
        <f aca="false">INDEX(Students!$D$2:$D$601,MATCH(B2535,Students!$A$2:$A$601,0))</f>
        <v>Full Stack Development</v>
      </c>
      <c r="L2535" s="21" t="str">
        <f aca="false">INDEX(Companies!$C$2:$C$31,MATCH(C2535,Companies!$A$2:$A$31,0))</f>
        <v>Analytics &amp; Consulting</v>
      </c>
      <c r="M2535" s="21" t="str">
        <f aca="false">INDEX(Companies!$D$2:$D$31,MATCH(C2535,Companies!$A$2:$A$31,0))</f>
        <v>Tier 2</v>
      </c>
      <c r="N2535" s="34" t="n">
        <f aca="false">MATCH(F2535,Assumptions!$K$4:$K$8,0)</f>
        <v>2</v>
      </c>
      <c r="O2535" s="21" t="str">
        <f aca="false">IF(H2535="Yes",MONTH(I2535),"")</f>
        <v/>
      </c>
      <c r="P2535" s="21" t="str">
        <f aca="false">IF(H2535="Yes",B2535,"")</f>
        <v/>
      </c>
    </row>
    <row r="2536" customFormat="false" ht="15" hidden="false" customHeight="false" outlineLevel="0" collapsed="false">
      <c r="A2536" s="21" t="s">
        <v>3751</v>
      </c>
      <c r="B2536" s="21" t="s">
        <v>1141</v>
      </c>
      <c r="C2536" s="21" t="s">
        <v>1193</v>
      </c>
      <c r="D2536" s="21" t="s">
        <v>1191</v>
      </c>
      <c r="E2536" s="33" t="n">
        <v>45968</v>
      </c>
      <c r="F2536" s="21" t="s">
        <v>1175</v>
      </c>
      <c r="G2536" s="32"/>
      <c r="H2536" s="21"/>
      <c r="I2536" s="33"/>
      <c r="J2536" s="21" t="str">
        <f aca="false">INDEX(Students!$C$2:$C$601,MATCH(B2536,Students!$A$2:$A$601,0))</f>
        <v>Batch 2026</v>
      </c>
      <c r="K2536" s="21" t="str">
        <f aca="false">INDEX(Students!$D$2:$D$601,MATCH(B2536,Students!$A$2:$A$601,0))</f>
        <v>DSA with Java</v>
      </c>
      <c r="L2536" s="21" t="str">
        <f aca="false">INDEX(Companies!$C$2:$C$31,MATCH(C2536,Companies!$A$2:$A$31,0))</f>
        <v>Analytics &amp; Consulting</v>
      </c>
      <c r="M2536" s="21" t="str">
        <f aca="false">INDEX(Companies!$D$2:$D$31,MATCH(C2536,Companies!$A$2:$A$31,0))</f>
        <v>Tier 2</v>
      </c>
      <c r="N2536" s="34" t="n">
        <f aca="false">MATCH(F2536,Assumptions!$K$4:$K$8,0)</f>
        <v>1</v>
      </c>
      <c r="O2536" s="21" t="str">
        <f aca="false">IF(H2536="Yes",MONTH(I2536),"")</f>
        <v/>
      </c>
      <c r="P2536" s="21" t="str">
        <f aca="false">IF(H2536="Yes",B2536,"")</f>
        <v/>
      </c>
    </row>
    <row r="2537" customFormat="false" ht="15" hidden="false" customHeight="false" outlineLevel="0" collapsed="false">
      <c r="A2537" s="21" t="s">
        <v>3752</v>
      </c>
      <c r="B2537" s="21" t="s">
        <v>872</v>
      </c>
      <c r="C2537" s="21" t="s">
        <v>1228</v>
      </c>
      <c r="D2537" s="21" t="s">
        <v>1194</v>
      </c>
      <c r="E2537" s="33" t="n">
        <v>45968</v>
      </c>
      <c r="F2537" s="21" t="s">
        <v>1197</v>
      </c>
      <c r="G2537" s="32"/>
      <c r="H2537" s="21"/>
      <c r="I2537" s="33"/>
      <c r="J2537" s="21" t="str">
        <f aca="false">INDEX(Students!$C$2:$C$601,MATCH(B2537,Students!$A$2:$A$601,0))</f>
        <v>Batch 2026</v>
      </c>
      <c r="K2537" s="21" t="str">
        <f aca="false">INDEX(Students!$D$2:$D$601,MATCH(B2537,Students!$A$2:$A$601,0))</f>
        <v>Data Science &amp; ML</v>
      </c>
      <c r="L2537" s="21" t="str">
        <f aca="false">INDEX(Companies!$C$2:$C$31,MATCH(C2537,Companies!$A$2:$A$31,0))</f>
        <v>Fintech</v>
      </c>
      <c r="M2537" s="21" t="str">
        <f aca="false">INDEX(Companies!$D$2:$D$31,MATCH(C2537,Companies!$A$2:$A$31,0))</f>
        <v>Tier 1</v>
      </c>
      <c r="N2537" s="34" t="n">
        <f aca="false">MATCH(F2537,Assumptions!$K$4:$K$8,0)</f>
        <v>3</v>
      </c>
      <c r="O2537" s="21" t="str">
        <f aca="false">IF(H2537="Yes",MONTH(I2537),"")</f>
        <v/>
      </c>
      <c r="P2537" s="21" t="str">
        <f aca="false">IF(H2537="Yes",B2537,"")</f>
        <v/>
      </c>
    </row>
    <row r="2538" customFormat="false" ht="15" hidden="false" customHeight="false" outlineLevel="0" collapsed="false">
      <c r="A2538" s="21" t="s">
        <v>3753</v>
      </c>
      <c r="B2538" s="21" t="s">
        <v>1110</v>
      </c>
      <c r="C2538" s="21" t="s">
        <v>1216</v>
      </c>
      <c r="D2538" s="21" t="s">
        <v>1191</v>
      </c>
      <c r="E2538" s="33" t="n">
        <v>45968</v>
      </c>
      <c r="F2538" s="21" t="s">
        <v>1218</v>
      </c>
      <c r="G2538" s="32"/>
      <c r="H2538" s="21"/>
      <c r="I2538" s="33"/>
      <c r="J2538" s="21" t="str">
        <f aca="false">INDEX(Students!$C$2:$C$601,MATCH(B2538,Students!$A$2:$A$601,0))</f>
        <v>Batch 2026</v>
      </c>
      <c r="K2538" s="21" t="str">
        <f aca="false">INDEX(Students!$D$2:$D$601,MATCH(B2538,Students!$A$2:$A$601,0))</f>
        <v>DSA with Java</v>
      </c>
      <c r="L2538" s="21" t="str">
        <f aca="false">INDEX(Companies!$C$2:$C$31,MATCH(C2538,Companies!$A$2:$A$31,0))</f>
        <v>IT Services</v>
      </c>
      <c r="M2538" s="21" t="str">
        <f aca="false">INDEX(Companies!$D$2:$D$31,MATCH(C2538,Companies!$A$2:$A$31,0))</f>
        <v>Tier 3</v>
      </c>
      <c r="N2538" s="34" t="n">
        <f aca="false">MATCH(F2538,Assumptions!$K$4:$K$8,0)</f>
        <v>4</v>
      </c>
      <c r="O2538" s="21" t="str">
        <f aca="false">IF(H2538="Yes",MONTH(I2538),"")</f>
        <v/>
      </c>
      <c r="P2538" s="21" t="str">
        <f aca="false">IF(H2538="Yes",B2538,"")</f>
        <v/>
      </c>
    </row>
    <row r="2539" customFormat="false" ht="15" hidden="false" customHeight="false" outlineLevel="0" collapsed="false">
      <c r="A2539" s="21" t="s">
        <v>3754</v>
      </c>
      <c r="B2539" s="21" t="s">
        <v>1046</v>
      </c>
      <c r="C2539" s="21" t="s">
        <v>1190</v>
      </c>
      <c r="D2539" s="21" t="s">
        <v>1181</v>
      </c>
      <c r="E2539" s="33" t="n">
        <v>45968</v>
      </c>
      <c r="F2539" s="21" t="s">
        <v>1197</v>
      </c>
      <c r="G2539" s="32"/>
      <c r="H2539" s="21"/>
      <c r="I2539" s="33"/>
      <c r="J2539" s="21" t="str">
        <f aca="false">INDEX(Students!$C$2:$C$601,MATCH(B2539,Students!$A$2:$A$601,0))</f>
        <v>Batch 2026</v>
      </c>
      <c r="K2539" s="21" t="str">
        <f aca="false">INDEX(Students!$D$2:$D$601,MATCH(B2539,Students!$A$2:$A$601,0))</f>
        <v>Full Stack Development</v>
      </c>
      <c r="L2539" s="21" t="str">
        <f aca="false">INDEX(Companies!$C$2:$C$31,MATCH(C2539,Companies!$A$2:$A$31,0))</f>
        <v>Analytics &amp; Consulting</v>
      </c>
      <c r="M2539" s="21" t="str">
        <f aca="false">INDEX(Companies!$D$2:$D$31,MATCH(C2539,Companies!$A$2:$A$31,0))</f>
        <v>Tier 1</v>
      </c>
      <c r="N2539" s="34" t="n">
        <f aca="false">MATCH(F2539,Assumptions!$K$4:$K$8,0)</f>
        <v>3</v>
      </c>
      <c r="O2539" s="21" t="str">
        <f aca="false">IF(H2539="Yes",MONTH(I2539),"")</f>
        <v/>
      </c>
      <c r="P2539" s="21" t="str">
        <f aca="false">IF(H2539="Yes",B2539,"")</f>
        <v/>
      </c>
    </row>
    <row r="2540" customFormat="false" ht="15" hidden="false" customHeight="false" outlineLevel="0" collapsed="false">
      <c r="A2540" s="21" t="s">
        <v>3755</v>
      </c>
      <c r="B2540" s="21" t="s">
        <v>1067</v>
      </c>
      <c r="C2540" s="21" t="s">
        <v>1173</v>
      </c>
      <c r="D2540" s="21" t="s">
        <v>1174</v>
      </c>
      <c r="E2540" s="33" t="n">
        <v>45968</v>
      </c>
      <c r="F2540" s="21" t="s">
        <v>1218</v>
      </c>
      <c r="G2540" s="32"/>
      <c r="H2540" s="21"/>
      <c r="I2540" s="33"/>
      <c r="J2540" s="21" t="str">
        <f aca="false">INDEX(Students!$C$2:$C$601,MATCH(B2540,Students!$A$2:$A$601,0))</f>
        <v>Batch 2026</v>
      </c>
      <c r="K2540" s="21" t="str">
        <f aca="false">INDEX(Students!$D$2:$D$601,MATCH(B2540,Students!$A$2:$A$601,0))</f>
        <v>Full Stack Development</v>
      </c>
      <c r="L2540" s="21" t="str">
        <f aca="false">INDEX(Companies!$C$2:$C$31,MATCH(C2540,Companies!$A$2:$A$31,0))</f>
        <v>Cybersecurity</v>
      </c>
      <c r="M2540" s="21" t="str">
        <f aca="false">INDEX(Companies!$D$2:$D$31,MATCH(C2540,Companies!$A$2:$A$31,0))</f>
        <v>Tier 1</v>
      </c>
      <c r="N2540" s="34" t="n">
        <f aca="false">MATCH(F2540,Assumptions!$K$4:$K$8,0)</f>
        <v>4</v>
      </c>
      <c r="O2540" s="21" t="str">
        <f aca="false">IF(H2540="Yes",MONTH(I2540),"")</f>
        <v/>
      </c>
      <c r="P2540" s="21" t="str">
        <f aca="false">IF(H2540="Yes",B2540,"")</f>
        <v/>
      </c>
    </row>
    <row r="2541" customFormat="false" ht="15" hidden="false" customHeight="false" outlineLevel="0" collapsed="false">
      <c r="A2541" s="21" t="s">
        <v>3756</v>
      </c>
      <c r="B2541" s="21" t="s">
        <v>890</v>
      </c>
      <c r="C2541" s="21" t="s">
        <v>1216</v>
      </c>
      <c r="D2541" s="21" t="s">
        <v>1191</v>
      </c>
      <c r="E2541" s="33" t="n">
        <v>45969</v>
      </c>
      <c r="F2541" s="21" t="s">
        <v>1185</v>
      </c>
      <c r="G2541" s="32" t="n">
        <v>7.3</v>
      </c>
      <c r="H2541" s="21" t="s">
        <v>113</v>
      </c>
      <c r="I2541" s="33" t="n">
        <v>45991</v>
      </c>
      <c r="J2541" s="21" t="str">
        <f aca="false">INDEX(Students!$C$2:$C$601,MATCH(B2541,Students!$A$2:$A$601,0))</f>
        <v>Batch 2026</v>
      </c>
      <c r="K2541" s="21" t="str">
        <f aca="false">INDEX(Students!$D$2:$D$601,MATCH(B2541,Students!$A$2:$A$601,0))</f>
        <v>DSA with Java</v>
      </c>
      <c r="L2541" s="21" t="str">
        <f aca="false">INDEX(Companies!$C$2:$C$31,MATCH(C2541,Companies!$A$2:$A$31,0))</f>
        <v>IT Services</v>
      </c>
      <c r="M2541" s="21" t="str">
        <f aca="false">INDEX(Companies!$D$2:$D$31,MATCH(C2541,Companies!$A$2:$A$31,0))</f>
        <v>Tier 3</v>
      </c>
      <c r="N2541" s="34" t="n">
        <f aca="false">MATCH(F2541,Assumptions!$K$4:$K$8,0)</f>
        <v>5</v>
      </c>
      <c r="O2541" s="21" t="str">
        <f aca="false">IF(H2541="Yes",MONTH(I2541),"")</f>
        <v/>
      </c>
      <c r="P2541" s="21" t="str">
        <f aca="false">IF(H2541="Yes",B2541,"")</f>
        <v/>
      </c>
    </row>
    <row r="2542" customFormat="false" ht="15" hidden="false" customHeight="false" outlineLevel="0" collapsed="false">
      <c r="A2542" s="21" t="s">
        <v>3757</v>
      </c>
      <c r="B2542" s="21" t="s">
        <v>893</v>
      </c>
      <c r="C2542" s="21" t="s">
        <v>1199</v>
      </c>
      <c r="D2542" s="21" t="s">
        <v>1191</v>
      </c>
      <c r="E2542" s="33" t="n">
        <v>45969</v>
      </c>
      <c r="F2542" s="21" t="s">
        <v>1185</v>
      </c>
      <c r="G2542" s="32" t="n">
        <v>10.8</v>
      </c>
      <c r="H2542" s="21" t="s">
        <v>120</v>
      </c>
      <c r="I2542" s="33" t="n">
        <v>46024</v>
      </c>
      <c r="J2542" s="21" t="str">
        <f aca="false">INDEX(Students!$C$2:$C$601,MATCH(B2542,Students!$A$2:$A$601,0))</f>
        <v>Batch 2026</v>
      </c>
      <c r="K2542" s="21" t="str">
        <f aca="false">INDEX(Students!$D$2:$D$601,MATCH(B2542,Students!$A$2:$A$601,0))</f>
        <v>DSA with Java</v>
      </c>
      <c r="L2542" s="21" t="str">
        <f aca="false">INDEX(Companies!$C$2:$C$31,MATCH(C2542,Companies!$A$2:$A$31,0))</f>
        <v>E-commerce</v>
      </c>
      <c r="M2542" s="21" t="str">
        <f aca="false">INDEX(Companies!$D$2:$D$31,MATCH(C2542,Companies!$A$2:$A$31,0))</f>
        <v>Tier 2</v>
      </c>
      <c r="N2542" s="34" t="n">
        <f aca="false">MATCH(F2542,Assumptions!$K$4:$K$8,0)</f>
        <v>5</v>
      </c>
      <c r="O2542" s="21" t="n">
        <f aca="false">IF(H2542="Yes",MONTH(I2542),"")</f>
        <v>1</v>
      </c>
      <c r="P2542" s="21" t="str">
        <f aca="false">IF(H2542="Yes",B2542,"")</f>
        <v>S0432</v>
      </c>
    </row>
    <row r="2543" customFormat="false" ht="15" hidden="false" customHeight="false" outlineLevel="0" collapsed="false">
      <c r="A2543" s="21" t="s">
        <v>3758</v>
      </c>
      <c r="B2543" s="21" t="s">
        <v>1053</v>
      </c>
      <c r="C2543" s="21" t="s">
        <v>1193</v>
      </c>
      <c r="D2543" s="21" t="s">
        <v>1184</v>
      </c>
      <c r="E2543" s="33" t="n">
        <v>45969</v>
      </c>
      <c r="F2543" s="21" t="s">
        <v>1185</v>
      </c>
      <c r="G2543" s="32" t="n">
        <v>12.3</v>
      </c>
      <c r="H2543" s="21" t="s">
        <v>120</v>
      </c>
      <c r="I2543" s="33" t="n">
        <v>45990</v>
      </c>
      <c r="J2543" s="21" t="str">
        <f aca="false">INDEX(Students!$C$2:$C$601,MATCH(B2543,Students!$A$2:$A$601,0))</f>
        <v>Batch 2026</v>
      </c>
      <c r="K2543" s="21" t="str">
        <f aca="false">INDEX(Students!$D$2:$D$601,MATCH(B2543,Students!$A$2:$A$601,0))</f>
        <v>DSA with Java</v>
      </c>
      <c r="L2543" s="21" t="str">
        <f aca="false">INDEX(Companies!$C$2:$C$31,MATCH(C2543,Companies!$A$2:$A$31,0))</f>
        <v>Analytics &amp; Consulting</v>
      </c>
      <c r="M2543" s="21" t="str">
        <f aca="false">INDEX(Companies!$D$2:$D$31,MATCH(C2543,Companies!$A$2:$A$31,0))</f>
        <v>Tier 2</v>
      </c>
      <c r="N2543" s="34" t="n">
        <f aca="false">MATCH(F2543,Assumptions!$K$4:$K$8,0)</f>
        <v>5</v>
      </c>
      <c r="O2543" s="21" t="n">
        <f aca="false">IF(H2543="Yes",MONTH(I2543),"")</f>
        <v>11</v>
      </c>
      <c r="P2543" s="21" t="str">
        <f aca="false">IF(H2543="Yes",B2543,"")</f>
        <v>S0532</v>
      </c>
    </row>
    <row r="2544" customFormat="false" ht="15" hidden="false" customHeight="false" outlineLevel="0" collapsed="false">
      <c r="A2544" s="21" t="s">
        <v>3759</v>
      </c>
      <c r="B2544" s="21" t="s">
        <v>1003</v>
      </c>
      <c r="C2544" s="21" t="s">
        <v>1239</v>
      </c>
      <c r="D2544" s="21" t="s">
        <v>1194</v>
      </c>
      <c r="E2544" s="33" t="n">
        <v>45969</v>
      </c>
      <c r="F2544" s="21" t="s">
        <v>1175</v>
      </c>
      <c r="G2544" s="32"/>
      <c r="H2544" s="21"/>
      <c r="I2544" s="33"/>
      <c r="J2544" s="21" t="str">
        <f aca="false">INDEX(Students!$C$2:$C$601,MATCH(B2544,Students!$A$2:$A$601,0))</f>
        <v>Batch 2026</v>
      </c>
      <c r="K2544" s="21" t="str">
        <f aca="false">INDEX(Students!$D$2:$D$601,MATCH(B2544,Students!$A$2:$A$601,0))</f>
        <v>Data Science &amp; ML</v>
      </c>
      <c r="L2544" s="21" t="str">
        <f aca="false">INDEX(Companies!$C$2:$C$31,MATCH(C2544,Companies!$A$2:$A$31,0))</f>
        <v>E-commerce</v>
      </c>
      <c r="M2544" s="21" t="str">
        <f aca="false">INDEX(Companies!$D$2:$D$31,MATCH(C2544,Companies!$A$2:$A$31,0))</f>
        <v>Tier 3</v>
      </c>
      <c r="N2544" s="34" t="n">
        <f aca="false">MATCH(F2544,Assumptions!$K$4:$K$8,0)</f>
        <v>1</v>
      </c>
      <c r="O2544" s="21" t="str">
        <f aca="false">IF(H2544="Yes",MONTH(I2544),"")</f>
        <v/>
      </c>
      <c r="P2544" s="21" t="str">
        <f aca="false">IF(H2544="Yes",B2544,"")</f>
        <v/>
      </c>
    </row>
    <row r="2545" customFormat="false" ht="15" hidden="false" customHeight="false" outlineLevel="0" collapsed="false">
      <c r="A2545" s="21" t="s">
        <v>3760</v>
      </c>
      <c r="B2545" s="21" t="s">
        <v>858</v>
      </c>
      <c r="C2545" s="21" t="s">
        <v>1214</v>
      </c>
      <c r="D2545" s="21" t="s">
        <v>1191</v>
      </c>
      <c r="E2545" s="33" t="n">
        <v>45969</v>
      </c>
      <c r="F2545" s="21" t="s">
        <v>1197</v>
      </c>
      <c r="G2545" s="32"/>
      <c r="H2545" s="21"/>
      <c r="I2545" s="33"/>
      <c r="J2545" s="21" t="str">
        <f aca="false">INDEX(Students!$C$2:$C$601,MATCH(B2545,Students!$A$2:$A$601,0))</f>
        <v>Batch 2026</v>
      </c>
      <c r="K2545" s="21" t="str">
        <f aca="false">INDEX(Students!$D$2:$D$601,MATCH(B2545,Students!$A$2:$A$601,0))</f>
        <v>DSA with Java</v>
      </c>
      <c r="L2545" s="21" t="str">
        <f aca="false">INDEX(Companies!$C$2:$C$31,MATCH(C2545,Companies!$A$2:$A$31,0))</f>
        <v>Product</v>
      </c>
      <c r="M2545" s="21" t="str">
        <f aca="false">INDEX(Companies!$D$2:$D$31,MATCH(C2545,Companies!$A$2:$A$31,0))</f>
        <v>Tier 1</v>
      </c>
      <c r="N2545" s="34" t="n">
        <f aca="false">MATCH(F2545,Assumptions!$K$4:$K$8,0)</f>
        <v>3</v>
      </c>
      <c r="O2545" s="21" t="str">
        <f aca="false">IF(H2545="Yes",MONTH(I2545),"")</f>
        <v/>
      </c>
      <c r="P2545" s="21" t="str">
        <f aca="false">IF(H2545="Yes",B2545,"")</f>
        <v/>
      </c>
    </row>
    <row r="2546" customFormat="false" ht="15" hidden="false" customHeight="false" outlineLevel="0" collapsed="false">
      <c r="A2546" s="21" t="s">
        <v>3761</v>
      </c>
      <c r="B2546" s="21" t="s">
        <v>1116</v>
      </c>
      <c r="C2546" s="21" t="s">
        <v>1196</v>
      </c>
      <c r="D2546" s="21" t="s">
        <v>1194</v>
      </c>
      <c r="E2546" s="33" t="n">
        <v>45969</v>
      </c>
      <c r="F2546" s="21" t="s">
        <v>1175</v>
      </c>
      <c r="G2546" s="32"/>
      <c r="H2546" s="21"/>
      <c r="I2546" s="33"/>
      <c r="J2546" s="21" t="str">
        <f aca="false">INDEX(Students!$C$2:$C$601,MATCH(B2546,Students!$A$2:$A$601,0))</f>
        <v>Batch 2026</v>
      </c>
      <c r="K2546" s="21" t="str">
        <f aca="false">INDEX(Students!$D$2:$D$601,MATCH(B2546,Students!$A$2:$A$601,0))</f>
        <v>Data Science &amp; ML</v>
      </c>
      <c r="L2546" s="21" t="str">
        <f aca="false">INDEX(Companies!$C$2:$C$31,MATCH(C2546,Companies!$A$2:$A$31,0))</f>
        <v>IT Services</v>
      </c>
      <c r="M2546" s="21" t="str">
        <f aca="false">INDEX(Companies!$D$2:$D$31,MATCH(C2546,Companies!$A$2:$A$31,0))</f>
        <v>Tier 3</v>
      </c>
      <c r="N2546" s="34" t="n">
        <f aca="false">MATCH(F2546,Assumptions!$K$4:$K$8,0)</f>
        <v>1</v>
      </c>
      <c r="O2546" s="21" t="str">
        <f aca="false">IF(H2546="Yes",MONTH(I2546),"")</f>
        <v/>
      </c>
      <c r="P2546" s="21" t="str">
        <f aca="false">IF(H2546="Yes",B2546,"")</f>
        <v/>
      </c>
    </row>
    <row r="2547" customFormat="false" ht="15" hidden="false" customHeight="false" outlineLevel="0" collapsed="false">
      <c r="A2547" s="21" t="s">
        <v>3762</v>
      </c>
      <c r="B2547" s="21" t="s">
        <v>961</v>
      </c>
      <c r="C2547" s="21" t="s">
        <v>1190</v>
      </c>
      <c r="D2547" s="21" t="s">
        <v>1209</v>
      </c>
      <c r="E2547" s="33" t="n">
        <v>45969</v>
      </c>
      <c r="F2547" s="21" t="s">
        <v>1175</v>
      </c>
      <c r="G2547" s="32"/>
      <c r="H2547" s="21"/>
      <c r="I2547" s="33"/>
      <c r="J2547" s="21" t="str">
        <f aca="false">INDEX(Students!$C$2:$C$601,MATCH(B2547,Students!$A$2:$A$601,0))</f>
        <v>Batch 2026</v>
      </c>
      <c r="K2547" s="21" t="str">
        <f aca="false">INDEX(Students!$D$2:$D$601,MATCH(B2547,Students!$A$2:$A$601,0))</f>
        <v>Data Analytics</v>
      </c>
      <c r="L2547" s="21" t="str">
        <f aca="false">INDEX(Companies!$C$2:$C$31,MATCH(C2547,Companies!$A$2:$A$31,0))</f>
        <v>Analytics &amp; Consulting</v>
      </c>
      <c r="M2547" s="21" t="str">
        <f aca="false">INDEX(Companies!$D$2:$D$31,MATCH(C2547,Companies!$A$2:$A$31,0))</f>
        <v>Tier 1</v>
      </c>
      <c r="N2547" s="34" t="n">
        <f aca="false">MATCH(F2547,Assumptions!$K$4:$K$8,0)</f>
        <v>1</v>
      </c>
      <c r="O2547" s="21" t="str">
        <f aca="false">IF(H2547="Yes",MONTH(I2547),"")</f>
        <v/>
      </c>
      <c r="P2547" s="21" t="str">
        <f aca="false">IF(H2547="Yes",B2547,"")</f>
        <v/>
      </c>
    </row>
    <row r="2548" customFormat="false" ht="15" hidden="false" customHeight="false" outlineLevel="0" collapsed="false">
      <c r="A2548" s="21" t="s">
        <v>3763</v>
      </c>
      <c r="B2548" s="21" t="s">
        <v>999</v>
      </c>
      <c r="C2548" s="21" t="s">
        <v>1239</v>
      </c>
      <c r="D2548" s="21" t="s">
        <v>1184</v>
      </c>
      <c r="E2548" s="33" t="n">
        <v>45969</v>
      </c>
      <c r="F2548" s="21" t="s">
        <v>1178</v>
      </c>
      <c r="G2548" s="32"/>
      <c r="H2548" s="21"/>
      <c r="I2548" s="33"/>
      <c r="J2548" s="21" t="str">
        <f aca="false">INDEX(Students!$C$2:$C$601,MATCH(B2548,Students!$A$2:$A$601,0))</f>
        <v>Batch 2026</v>
      </c>
      <c r="K2548" s="21" t="str">
        <f aca="false">INDEX(Students!$D$2:$D$601,MATCH(B2548,Students!$A$2:$A$601,0))</f>
        <v>DSA with Java</v>
      </c>
      <c r="L2548" s="21" t="str">
        <f aca="false">INDEX(Companies!$C$2:$C$31,MATCH(C2548,Companies!$A$2:$A$31,0))</f>
        <v>E-commerce</v>
      </c>
      <c r="M2548" s="21" t="str">
        <f aca="false">INDEX(Companies!$D$2:$D$31,MATCH(C2548,Companies!$A$2:$A$31,0))</f>
        <v>Tier 3</v>
      </c>
      <c r="N2548" s="34" t="n">
        <f aca="false">MATCH(F2548,Assumptions!$K$4:$K$8,0)</f>
        <v>2</v>
      </c>
      <c r="O2548" s="21" t="str">
        <f aca="false">IF(H2548="Yes",MONTH(I2548),"")</f>
        <v/>
      </c>
      <c r="P2548" s="21" t="str">
        <f aca="false">IF(H2548="Yes",B2548,"")</f>
        <v/>
      </c>
    </row>
    <row r="2549" customFormat="false" ht="15" hidden="false" customHeight="false" outlineLevel="0" collapsed="false">
      <c r="A2549" s="21" t="s">
        <v>3764</v>
      </c>
      <c r="B2549" s="21" t="s">
        <v>947</v>
      </c>
      <c r="C2549" s="21" t="s">
        <v>1234</v>
      </c>
      <c r="D2549" s="21" t="s">
        <v>1191</v>
      </c>
      <c r="E2549" s="33" t="n">
        <v>45969</v>
      </c>
      <c r="F2549" s="21" t="s">
        <v>1185</v>
      </c>
      <c r="G2549" s="32" t="n">
        <v>6.4</v>
      </c>
      <c r="H2549" s="21" t="s">
        <v>113</v>
      </c>
      <c r="I2549" s="33" t="n">
        <v>45994</v>
      </c>
      <c r="J2549" s="21" t="str">
        <f aca="false">INDEX(Students!$C$2:$C$601,MATCH(B2549,Students!$A$2:$A$601,0))</f>
        <v>Batch 2026</v>
      </c>
      <c r="K2549" s="21" t="str">
        <f aca="false">INDEX(Students!$D$2:$D$601,MATCH(B2549,Students!$A$2:$A$601,0))</f>
        <v>DSA with Java</v>
      </c>
      <c r="L2549" s="21" t="str">
        <f aca="false">INDEX(Companies!$C$2:$C$31,MATCH(C2549,Companies!$A$2:$A$31,0))</f>
        <v>EdTech</v>
      </c>
      <c r="M2549" s="21" t="str">
        <f aca="false">INDEX(Companies!$D$2:$D$31,MATCH(C2549,Companies!$A$2:$A$31,0))</f>
        <v>Tier 3</v>
      </c>
      <c r="N2549" s="34" t="n">
        <f aca="false">MATCH(F2549,Assumptions!$K$4:$K$8,0)</f>
        <v>5</v>
      </c>
      <c r="O2549" s="21" t="str">
        <f aca="false">IF(H2549="Yes",MONTH(I2549),"")</f>
        <v/>
      </c>
      <c r="P2549" s="21" t="str">
        <f aca="false">IF(H2549="Yes",B2549,"")</f>
        <v/>
      </c>
    </row>
    <row r="2550" customFormat="false" ht="15" hidden="false" customHeight="false" outlineLevel="0" collapsed="false">
      <c r="A2550" s="21" t="s">
        <v>3765</v>
      </c>
      <c r="B2550" s="21" t="s">
        <v>1114</v>
      </c>
      <c r="C2550" s="21" t="s">
        <v>1230</v>
      </c>
      <c r="D2550" s="21" t="s">
        <v>1194</v>
      </c>
      <c r="E2550" s="33" t="n">
        <v>45969</v>
      </c>
      <c r="F2550" s="21" t="s">
        <v>1178</v>
      </c>
      <c r="G2550" s="32"/>
      <c r="H2550" s="21"/>
      <c r="I2550" s="33"/>
      <c r="J2550" s="21" t="str">
        <f aca="false">INDEX(Students!$C$2:$C$601,MATCH(B2550,Students!$A$2:$A$601,0))</f>
        <v>Batch 2026</v>
      </c>
      <c r="K2550" s="21" t="str">
        <f aca="false">INDEX(Students!$D$2:$D$601,MATCH(B2550,Students!$A$2:$A$601,0))</f>
        <v>Data Science &amp; ML</v>
      </c>
      <c r="L2550" s="21" t="str">
        <f aca="false">INDEX(Companies!$C$2:$C$31,MATCH(C2550,Companies!$A$2:$A$31,0))</f>
        <v>IT Services</v>
      </c>
      <c r="M2550" s="21" t="str">
        <f aca="false">INDEX(Companies!$D$2:$D$31,MATCH(C2550,Companies!$A$2:$A$31,0))</f>
        <v>Tier 3</v>
      </c>
      <c r="N2550" s="34" t="n">
        <f aca="false">MATCH(F2550,Assumptions!$K$4:$K$8,0)</f>
        <v>2</v>
      </c>
      <c r="O2550" s="21" t="str">
        <f aca="false">IF(H2550="Yes",MONTH(I2550),"")</f>
        <v/>
      </c>
      <c r="P2550" s="21" t="str">
        <f aca="false">IF(H2550="Yes",B2550,"")</f>
        <v/>
      </c>
    </row>
    <row r="2551" customFormat="false" ht="15" hidden="false" customHeight="false" outlineLevel="0" collapsed="false">
      <c r="A2551" s="21" t="s">
        <v>3766</v>
      </c>
      <c r="B2551" s="21" t="s">
        <v>1039</v>
      </c>
      <c r="C2551" s="21" t="s">
        <v>1275</v>
      </c>
      <c r="D2551" s="21" t="s">
        <v>1191</v>
      </c>
      <c r="E2551" s="33" t="n">
        <v>45970</v>
      </c>
      <c r="F2551" s="21" t="s">
        <v>1185</v>
      </c>
      <c r="G2551" s="32" t="n">
        <v>11.5</v>
      </c>
      <c r="H2551" s="21" t="s">
        <v>113</v>
      </c>
      <c r="I2551" s="33" t="n">
        <v>46009</v>
      </c>
      <c r="J2551" s="21" t="str">
        <f aca="false">INDEX(Students!$C$2:$C$601,MATCH(B2551,Students!$A$2:$A$601,0))</f>
        <v>Batch 2026</v>
      </c>
      <c r="K2551" s="21" t="str">
        <f aca="false">INDEX(Students!$D$2:$D$601,MATCH(B2551,Students!$A$2:$A$601,0))</f>
        <v>DSA with Java</v>
      </c>
      <c r="L2551" s="21" t="str">
        <f aca="false">INDEX(Companies!$C$2:$C$31,MATCH(C2551,Companies!$A$2:$A$31,0))</f>
        <v>Cybersecurity</v>
      </c>
      <c r="M2551" s="21" t="str">
        <f aca="false">INDEX(Companies!$D$2:$D$31,MATCH(C2551,Companies!$A$2:$A$31,0))</f>
        <v>Tier 2</v>
      </c>
      <c r="N2551" s="34" t="n">
        <f aca="false">MATCH(F2551,Assumptions!$K$4:$K$8,0)</f>
        <v>5</v>
      </c>
      <c r="O2551" s="21" t="str">
        <f aca="false">IF(H2551="Yes",MONTH(I2551),"")</f>
        <v/>
      </c>
      <c r="P2551" s="21" t="str">
        <f aca="false">IF(H2551="Yes",B2551,"")</f>
        <v/>
      </c>
    </row>
    <row r="2552" customFormat="false" ht="15" hidden="false" customHeight="false" outlineLevel="0" collapsed="false">
      <c r="A2552" s="21" t="s">
        <v>3767</v>
      </c>
      <c r="B2552" s="21" t="s">
        <v>828</v>
      </c>
      <c r="C2552" s="21" t="s">
        <v>1275</v>
      </c>
      <c r="D2552" s="21" t="s">
        <v>1181</v>
      </c>
      <c r="E2552" s="33" t="n">
        <v>45970</v>
      </c>
      <c r="F2552" s="21" t="s">
        <v>1218</v>
      </c>
      <c r="G2552" s="32"/>
      <c r="H2552" s="21"/>
      <c r="I2552" s="33"/>
      <c r="J2552" s="21" t="str">
        <f aca="false">INDEX(Students!$C$2:$C$601,MATCH(B2552,Students!$A$2:$A$601,0))</f>
        <v>Batch 2026</v>
      </c>
      <c r="K2552" s="21" t="str">
        <f aca="false">INDEX(Students!$D$2:$D$601,MATCH(B2552,Students!$A$2:$A$601,0))</f>
        <v>Full Stack Development</v>
      </c>
      <c r="L2552" s="21" t="str">
        <f aca="false">INDEX(Companies!$C$2:$C$31,MATCH(C2552,Companies!$A$2:$A$31,0))</f>
        <v>Cybersecurity</v>
      </c>
      <c r="M2552" s="21" t="str">
        <f aca="false">INDEX(Companies!$D$2:$D$31,MATCH(C2552,Companies!$A$2:$A$31,0))</f>
        <v>Tier 2</v>
      </c>
      <c r="N2552" s="34" t="n">
        <f aca="false">MATCH(F2552,Assumptions!$K$4:$K$8,0)</f>
        <v>4</v>
      </c>
      <c r="O2552" s="21" t="str">
        <f aca="false">IF(H2552="Yes",MONTH(I2552),"")</f>
        <v/>
      </c>
      <c r="P2552" s="21" t="str">
        <f aca="false">IF(H2552="Yes",B2552,"")</f>
        <v/>
      </c>
    </row>
    <row r="2553" customFormat="false" ht="15" hidden="false" customHeight="false" outlineLevel="0" collapsed="false">
      <c r="A2553" s="21" t="s">
        <v>3768</v>
      </c>
      <c r="B2553" s="21" t="s">
        <v>1147</v>
      </c>
      <c r="C2553" s="21" t="s">
        <v>1255</v>
      </c>
      <c r="D2553" s="21" t="s">
        <v>1191</v>
      </c>
      <c r="E2553" s="33" t="n">
        <v>45970</v>
      </c>
      <c r="F2553" s="21" t="s">
        <v>1178</v>
      </c>
      <c r="G2553" s="32"/>
      <c r="H2553" s="21"/>
      <c r="I2553" s="33"/>
      <c r="J2553" s="21" t="str">
        <f aca="false">INDEX(Students!$C$2:$C$601,MATCH(B2553,Students!$A$2:$A$601,0))</f>
        <v>Batch 2026</v>
      </c>
      <c r="K2553" s="21" t="str">
        <f aca="false">INDEX(Students!$D$2:$D$601,MATCH(B2553,Students!$A$2:$A$601,0))</f>
        <v>DSA with Java</v>
      </c>
      <c r="L2553" s="21" t="str">
        <f aca="false">INDEX(Companies!$C$2:$C$31,MATCH(C2553,Companies!$A$2:$A$31,0))</f>
        <v>IT Services</v>
      </c>
      <c r="M2553" s="21" t="str">
        <f aca="false">INDEX(Companies!$D$2:$D$31,MATCH(C2553,Companies!$A$2:$A$31,0))</f>
        <v>Tier 3</v>
      </c>
      <c r="N2553" s="34" t="n">
        <f aca="false">MATCH(F2553,Assumptions!$K$4:$K$8,0)</f>
        <v>2</v>
      </c>
      <c r="O2553" s="21" t="str">
        <f aca="false">IF(H2553="Yes",MONTH(I2553),"")</f>
        <v/>
      </c>
      <c r="P2553" s="21" t="str">
        <f aca="false">IF(H2553="Yes",B2553,"")</f>
        <v/>
      </c>
    </row>
    <row r="2554" customFormat="false" ht="15" hidden="false" customHeight="false" outlineLevel="0" collapsed="false">
      <c r="A2554" s="21" t="s">
        <v>3769</v>
      </c>
      <c r="B2554" s="21" t="s">
        <v>907</v>
      </c>
      <c r="C2554" s="21" t="s">
        <v>1208</v>
      </c>
      <c r="D2554" s="21" t="s">
        <v>1243</v>
      </c>
      <c r="E2554" s="33" t="n">
        <v>45970</v>
      </c>
      <c r="F2554" s="21" t="s">
        <v>1175</v>
      </c>
      <c r="G2554" s="32"/>
      <c r="H2554" s="21"/>
      <c r="I2554" s="33"/>
      <c r="J2554" s="21" t="str">
        <f aca="false">INDEX(Students!$C$2:$C$601,MATCH(B2554,Students!$A$2:$A$601,0))</f>
        <v>Batch 2026</v>
      </c>
      <c r="K2554" s="21" t="str">
        <f aca="false">INDEX(Students!$D$2:$D$601,MATCH(B2554,Students!$A$2:$A$601,0))</f>
        <v>Data Science &amp; ML</v>
      </c>
      <c r="L2554" s="21" t="str">
        <f aca="false">INDEX(Companies!$C$2:$C$31,MATCH(C2554,Companies!$A$2:$A$31,0))</f>
        <v>E-commerce</v>
      </c>
      <c r="M2554" s="21" t="str">
        <f aca="false">INDEX(Companies!$D$2:$D$31,MATCH(C2554,Companies!$A$2:$A$31,0))</f>
        <v>Tier 1</v>
      </c>
      <c r="N2554" s="34" t="n">
        <f aca="false">MATCH(F2554,Assumptions!$K$4:$K$8,0)</f>
        <v>1</v>
      </c>
      <c r="O2554" s="21" t="str">
        <f aca="false">IF(H2554="Yes",MONTH(I2554),"")</f>
        <v/>
      </c>
      <c r="P2554" s="21" t="str">
        <f aca="false">IF(H2554="Yes",B2554,"")</f>
        <v/>
      </c>
    </row>
    <row r="2555" customFormat="false" ht="15" hidden="false" customHeight="false" outlineLevel="0" collapsed="false">
      <c r="A2555" s="21" t="s">
        <v>3770</v>
      </c>
      <c r="B2555" s="21" t="s">
        <v>912</v>
      </c>
      <c r="C2555" s="21" t="s">
        <v>1234</v>
      </c>
      <c r="D2555" s="21" t="s">
        <v>1174</v>
      </c>
      <c r="E2555" s="33" t="n">
        <v>45971</v>
      </c>
      <c r="F2555" s="21" t="s">
        <v>1197</v>
      </c>
      <c r="G2555" s="32"/>
      <c r="H2555" s="21"/>
      <c r="I2555" s="33"/>
      <c r="J2555" s="21" t="str">
        <f aca="false">INDEX(Students!$C$2:$C$601,MATCH(B2555,Students!$A$2:$A$601,0))</f>
        <v>Batch 2026</v>
      </c>
      <c r="K2555" s="21" t="str">
        <f aca="false">INDEX(Students!$D$2:$D$601,MATCH(B2555,Students!$A$2:$A$601,0))</f>
        <v>Full Stack Development</v>
      </c>
      <c r="L2555" s="21" t="str">
        <f aca="false">INDEX(Companies!$C$2:$C$31,MATCH(C2555,Companies!$A$2:$A$31,0))</f>
        <v>EdTech</v>
      </c>
      <c r="M2555" s="21" t="str">
        <f aca="false">INDEX(Companies!$D$2:$D$31,MATCH(C2555,Companies!$A$2:$A$31,0))</f>
        <v>Tier 3</v>
      </c>
      <c r="N2555" s="34" t="n">
        <f aca="false">MATCH(F2555,Assumptions!$K$4:$K$8,0)</f>
        <v>3</v>
      </c>
      <c r="O2555" s="21" t="str">
        <f aca="false">IF(H2555="Yes",MONTH(I2555),"")</f>
        <v/>
      </c>
      <c r="P2555" s="21" t="str">
        <f aca="false">IF(H2555="Yes",B2555,"")</f>
        <v/>
      </c>
    </row>
    <row r="2556" customFormat="false" ht="15" hidden="false" customHeight="false" outlineLevel="0" collapsed="false">
      <c r="A2556" s="21" t="s">
        <v>3771</v>
      </c>
      <c r="B2556" s="21" t="s">
        <v>936</v>
      </c>
      <c r="C2556" s="21" t="s">
        <v>1234</v>
      </c>
      <c r="D2556" s="21" t="s">
        <v>1181</v>
      </c>
      <c r="E2556" s="33" t="n">
        <v>45971</v>
      </c>
      <c r="F2556" s="21" t="s">
        <v>1197</v>
      </c>
      <c r="G2556" s="32"/>
      <c r="H2556" s="21"/>
      <c r="I2556" s="33"/>
      <c r="J2556" s="21" t="str">
        <f aca="false">INDEX(Students!$C$2:$C$601,MATCH(B2556,Students!$A$2:$A$601,0))</f>
        <v>Batch 2026</v>
      </c>
      <c r="K2556" s="21" t="str">
        <f aca="false">INDEX(Students!$D$2:$D$601,MATCH(B2556,Students!$A$2:$A$601,0))</f>
        <v>Full Stack Development</v>
      </c>
      <c r="L2556" s="21" t="str">
        <f aca="false">INDEX(Companies!$C$2:$C$31,MATCH(C2556,Companies!$A$2:$A$31,0))</f>
        <v>EdTech</v>
      </c>
      <c r="M2556" s="21" t="str">
        <f aca="false">INDEX(Companies!$D$2:$D$31,MATCH(C2556,Companies!$A$2:$A$31,0))</f>
        <v>Tier 3</v>
      </c>
      <c r="N2556" s="34" t="n">
        <f aca="false">MATCH(F2556,Assumptions!$K$4:$K$8,0)</f>
        <v>3</v>
      </c>
      <c r="O2556" s="21" t="str">
        <f aca="false">IF(H2556="Yes",MONTH(I2556),"")</f>
        <v/>
      </c>
      <c r="P2556" s="21" t="str">
        <f aca="false">IF(H2556="Yes",B2556,"")</f>
        <v/>
      </c>
    </row>
    <row r="2557" customFormat="false" ht="15" hidden="false" customHeight="false" outlineLevel="0" collapsed="false">
      <c r="A2557" s="21" t="s">
        <v>3772</v>
      </c>
      <c r="B2557" s="21" t="s">
        <v>1129</v>
      </c>
      <c r="C2557" s="21" t="s">
        <v>1190</v>
      </c>
      <c r="D2557" s="21" t="s">
        <v>1184</v>
      </c>
      <c r="E2557" s="33" t="n">
        <v>45971</v>
      </c>
      <c r="F2557" s="21" t="s">
        <v>1197</v>
      </c>
      <c r="G2557" s="32"/>
      <c r="H2557" s="21"/>
      <c r="I2557" s="33"/>
      <c r="J2557" s="21" t="str">
        <f aca="false">INDEX(Students!$C$2:$C$601,MATCH(B2557,Students!$A$2:$A$601,0))</f>
        <v>Batch 2026</v>
      </c>
      <c r="K2557" s="21" t="str">
        <f aca="false">INDEX(Students!$D$2:$D$601,MATCH(B2557,Students!$A$2:$A$601,0))</f>
        <v>DSA with Java</v>
      </c>
      <c r="L2557" s="21" t="str">
        <f aca="false">INDEX(Companies!$C$2:$C$31,MATCH(C2557,Companies!$A$2:$A$31,0))</f>
        <v>Analytics &amp; Consulting</v>
      </c>
      <c r="M2557" s="21" t="str">
        <f aca="false">INDEX(Companies!$D$2:$D$31,MATCH(C2557,Companies!$A$2:$A$31,0))</f>
        <v>Tier 1</v>
      </c>
      <c r="N2557" s="34" t="n">
        <f aca="false">MATCH(F2557,Assumptions!$K$4:$K$8,0)</f>
        <v>3</v>
      </c>
      <c r="O2557" s="21" t="str">
        <f aca="false">IF(H2557="Yes",MONTH(I2557),"")</f>
        <v/>
      </c>
      <c r="P2557" s="21" t="str">
        <f aca="false">IF(H2557="Yes",B2557,"")</f>
        <v/>
      </c>
    </row>
    <row r="2558" customFormat="false" ht="15" hidden="false" customHeight="false" outlineLevel="0" collapsed="false">
      <c r="A2558" s="21" t="s">
        <v>3773</v>
      </c>
      <c r="B2558" s="21" t="s">
        <v>1095</v>
      </c>
      <c r="C2558" s="21" t="s">
        <v>1187</v>
      </c>
      <c r="D2558" s="21" t="s">
        <v>1184</v>
      </c>
      <c r="E2558" s="33" t="n">
        <v>45971</v>
      </c>
      <c r="F2558" s="21" t="s">
        <v>1178</v>
      </c>
      <c r="G2558" s="32"/>
      <c r="H2558" s="21"/>
      <c r="I2558" s="33"/>
      <c r="J2558" s="21" t="str">
        <f aca="false">INDEX(Students!$C$2:$C$601,MATCH(B2558,Students!$A$2:$A$601,0))</f>
        <v>Batch 2026</v>
      </c>
      <c r="K2558" s="21" t="str">
        <f aca="false">INDEX(Students!$D$2:$D$601,MATCH(B2558,Students!$A$2:$A$601,0))</f>
        <v>DSA with Java</v>
      </c>
      <c r="L2558" s="21" t="str">
        <f aca="false">INDEX(Companies!$C$2:$C$31,MATCH(C2558,Companies!$A$2:$A$31,0))</f>
        <v>Product</v>
      </c>
      <c r="M2558" s="21" t="str">
        <f aca="false">INDEX(Companies!$D$2:$D$31,MATCH(C2558,Companies!$A$2:$A$31,0))</f>
        <v>Tier 1</v>
      </c>
      <c r="N2558" s="34" t="n">
        <f aca="false">MATCH(F2558,Assumptions!$K$4:$K$8,0)</f>
        <v>2</v>
      </c>
      <c r="O2558" s="21" t="str">
        <f aca="false">IF(H2558="Yes",MONTH(I2558),"")</f>
        <v/>
      </c>
      <c r="P2558" s="21" t="str">
        <f aca="false">IF(H2558="Yes",B2558,"")</f>
        <v/>
      </c>
    </row>
    <row r="2559" customFormat="false" ht="15" hidden="false" customHeight="false" outlineLevel="0" collapsed="false">
      <c r="A2559" s="21" t="s">
        <v>3774</v>
      </c>
      <c r="B2559" s="21" t="s">
        <v>826</v>
      </c>
      <c r="C2559" s="21" t="s">
        <v>1211</v>
      </c>
      <c r="D2559" s="21" t="s">
        <v>1188</v>
      </c>
      <c r="E2559" s="33" t="n">
        <v>45972</v>
      </c>
      <c r="F2559" s="21" t="s">
        <v>1178</v>
      </c>
      <c r="G2559" s="32"/>
      <c r="H2559" s="21"/>
      <c r="I2559" s="33"/>
      <c r="J2559" s="21" t="str">
        <f aca="false">INDEX(Students!$C$2:$C$601,MATCH(B2559,Students!$A$2:$A$601,0))</f>
        <v>Batch 2026</v>
      </c>
      <c r="K2559" s="21" t="str">
        <f aca="false">INDEX(Students!$D$2:$D$601,MATCH(B2559,Students!$A$2:$A$601,0))</f>
        <v>Data Analytics</v>
      </c>
      <c r="L2559" s="21" t="str">
        <f aca="false">INDEX(Companies!$C$2:$C$31,MATCH(C2559,Companies!$A$2:$A$31,0))</f>
        <v>Analytics &amp; Consulting</v>
      </c>
      <c r="M2559" s="21" t="str">
        <f aca="false">INDEX(Companies!$D$2:$D$31,MATCH(C2559,Companies!$A$2:$A$31,0))</f>
        <v>Tier 3</v>
      </c>
      <c r="N2559" s="34" t="n">
        <f aca="false">MATCH(F2559,Assumptions!$K$4:$K$8,0)</f>
        <v>2</v>
      </c>
      <c r="O2559" s="21" t="str">
        <f aca="false">IF(H2559="Yes",MONTH(I2559),"")</f>
        <v/>
      </c>
      <c r="P2559" s="21" t="str">
        <f aca="false">IF(H2559="Yes",B2559,"")</f>
        <v/>
      </c>
    </row>
    <row r="2560" customFormat="false" ht="15" hidden="false" customHeight="false" outlineLevel="0" collapsed="false">
      <c r="A2560" s="21" t="s">
        <v>3775</v>
      </c>
      <c r="B2560" s="21" t="s">
        <v>826</v>
      </c>
      <c r="C2560" s="21" t="s">
        <v>1263</v>
      </c>
      <c r="D2560" s="21" t="s">
        <v>1188</v>
      </c>
      <c r="E2560" s="33" t="n">
        <v>45972</v>
      </c>
      <c r="F2560" s="21" t="s">
        <v>1175</v>
      </c>
      <c r="G2560" s="32"/>
      <c r="H2560" s="21"/>
      <c r="I2560" s="33"/>
      <c r="J2560" s="21" t="str">
        <f aca="false">INDEX(Students!$C$2:$C$601,MATCH(B2560,Students!$A$2:$A$601,0))</f>
        <v>Batch 2026</v>
      </c>
      <c r="K2560" s="21" t="str">
        <f aca="false">INDEX(Students!$D$2:$D$601,MATCH(B2560,Students!$A$2:$A$601,0))</f>
        <v>Data Analytics</v>
      </c>
      <c r="L2560" s="21" t="str">
        <f aca="false">INDEX(Companies!$C$2:$C$31,MATCH(C2560,Companies!$A$2:$A$31,0))</f>
        <v>Analytics &amp; Consulting</v>
      </c>
      <c r="M2560" s="21" t="str">
        <f aca="false">INDEX(Companies!$D$2:$D$31,MATCH(C2560,Companies!$A$2:$A$31,0))</f>
        <v>Tier 2</v>
      </c>
      <c r="N2560" s="34" t="n">
        <f aca="false">MATCH(F2560,Assumptions!$K$4:$K$8,0)</f>
        <v>1</v>
      </c>
      <c r="O2560" s="21" t="str">
        <f aca="false">IF(H2560="Yes",MONTH(I2560),"")</f>
        <v/>
      </c>
      <c r="P2560" s="21" t="str">
        <f aca="false">IF(H2560="Yes",B2560,"")</f>
        <v/>
      </c>
    </row>
    <row r="2561" customFormat="false" ht="15" hidden="false" customHeight="false" outlineLevel="0" collapsed="false">
      <c r="A2561" s="21" t="s">
        <v>3776</v>
      </c>
      <c r="B2561" s="21" t="s">
        <v>826</v>
      </c>
      <c r="C2561" s="21" t="s">
        <v>1173</v>
      </c>
      <c r="D2561" s="21" t="s">
        <v>1209</v>
      </c>
      <c r="E2561" s="33" t="n">
        <v>45972</v>
      </c>
      <c r="F2561" s="21" t="s">
        <v>1197</v>
      </c>
      <c r="G2561" s="32"/>
      <c r="H2561" s="21"/>
      <c r="I2561" s="33"/>
      <c r="J2561" s="21" t="str">
        <f aca="false">INDEX(Students!$C$2:$C$601,MATCH(B2561,Students!$A$2:$A$601,0))</f>
        <v>Batch 2026</v>
      </c>
      <c r="K2561" s="21" t="str">
        <f aca="false">INDEX(Students!$D$2:$D$601,MATCH(B2561,Students!$A$2:$A$601,0))</f>
        <v>Data Analytics</v>
      </c>
      <c r="L2561" s="21" t="str">
        <f aca="false">INDEX(Companies!$C$2:$C$31,MATCH(C2561,Companies!$A$2:$A$31,0))</f>
        <v>Cybersecurity</v>
      </c>
      <c r="M2561" s="21" t="str">
        <f aca="false">INDEX(Companies!$D$2:$D$31,MATCH(C2561,Companies!$A$2:$A$31,0))</f>
        <v>Tier 1</v>
      </c>
      <c r="N2561" s="34" t="n">
        <f aca="false">MATCH(F2561,Assumptions!$K$4:$K$8,0)</f>
        <v>3</v>
      </c>
      <c r="O2561" s="21" t="str">
        <f aca="false">IF(H2561="Yes",MONTH(I2561),"")</f>
        <v/>
      </c>
      <c r="P2561" s="21" t="str">
        <f aca="false">IF(H2561="Yes",B2561,"")</f>
        <v/>
      </c>
    </row>
    <row r="2562" customFormat="false" ht="15" hidden="false" customHeight="false" outlineLevel="0" collapsed="false">
      <c r="A2562" s="21" t="s">
        <v>3777</v>
      </c>
      <c r="B2562" s="21" t="s">
        <v>1097</v>
      </c>
      <c r="C2562" s="21" t="s">
        <v>1234</v>
      </c>
      <c r="D2562" s="21" t="s">
        <v>1191</v>
      </c>
      <c r="E2562" s="33" t="n">
        <v>45972</v>
      </c>
      <c r="F2562" s="21" t="s">
        <v>1218</v>
      </c>
      <c r="G2562" s="32"/>
      <c r="H2562" s="21"/>
      <c r="I2562" s="33"/>
      <c r="J2562" s="21" t="str">
        <f aca="false">INDEX(Students!$C$2:$C$601,MATCH(B2562,Students!$A$2:$A$601,0))</f>
        <v>Batch 2026</v>
      </c>
      <c r="K2562" s="21" t="str">
        <f aca="false">INDEX(Students!$D$2:$D$601,MATCH(B2562,Students!$A$2:$A$601,0))</f>
        <v>DSA with Java</v>
      </c>
      <c r="L2562" s="21" t="str">
        <f aca="false">INDEX(Companies!$C$2:$C$31,MATCH(C2562,Companies!$A$2:$A$31,0))</f>
        <v>EdTech</v>
      </c>
      <c r="M2562" s="21" t="str">
        <f aca="false">INDEX(Companies!$D$2:$D$31,MATCH(C2562,Companies!$A$2:$A$31,0))</f>
        <v>Tier 3</v>
      </c>
      <c r="N2562" s="34" t="n">
        <f aca="false">MATCH(F2562,Assumptions!$K$4:$K$8,0)</f>
        <v>4</v>
      </c>
      <c r="O2562" s="21" t="str">
        <f aca="false">IF(H2562="Yes",MONTH(I2562),"")</f>
        <v/>
      </c>
      <c r="P2562" s="21" t="str">
        <f aca="false">IF(H2562="Yes",B2562,"")</f>
        <v/>
      </c>
    </row>
    <row r="2563" customFormat="false" ht="15" hidden="false" customHeight="false" outlineLevel="0" collapsed="false">
      <c r="A2563" s="21" t="s">
        <v>3778</v>
      </c>
      <c r="B2563" s="21" t="s">
        <v>1145</v>
      </c>
      <c r="C2563" s="21" t="s">
        <v>1180</v>
      </c>
      <c r="D2563" s="21" t="s">
        <v>1243</v>
      </c>
      <c r="E2563" s="33" t="n">
        <v>45972</v>
      </c>
      <c r="F2563" s="21" t="s">
        <v>1185</v>
      </c>
      <c r="G2563" s="32" t="n">
        <v>4.6</v>
      </c>
      <c r="H2563" s="21" t="s">
        <v>113</v>
      </c>
      <c r="I2563" s="33" t="n">
        <v>46023</v>
      </c>
      <c r="J2563" s="21" t="str">
        <f aca="false">INDEX(Students!$C$2:$C$601,MATCH(B2563,Students!$A$2:$A$601,0))</f>
        <v>Batch 2026</v>
      </c>
      <c r="K2563" s="21" t="str">
        <f aca="false">INDEX(Students!$D$2:$D$601,MATCH(B2563,Students!$A$2:$A$601,0))</f>
        <v>Data Science &amp; ML</v>
      </c>
      <c r="L2563" s="21" t="str">
        <f aca="false">INDEX(Companies!$C$2:$C$31,MATCH(C2563,Companies!$A$2:$A$31,0))</f>
        <v>IT Services</v>
      </c>
      <c r="M2563" s="21" t="str">
        <f aca="false">INDEX(Companies!$D$2:$D$31,MATCH(C2563,Companies!$A$2:$A$31,0))</f>
        <v>Tier 3</v>
      </c>
      <c r="N2563" s="34" t="n">
        <f aca="false">MATCH(F2563,Assumptions!$K$4:$K$8,0)</f>
        <v>5</v>
      </c>
      <c r="O2563" s="21" t="str">
        <f aca="false">IF(H2563="Yes",MONTH(I2563),"")</f>
        <v/>
      </c>
      <c r="P2563" s="21" t="str">
        <f aca="false">IF(H2563="Yes",B2563,"")</f>
        <v/>
      </c>
    </row>
    <row r="2564" customFormat="false" ht="15" hidden="false" customHeight="false" outlineLevel="0" collapsed="false">
      <c r="A2564" s="21" t="s">
        <v>3779</v>
      </c>
      <c r="B2564" s="21" t="s">
        <v>977</v>
      </c>
      <c r="C2564" s="21" t="s">
        <v>1239</v>
      </c>
      <c r="D2564" s="21" t="s">
        <v>1174</v>
      </c>
      <c r="E2564" s="33" t="n">
        <v>45972</v>
      </c>
      <c r="F2564" s="21" t="s">
        <v>1178</v>
      </c>
      <c r="G2564" s="32"/>
      <c r="H2564" s="21"/>
      <c r="I2564" s="33"/>
      <c r="J2564" s="21" t="str">
        <f aca="false">INDEX(Students!$C$2:$C$601,MATCH(B2564,Students!$A$2:$A$601,0))</f>
        <v>Batch 2026</v>
      </c>
      <c r="K2564" s="21" t="str">
        <f aca="false">INDEX(Students!$D$2:$D$601,MATCH(B2564,Students!$A$2:$A$601,0))</f>
        <v>Full Stack Development</v>
      </c>
      <c r="L2564" s="21" t="str">
        <f aca="false">INDEX(Companies!$C$2:$C$31,MATCH(C2564,Companies!$A$2:$A$31,0))</f>
        <v>E-commerce</v>
      </c>
      <c r="M2564" s="21" t="str">
        <f aca="false">INDEX(Companies!$D$2:$D$31,MATCH(C2564,Companies!$A$2:$A$31,0))</f>
        <v>Tier 3</v>
      </c>
      <c r="N2564" s="34" t="n">
        <f aca="false">MATCH(F2564,Assumptions!$K$4:$K$8,0)</f>
        <v>2</v>
      </c>
      <c r="O2564" s="21" t="str">
        <f aca="false">IF(H2564="Yes",MONTH(I2564),"")</f>
        <v/>
      </c>
      <c r="P2564" s="21" t="str">
        <f aca="false">IF(H2564="Yes",B2564,"")</f>
        <v/>
      </c>
    </row>
    <row r="2565" customFormat="false" ht="15" hidden="false" customHeight="false" outlineLevel="0" collapsed="false">
      <c r="A2565" s="21" t="s">
        <v>3780</v>
      </c>
      <c r="B2565" s="21" t="s">
        <v>1148</v>
      </c>
      <c r="C2565" s="21" t="s">
        <v>1263</v>
      </c>
      <c r="D2565" s="21" t="s">
        <v>1194</v>
      </c>
      <c r="E2565" s="33" t="n">
        <v>45973</v>
      </c>
      <c r="F2565" s="21" t="s">
        <v>1218</v>
      </c>
      <c r="G2565" s="32"/>
      <c r="H2565" s="21"/>
      <c r="I2565" s="33"/>
      <c r="J2565" s="21" t="str">
        <f aca="false">INDEX(Students!$C$2:$C$601,MATCH(B2565,Students!$A$2:$A$601,0))</f>
        <v>Batch 2026</v>
      </c>
      <c r="K2565" s="21" t="str">
        <f aca="false">INDEX(Students!$D$2:$D$601,MATCH(B2565,Students!$A$2:$A$601,0))</f>
        <v>Data Science &amp; ML</v>
      </c>
      <c r="L2565" s="21" t="str">
        <f aca="false">INDEX(Companies!$C$2:$C$31,MATCH(C2565,Companies!$A$2:$A$31,0))</f>
        <v>Analytics &amp; Consulting</v>
      </c>
      <c r="M2565" s="21" t="str">
        <f aca="false">INDEX(Companies!$D$2:$D$31,MATCH(C2565,Companies!$A$2:$A$31,0))</f>
        <v>Tier 2</v>
      </c>
      <c r="N2565" s="34" t="n">
        <f aca="false">MATCH(F2565,Assumptions!$K$4:$K$8,0)</f>
        <v>4</v>
      </c>
      <c r="O2565" s="21" t="str">
        <f aca="false">IF(H2565="Yes",MONTH(I2565),"")</f>
        <v/>
      </c>
      <c r="P2565" s="21" t="str">
        <f aca="false">IF(H2565="Yes",B2565,"")</f>
        <v/>
      </c>
    </row>
    <row r="2566" customFormat="false" ht="15" hidden="false" customHeight="false" outlineLevel="0" collapsed="false">
      <c r="A2566" s="21" t="s">
        <v>3781</v>
      </c>
      <c r="B2566" s="21" t="s">
        <v>1049</v>
      </c>
      <c r="C2566" s="21" t="s">
        <v>1263</v>
      </c>
      <c r="D2566" s="21" t="s">
        <v>1174</v>
      </c>
      <c r="E2566" s="33" t="n">
        <v>45973</v>
      </c>
      <c r="F2566" s="21" t="s">
        <v>1178</v>
      </c>
      <c r="G2566" s="32"/>
      <c r="H2566" s="21"/>
      <c r="I2566" s="33"/>
      <c r="J2566" s="21" t="str">
        <f aca="false">INDEX(Students!$C$2:$C$601,MATCH(B2566,Students!$A$2:$A$601,0))</f>
        <v>Batch 2026</v>
      </c>
      <c r="K2566" s="21" t="str">
        <f aca="false">INDEX(Students!$D$2:$D$601,MATCH(B2566,Students!$A$2:$A$601,0))</f>
        <v>Full Stack Development</v>
      </c>
      <c r="L2566" s="21" t="str">
        <f aca="false">INDEX(Companies!$C$2:$C$31,MATCH(C2566,Companies!$A$2:$A$31,0))</f>
        <v>Analytics &amp; Consulting</v>
      </c>
      <c r="M2566" s="21" t="str">
        <f aca="false">INDEX(Companies!$D$2:$D$31,MATCH(C2566,Companies!$A$2:$A$31,0))</f>
        <v>Tier 2</v>
      </c>
      <c r="N2566" s="34" t="n">
        <f aca="false">MATCH(F2566,Assumptions!$K$4:$K$8,0)</f>
        <v>2</v>
      </c>
      <c r="O2566" s="21" t="str">
        <f aca="false">IF(H2566="Yes",MONTH(I2566),"")</f>
        <v/>
      </c>
      <c r="P2566" s="21" t="str">
        <f aca="false">IF(H2566="Yes",B2566,"")</f>
        <v/>
      </c>
    </row>
    <row r="2567" customFormat="false" ht="15" hidden="false" customHeight="false" outlineLevel="0" collapsed="false">
      <c r="A2567" s="21" t="s">
        <v>3782</v>
      </c>
      <c r="B2567" s="21" t="s">
        <v>1073</v>
      </c>
      <c r="C2567" s="21" t="s">
        <v>1214</v>
      </c>
      <c r="D2567" s="21" t="s">
        <v>1181</v>
      </c>
      <c r="E2567" s="33" t="n">
        <v>45973</v>
      </c>
      <c r="F2567" s="21" t="s">
        <v>1175</v>
      </c>
      <c r="G2567" s="32"/>
      <c r="H2567" s="21"/>
      <c r="I2567" s="33"/>
      <c r="J2567" s="21" t="str">
        <f aca="false">INDEX(Students!$C$2:$C$601,MATCH(B2567,Students!$A$2:$A$601,0))</f>
        <v>Batch 2026</v>
      </c>
      <c r="K2567" s="21" t="str">
        <f aca="false">INDEX(Students!$D$2:$D$601,MATCH(B2567,Students!$A$2:$A$601,0))</f>
        <v>Full Stack Development</v>
      </c>
      <c r="L2567" s="21" t="str">
        <f aca="false">INDEX(Companies!$C$2:$C$31,MATCH(C2567,Companies!$A$2:$A$31,0))</f>
        <v>Product</v>
      </c>
      <c r="M2567" s="21" t="str">
        <f aca="false">INDEX(Companies!$D$2:$D$31,MATCH(C2567,Companies!$A$2:$A$31,0))</f>
        <v>Tier 1</v>
      </c>
      <c r="N2567" s="34" t="n">
        <f aca="false">MATCH(F2567,Assumptions!$K$4:$K$8,0)</f>
        <v>1</v>
      </c>
      <c r="O2567" s="21" t="str">
        <f aca="false">IF(H2567="Yes",MONTH(I2567),"")</f>
        <v/>
      </c>
      <c r="P2567" s="21" t="str">
        <f aca="false">IF(H2567="Yes",B2567,"")</f>
        <v/>
      </c>
    </row>
    <row r="2568" customFormat="false" ht="15" hidden="false" customHeight="false" outlineLevel="0" collapsed="false">
      <c r="A2568" s="21" t="s">
        <v>3783</v>
      </c>
      <c r="B2568" s="21" t="s">
        <v>896</v>
      </c>
      <c r="C2568" s="21" t="s">
        <v>1173</v>
      </c>
      <c r="D2568" s="21" t="s">
        <v>1184</v>
      </c>
      <c r="E2568" s="33" t="n">
        <v>45973</v>
      </c>
      <c r="F2568" s="21" t="s">
        <v>1197</v>
      </c>
      <c r="G2568" s="32"/>
      <c r="H2568" s="21"/>
      <c r="I2568" s="33"/>
      <c r="J2568" s="21" t="str">
        <f aca="false">INDEX(Students!$C$2:$C$601,MATCH(B2568,Students!$A$2:$A$601,0))</f>
        <v>Batch 2026</v>
      </c>
      <c r="K2568" s="21" t="str">
        <f aca="false">INDEX(Students!$D$2:$D$601,MATCH(B2568,Students!$A$2:$A$601,0))</f>
        <v>DSA with Java</v>
      </c>
      <c r="L2568" s="21" t="str">
        <f aca="false">INDEX(Companies!$C$2:$C$31,MATCH(C2568,Companies!$A$2:$A$31,0))</f>
        <v>Cybersecurity</v>
      </c>
      <c r="M2568" s="21" t="str">
        <f aca="false">INDEX(Companies!$D$2:$D$31,MATCH(C2568,Companies!$A$2:$A$31,0))</f>
        <v>Tier 1</v>
      </c>
      <c r="N2568" s="34" t="n">
        <f aca="false">MATCH(F2568,Assumptions!$K$4:$K$8,0)</f>
        <v>3</v>
      </c>
      <c r="O2568" s="21" t="str">
        <f aca="false">IF(H2568="Yes",MONTH(I2568),"")</f>
        <v/>
      </c>
      <c r="P2568" s="21" t="str">
        <f aca="false">IF(H2568="Yes",B2568,"")</f>
        <v/>
      </c>
    </row>
    <row r="2569" customFormat="false" ht="15" hidden="false" customHeight="false" outlineLevel="0" collapsed="false">
      <c r="A2569" s="21" t="s">
        <v>3784</v>
      </c>
      <c r="B2569" s="21" t="s">
        <v>991</v>
      </c>
      <c r="C2569" s="21" t="s">
        <v>1193</v>
      </c>
      <c r="D2569" s="21" t="s">
        <v>1181</v>
      </c>
      <c r="E2569" s="33" t="n">
        <v>45973</v>
      </c>
      <c r="F2569" s="21" t="s">
        <v>1178</v>
      </c>
      <c r="G2569" s="32"/>
      <c r="H2569" s="21"/>
      <c r="I2569" s="33"/>
      <c r="J2569" s="21" t="str">
        <f aca="false">INDEX(Students!$C$2:$C$601,MATCH(B2569,Students!$A$2:$A$601,0))</f>
        <v>Batch 2026</v>
      </c>
      <c r="K2569" s="21" t="str">
        <f aca="false">INDEX(Students!$D$2:$D$601,MATCH(B2569,Students!$A$2:$A$601,0))</f>
        <v>Full Stack Development</v>
      </c>
      <c r="L2569" s="21" t="str">
        <f aca="false">INDEX(Companies!$C$2:$C$31,MATCH(C2569,Companies!$A$2:$A$31,0))</f>
        <v>Analytics &amp; Consulting</v>
      </c>
      <c r="M2569" s="21" t="str">
        <f aca="false">INDEX(Companies!$D$2:$D$31,MATCH(C2569,Companies!$A$2:$A$31,0))</f>
        <v>Tier 2</v>
      </c>
      <c r="N2569" s="34" t="n">
        <f aca="false">MATCH(F2569,Assumptions!$K$4:$K$8,0)</f>
        <v>2</v>
      </c>
      <c r="O2569" s="21" t="str">
        <f aca="false">IF(H2569="Yes",MONTH(I2569),"")</f>
        <v/>
      </c>
      <c r="P2569" s="21" t="str">
        <f aca="false">IF(H2569="Yes",B2569,"")</f>
        <v/>
      </c>
    </row>
    <row r="2570" customFormat="false" ht="15" hidden="false" customHeight="false" outlineLevel="0" collapsed="false">
      <c r="A2570" s="21" t="s">
        <v>3785</v>
      </c>
      <c r="B2570" s="21" t="s">
        <v>1074</v>
      </c>
      <c r="C2570" s="21" t="s">
        <v>1180</v>
      </c>
      <c r="D2570" s="21" t="s">
        <v>1184</v>
      </c>
      <c r="E2570" s="33" t="n">
        <v>45973</v>
      </c>
      <c r="F2570" s="21" t="s">
        <v>1185</v>
      </c>
      <c r="G2570" s="32" t="n">
        <v>6.5</v>
      </c>
      <c r="H2570" s="21" t="s">
        <v>113</v>
      </c>
      <c r="I2570" s="33" t="n">
        <v>45997</v>
      </c>
      <c r="J2570" s="21" t="str">
        <f aca="false">INDEX(Students!$C$2:$C$601,MATCH(B2570,Students!$A$2:$A$601,0))</f>
        <v>Batch 2026</v>
      </c>
      <c r="K2570" s="21" t="str">
        <f aca="false">INDEX(Students!$D$2:$D$601,MATCH(B2570,Students!$A$2:$A$601,0))</f>
        <v>DSA with Java</v>
      </c>
      <c r="L2570" s="21" t="str">
        <f aca="false">INDEX(Companies!$C$2:$C$31,MATCH(C2570,Companies!$A$2:$A$31,0))</f>
        <v>IT Services</v>
      </c>
      <c r="M2570" s="21" t="str">
        <f aca="false">INDEX(Companies!$D$2:$D$31,MATCH(C2570,Companies!$A$2:$A$31,0))</f>
        <v>Tier 3</v>
      </c>
      <c r="N2570" s="34" t="n">
        <f aca="false">MATCH(F2570,Assumptions!$K$4:$K$8,0)</f>
        <v>5</v>
      </c>
      <c r="O2570" s="21" t="str">
        <f aca="false">IF(H2570="Yes",MONTH(I2570),"")</f>
        <v/>
      </c>
      <c r="P2570" s="21" t="str">
        <f aca="false">IF(H2570="Yes",B2570,"")</f>
        <v/>
      </c>
    </row>
    <row r="2571" customFormat="false" ht="15" hidden="false" customHeight="false" outlineLevel="0" collapsed="false">
      <c r="A2571" s="21" t="s">
        <v>3786</v>
      </c>
      <c r="B2571" s="21" t="s">
        <v>880</v>
      </c>
      <c r="C2571" s="21" t="s">
        <v>1183</v>
      </c>
      <c r="D2571" s="21" t="s">
        <v>1184</v>
      </c>
      <c r="E2571" s="33" t="n">
        <v>45973</v>
      </c>
      <c r="F2571" s="21" t="s">
        <v>1175</v>
      </c>
      <c r="G2571" s="32"/>
      <c r="H2571" s="21"/>
      <c r="I2571" s="33"/>
      <c r="J2571" s="21" t="str">
        <f aca="false">INDEX(Students!$C$2:$C$601,MATCH(B2571,Students!$A$2:$A$601,0))</f>
        <v>Batch 2026</v>
      </c>
      <c r="K2571" s="21" t="str">
        <f aca="false">INDEX(Students!$D$2:$D$601,MATCH(B2571,Students!$A$2:$A$601,0))</f>
        <v>DSA with Java</v>
      </c>
      <c r="L2571" s="21" t="str">
        <f aca="false">INDEX(Companies!$C$2:$C$31,MATCH(C2571,Companies!$A$2:$A$31,0))</f>
        <v>E-commerce</v>
      </c>
      <c r="M2571" s="21" t="str">
        <f aca="false">INDEX(Companies!$D$2:$D$31,MATCH(C2571,Companies!$A$2:$A$31,0))</f>
        <v>Tier 2</v>
      </c>
      <c r="N2571" s="34" t="n">
        <f aca="false">MATCH(F2571,Assumptions!$K$4:$K$8,0)</f>
        <v>1</v>
      </c>
      <c r="O2571" s="21" t="str">
        <f aca="false">IF(H2571="Yes",MONTH(I2571),"")</f>
        <v/>
      </c>
      <c r="P2571" s="21" t="str">
        <f aca="false">IF(H2571="Yes",B2571,"")</f>
        <v/>
      </c>
    </row>
    <row r="2572" customFormat="false" ht="15" hidden="false" customHeight="false" outlineLevel="0" collapsed="false">
      <c r="A2572" s="21" t="s">
        <v>3787</v>
      </c>
      <c r="B2572" s="21" t="s">
        <v>1040</v>
      </c>
      <c r="C2572" s="21" t="s">
        <v>1201</v>
      </c>
      <c r="D2572" s="21" t="s">
        <v>1191</v>
      </c>
      <c r="E2572" s="33" t="n">
        <v>45973</v>
      </c>
      <c r="F2572" s="21" t="s">
        <v>1175</v>
      </c>
      <c r="G2572" s="32"/>
      <c r="H2572" s="21"/>
      <c r="I2572" s="33"/>
      <c r="J2572" s="21" t="str">
        <f aca="false">INDEX(Students!$C$2:$C$601,MATCH(B2572,Students!$A$2:$A$601,0))</f>
        <v>Batch 2026</v>
      </c>
      <c r="K2572" s="21" t="str">
        <f aca="false">INDEX(Students!$D$2:$D$601,MATCH(B2572,Students!$A$2:$A$601,0))</f>
        <v>DSA with Java</v>
      </c>
      <c r="L2572" s="21" t="str">
        <f aca="false">INDEX(Companies!$C$2:$C$31,MATCH(C2572,Companies!$A$2:$A$31,0))</f>
        <v>IT Services</v>
      </c>
      <c r="M2572" s="21" t="str">
        <f aca="false">INDEX(Companies!$D$2:$D$31,MATCH(C2572,Companies!$A$2:$A$31,0))</f>
        <v>Tier 3</v>
      </c>
      <c r="N2572" s="34" t="n">
        <f aca="false">MATCH(F2572,Assumptions!$K$4:$K$8,0)</f>
        <v>1</v>
      </c>
      <c r="O2572" s="21" t="str">
        <f aca="false">IF(H2572="Yes",MONTH(I2572),"")</f>
        <v/>
      </c>
      <c r="P2572" s="21" t="str">
        <f aca="false">IF(H2572="Yes",B2572,"")</f>
        <v/>
      </c>
    </row>
    <row r="2573" customFormat="false" ht="15" hidden="false" customHeight="false" outlineLevel="0" collapsed="false">
      <c r="A2573" s="21" t="s">
        <v>3788</v>
      </c>
      <c r="B2573" s="21" t="s">
        <v>1089</v>
      </c>
      <c r="C2573" s="21" t="s">
        <v>1309</v>
      </c>
      <c r="D2573" s="21" t="s">
        <v>1184</v>
      </c>
      <c r="E2573" s="33" t="n">
        <v>45973</v>
      </c>
      <c r="F2573" s="21" t="s">
        <v>1178</v>
      </c>
      <c r="G2573" s="32"/>
      <c r="H2573" s="21"/>
      <c r="I2573" s="33"/>
      <c r="J2573" s="21" t="str">
        <f aca="false">INDEX(Students!$C$2:$C$601,MATCH(B2573,Students!$A$2:$A$601,0))</f>
        <v>Batch 2026</v>
      </c>
      <c r="K2573" s="21" t="str">
        <f aca="false">INDEX(Students!$D$2:$D$601,MATCH(B2573,Students!$A$2:$A$601,0))</f>
        <v>DSA with Java</v>
      </c>
      <c r="L2573" s="21" t="str">
        <f aca="false">INDEX(Companies!$C$2:$C$31,MATCH(C2573,Companies!$A$2:$A$31,0))</f>
        <v>EdTech</v>
      </c>
      <c r="M2573" s="21" t="str">
        <f aca="false">INDEX(Companies!$D$2:$D$31,MATCH(C2573,Companies!$A$2:$A$31,0))</f>
        <v>Tier 2</v>
      </c>
      <c r="N2573" s="34" t="n">
        <f aca="false">MATCH(F2573,Assumptions!$K$4:$K$8,0)</f>
        <v>2</v>
      </c>
      <c r="O2573" s="21" t="str">
        <f aca="false">IF(H2573="Yes",MONTH(I2573),"")</f>
        <v/>
      </c>
      <c r="P2573" s="21" t="str">
        <f aca="false">IF(H2573="Yes",B2573,"")</f>
        <v/>
      </c>
    </row>
    <row r="2574" customFormat="false" ht="15" hidden="false" customHeight="false" outlineLevel="0" collapsed="false">
      <c r="A2574" s="21" t="s">
        <v>3789</v>
      </c>
      <c r="B2574" s="21" t="s">
        <v>1119</v>
      </c>
      <c r="C2574" s="21" t="s">
        <v>1201</v>
      </c>
      <c r="D2574" s="21" t="s">
        <v>1188</v>
      </c>
      <c r="E2574" s="33" t="n">
        <v>45974</v>
      </c>
      <c r="F2574" s="21" t="s">
        <v>1178</v>
      </c>
      <c r="G2574" s="32"/>
      <c r="H2574" s="21"/>
      <c r="I2574" s="33"/>
      <c r="J2574" s="21" t="str">
        <f aca="false">INDEX(Students!$C$2:$C$601,MATCH(B2574,Students!$A$2:$A$601,0))</f>
        <v>Batch 2026</v>
      </c>
      <c r="K2574" s="21" t="str">
        <f aca="false">INDEX(Students!$D$2:$D$601,MATCH(B2574,Students!$A$2:$A$601,0))</f>
        <v>Data Analytics</v>
      </c>
      <c r="L2574" s="21" t="str">
        <f aca="false">INDEX(Companies!$C$2:$C$31,MATCH(C2574,Companies!$A$2:$A$31,0))</f>
        <v>IT Services</v>
      </c>
      <c r="M2574" s="21" t="str">
        <f aca="false">INDEX(Companies!$D$2:$D$31,MATCH(C2574,Companies!$A$2:$A$31,0))</f>
        <v>Tier 3</v>
      </c>
      <c r="N2574" s="34" t="n">
        <f aca="false">MATCH(F2574,Assumptions!$K$4:$K$8,0)</f>
        <v>2</v>
      </c>
      <c r="O2574" s="21" t="str">
        <f aca="false">IF(H2574="Yes",MONTH(I2574),"")</f>
        <v/>
      </c>
      <c r="P2574" s="21" t="str">
        <f aca="false">IF(H2574="Yes",B2574,"")</f>
        <v/>
      </c>
    </row>
    <row r="2575" customFormat="false" ht="15" hidden="false" customHeight="false" outlineLevel="0" collapsed="false">
      <c r="A2575" s="21" t="s">
        <v>3790</v>
      </c>
      <c r="B2575" s="21" t="s">
        <v>1089</v>
      </c>
      <c r="C2575" s="21" t="s">
        <v>1255</v>
      </c>
      <c r="D2575" s="21" t="s">
        <v>1191</v>
      </c>
      <c r="E2575" s="33" t="n">
        <v>45974</v>
      </c>
      <c r="F2575" s="21" t="s">
        <v>1218</v>
      </c>
      <c r="G2575" s="32"/>
      <c r="H2575" s="21"/>
      <c r="I2575" s="33"/>
      <c r="J2575" s="21" t="str">
        <f aca="false">INDEX(Students!$C$2:$C$601,MATCH(B2575,Students!$A$2:$A$601,0))</f>
        <v>Batch 2026</v>
      </c>
      <c r="K2575" s="21" t="str">
        <f aca="false">INDEX(Students!$D$2:$D$601,MATCH(B2575,Students!$A$2:$A$601,0))</f>
        <v>DSA with Java</v>
      </c>
      <c r="L2575" s="21" t="str">
        <f aca="false">INDEX(Companies!$C$2:$C$31,MATCH(C2575,Companies!$A$2:$A$31,0))</f>
        <v>IT Services</v>
      </c>
      <c r="M2575" s="21" t="str">
        <f aca="false">INDEX(Companies!$D$2:$D$31,MATCH(C2575,Companies!$A$2:$A$31,0))</f>
        <v>Tier 3</v>
      </c>
      <c r="N2575" s="34" t="n">
        <f aca="false">MATCH(F2575,Assumptions!$K$4:$K$8,0)</f>
        <v>4</v>
      </c>
      <c r="O2575" s="21" t="str">
        <f aca="false">IF(H2575="Yes",MONTH(I2575),"")</f>
        <v/>
      </c>
      <c r="P2575" s="21" t="str">
        <f aca="false">IF(H2575="Yes",B2575,"")</f>
        <v/>
      </c>
    </row>
    <row r="2576" customFormat="false" ht="15" hidden="false" customHeight="false" outlineLevel="0" collapsed="false">
      <c r="A2576" s="21" t="s">
        <v>3791</v>
      </c>
      <c r="B2576" s="21" t="s">
        <v>905</v>
      </c>
      <c r="C2576" s="21" t="s">
        <v>1255</v>
      </c>
      <c r="D2576" s="21" t="s">
        <v>1181</v>
      </c>
      <c r="E2576" s="33" t="n">
        <v>45974</v>
      </c>
      <c r="F2576" s="21" t="s">
        <v>1175</v>
      </c>
      <c r="G2576" s="32"/>
      <c r="H2576" s="21"/>
      <c r="I2576" s="33"/>
      <c r="J2576" s="21" t="str">
        <f aca="false">INDEX(Students!$C$2:$C$601,MATCH(B2576,Students!$A$2:$A$601,0))</f>
        <v>Batch 2026</v>
      </c>
      <c r="K2576" s="21" t="str">
        <f aca="false">INDEX(Students!$D$2:$D$601,MATCH(B2576,Students!$A$2:$A$601,0))</f>
        <v>Full Stack Development</v>
      </c>
      <c r="L2576" s="21" t="str">
        <f aca="false">INDEX(Companies!$C$2:$C$31,MATCH(C2576,Companies!$A$2:$A$31,0))</f>
        <v>IT Services</v>
      </c>
      <c r="M2576" s="21" t="str">
        <f aca="false">INDEX(Companies!$D$2:$D$31,MATCH(C2576,Companies!$A$2:$A$31,0))</f>
        <v>Tier 3</v>
      </c>
      <c r="N2576" s="34" t="n">
        <f aca="false">MATCH(F2576,Assumptions!$K$4:$K$8,0)</f>
        <v>1</v>
      </c>
      <c r="O2576" s="21" t="str">
        <f aca="false">IF(H2576="Yes",MONTH(I2576),"")</f>
        <v/>
      </c>
      <c r="P2576" s="21" t="str">
        <f aca="false">IF(H2576="Yes",B2576,"")</f>
        <v/>
      </c>
    </row>
    <row r="2577" customFormat="false" ht="15" hidden="false" customHeight="false" outlineLevel="0" collapsed="false">
      <c r="A2577" s="21" t="s">
        <v>3792</v>
      </c>
      <c r="B2577" s="21" t="s">
        <v>1103</v>
      </c>
      <c r="C2577" s="21" t="s">
        <v>1201</v>
      </c>
      <c r="D2577" s="21" t="s">
        <v>1181</v>
      </c>
      <c r="E2577" s="33" t="n">
        <v>45974</v>
      </c>
      <c r="F2577" s="21" t="s">
        <v>1178</v>
      </c>
      <c r="G2577" s="32"/>
      <c r="H2577" s="21"/>
      <c r="I2577" s="33"/>
      <c r="J2577" s="21" t="str">
        <f aca="false">INDEX(Students!$C$2:$C$601,MATCH(B2577,Students!$A$2:$A$601,0))</f>
        <v>Batch 2026</v>
      </c>
      <c r="K2577" s="21" t="str">
        <f aca="false">INDEX(Students!$D$2:$D$601,MATCH(B2577,Students!$A$2:$A$601,0))</f>
        <v>Full Stack Development</v>
      </c>
      <c r="L2577" s="21" t="str">
        <f aca="false">INDEX(Companies!$C$2:$C$31,MATCH(C2577,Companies!$A$2:$A$31,0))</f>
        <v>IT Services</v>
      </c>
      <c r="M2577" s="21" t="str">
        <f aca="false">INDEX(Companies!$D$2:$D$31,MATCH(C2577,Companies!$A$2:$A$31,0))</f>
        <v>Tier 3</v>
      </c>
      <c r="N2577" s="34" t="n">
        <f aca="false">MATCH(F2577,Assumptions!$K$4:$K$8,0)</f>
        <v>2</v>
      </c>
      <c r="O2577" s="21" t="str">
        <f aca="false">IF(H2577="Yes",MONTH(I2577),"")</f>
        <v/>
      </c>
      <c r="P2577" s="21" t="str">
        <f aca="false">IF(H2577="Yes",B2577,"")</f>
        <v/>
      </c>
    </row>
    <row r="2578" customFormat="false" ht="15" hidden="false" customHeight="false" outlineLevel="0" collapsed="false">
      <c r="A2578" s="21" t="s">
        <v>3793</v>
      </c>
      <c r="B2578" s="21" t="s">
        <v>836</v>
      </c>
      <c r="C2578" s="21" t="s">
        <v>1173</v>
      </c>
      <c r="D2578" s="21" t="s">
        <v>1243</v>
      </c>
      <c r="E2578" s="33" t="n">
        <v>45974</v>
      </c>
      <c r="F2578" s="21" t="s">
        <v>1175</v>
      </c>
      <c r="G2578" s="32"/>
      <c r="H2578" s="21"/>
      <c r="I2578" s="33"/>
      <c r="J2578" s="21" t="str">
        <f aca="false">INDEX(Students!$C$2:$C$601,MATCH(B2578,Students!$A$2:$A$601,0))</f>
        <v>Batch 2026</v>
      </c>
      <c r="K2578" s="21" t="str">
        <f aca="false">INDEX(Students!$D$2:$D$601,MATCH(B2578,Students!$A$2:$A$601,0))</f>
        <v>Data Science &amp; ML</v>
      </c>
      <c r="L2578" s="21" t="str">
        <f aca="false">INDEX(Companies!$C$2:$C$31,MATCH(C2578,Companies!$A$2:$A$31,0))</f>
        <v>Cybersecurity</v>
      </c>
      <c r="M2578" s="21" t="str">
        <f aca="false">INDEX(Companies!$D$2:$D$31,MATCH(C2578,Companies!$A$2:$A$31,0))</f>
        <v>Tier 1</v>
      </c>
      <c r="N2578" s="34" t="n">
        <f aca="false">MATCH(F2578,Assumptions!$K$4:$K$8,0)</f>
        <v>1</v>
      </c>
      <c r="O2578" s="21" t="str">
        <f aca="false">IF(H2578="Yes",MONTH(I2578),"")</f>
        <v/>
      </c>
      <c r="P2578" s="21" t="str">
        <f aca="false">IF(H2578="Yes",B2578,"")</f>
        <v/>
      </c>
    </row>
    <row r="2579" customFormat="false" ht="15" hidden="false" customHeight="false" outlineLevel="0" collapsed="false">
      <c r="A2579" s="21" t="s">
        <v>3794</v>
      </c>
      <c r="B2579" s="21" t="s">
        <v>880</v>
      </c>
      <c r="C2579" s="21" t="s">
        <v>1234</v>
      </c>
      <c r="D2579" s="21" t="s">
        <v>1184</v>
      </c>
      <c r="E2579" s="33" t="n">
        <v>45974</v>
      </c>
      <c r="F2579" s="21" t="s">
        <v>1175</v>
      </c>
      <c r="G2579" s="32"/>
      <c r="H2579" s="21"/>
      <c r="I2579" s="33"/>
      <c r="J2579" s="21" t="str">
        <f aca="false">INDEX(Students!$C$2:$C$601,MATCH(B2579,Students!$A$2:$A$601,0))</f>
        <v>Batch 2026</v>
      </c>
      <c r="K2579" s="21" t="str">
        <f aca="false">INDEX(Students!$D$2:$D$601,MATCH(B2579,Students!$A$2:$A$601,0))</f>
        <v>DSA with Java</v>
      </c>
      <c r="L2579" s="21" t="str">
        <f aca="false">INDEX(Companies!$C$2:$C$31,MATCH(C2579,Companies!$A$2:$A$31,0))</f>
        <v>EdTech</v>
      </c>
      <c r="M2579" s="21" t="str">
        <f aca="false">INDEX(Companies!$D$2:$D$31,MATCH(C2579,Companies!$A$2:$A$31,0))</f>
        <v>Tier 3</v>
      </c>
      <c r="N2579" s="34" t="n">
        <f aca="false">MATCH(F2579,Assumptions!$K$4:$K$8,0)</f>
        <v>1</v>
      </c>
      <c r="O2579" s="21" t="str">
        <f aca="false">IF(H2579="Yes",MONTH(I2579),"")</f>
        <v/>
      </c>
      <c r="P2579" s="21" t="str">
        <f aca="false">IF(H2579="Yes",B2579,"")</f>
        <v/>
      </c>
    </row>
    <row r="2580" customFormat="false" ht="15" hidden="false" customHeight="false" outlineLevel="0" collapsed="false">
      <c r="A2580" s="21" t="s">
        <v>3795</v>
      </c>
      <c r="B2580" s="21" t="s">
        <v>1023</v>
      </c>
      <c r="C2580" s="21" t="s">
        <v>1211</v>
      </c>
      <c r="D2580" s="21" t="s">
        <v>1184</v>
      </c>
      <c r="E2580" s="33" t="n">
        <v>45975</v>
      </c>
      <c r="F2580" s="21" t="s">
        <v>1185</v>
      </c>
      <c r="G2580" s="32" t="n">
        <v>8.3</v>
      </c>
      <c r="H2580" s="21" t="s">
        <v>120</v>
      </c>
      <c r="I2580" s="33" t="n">
        <v>45996</v>
      </c>
      <c r="J2580" s="21" t="str">
        <f aca="false">INDEX(Students!$C$2:$C$601,MATCH(B2580,Students!$A$2:$A$601,0))</f>
        <v>Batch 2026</v>
      </c>
      <c r="K2580" s="21" t="str">
        <f aca="false">INDEX(Students!$D$2:$D$601,MATCH(B2580,Students!$A$2:$A$601,0))</f>
        <v>DSA with Java</v>
      </c>
      <c r="L2580" s="21" t="str">
        <f aca="false">INDEX(Companies!$C$2:$C$31,MATCH(C2580,Companies!$A$2:$A$31,0))</f>
        <v>Analytics &amp; Consulting</v>
      </c>
      <c r="M2580" s="21" t="str">
        <f aca="false">INDEX(Companies!$D$2:$D$31,MATCH(C2580,Companies!$A$2:$A$31,0))</f>
        <v>Tier 3</v>
      </c>
      <c r="N2580" s="34" t="n">
        <f aca="false">MATCH(F2580,Assumptions!$K$4:$K$8,0)</f>
        <v>5</v>
      </c>
      <c r="O2580" s="21" t="n">
        <f aca="false">IF(H2580="Yes",MONTH(I2580),"")</f>
        <v>12</v>
      </c>
      <c r="P2580" s="21" t="str">
        <f aca="false">IF(H2580="Yes",B2580,"")</f>
        <v>S0514</v>
      </c>
    </row>
    <row r="2581" customFormat="false" ht="15" hidden="false" customHeight="false" outlineLevel="0" collapsed="false">
      <c r="A2581" s="21" t="s">
        <v>3796</v>
      </c>
      <c r="B2581" s="21" t="s">
        <v>937</v>
      </c>
      <c r="C2581" s="21" t="s">
        <v>1263</v>
      </c>
      <c r="D2581" s="21" t="s">
        <v>1184</v>
      </c>
      <c r="E2581" s="33" t="n">
        <v>45975</v>
      </c>
      <c r="F2581" s="21" t="s">
        <v>1197</v>
      </c>
      <c r="G2581" s="32"/>
      <c r="H2581" s="21"/>
      <c r="I2581" s="33"/>
      <c r="J2581" s="21" t="str">
        <f aca="false">INDEX(Students!$C$2:$C$601,MATCH(B2581,Students!$A$2:$A$601,0))</f>
        <v>Batch 2026</v>
      </c>
      <c r="K2581" s="21" t="str">
        <f aca="false">INDEX(Students!$D$2:$D$601,MATCH(B2581,Students!$A$2:$A$601,0))</f>
        <v>DSA with Java</v>
      </c>
      <c r="L2581" s="21" t="str">
        <f aca="false">INDEX(Companies!$C$2:$C$31,MATCH(C2581,Companies!$A$2:$A$31,0))</f>
        <v>Analytics &amp; Consulting</v>
      </c>
      <c r="M2581" s="21" t="str">
        <f aca="false">INDEX(Companies!$D$2:$D$31,MATCH(C2581,Companies!$A$2:$A$31,0))</f>
        <v>Tier 2</v>
      </c>
      <c r="N2581" s="34" t="n">
        <f aca="false">MATCH(F2581,Assumptions!$K$4:$K$8,0)</f>
        <v>3</v>
      </c>
      <c r="O2581" s="21" t="str">
        <f aca="false">IF(H2581="Yes",MONTH(I2581),"")</f>
        <v/>
      </c>
      <c r="P2581" s="21" t="str">
        <f aca="false">IF(H2581="Yes",B2581,"")</f>
        <v/>
      </c>
    </row>
    <row r="2582" customFormat="false" ht="15" hidden="false" customHeight="false" outlineLevel="0" collapsed="false">
      <c r="A2582" s="21" t="s">
        <v>3797</v>
      </c>
      <c r="B2582" s="21" t="s">
        <v>819</v>
      </c>
      <c r="C2582" s="21" t="s">
        <v>1230</v>
      </c>
      <c r="D2582" s="21" t="s">
        <v>1184</v>
      </c>
      <c r="E2582" s="33" t="n">
        <v>45975</v>
      </c>
      <c r="F2582" s="21" t="s">
        <v>1185</v>
      </c>
      <c r="G2582" s="32" t="n">
        <v>5.8</v>
      </c>
      <c r="H2582" s="21" t="s">
        <v>113</v>
      </c>
      <c r="I2582" s="33" t="n">
        <v>46021</v>
      </c>
      <c r="J2582" s="21" t="str">
        <f aca="false">INDEX(Students!$C$2:$C$601,MATCH(B2582,Students!$A$2:$A$601,0))</f>
        <v>Batch 2026</v>
      </c>
      <c r="K2582" s="21" t="str">
        <f aca="false">INDEX(Students!$D$2:$D$601,MATCH(B2582,Students!$A$2:$A$601,0))</f>
        <v>DSA with Java</v>
      </c>
      <c r="L2582" s="21" t="str">
        <f aca="false">INDEX(Companies!$C$2:$C$31,MATCH(C2582,Companies!$A$2:$A$31,0))</f>
        <v>IT Services</v>
      </c>
      <c r="M2582" s="21" t="str">
        <f aca="false">INDEX(Companies!$D$2:$D$31,MATCH(C2582,Companies!$A$2:$A$31,0))</f>
        <v>Tier 3</v>
      </c>
      <c r="N2582" s="34" t="n">
        <f aca="false">MATCH(F2582,Assumptions!$K$4:$K$8,0)</f>
        <v>5</v>
      </c>
      <c r="O2582" s="21" t="str">
        <f aca="false">IF(H2582="Yes",MONTH(I2582),"")</f>
        <v/>
      </c>
      <c r="P2582" s="21" t="str">
        <f aca="false">IF(H2582="Yes",B2582,"")</f>
        <v/>
      </c>
    </row>
    <row r="2583" customFormat="false" ht="15" hidden="false" customHeight="false" outlineLevel="0" collapsed="false">
      <c r="A2583" s="21" t="s">
        <v>3798</v>
      </c>
      <c r="B2583" s="21" t="s">
        <v>950</v>
      </c>
      <c r="C2583" s="21" t="s">
        <v>1180</v>
      </c>
      <c r="D2583" s="21" t="s">
        <v>1191</v>
      </c>
      <c r="E2583" s="33" t="n">
        <v>45975</v>
      </c>
      <c r="F2583" s="21" t="s">
        <v>1218</v>
      </c>
      <c r="G2583" s="32"/>
      <c r="H2583" s="21"/>
      <c r="I2583" s="33"/>
      <c r="J2583" s="21" t="str">
        <f aca="false">INDEX(Students!$C$2:$C$601,MATCH(B2583,Students!$A$2:$A$601,0))</f>
        <v>Batch 2026</v>
      </c>
      <c r="K2583" s="21" t="str">
        <f aca="false">INDEX(Students!$D$2:$D$601,MATCH(B2583,Students!$A$2:$A$601,0))</f>
        <v>DSA with Java</v>
      </c>
      <c r="L2583" s="21" t="str">
        <f aca="false">INDEX(Companies!$C$2:$C$31,MATCH(C2583,Companies!$A$2:$A$31,0))</f>
        <v>IT Services</v>
      </c>
      <c r="M2583" s="21" t="str">
        <f aca="false">INDEX(Companies!$D$2:$D$31,MATCH(C2583,Companies!$A$2:$A$31,0))</f>
        <v>Tier 3</v>
      </c>
      <c r="N2583" s="34" t="n">
        <f aca="false">MATCH(F2583,Assumptions!$K$4:$K$8,0)</f>
        <v>4</v>
      </c>
      <c r="O2583" s="21" t="str">
        <f aca="false">IF(H2583="Yes",MONTH(I2583),"")</f>
        <v/>
      </c>
      <c r="P2583" s="21" t="str">
        <f aca="false">IF(H2583="Yes",B2583,"")</f>
        <v/>
      </c>
    </row>
    <row r="2584" customFormat="false" ht="15" hidden="false" customHeight="false" outlineLevel="0" collapsed="false">
      <c r="A2584" s="21" t="s">
        <v>3799</v>
      </c>
      <c r="B2584" s="21" t="s">
        <v>939</v>
      </c>
      <c r="C2584" s="21" t="s">
        <v>1193</v>
      </c>
      <c r="D2584" s="21" t="s">
        <v>1240</v>
      </c>
      <c r="E2584" s="33" t="n">
        <v>45976</v>
      </c>
      <c r="F2584" s="21" t="s">
        <v>1218</v>
      </c>
      <c r="G2584" s="32"/>
      <c r="H2584" s="21"/>
      <c r="I2584" s="33"/>
      <c r="J2584" s="21" t="str">
        <f aca="false">INDEX(Students!$C$2:$C$601,MATCH(B2584,Students!$A$2:$A$601,0))</f>
        <v>Batch 2026</v>
      </c>
      <c r="K2584" s="21" t="str">
        <f aca="false">INDEX(Students!$D$2:$D$601,MATCH(B2584,Students!$A$2:$A$601,0))</f>
        <v>Cybersecurity</v>
      </c>
      <c r="L2584" s="21" t="str">
        <f aca="false">INDEX(Companies!$C$2:$C$31,MATCH(C2584,Companies!$A$2:$A$31,0))</f>
        <v>Analytics &amp; Consulting</v>
      </c>
      <c r="M2584" s="21" t="str">
        <f aca="false">INDEX(Companies!$D$2:$D$31,MATCH(C2584,Companies!$A$2:$A$31,0))</f>
        <v>Tier 2</v>
      </c>
      <c r="N2584" s="34" t="n">
        <f aca="false">MATCH(F2584,Assumptions!$K$4:$K$8,0)</f>
        <v>4</v>
      </c>
      <c r="O2584" s="21" t="str">
        <f aca="false">IF(H2584="Yes",MONTH(I2584),"")</f>
        <v/>
      </c>
      <c r="P2584" s="21" t="str">
        <f aca="false">IF(H2584="Yes",B2584,"")</f>
        <v/>
      </c>
    </row>
    <row r="2585" customFormat="false" ht="15" hidden="false" customHeight="false" outlineLevel="0" collapsed="false">
      <c r="A2585" s="21" t="s">
        <v>3800</v>
      </c>
      <c r="B2585" s="21" t="s">
        <v>1048</v>
      </c>
      <c r="C2585" s="21" t="s">
        <v>1201</v>
      </c>
      <c r="D2585" s="21" t="s">
        <v>1194</v>
      </c>
      <c r="E2585" s="33" t="n">
        <v>45976</v>
      </c>
      <c r="F2585" s="21" t="s">
        <v>1178</v>
      </c>
      <c r="G2585" s="32"/>
      <c r="H2585" s="21"/>
      <c r="I2585" s="33"/>
      <c r="J2585" s="21" t="str">
        <f aca="false">INDEX(Students!$C$2:$C$601,MATCH(B2585,Students!$A$2:$A$601,0))</f>
        <v>Batch 2026</v>
      </c>
      <c r="K2585" s="21" t="str">
        <f aca="false">INDEX(Students!$D$2:$D$601,MATCH(B2585,Students!$A$2:$A$601,0))</f>
        <v>Data Science &amp; ML</v>
      </c>
      <c r="L2585" s="21" t="str">
        <f aca="false">INDEX(Companies!$C$2:$C$31,MATCH(C2585,Companies!$A$2:$A$31,0))</f>
        <v>IT Services</v>
      </c>
      <c r="M2585" s="21" t="str">
        <f aca="false">INDEX(Companies!$D$2:$D$31,MATCH(C2585,Companies!$A$2:$A$31,0))</f>
        <v>Tier 3</v>
      </c>
      <c r="N2585" s="34" t="n">
        <f aca="false">MATCH(F2585,Assumptions!$K$4:$K$8,0)</f>
        <v>2</v>
      </c>
      <c r="O2585" s="21" t="str">
        <f aca="false">IF(H2585="Yes",MONTH(I2585),"")</f>
        <v/>
      </c>
      <c r="P2585" s="21" t="str">
        <f aca="false">IF(H2585="Yes",B2585,"")</f>
        <v/>
      </c>
    </row>
    <row r="2586" customFormat="false" ht="15" hidden="false" customHeight="false" outlineLevel="0" collapsed="false">
      <c r="A2586" s="21" t="s">
        <v>3801</v>
      </c>
      <c r="B2586" s="21" t="s">
        <v>1126</v>
      </c>
      <c r="C2586" s="21" t="s">
        <v>1211</v>
      </c>
      <c r="D2586" s="21" t="s">
        <v>1184</v>
      </c>
      <c r="E2586" s="33" t="n">
        <v>45977</v>
      </c>
      <c r="F2586" s="21" t="s">
        <v>1185</v>
      </c>
      <c r="G2586" s="32" t="n">
        <v>5.9</v>
      </c>
      <c r="H2586" s="21" t="s">
        <v>120</v>
      </c>
      <c r="I2586" s="33" t="n">
        <v>46005</v>
      </c>
      <c r="J2586" s="21" t="str">
        <f aca="false">INDEX(Students!$C$2:$C$601,MATCH(B2586,Students!$A$2:$A$601,0))</f>
        <v>Batch 2026</v>
      </c>
      <c r="K2586" s="21" t="str">
        <f aca="false">INDEX(Students!$D$2:$D$601,MATCH(B2586,Students!$A$2:$A$601,0))</f>
        <v>DSA with Java</v>
      </c>
      <c r="L2586" s="21" t="str">
        <f aca="false">INDEX(Companies!$C$2:$C$31,MATCH(C2586,Companies!$A$2:$A$31,0))</f>
        <v>Analytics &amp; Consulting</v>
      </c>
      <c r="M2586" s="21" t="str">
        <f aca="false">INDEX(Companies!$D$2:$D$31,MATCH(C2586,Companies!$A$2:$A$31,0))</f>
        <v>Tier 3</v>
      </c>
      <c r="N2586" s="34" t="n">
        <f aca="false">MATCH(F2586,Assumptions!$K$4:$K$8,0)</f>
        <v>5</v>
      </c>
      <c r="O2586" s="21" t="n">
        <f aca="false">IF(H2586="Yes",MONTH(I2586),"")</f>
        <v>12</v>
      </c>
      <c r="P2586" s="21" t="str">
        <f aca="false">IF(H2586="Yes",B2586,"")</f>
        <v>S0579</v>
      </c>
    </row>
    <row r="2587" customFormat="false" ht="15" hidden="false" customHeight="false" outlineLevel="0" collapsed="false">
      <c r="A2587" s="21" t="s">
        <v>3802</v>
      </c>
      <c r="B2587" s="21" t="s">
        <v>814</v>
      </c>
      <c r="C2587" s="21" t="s">
        <v>1180</v>
      </c>
      <c r="D2587" s="21" t="s">
        <v>1209</v>
      </c>
      <c r="E2587" s="33" t="n">
        <v>45977</v>
      </c>
      <c r="F2587" s="21" t="s">
        <v>1175</v>
      </c>
      <c r="G2587" s="32"/>
      <c r="H2587" s="21"/>
      <c r="I2587" s="33"/>
      <c r="J2587" s="21" t="str">
        <f aca="false">INDEX(Students!$C$2:$C$601,MATCH(B2587,Students!$A$2:$A$601,0))</f>
        <v>Batch 2026</v>
      </c>
      <c r="K2587" s="21" t="str">
        <f aca="false">INDEX(Students!$D$2:$D$601,MATCH(B2587,Students!$A$2:$A$601,0))</f>
        <v>Data Analytics</v>
      </c>
      <c r="L2587" s="21" t="str">
        <f aca="false">INDEX(Companies!$C$2:$C$31,MATCH(C2587,Companies!$A$2:$A$31,0))</f>
        <v>IT Services</v>
      </c>
      <c r="M2587" s="21" t="str">
        <f aca="false">INDEX(Companies!$D$2:$D$31,MATCH(C2587,Companies!$A$2:$A$31,0))</f>
        <v>Tier 3</v>
      </c>
      <c r="N2587" s="34" t="n">
        <f aca="false">MATCH(F2587,Assumptions!$K$4:$K$8,0)</f>
        <v>1</v>
      </c>
      <c r="O2587" s="21" t="str">
        <f aca="false">IF(H2587="Yes",MONTH(I2587),"")</f>
        <v/>
      </c>
      <c r="P2587" s="21" t="str">
        <f aca="false">IF(H2587="Yes",B2587,"")</f>
        <v/>
      </c>
    </row>
    <row r="2588" customFormat="false" ht="15" hidden="false" customHeight="false" outlineLevel="0" collapsed="false">
      <c r="A2588" s="21" t="s">
        <v>3803</v>
      </c>
      <c r="B2588" s="21" t="s">
        <v>1024</v>
      </c>
      <c r="C2588" s="21" t="s">
        <v>1199</v>
      </c>
      <c r="D2588" s="21" t="s">
        <v>1184</v>
      </c>
      <c r="E2588" s="33" t="n">
        <v>45977</v>
      </c>
      <c r="F2588" s="21" t="s">
        <v>1175</v>
      </c>
      <c r="G2588" s="32"/>
      <c r="H2588" s="21"/>
      <c r="I2588" s="33"/>
      <c r="J2588" s="21" t="str">
        <f aca="false">INDEX(Students!$C$2:$C$601,MATCH(B2588,Students!$A$2:$A$601,0))</f>
        <v>Batch 2026</v>
      </c>
      <c r="K2588" s="21" t="str">
        <f aca="false">INDEX(Students!$D$2:$D$601,MATCH(B2588,Students!$A$2:$A$601,0))</f>
        <v>DSA with Java</v>
      </c>
      <c r="L2588" s="21" t="str">
        <f aca="false">INDEX(Companies!$C$2:$C$31,MATCH(C2588,Companies!$A$2:$A$31,0))</f>
        <v>E-commerce</v>
      </c>
      <c r="M2588" s="21" t="str">
        <f aca="false">INDEX(Companies!$D$2:$D$31,MATCH(C2588,Companies!$A$2:$A$31,0))</f>
        <v>Tier 2</v>
      </c>
      <c r="N2588" s="34" t="n">
        <f aca="false">MATCH(F2588,Assumptions!$K$4:$K$8,0)</f>
        <v>1</v>
      </c>
      <c r="O2588" s="21" t="str">
        <f aca="false">IF(H2588="Yes",MONTH(I2588),"")</f>
        <v/>
      </c>
      <c r="P2588" s="21" t="str">
        <f aca="false">IF(H2588="Yes",B2588,"")</f>
        <v/>
      </c>
    </row>
    <row r="2589" customFormat="false" ht="15" hidden="false" customHeight="false" outlineLevel="0" collapsed="false">
      <c r="A2589" s="21" t="s">
        <v>3804</v>
      </c>
      <c r="B2589" s="21" t="s">
        <v>935</v>
      </c>
      <c r="C2589" s="21" t="s">
        <v>1275</v>
      </c>
      <c r="D2589" s="21" t="s">
        <v>1209</v>
      </c>
      <c r="E2589" s="33" t="n">
        <v>45977</v>
      </c>
      <c r="F2589" s="21" t="s">
        <v>1175</v>
      </c>
      <c r="G2589" s="32"/>
      <c r="H2589" s="21"/>
      <c r="I2589" s="33"/>
      <c r="J2589" s="21" t="str">
        <f aca="false">INDEX(Students!$C$2:$C$601,MATCH(B2589,Students!$A$2:$A$601,0))</f>
        <v>Batch 2026</v>
      </c>
      <c r="K2589" s="21" t="str">
        <f aca="false">INDEX(Students!$D$2:$D$601,MATCH(B2589,Students!$A$2:$A$601,0))</f>
        <v>Data Analytics</v>
      </c>
      <c r="L2589" s="21" t="str">
        <f aca="false">INDEX(Companies!$C$2:$C$31,MATCH(C2589,Companies!$A$2:$A$31,0))</f>
        <v>Cybersecurity</v>
      </c>
      <c r="M2589" s="21" t="str">
        <f aca="false">INDEX(Companies!$D$2:$D$31,MATCH(C2589,Companies!$A$2:$A$31,0))</f>
        <v>Tier 2</v>
      </c>
      <c r="N2589" s="34" t="n">
        <f aca="false">MATCH(F2589,Assumptions!$K$4:$K$8,0)</f>
        <v>1</v>
      </c>
      <c r="O2589" s="21" t="str">
        <f aca="false">IF(H2589="Yes",MONTH(I2589),"")</f>
        <v/>
      </c>
      <c r="P2589" s="21" t="str">
        <f aca="false">IF(H2589="Yes",B2589,"")</f>
        <v/>
      </c>
    </row>
    <row r="2590" customFormat="false" ht="15" hidden="false" customHeight="false" outlineLevel="0" collapsed="false">
      <c r="A2590" s="21" t="s">
        <v>3805</v>
      </c>
      <c r="B2590" s="21" t="s">
        <v>1126</v>
      </c>
      <c r="C2590" s="21" t="s">
        <v>1266</v>
      </c>
      <c r="D2590" s="21" t="s">
        <v>1184</v>
      </c>
      <c r="E2590" s="33" t="n">
        <v>45977</v>
      </c>
      <c r="F2590" s="21" t="s">
        <v>1178</v>
      </c>
      <c r="G2590" s="32"/>
      <c r="H2590" s="21"/>
      <c r="I2590" s="33"/>
      <c r="J2590" s="21" t="str">
        <f aca="false">INDEX(Students!$C$2:$C$601,MATCH(B2590,Students!$A$2:$A$601,0))</f>
        <v>Batch 2026</v>
      </c>
      <c r="K2590" s="21" t="str">
        <f aca="false">INDEX(Students!$D$2:$D$601,MATCH(B2590,Students!$A$2:$A$601,0))</f>
        <v>DSA with Java</v>
      </c>
      <c r="L2590" s="21" t="str">
        <f aca="false">INDEX(Companies!$C$2:$C$31,MATCH(C2590,Companies!$A$2:$A$31,0))</f>
        <v>IT Services</v>
      </c>
      <c r="M2590" s="21" t="str">
        <f aca="false">INDEX(Companies!$D$2:$D$31,MATCH(C2590,Companies!$A$2:$A$31,0))</f>
        <v>Tier 3</v>
      </c>
      <c r="N2590" s="34" t="n">
        <f aca="false">MATCH(F2590,Assumptions!$K$4:$K$8,0)</f>
        <v>2</v>
      </c>
      <c r="O2590" s="21" t="str">
        <f aca="false">IF(H2590="Yes",MONTH(I2590),"")</f>
        <v/>
      </c>
      <c r="P2590" s="21" t="str">
        <f aca="false">IF(H2590="Yes",B2590,"")</f>
        <v/>
      </c>
    </row>
    <row r="2591" customFormat="false" ht="15" hidden="false" customHeight="false" outlineLevel="0" collapsed="false">
      <c r="A2591" s="21" t="s">
        <v>3806</v>
      </c>
      <c r="B2591" s="21" t="s">
        <v>987</v>
      </c>
      <c r="C2591" s="21" t="s">
        <v>1216</v>
      </c>
      <c r="D2591" s="21" t="s">
        <v>1226</v>
      </c>
      <c r="E2591" s="33" t="n">
        <v>45977</v>
      </c>
      <c r="F2591" s="21" t="s">
        <v>1197</v>
      </c>
      <c r="G2591" s="32"/>
      <c r="H2591" s="21"/>
      <c r="I2591" s="33"/>
      <c r="J2591" s="21" t="str">
        <f aca="false">INDEX(Students!$C$2:$C$601,MATCH(B2591,Students!$A$2:$A$601,0))</f>
        <v>Batch 2026</v>
      </c>
      <c r="K2591" s="21" t="str">
        <f aca="false">INDEX(Students!$D$2:$D$601,MATCH(B2591,Students!$A$2:$A$601,0))</f>
        <v>Cybersecurity</v>
      </c>
      <c r="L2591" s="21" t="str">
        <f aca="false">INDEX(Companies!$C$2:$C$31,MATCH(C2591,Companies!$A$2:$A$31,0))</f>
        <v>IT Services</v>
      </c>
      <c r="M2591" s="21" t="str">
        <f aca="false">INDEX(Companies!$D$2:$D$31,MATCH(C2591,Companies!$A$2:$A$31,0))</f>
        <v>Tier 3</v>
      </c>
      <c r="N2591" s="34" t="n">
        <f aca="false">MATCH(F2591,Assumptions!$K$4:$K$8,0)</f>
        <v>3</v>
      </c>
      <c r="O2591" s="21" t="str">
        <f aca="false">IF(H2591="Yes",MONTH(I2591),"")</f>
        <v/>
      </c>
      <c r="P2591" s="21" t="str">
        <f aca="false">IF(H2591="Yes",B2591,"")</f>
        <v/>
      </c>
    </row>
    <row r="2592" customFormat="false" ht="15" hidden="false" customHeight="false" outlineLevel="0" collapsed="false">
      <c r="A2592" s="21" t="s">
        <v>3807</v>
      </c>
      <c r="B2592" s="21" t="s">
        <v>1138</v>
      </c>
      <c r="C2592" s="21" t="s">
        <v>1266</v>
      </c>
      <c r="D2592" s="21" t="s">
        <v>1184</v>
      </c>
      <c r="E2592" s="33" t="n">
        <v>45977</v>
      </c>
      <c r="F2592" s="21" t="s">
        <v>1197</v>
      </c>
      <c r="G2592" s="32"/>
      <c r="H2592" s="21"/>
      <c r="I2592" s="33"/>
      <c r="J2592" s="21" t="str">
        <f aca="false">INDEX(Students!$C$2:$C$601,MATCH(B2592,Students!$A$2:$A$601,0))</f>
        <v>Batch 2026</v>
      </c>
      <c r="K2592" s="21" t="str">
        <f aca="false">INDEX(Students!$D$2:$D$601,MATCH(B2592,Students!$A$2:$A$601,0))</f>
        <v>DSA with Java</v>
      </c>
      <c r="L2592" s="21" t="str">
        <f aca="false">INDEX(Companies!$C$2:$C$31,MATCH(C2592,Companies!$A$2:$A$31,0))</f>
        <v>IT Services</v>
      </c>
      <c r="M2592" s="21" t="str">
        <f aca="false">INDEX(Companies!$D$2:$D$31,MATCH(C2592,Companies!$A$2:$A$31,0))</f>
        <v>Tier 3</v>
      </c>
      <c r="N2592" s="34" t="n">
        <f aca="false">MATCH(F2592,Assumptions!$K$4:$K$8,0)</f>
        <v>3</v>
      </c>
      <c r="O2592" s="21" t="str">
        <f aca="false">IF(H2592="Yes",MONTH(I2592),"")</f>
        <v/>
      </c>
      <c r="P2592" s="21" t="str">
        <f aca="false">IF(H2592="Yes",B2592,"")</f>
        <v/>
      </c>
    </row>
    <row r="2593" customFormat="false" ht="15" hidden="false" customHeight="false" outlineLevel="0" collapsed="false">
      <c r="A2593" s="21" t="s">
        <v>3808</v>
      </c>
      <c r="B2593" s="21" t="s">
        <v>868</v>
      </c>
      <c r="C2593" s="21" t="s">
        <v>1173</v>
      </c>
      <c r="D2593" s="21" t="s">
        <v>1226</v>
      </c>
      <c r="E2593" s="33" t="n">
        <v>45978</v>
      </c>
      <c r="F2593" s="21" t="s">
        <v>1178</v>
      </c>
      <c r="G2593" s="32"/>
      <c r="H2593" s="21"/>
      <c r="I2593" s="33"/>
      <c r="J2593" s="21" t="str">
        <f aca="false">INDEX(Students!$C$2:$C$601,MATCH(B2593,Students!$A$2:$A$601,0))</f>
        <v>Batch 2026</v>
      </c>
      <c r="K2593" s="21" t="str">
        <f aca="false">INDEX(Students!$D$2:$D$601,MATCH(B2593,Students!$A$2:$A$601,0))</f>
        <v>Cybersecurity</v>
      </c>
      <c r="L2593" s="21" t="str">
        <f aca="false">INDEX(Companies!$C$2:$C$31,MATCH(C2593,Companies!$A$2:$A$31,0))</f>
        <v>Cybersecurity</v>
      </c>
      <c r="M2593" s="21" t="str">
        <f aca="false">INDEX(Companies!$D$2:$D$31,MATCH(C2593,Companies!$A$2:$A$31,0))</f>
        <v>Tier 1</v>
      </c>
      <c r="N2593" s="34" t="n">
        <f aca="false">MATCH(F2593,Assumptions!$K$4:$K$8,0)</f>
        <v>2</v>
      </c>
      <c r="O2593" s="21" t="str">
        <f aca="false">IF(H2593="Yes",MONTH(I2593),"")</f>
        <v/>
      </c>
      <c r="P2593" s="21" t="str">
        <f aca="false">IF(H2593="Yes",B2593,"")</f>
        <v/>
      </c>
    </row>
    <row r="2594" customFormat="false" ht="15" hidden="false" customHeight="false" outlineLevel="0" collapsed="false">
      <c r="A2594" s="21" t="s">
        <v>3809</v>
      </c>
      <c r="B2594" s="21" t="s">
        <v>1138</v>
      </c>
      <c r="C2594" s="21" t="s">
        <v>1255</v>
      </c>
      <c r="D2594" s="21" t="s">
        <v>1184</v>
      </c>
      <c r="E2594" s="33" t="n">
        <v>45978</v>
      </c>
      <c r="F2594" s="21" t="s">
        <v>1218</v>
      </c>
      <c r="G2594" s="32"/>
      <c r="H2594" s="21"/>
      <c r="I2594" s="33"/>
      <c r="J2594" s="21" t="str">
        <f aca="false">INDEX(Students!$C$2:$C$601,MATCH(B2594,Students!$A$2:$A$601,0))</f>
        <v>Batch 2026</v>
      </c>
      <c r="K2594" s="21" t="str">
        <f aca="false">INDEX(Students!$D$2:$D$601,MATCH(B2594,Students!$A$2:$A$601,0))</f>
        <v>DSA with Java</v>
      </c>
      <c r="L2594" s="21" t="str">
        <f aca="false">INDEX(Companies!$C$2:$C$31,MATCH(C2594,Companies!$A$2:$A$31,0))</f>
        <v>IT Services</v>
      </c>
      <c r="M2594" s="21" t="str">
        <f aca="false">INDEX(Companies!$D$2:$D$31,MATCH(C2594,Companies!$A$2:$A$31,0))</f>
        <v>Tier 3</v>
      </c>
      <c r="N2594" s="34" t="n">
        <f aca="false">MATCH(F2594,Assumptions!$K$4:$K$8,0)</f>
        <v>4</v>
      </c>
      <c r="O2594" s="21" t="str">
        <f aca="false">IF(H2594="Yes",MONTH(I2594),"")</f>
        <v/>
      </c>
      <c r="P2594" s="21" t="str">
        <f aca="false">IF(H2594="Yes",B2594,"")</f>
        <v/>
      </c>
    </row>
    <row r="2595" customFormat="false" ht="15" hidden="false" customHeight="false" outlineLevel="0" collapsed="false">
      <c r="A2595" s="21" t="s">
        <v>3810</v>
      </c>
      <c r="B2595" s="21" t="s">
        <v>836</v>
      </c>
      <c r="C2595" s="21" t="s">
        <v>1199</v>
      </c>
      <c r="D2595" s="21" t="s">
        <v>1194</v>
      </c>
      <c r="E2595" s="33" t="n">
        <v>45978</v>
      </c>
      <c r="F2595" s="21" t="s">
        <v>1175</v>
      </c>
      <c r="G2595" s="32"/>
      <c r="H2595" s="21"/>
      <c r="I2595" s="33"/>
      <c r="J2595" s="21" t="str">
        <f aca="false">INDEX(Students!$C$2:$C$601,MATCH(B2595,Students!$A$2:$A$601,0))</f>
        <v>Batch 2026</v>
      </c>
      <c r="K2595" s="21" t="str">
        <f aca="false">INDEX(Students!$D$2:$D$601,MATCH(B2595,Students!$A$2:$A$601,0))</f>
        <v>Data Science &amp; ML</v>
      </c>
      <c r="L2595" s="21" t="str">
        <f aca="false">INDEX(Companies!$C$2:$C$31,MATCH(C2595,Companies!$A$2:$A$31,0))</f>
        <v>E-commerce</v>
      </c>
      <c r="M2595" s="21" t="str">
        <f aca="false">INDEX(Companies!$D$2:$D$31,MATCH(C2595,Companies!$A$2:$A$31,0))</f>
        <v>Tier 2</v>
      </c>
      <c r="N2595" s="34" t="n">
        <f aca="false">MATCH(F2595,Assumptions!$K$4:$K$8,0)</f>
        <v>1</v>
      </c>
      <c r="O2595" s="21" t="str">
        <f aca="false">IF(H2595="Yes",MONTH(I2595),"")</f>
        <v/>
      </c>
      <c r="P2595" s="21" t="str">
        <f aca="false">IF(H2595="Yes",B2595,"")</f>
        <v/>
      </c>
    </row>
    <row r="2596" customFormat="false" ht="15" hidden="false" customHeight="false" outlineLevel="0" collapsed="false">
      <c r="A2596" s="21" t="s">
        <v>3811</v>
      </c>
      <c r="B2596" s="21" t="s">
        <v>1100</v>
      </c>
      <c r="C2596" s="21" t="s">
        <v>1187</v>
      </c>
      <c r="D2596" s="21" t="s">
        <v>1181</v>
      </c>
      <c r="E2596" s="33" t="n">
        <v>45978</v>
      </c>
      <c r="F2596" s="21" t="s">
        <v>1197</v>
      </c>
      <c r="G2596" s="32"/>
      <c r="H2596" s="21"/>
      <c r="I2596" s="33"/>
      <c r="J2596" s="21" t="str">
        <f aca="false">INDEX(Students!$C$2:$C$601,MATCH(B2596,Students!$A$2:$A$601,0))</f>
        <v>Batch 2026</v>
      </c>
      <c r="K2596" s="21" t="str">
        <f aca="false">INDEX(Students!$D$2:$D$601,MATCH(B2596,Students!$A$2:$A$601,0))</f>
        <v>Full Stack Development</v>
      </c>
      <c r="L2596" s="21" t="str">
        <f aca="false">INDEX(Companies!$C$2:$C$31,MATCH(C2596,Companies!$A$2:$A$31,0))</f>
        <v>Product</v>
      </c>
      <c r="M2596" s="21" t="str">
        <f aca="false">INDEX(Companies!$D$2:$D$31,MATCH(C2596,Companies!$A$2:$A$31,0))</f>
        <v>Tier 1</v>
      </c>
      <c r="N2596" s="34" t="n">
        <f aca="false">MATCH(F2596,Assumptions!$K$4:$K$8,0)</f>
        <v>3</v>
      </c>
      <c r="O2596" s="21" t="str">
        <f aca="false">IF(H2596="Yes",MONTH(I2596),"")</f>
        <v/>
      </c>
      <c r="P2596" s="21" t="str">
        <f aca="false">IF(H2596="Yes",B2596,"")</f>
        <v/>
      </c>
    </row>
    <row r="2597" customFormat="false" ht="15" hidden="false" customHeight="false" outlineLevel="0" collapsed="false">
      <c r="A2597" s="21" t="s">
        <v>3812</v>
      </c>
      <c r="B2597" s="21" t="s">
        <v>991</v>
      </c>
      <c r="C2597" s="21" t="s">
        <v>1203</v>
      </c>
      <c r="D2597" s="21" t="s">
        <v>1181</v>
      </c>
      <c r="E2597" s="33" t="n">
        <v>45979</v>
      </c>
      <c r="F2597" s="21" t="s">
        <v>1178</v>
      </c>
      <c r="G2597" s="32"/>
      <c r="H2597" s="21"/>
      <c r="I2597" s="33"/>
      <c r="J2597" s="21" t="str">
        <f aca="false">INDEX(Students!$C$2:$C$601,MATCH(B2597,Students!$A$2:$A$601,0))</f>
        <v>Batch 2026</v>
      </c>
      <c r="K2597" s="21" t="str">
        <f aca="false">INDEX(Students!$D$2:$D$601,MATCH(B2597,Students!$A$2:$A$601,0))</f>
        <v>Full Stack Development</v>
      </c>
      <c r="L2597" s="21" t="str">
        <f aca="false">INDEX(Companies!$C$2:$C$31,MATCH(C2597,Companies!$A$2:$A$31,0))</f>
        <v>Healthtech</v>
      </c>
      <c r="M2597" s="21" t="str">
        <f aca="false">INDEX(Companies!$D$2:$D$31,MATCH(C2597,Companies!$A$2:$A$31,0))</f>
        <v>Tier 2</v>
      </c>
      <c r="N2597" s="34" t="n">
        <f aca="false">MATCH(F2597,Assumptions!$K$4:$K$8,0)</f>
        <v>2</v>
      </c>
      <c r="O2597" s="21" t="str">
        <f aca="false">IF(H2597="Yes",MONTH(I2597),"")</f>
        <v/>
      </c>
      <c r="P2597" s="21" t="str">
        <f aca="false">IF(H2597="Yes",B2597,"")</f>
        <v/>
      </c>
    </row>
    <row r="2598" customFormat="false" ht="15" hidden="false" customHeight="false" outlineLevel="0" collapsed="false">
      <c r="A2598" s="21" t="s">
        <v>3813</v>
      </c>
      <c r="B2598" s="21" t="s">
        <v>999</v>
      </c>
      <c r="C2598" s="21" t="s">
        <v>1298</v>
      </c>
      <c r="D2598" s="21" t="s">
        <v>1184</v>
      </c>
      <c r="E2598" s="33" t="n">
        <v>45979</v>
      </c>
      <c r="F2598" s="21" t="s">
        <v>1178</v>
      </c>
      <c r="G2598" s="32"/>
      <c r="H2598" s="21"/>
      <c r="I2598" s="33"/>
      <c r="J2598" s="21" t="str">
        <f aca="false">INDEX(Students!$C$2:$C$601,MATCH(B2598,Students!$A$2:$A$601,0))</f>
        <v>Batch 2026</v>
      </c>
      <c r="K2598" s="21" t="str">
        <f aca="false">INDEX(Students!$D$2:$D$601,MATCH(B2598,Students!$A$2:$A$601,0))</f>
        <v>DSA with Java</v>
      </c>
      <c r="L2598" s="21" t="str">
        <f aca="false">INDEX(Companies!$C$2:$C$31,MATCH(C2598,Companies!$A$2:$A$31,0))</f>
        <v>Fintech</v>
      </c>
      <c r="M2598" s="21" t="str">
        <f aca="false">INDEX(Companies!$D$2:$D$31,MATCH(C2598,Companies!$A$2:$A$31,0))</f>
        <v>Tier 2</v>
      </c>
      <c r="N2598" s="34" t="n">
        <f aca="false">MATCH(F2598,Assumptions!$K$4:$K$8,0)</f>
        <v>2</v>
      </c>
      <c r="O2598" s="21" t="str">
        <f aca="false">IF(H2598="Yes",MONTH(I2598),"")</f>
        <v/>
      </c>
      <c r="P2598" s="21" t="str">
        <f aca="false">IF(H2598="Yes",B2598,"")</f>
        <v/>
      </c>
    </row>
    <row r="2599" customFormat="false" ht="15" hidden="false" customHeight="false" outlineLevel="0" collapsed="false">
      <c r="A2599" s="21" t="s">
        <v>3814</v>
      </c>
      <c r="B2599" s="21" t="s">
        <v>907</v>
      </c>
      <c r="C2599" s="21" t="s">
        <v>1290</v>
      </c>
      <c r="D2599" s="21" t="s">
        <v>1243</v>
      </c>
      <c r="E2599" s="33" t="n">
        <v>45979</v>
      </c>
      <c r="F2599" s="21" t="s">
        <v>1178</v>
      </c>
      <c r="G2599" s="32"/>
      <c r="H2599" s="21"/>
      <c r="I2599" s="33"/>
      <c r="J2599" s="21" t="str">
        <f aca="false">INDEX(Students!$C$2:$C$601,MATCH(B2599,Students!$A$2:$A$601,0))</f>
        <v>Batch 2026</v>
      </c>
      <c r="K2599" s="21" t="str">
        <f aca="false">INDEX(Students!$D$2:$D$601,MATCH(B2599,Students!$A$2:$A$601,0))</f>
        <v>Data Science &amp; ML</v>
      </c>
      <c r="L2599" s="21" t="str">
        <f aca="false">INDEX(Companies!$C$2:$C$31,MATCH(C2599,Companies!$A$2:$A$31,0))</f>
        <v>Fintech</v>
      </c>
      <c r="M2599" s="21" t="str">
        <f aca="false">INDEX(Companies!$D$2:$D$31,MATCH(C2599,Companies!$A$2:$A$31,0))</f>
        <v>Tier 2</v>
      </c>
      <c r="N2599" s="34" t="n">
        <f aca="false">MATCH(F2599,Assumptions!$K$4:$K$8,0)</f>
        <v>2</v>
      </c>
      <c r="O2599" s="21" t="str">
        <f aca="false">IF(H2599="Yes",MONTH(I2599),"")</f>
        <v/>
      </c>
      <c r="P2599" s="21" t="str">
        <f aca="false">IF(H2599="Yes",B2599,"")</f>
        <v/>
      </c>
    </row>
    <row r="2600" customFormat="false" ht="15" hidden="false" customHeight="false" outlineLevel="0" collapsed="false">
      <c r="A2600" s="21" t="s">
        <v>3815</v>
      </c>
      <c r="B2600" s="21" t="s">
        <v>822</v>
      </c>
      <c r="C2600" s="21" t="s">
        <v>1298</v>
      </c>
      <c r="D2600" s="21" t="s">
        <v>1188</v>
      </c>
      <c r="E2600" s="33" t="n">
        <v>45979</v>
      </c>
      <c r="F2600" s="21" t="s">
        <v>1178</v>
      </c>
      <c r="G2600" s="32"/>
      <c r="H2600" s="21"/>
      <c r="I2600" s="33"/>
      <c r="J2600" s="21" t="str">
        <f aca="false">INDEX(Students!$C$2:$C$601,MATCH(B2600,Students!$A$2:$A$601,0))</f>
        <v>Batch 2026</v>
      </c>
      <c r="K2600" s="21" t="str">
        <f aca="false">INDEX(Students!$D$2:$D$601,MATCH(B2600,Students!$A$2:$A$601,0))</f>
        <v>Data Analytics</v>
      </c>
      <c r="L2600" s="21" t="str">
        <f aca="false">INDEX(Companies!$C$2:$C$31,MATCH(C2600,Companies!$A$2:$A$31,0))</f>
        <v>Fintech</v>
      </c>
      <c r="M2600" s="21" t="str">
        <f aca="false">INDEX(Companies!$D$2:$D$31,MATCH(C2600,Companies!$A$2:$A$31,0))</f>
        <v>Tier 2</v>
      </c>
      <c r="N2600" s="34" t="n">
        <f aca="false">MATCH(F2600,Assumptions!$K$4:$K$8,0)</f>
        <v>2</v>
      </c>
      <c r="O2600" s="21" t="str">
        <f aca="false">IF(H2600="Yes",MONTH(I2600),"")</f>
        <v/>
      </c>
      <c r="P2600" s="21" t="str">
        <f aca="false">IF(H2600="Yes",B2600,"")</f>
        <v/>
      </c>
    </row>
    <row r="2601" customFormat="false" ht="15" hidden="false" customHeight="false" outlineLevel="0" collapsed="false">
      <c r="A2601" s="21" t="s">
        <v>3816</v>
      </c>
      <c r="B2601" s="21" t="s">
        <v>1121</v>
      </c>
      <c r="C2601" s="21" t="s">
        <v>1309</v>
      </c>
      <c r="D2601" s="21" t="s">
        <v>1191</v>
      </c>
      <c r="E2601" s="33" t="n">
        <v>45979</v>
      </c>
      <c r="F2601" s="21" t="s">
        <v>1185</v>
      </c>
      <c r="G2601" s="32" t="n">
        <v>8</v>
      </c>
      <c r="H2601" s="21" t="s">
        <v>120</v>
      </c>
      <c r="I2601" s="33" t="n">
        <v>46019</v>
      </c>
      <c r="J2601" s="21" t="str">
        <f aca="false">INDEX(Students!$C$2:$C$601,MATCH(B2601,Students!$A$2:$A$601,0))</f>
        <v>Batch 2026</v>
      </c>
      <c r="K2601" s="21" t="str">
        <f aca="false">INDEX(Students!$D$2:$D$601,MATCH(B2601,Students!$A$2:$A$601,0))</f>
        <v>DSA with Java</v>
      </c>
      <c r="L2601" s="21" t="str">
        <f aca="false">INDEX(Companies!$C$2:$C$31,MATCH(C2601,Companies!$A$2:$A$31,0))</f>
        <v>EdTech</v>
      </c>
      <c r="M2601" s="21" t="str">
        <f aca="false">INDEX(Companies!$D$2:$D$31,MATCH(C2601,Companies!$A$2:$A$31,0))</f>
        <v>Tier 2</v>
      </c>
      <c r="N2601" s="34" t="n">
        <f aca="false">MATCH(F2601,Assumptions!$K$4:$K$8,0)</f>
        <v>5</v>
      </c>
      <c r="O2601" s="21" t="n">
        <f aca="false">IF(H2601="Yes",MONTH(I2601),"")</f>
        <v>12</v>
      </c>
      <c r="P2601" s="21" t="str">
        <f aca="false">IF(H2601="Yes",B2601,"")</f>
        <v>S0574</v>
      </c>
    </row>
    <row r="2602" customFormat="false" ht="15" hidden="false" customHeight="false" outlineLevel="0" collapsed="false">
      <c r="A2602" s="21" t="s">
        <v>3817</v>
      </c>
      <c r="B2602" s="21" t="s">
        <v>1037</v>
      </c>
      <c r="C2602" s="21" t="s">
        <v>1222</v>
      </c>
      <c r="D2602" s="21" t="s">
        <v>1174</v>
      </c>
      <c r="E2602" s="33" t="n">
        <v>45980</v>
      </c>
      <c r="F2602" s="21" t="s">
        <v>1197</v>
      </c>
      <c r="G2602" s="32"/>
      <c r="H2602" s="21"/>
      <c r="I2602" s="33"/>
      <c r="J2602" s="21" t="str">
        <f aca="false">INDEX(Students!$C$2:$C$601,MATCH(B2602,Students!$A$2:$A$601,0))</f>
        <v>Batch 2026</v>
      </c>
      <c r="K2602" s="21" t="str">
        <f aca="false">INDEX(Students!$D$2:$D$601,MATCH(B2602,Students!$A$2:$A$601,0))</f>
        <v>Full Stack Development</v>
      </c>
      <c r="L2602" s="21" t="str">
        <f aca="false">INDEX(Companies!$C$2:$C$31,MATCH(C2602,Companies!$A$2:$A$31,0))</f>
        <v>Product</v>
      </c>
      <c r="M2602" s="21" t="str">
        <f aca="false">INDEX(Companies!$D$2:$D$31,MATCH(C2602,Companies!$A$2:$A$31,0))</f>
        <v>Tier 2</v>
      </c>
      <c r="N2602" s="34" t="n">
        <f aca="false">MATCH(F2602,Assumptions!$K$4:$K$8,0)</f>
        <v>3</v>
      </c>
      <c r="O2602" s="21" t="str">
        <f aca="false">IF(H2602="Yes",MONTH(I2602),"")</f>
        <v/>
      </c>
      <c r="P2602" s="21" t="str">
        <f aca="false">IF(H2602="Yes",B2602,"")</f>
        <v/>
      </c>
    </row>
    <row r="2603" customFormat="false" ht="15" hidden="false" customHeight="false" outlineLevel="0" collapsed="false">
      <c r="A2603" s="21" t="s">
        <v>3818</v>
      </c>
      <c r="B2603" s="21" t="s">
        <v>822</v>
      </c>
      <c r="C2603" s="21" t="s">
        <v>1255</v>
      </c>
      <c r="D2603" s="21" t="s">
        <v>1209</v>
      </c>
      <c r="E2603" s="33" t="n">
        <v>45980</v>
      </c>
      <c r="F2603" s="21" t="s">
        <v>1178</v>
      </c>
      <c r="G2603" s="32"/>
      <c r="H2603" s="21"/>
      <c r="I2603" s="33"/>
      <c r="J2603" s="21" t="str">
        <f aca="false">INDEX(Students!$C$2:$C$601,MATCH(B2603,Students!$A$2:$A$601,0))</f>
        <v>Batch 2026</v>
      </c>
      <c r="K2603" s="21" t="str">
        <f aca="false">INDEX(Students!$D$2:$D$601,MATCH(B2603,Students!$A$2:$A$601,0))</f>
        <v>Data Analytics</v>
      </c>
      <c r="L2603" s="21" t="str">
        <f aca="false">INDEX(Companies!$C$2:$C$31,MATCH(C2603,Companies!$A$2:$A$31,0))</f>
        <v>IT Services</v>
      </c>
      <c r="M2603" s="21" t="str">
        <f aca="false">INDEX(Companies!$D$2:$D$31,MATCH(C2603,Companies!$A$2:$A$31,0))</f>
        <v>Tier 3</v>
      </c>
      <c r="N2603" s="34" t="n">
        <f aca="false">MATCH(F2603,Assumptions!$K$4:$K$8,0)</f>
        <v>2</v>
      </c>
      <c r="O2603" s="21" t="str">
        <f aca="false">IF(H2603="Yes",MONTH(I2603),"")</f>
        <v/>
      </c>
      <c r="P2603" s="21" t="str">
        <f aca="false">IF(H2603="Yes",B2603,"")</f>
        <v/>
      </c>
    </row>
    <row r="2604" customFormat="false" ht="15" hidden="false" customHeight="false" outlineLevel="0" collapsed="false">
      <c r="A2604" s="21" t="s">
        <v>3819</v>
      </c>
      <c r="B2604" s="21" t="s">
        <v>1053</v>
      </c>
      <c r="C2604" s="21" t="s">
        <v>1190</v>
      </c>
      <c r="D2604" s="21" t="s">
        <v>1184</v>
      </c>
      <c r="E2604" s="33" t="n">
        <v>45980</v>
      </c>
      <c r="F2604" s="21" t="s">
        <v>1178</v>
      </c>
      <c r="G2604" s="32"/>
      <c r="H2604" s="21"/>
      <c r="I2604" s="33"/>
      <c r="J2604" s="21" t="str">
        <f aca="false">INDEX(Students!$C$2:$C$601,MATCH(B2604,Students!$A$2:$A$601,0))</f>
        <v>Batch 2026</v>
      </c>
      <c r="K2604" s="21" t="str">
        <f aca="false">INDEX(Students!$D$2:$D$601,MATCH(B2604,Students!$A$2:$A$601,0))</f>
        <v>DSA with Java</v>
      </c>
      <c r="L2604" s="21" t="str">
        <f aca="false">INDEX(Companies!$C$2:$C$31,MATCH(C2604,Companies!$A$2:$A$31,0))</f>
        <v>Analytics &amp; Consulting</v>
      </c>
      <c r="M2604" s="21" t="str">
        <f aca="false">INDEX(Companies!$D$2:$D$31,MATCH(C2604,Companies!$A$2:$A$31,0))</f>
        <v>Tier 1</v>
      </c>
      <c r="N2604" s="34" t="n">
        <f aca="false">MATCH(F2604,Assumptions!$K$4:$K$8,0)</f>
        <v>2</v>
      </c>
      <c r="O2604" s="21" t="str">
        <f aca="false">IF(H2604="Yes",MONTH(I2604),"")</f>
        <v/>
      </c>
      <c r="P2604" s="21" t="str">
        <f aca="false">IF(H2604="Yes",B2604,"")</f>
        <v/>
      </c>
    </row>
    <row r="2605" customFormat="false" ht="15" hidden="false" customHeight="false" outlineLevel="0" collapsed="false">
      <c r="A2605" s="21" t="s">
        <v>3820</v>
      </c>
      <c r="B2605" s="21" t="s">
        <v>1074</v>
      </c>
      <c r="C2605" s="21" t="s">
        <v>1203</v>
      </c>
      <c r="D2605" s="21" t="s">
        <v>1191</v>
      </c>
      <c r="E2605" s="33" t="n">
        <v>45980</v>
      </c>
      <c r="F2605" s="21" t="s">
        <v>1178</v>
      </c>
      <c r="G2605" s="32"/>
      <c r="H2605" s="21"/>
      <c r="I2605" s="33"/>
      <c r="J2605" s="21" t="str">
        <f aca="false">INDEX(Students!$C$2:$C$601,MATCH(B2605,Students!$A$2:$A$601,0))</f>
        <v>Batch 2026</v>
      </c>
      <c r="K2605" s="21" t="str">
        <f aca="false">INDEX(Students!$D$2:$D$601,MATCH(B2605,Students!$A$2:$A$601,0))</f>
        <v>DSA with Java</v>
      </c>
      <c r="L2605" s="21" t="str">
        <f aca="false">INDEX(Companies!$C$2:$C$31,MATCH(C2605,Companies!$A$2:$A$31,0))</f>
        <v>Healthtech</v>
      </c>
      <c r="M2605" s="21" t="str">
        <f aca="false">INDEX(Companies!$D$2:$D$31,MATCH(C2605,Companies!$A$2:$A$31,0))</f>
        <v>Tier 2</v>
      </c>
      <c r="N2605" s="34" t="n">
        <f aca="false">MATCH(F2605,Assumptions!$K$4:$K$8,0)</f>
        <v>2</v>
      </c>
      <c r="O2605" s="21" t="str">
        <f aca="false">IF(H2605="Yes",MONTH(I2605),"")</f>
        <v/>
      </c>
      <c r="P2605" s="21" t="str">
        <f aca="false">IF(H2605="Yes",B2605,"")</f>
        <v/>
      </c>
    </row>
    <row r="2606" customFormat="false" ht="15" hidden="false" customHeight="false" outlineLevel="0" collapsed="false">
      <c r="A2606" s="21" t="s">
        <v>3821</v>
      </c>
      <c r="B2606" s="21" t="s">
        <v>1135</v>
      </c>
      <c r="C2606" s="21" t="s">
        <v>1239</v>
      </c>
      <c r="D2606" s="21" t="s">
        <v>1209</v>
      </c>
      <c r="E2606" s="33" t="n">
        <v>45980</v>
      </c>
      <c r="F2606" s="21" t="s">
        <v>1175</v>
      </c>
      <c r="G2606" s="32"/>
      <c r="H2606" s="21"/>
      <c r="I2606" s="33"/>
      <c r="J2606" s="21" t="str">
        <f aca="false">INDEX(Students!$C$2:$C$601,MATCH(B2606,Students!$A$2:$A$601,0))</f>
        <v>Batch 2026</v>
      </c>
      <c r="K2606" s="21" t="str">
        <f aca="false">INDEX(Students!$D$2:$D$601,MATCH(B2606,Students!$A$2:$A$601,0))</f>
        <v>Data Analytics</v>
      </c>
      <c r="L2606" s="21" t="str">
        <f aca="false">INDEX(Companies!$C$2:$C$31,MATCH(C2606,Companies!$A$2:$A$31,0))</f>
        <v>E-commerce</v>
      </c>
      <c r="M2606" s="21" t="str">
        <f aca="false">INDEX(Companies!$D$2:$D$31,MATCH(C2606,Companies!$A$2:$A$31,0))</f>
        <v>Tier 3</v>
      </c>
      <c r="N2606" s="34" t="n">
        <f aca="false">MATCH(F2606,Assumptions!$K$4:$K$8,0)</f>
        <v>1</v>
      </c>
      <c r="O2606" s="21" t="str">
        <f aca="false">IF(H2606="Yes",MONTH(I2606),"")</f>
        <v/>
      </c>
      <c r="P2606" s="21" t="str">
        <f aca="false">IF(H2606="Yes",B2606,"")</f>
        <v/>
      </c>
    </row>
    <row r="2607" customFormat="false" ht="15" hidden="false" customHeight="false" outlineLevel="0" collapsed="false">
      <c r="A2607" s="21" t="s">
        <v>3822</v>
      </c>
      <c r="B2607" s="21" t="s">
        <v>892</v>
      </c>
      <c r="C2607" s="21" t="s">
        <v>1187</v>
      </c>
      <c r="D2607" s="21" t="s">
        <v>1184</v>
      </c>
      <c r="E2607" s="33" t="n">
        <v>45980</v>
      </c>
      <c r="F2607" s="21" t="s">
        <v>1178</v>
      </c>
      <c r="G2607" s="32"/>
      <c r="H2607" s="21"/>
      <c r="I2607" s="33"/>
      <c r="J2607" s="21" t="str">
        <f aca="false">INDEX(Students!$C$2:$C$601,MATCH(B2607,Students!$A$2:$A$601,0))</f>
        <v>Batch 2026</v>
      </c>
      <c r="K2607" s="21" t="str">
        <f aca="false">INDEX(Students!$D$2:$D$601,MATCH(B2607,Students!$A$2:$A$601,0))</f>
        <v>DSA with Java</v>
      </c>
      <c r="L2607" s="21" t="str">
        <f aca="false">INDEX(Companies!$C$2:$C$31,MATCH(C2607,Companies!$A$2:$A$31,0))</f>
        <v>Product</v>
      </c>
      <c r="M2607" s="21" t="str">
        <f aca="false">INDEX(Companies!$D$2:$D$31,MATCH(C2607,Companies!$A$2:$A$31,0))</f>
        <v>Tier 1</v>
      </c>
      <c r="N2607" s="34" t="n">
        <f aca="false">MATCH(F2607,Assumptions!$K$4:$K$8,0)</f>
        <v>2</v>
      </c>
      <c r="O2607" s="21" t="str">
        <f aca="false">IF(H2607="Yes",MONTH(I2607),"")</f>
        <v/>
      </c>
      <c r="P2607" s="21" t="str">
        <f aca="false">IF(H2607="Yes",B2607,"")</f>
        <v/>
      </c>
    </row>
    <row r="2608" customFormat="false" ht="15" hidden="false" customHeight="false" outlineLevel="0" collapsed="false">
      <c r="A2608" s="21" t="s">
        <v>3823</v>
      </c>
      <c r="B2608" s="21" t="s">
        <v>824</v>
      </c>
      <c r="C2608" s="21" t="s">
        <v>1208</v>
      </c>
      <c r="D2608" s="21" t="s">
        <v>1191</v>
      </c>
      <c r="E2608" s="33" t="n">
        <v>45980</v>
      </c>
      <c r="F2608" s="21" t="s">
        <v>1185</v>
      </c>
      <c r="G2608" s="32" t="n">
        <v>20.3</v>
      </c>
      <c r="H2608" s="21" t="s">
        <v>120</v>
      </c>
      <c r="I2608" s="33" t="n">
        <v>46006</v>
      </c>
      <c r="J2608" s="21" t="str">
        <f aca="false">INDEX(Students!$C$2:$C$601,MATCH(B2608,Students!$A$2:$A$601,0))</f>
        <v>Batch 2026</v>
      </c>
      <c r="K2608" s="21" t="str">
        <f aca="false">INDEX(Students!$D$2:$D$601,MATCH(B2608,Students!$A$2:$A$601,0))</f>
        <v>DSA with Java</v>
      </c>
      <c r="L2608" s="21" t="str">
        <f aca="false">INDEX(Companies!$C$2:$C$31,MATCH(C2608,Companies!$A$2:$A$31,0))</f>
        <v>E-commerce</v>
      </c>
      <c r="M2608" s="21" t="str">
        <f aca="false">INDEX(Companies!$D$2:$D$31,MATCH(C2608,Companies!$A$2:$A$31,0))</f>
        <v>Tier 1</v>
      </c>
      <c r="N2608" s="34" t="n">
        <f aca="false">MATCH(F2608,Assumptions!$K$4:$K$8,0)</f>
        <v>5</v>
      </c>
      <c r="O2608" s="21" t="n">
        <f aca="false">IF(H2608="Yes",MONTH(I2608),"")</f>
        <v>12</v>
      </c>
      <c r="P2608" s="21" t="str">
        <f aca="false">IF(H2608="Yes",B2608,"")</f>
        <v>S0391</v>
      </c>
    </row>
    <row r="2609" customFormat="false" ht="15" hidden="false" customHeight="false" outlineLevel="0" collapsed="false">
      <c r="A2609" s="21" t="s">
        <v>3824</v>
      </c>
      <c r="B2609" s="21" t="s">
        <v>1147</v>
      </c>
      <c r="C2609" s="21" t="s">
        <v>1225</v>
      </c>
      <c r="D2609" s="21" t="s">
        <v>1184</v>
      </c>
      <c r="E2609" s="33" t="n">
        <v>45980</v>
      </c>
      <c r="F2609" s="21" t="s">
        <v>1175</v>
      </c>
      <c r="G2609" s="32"/>
      <c r="H2609" s="21"/>
      <c r="I2609" s="33"/>
      <c r="J2609" s="21" t="str">
        <f aca="false">INDEX(Students!$C$2:$C$601,MATCH(B2609,Students!$A$2:$A$601,0))</f>
        <v>Batch 2026</v>
      </c>
      <c r="K2609" s="21" t="str">
        <f aca="false">INDEX(Students!$D$2:$D$601,MATCH(B2609,Students!$A$2:$A$601,0))</f>
        <v>DSA with Java</v>
      </c>
      <c r="L2609" s="21" t="str">
        <f aca="false">INDEX(Companies!$C$2:$C$31,MATCH(C2609,Companies!$A$2:$A$31,0))</f>
        <v>EdTech</v>
      </c>
      <c r="M2609" s="21" t="str">
        <f aca="false">INDEX(Companies!$D$2:$D$31,MATCH(C2609,Companies!$A$2:$A$31,0))</f>
        <v>Tier 2</v>
      </c>
      <c r="N2609" s="34" t="n">
        <f aca="false">MATCH(F2609,Assumptions!$K$4:$K$8,0)</f>
        <v>1</v>
      </c>
      <c r="O2609" s="21" t="str">
        <f aca="false">IF(H2609="Yes",MONTH(I2609),"")</f>
        <v/>
      </c>
      <c r="P2609" s="21" t="str">
        <f aca="false">IF(H2609="Yes",B2609,"")</f>
        <v/>
      </c>
    </row>
    <row r="2610" customFormat="false" ht="15" hidden="false" customHeight="false" outlineLevel="0" collapsed="false">
      <c r="A2610" s="21" t="s">
        <v>3825</v>
      </c>
      <c r="B2610" s="21" t="s">
        <v>947</v>
      </c>
      <c r="C2610" s="21" t="s">
        <v>1205</v>
      </c>
      <c r="D2610" s="21" t="s">
        <v>1184</v>
      </c>
      <c r="E2610" s="33" t="n">
        <v>45981</v>
      </c>
      <c r="F2610" s="21" t="s">
        <v>1175</v>
      </c>
      <c r="G2610" s="32"/>
      <c r="H2610" s="21"/>
      <c r="I2610" s="33"/>
      <c r="J2610" s="21" t="str">
        <f aca="false">INDEX(Students!$C$2:$C$601,MATCH(B2610,Students!$A$2:$A$601,0))</f>
        <v>Batch 2026</v>
      </c>
      <c r="K2610" s="21" t="str">
        <f aca="false">INDEX(Students!$D$2:$D$601,MATCH(B2610,Students!$A$2:$A$601,0))</f>
        <v>DSA with Java</v>
      </c>
      <c r="L2610" s="21" t="str">
        <f aca="false">INDEX(Companies!$C$2:$C$31,MATCH(C2610,Companies!$A$2:$A$31,0))</f>
        <v>Healthtech</v>
      </c>
      <c r="M2610" s="21" t="str">
        <f aca="false">INDEX(Companies!$D$2:$D$31,MATCH(C2610,Companies!$A$2:$A$31,0))</f>
        <v>Tier 3</v>
      </c>
      <c r="N2610" s="34" t="n">
        <f aca="false">MATCH(F2610,Assumptions!$K$4:$K$8,0)</f>
        <v>1</v>
      </c>
      <c r="O2610" s="21" t="str">
        <f aca="false">IF(H2610="Yes",MONTH(I2610),"")</f>
        <v/>
      </c>
      <c r="P2610" s="21" t="str">
        <f aca="false">IF(H2610="Yes",B2610,"")</f>
        <v/>
      </c>
    </row>
    <row r="2611" customFormat="false" ht="15" hidden="false" customHeight="false" outlineLevel="0" collapsed="false">
      <c r="A2611" s="21" t="s">
        <v>3826</v>
      </c>
      <c r="B2611" s="21" t="s">
        <v>991</v>
      </c>
      <c r="C2611" s="21" t="s">
        <v>1322</v>
      </c>
      <c r="D2611" s="21" t="s">
        <v>1174</v>
      </c>
      <c r="E2611" s="33" t="n">
        <v>45981</v>
      </c>
      <c r="F2611" s="21" t="s">
        <v>1218</v>
      </c>
      <c r="G2611" s="32"/>
      <c r="H2611" s="21"/>
      <c r="I2611" s="33"/>
      <c r="J2611" s="21" t="str">
        <f aca="false">INDEX(Students!$C$2:$C$601,MATCH(B2611,Students!$A$2:$A$601,0))</f>
        <v>Batch 2026</v>
      </c>
      <c r="K2611" s="21" t="str">
        <f aca="false">INDEX(Students!$D$2:$D$601,MATCH(B2611,Students!$A$2:$A$601,0))</f>
        <v>Full Stack Development</v>
      </c>
      <c r="L2611" s="21" t="str">
        <f aca="false">INDEX(Companies!$C$2:$C$31,MATCH(C2611,Companies!$A$2:$A$31,0))</f>
        <v>Healthtech</v>
      </c>
      <c r="M2611" s="21" t="str">
        <f aca="false">INDEX(Companies!$D$2:$D$31,MATCH(C2611,Companies!$A$2:$A$31,0))</f>
        <v>Tier 2</v>
      </c>
      <c r="N2611" s="34" t="n">
        <f aca="false">MATCH(F2611,Assumptions!$K$4:$K$8,0)</f>
        <v>4</v>
      </c>
      <c r="O2611" s="21" t="str">
        <f aca="false">IF(H2611="Yes",MONTH(I2611),"")</f>
        <v/>
      </c>
      <c r="P2611" s="21" t="str">
        <f aca="false">IF(H2611="Yes",B2611,"")</f>
        <v/>
      </c>
    </row>
    <row r="2612" customFormat="false" ht="15" hidden="false" customHeight="false" outlineLevel="0" collapsed="false">
      <c r="A2612" s="21" t="s">
        <v>3827</v>
      </c>
      <c r="B2612" s="21" t="s">
        <v>1013</v>
      </c>
      <c r="C2612" s="21" t="s">
        <v>1290</v>
      </c>
      <c r="D2612" s="21" t="s">
        <v>1209</v>
      </c>
      <c r="E2612" s="33" t="n">
        <v>45981</v>
      </c>
      <c r="F2612" s="21" t="s">
        <v>1185</v>
      </c>
      <c r="G2612" s="32" t="n">
        <v>11.7</v>
      </c>
      <c r="H2612" s="21" t="s">
        <v>120</v>
      </c>
      <c r="I2612" s="33" t="n">
        <v>46022</v>
      </c>
      <c r="J2612" s="21" t="str">
        <f aca="false">INDEX(Students!$C$2:$C$601,MATCH(B2612,Students!$A$2:$A$601,0))</f>
        <v>Batch 2026</v>
      </c>
      <c r="K2612" s="21" t="str">
        <f aca="false">INDEX(Students!$D$2:$D$601,MATCH(B2612,Students!$A$2:$A$601,0))</f>
        <v>Data Analytics</v>
      </c>
      <c r="L2612" s="21" t="str">
        <f aca="false">INDEX(Companies!$C$2:$C$31,MATCH(C2612,Companies!$A$2:$A$31,0))</f>
        <v>Fintech</v>
      </c>
      <c r="M2612" s="21" t="str">
        <f aca="false">INDEX(Companies!$D$2:$D$31,MATCH(C2612,Companies!$A$2:$A$31,0))</f>
        <v>Tier 2</v>
      </c>
      <c r="N2612" s="34" t="n">
        <f aca="false">MATCH(F2612,Assumptions!$K$4:$K$8,0)</f>
        <v>5</v>
      </c>
      <c r="O2612" s="21" t="n">
        <f aca="false">IF(H2612="Yes",MONTH(I2612),"")</f>
        <v>12</v>
      </c>
      <c r="P2612" s="21" t="str">
        <f aca="false">IF(H2612="Yes",B2612,"")</f>
        <v>S0508</v>
      </c>
    </row>
    <row r="2613" customFormat="false" ht="15" hidden="false" customHeight="false" outlineLevel="0" collapsed="false">
      <c r="A2613" s="21" t="s">
        <v>3828</v>
      </c>
      <c r="B2613" s="21" t="s">
        <v>975</v>
      </c>
      <c r="C2613" s="21" t="s">
        <v>1203</v>
      </c>
      <c r="D2613" s="21" t="s">
        <v>1174</v>
      </c>
      <c r="E2613" s="33" t="n">
        <v>45981</v>
      </c>
      <c r="F2613" s="21" t="s">
        <v>1185</v>
      </c>
      <c r="G2613" s="32" t="n">
        <v>12.8</v>
      </c>
      <c r="H2613" s="21" t="s">
        <v>113</v>
      </c>
      <c r="I2613" s="33" t="n">
        <v>46014</v>
      </c>
      <c r="J2613" s="21" t="str">
        <f aca="false">INDEX(Students!$C$2:$C$601,MATCH(B2613,Students!$A$2:$A$601,0))</f>
        <v>Batch 2026</v>
      </c>
      <c r="K2613" s="21" t="str">
        <f aca="false">INDEX(Students!$D$2:$D$601,MATCH(B2613,Students!$A$2:$A$601,0))</f>
        <v>Full Stack Development</v>
      </c>
      <c r="L2613" s="21" t="str">
        <f aca="false">INDEX(Companies!$C$2:$C$31,MATCH(C2613,Companies!$A$2:$A$31,0))</f>
        <v>Healthtech</v>
      </c>
      <c r="M2613" s="21" t="str">
        <f aca="false">INDEX(Companies!$D$2:$D$31,MATCH(C2613,Companies!$A$2:$A$31,0))</f>
        <v>Tier 2</v>
      </c>
      <c r="N2613" s="34" t="n">
        <f aca="false">MATCH(F2613,Assumptions!$K$4:$K$8,0)</f>
        <v>5</v>
      </c>
      <c r="O2613" s="21" t="str">
        <f aca="false">IF(H2613="Yes",MONTH(I2613),"")</f>
        <v/>
      </c>
      <c r="P2613" s="21" t="str">
        <f aca="false">IF(H2613="Yes",B2613,"")</f>
        <v/>
      </c>
    </row>
    <row r="2614" customFormat="false" ht="15" hidden="false" customHeight="false" outlineLevel="0" collapsed="false">
      <c r="A2614" s="21" t="s">
        <v>3829</v>
      </c>
      <c r="B2614" s="21" t="s">
        <v>970</v>
      </c>
      <c r="C2614" s="21" t="s">
        <v>1183</v>
      </c>
      <c r="D2614" s="21" t="s">
        <v>1191</v>
      </c>
      <c r="E2614" s="33" t="n">
        <v>45981</v>
      </c>
      <c r="F2614" s="21" t="s">
        <v>1175</v>
      </c>
      <c r="G2614" s="32"/>
      <c r="H2614" s="21"/>
      <c r="I2614" s="33"/>
      <c r="J2614" s="21" t="str">
        <f aca="false">INDEX(Students!$C$2:$C$601,MATCH(B2614,Students!$A$2:$A$601,0))</f>
        <v>Batch 2026</v>
      </c>
      <c r="K2614" s="21" t="str">
        <f aca="false">INDEX(Students!$D$2:$D$601,MATCH(B2614,Students!$A$2:$A$601,0))</f>
        <v>DSA with Java</v>
      </c>
      <c r="L2614" s="21" t="str">
        <f aca="false">INDEX(Companies!$C$2:$C$31,MATCH(C2614,Companies!$A$2:$A$31,0))</f>
        <v>E-commerce</v>
      </c>
      <c r="M2614" s="21" t="str">
        <f aca="false">INDEX(Companies!$D$2:$D$31,MATCH(C2614,Companies!$A$2:$A$31,0))</f>
        <v>Tier 2</v>
      </c>
      <c r="N2614" s="34" t="n">
        <f aca="false">MATCH(F2614,Assumptions!$K$4:$K$8,0)</f>
        <v>1</v>
      </c>
      <c r="O2614" s="21" t="str">
        <f aca="false">IF(H2614="Yes",MONTH(I2614),"")</f>
        <v/>
      </c>
      <c r="P2614" s="21" t="str">
        <f aca="false">IF(H2614="Yes",B2614,"")</f>
        <v/>
      </c>
    </row>
    <row r="2615" customFormat="false" ht="15" hidden="false" customHeight="false" outlineLevel="0" collapsed="false">
      <c r="A2615" s="21" t="s">
        <v>3830</v>
      </c>
      <c r="B2615" s="21" t="s">
        <v>917</v>
      </c>
      <c r="C2615" s="21" t="s">
        <v>1190</v>
      </c>
      <c r="D2615" s="21" t="s">
        <v>1181</v>
      </c>
      <c r="E2615" s="33" t="n">
        <v>45981</v>
      </c>
      <c r="F2615" s="21" t="s">
        <v>1175</v>
      </c>
      <c r="G2615" s="32"/>
      <c r="H2615" s="21"/>
      <c r="I2615" s="33"/>
      <c r="J2615" s="21" t="str">
        <f aca="false">INDEX(Students!$C$2:$C$601,MATCH(B2615,Students!$A$2:$A$601,0))</f>
        <v>Batch 2026</v>
      </c>
      <c r="K2615" s="21" t="str">
        <f aca="false">INDEX(Students!$D$2:$D$601,MATCH(B2615,Students!$A$2:$A$601,0))</f>
        <v>Full Stack Development</v>
      </c>
      <c r="L2615" s="21" t="str">
        <f aca="false">INDEX(Companies!$C$2:$C$31,MATCH(C2615,Companies!$A$2:$A$31,0))</f>
        <v>Analytics &amp; Consulting</v>
      </c>
      <c r="M2615" s="21" t="str">
        <f aca="false">INDEX(Companies!$D$2:$D$31,MATCH(C2615,Companies!$A$2:$A$31,0))</f>
        <v>Tier 1</v>
      </c>
      <c r="N2615" s="34" t="n">
        <f aca="false">MATCH(F2615,Assumptions!$K$4:$K$8,0)</f>
        <v>1</v>
      </c>
      <c r="O2615" s="21" t="str">
        <f aca="false">IF(H2615="Yes",MONTH(I2615),"")</f>
        <v/>
      </c>
      <c r="P2615" s="21" t="str">
        <f aca="false">IF(H2615="Yes",B2615,"")</f>
        <v/>
      </c>
    </row>
    <row r="2616" customFormat="false" ht="15" hidden="false" customHeight="false" outlineLevel="0" collapsed="false">
      <c r="A2616" s="21" t="s">
        <v>3831</v>
      </c>
      <c r="B2616" s="21" t="s">
        <v>1157</v>
      </c>
      <c r="C2616" s="21" t="s">
        <v>1309</v>
      </c>
      <c r="D2616" s="21" t="s">
        <v>1226</v>
      </c>
      <c r="E2616" s="33" t="n">
        <v>45982</v>
      </c>
      <c r="F2616" s="21" t="s">
        <v>1175</v>
      </c>
      <c r="G2616" s="32"/>
      <c r="H2616" s="21"/>
      <c r="I2616" s="33"/>
      <c r="J2616" s="21" t="str">
        <f aca="false">INDEX(Students!$C$2:$C$601,MATCH(B2616,Students!$A$2:$A$601,0))</f>
        <v>Batch 2026</v>
      </c>
      <c r="K2616" s="21" t="str">
        <f aca="false">INDEX(Students!$D$2:$D$601,MATCH(B2616,Students!$A$2:$A$601,0))</f>
        <v>Cybersecurity</v>
      </c>
      <c r="L2616" s="21" t="str">
        <f aca="false">INDEX(Companies!$C$2:$C$31,MATCH(C2616,Companies!$A$2:$A$31,0))</f>
        <v>EdTech</v>
      </c>
      <c r="M2616" s="21" t="str">
        <f aca="false">INDEX(Companies!$D$2:$D$31,MATCH(C2616,Companies!$A$2:$A$31,0))</f>
        <v>Tier 2</v>
      </c>
      <c r="N2616" s="34" t="n">
        <f aca="false">MATCH(F2616,Assumptions!$K$4:$K$8,0)</f>
        <v>1</v>
      </c>
      <c r="O2616" s="21" t="str">
        <f aca="false">IF(H2616="Yes",MONTH(I2616),"")</f>
        <v/>
      </c>
      <c r="P2616" s="21" t="str">
        <f aca="false">IF(H2616="Yes",B2616,"")</f>
        <v/>
      </c>
    </row>
    <row r="2617" customFormat="false" ht="15" hidden="false" customHeight="false" outlineLevel="0" collapsed="false">
      <c r="A2617" s="21" t="s">
        <v>3832</v>
      </c>
      <c r="B2617" s="21" t="s">
        <v>812</v>
      </c>
      <c r="C2617" s="21" t="s">
        <v>1214</v>
      </c>
      <c r="D2617" s="21" t="s">
        <v>1174</v>
      </c>
      <c r="E2617" s="33" t="n">
        <v>45982</v>
      </c>
      <c r="F2617" s="21" t="s">
        <v>1175</v>
      </c>
      <c r="G2617" s="32"/>
      <c r="H2617" s="21"/>
      <c r="I2617" s="33"/>
      <c r="J2617" s="21" t="str">
        <f aca="false">INDEX(Students!$C$2:$C$601,MATCH(B2617,Students!$A$2:$A$601,0))</f>
        <v>Batch 2026</v>
      </c>
      <c r="K2617" s="21" t="str">
        <f aca="false">INDEX(Students!$D$2:$D$601,MATCH(B2617,Students!$A$2:$A$601,0))</f>
        <v>Full Stack Development</v>
      </c>
      <c r="L2617" s="21" t="str">
        <f aca="false">INDEX(Companies!$C$2:$C$31,MATCH(C2617,Companies!$A$2:$A$31,0))</f>
        <v>Product</v>
      </c>
      <c r="M2617" s="21" t="str">
        <f aca="false">INDEX(Companies!$D$2:$D$31,MATCH(C2617,Companies!$A$2:$A$31,0))</f>
        <v>Tier 1</v>
      </c>
      <c r="N2617" s="34" t="n">
        <f aca="false">MATCH(F2617,Assumptions!$K$4:$K$8,0)</f>
        <v>1</v>
      </c>
      <c r="O2617" s="21" t="str">
        <f aca="false">IF(H2617="Yes",MONTH(I2617),"")</f>
        <v/>
      </c>
      <c r="P2617" s="21" t="str">
        <f aca="false">IF(H2617="Yes",B2617,"")</f>
        <v/>
      </c>
    </row>
    <row r="2618" customFormat="false" ht="15" hidden="false" customHeight="false" outlineLevel="0" collapsed="false">
      <c r="A2618" s="21" t="s">
        <v>3833</v>
      </c>
      <c r="B2618" s="21" t="s">
        <v>1078</v>
      </c>
      <c r="C2618" s="21" t="s">
        <v>1196</v>
      </c>
      <c r="D2618" s="21" t="s">
        <v>1191</v>
      </c>
      <c r="E2618" s="33" t="n">
        <v>45982</v>
      </c>
      <c r="F2618" s="21" t="s">
        <v>1185</v>
      </c>
      <c r="G2618" s="32" t="n">
        <v>7.1</v>
      </c>
      <c r="H2618" s="21" t="s">
        <v>113</v>
      </c>
      <c r="I2618" s="33" t="n">
        <v>46015</v>
      </c>
      <c r="J2618" s="21" t="str">
        <f aca="false">INDEX(Students!$C$2:$C$601,MATCH(B2618,Students!$A$2:$A$601,0))</f>
        <v>Batch 2026</v>
      </c>
      <c r="K2618" s="21" t="str">
        <f aca="false">INDEX(Students!$D$2:$D$601,MATCH(B2618,Students!$A$2:$A$601,0))</f>
        <v>DSA with Java</v>
      </c>
      <c r="L2618" s="21" t="str">
        <f aca="false">INDEX(Companies!$C$2:$C$31,MATCH(C2618,Companies!$A$2:$A$31,0))</f>
        <v>IT Services</v>
      </c>
      <c r="M2618" s="21" t="str">
        <f aca="false">INDEX(Companies!$D$2:$D$31,MATCH(C2618,Companies!$A$2:$A$31,0))</f>
        <v>Tier 3</v>
      </c>
      <c r="N2618" s="34" t="n">
        <f aca="false">MATCH(F2618,Assumptions!$K$4:$K$8,0)</f>
        <v>5</v>
      </c>
      <c r="O2618" s="21" t="str">
        <f aca="false">IF(H2618="Yes",MONTH(I2618),"")</f>
        <v/>
      </c>
      <c r="P2618" s="21" t="str">
        <f aca="false">IF(H2618="Yes",B2618,"")</f>
        <v/>
      </c>
    </row>
    <row r="2619" customFormat="false" ht="15" hidden="false" customHeight="false" outlineLevel="0" collapsed="false">
      <c r="A2619" s="21" t="s">
        <v>3834</v>
      </c>
      <c r="B2619" s="21" t="s">
        <v>1061</v>
      </c>
      <c r="C2619" s="21" t="s">
        <v>1239</v>
      </c>
      <c r="D2619" s="21" t="s">
        <v>1174</v>
      </c>
      <c r="E2619" s="33" t="n">
        <v>45982</v>
      </c>
      <c r="F2619" s="21" t="s">
        <v>1185</v>
      </c>
      <c r="G2619" s="32" t="n">
        <v>6</v>
      </c>
      <c r="H2619" s="21" t="s">
        <v>113</v>
      </c>
      <c r="I2619" s="33" t="n">
        <v>46005</v>
      </c>
      <c r="J2619" s="21" t="str">
        <f aca="false">INDEX(Students!$C$2:$C$601,MATCH(B2619,Students!$A$2:$A$601,0))</f>
        <v>Batch 2026</v>
      </c>
      <c r="K2619" s="21" t="str">
        <f aca="false">INDEX(Students!$D$2:$D$601,MATCH(B2619,Students!$A$2:$A$601,0))</f>
        <v>Full Stack Development</v>
      </c>
      <c r="L2619" s="21" t="str">
        <f aca="false">INDEX(Companies!$C$2:$C$31,MATCH(C2619,Companies!$A$2:$A$31,0))</f>
        <v>E-commerce</v>
      </c>
      <c r="M2619" s="21" t="str">
        <f aca="false">INDEX(Companies!$D$2:$D$31,MATCH(C2619,Companies!$A$2:$A$31,0))</f>
        <v>Tier 3</v>
      </c>
      <c r="N2619" s="34" t="n">
        <f aca="false">MATCH(F2619,Assumptions!$K$4:$K$8,0)</f>
        <v>5</v>
      </c>
      <c r="O2619" s="21" t="str">
        <f aca="false">IF(H2619="Yes",MONTH(I2619),"")</f>
        <v/>
      </c>
      <c r="P2619" s="21" t="str">
        <f aca="false">IF(H2619="Yes",B2619,"")</f>
        <v/>
      </c>
    </row>
    <row r="2620" customFormat="false" ht="15" hidden="false" customHeight="false" outlineLevel="0" collapsed="false">
      <c r="A2620" s="21" t="s">
        <v>3835</v>
      </c>
      <c r="B2620" s="21" t="s">
        <v>838</v>
      </c>
      <c r="C2620" s="21" t="s">
        <v>1230</v>
      </c>
      <c r="D2620" s="21" t="s">
        <v>1188</v>
      </c>
      <c r="E2620" s="33" t="n">
        <v>45982</v>
      </c>
      <c r="F2620" s="21" t="s">
        <v>1185</v>
      </c>
      <c r="G2620" s="32" t="n">
        <v>6.2</v>
      </c>
      <c r="H2620" s="21" t="s">
        <v>113</v>
      </c>
      <c r="I2620" s="33" t="n">
        <v>46016</v>
      </c>
      <c r="J2620" s="21" t="str">
        <f aca="false">INDEX(Students!$C$2:$C$601,MATCH(B2620,Students!$A$2:$A$601,0))</f>
        <v>Batch 2026</v>
      </c>
      <c r="K2620" s="21" t="str">
        <f aca="false">INDEX(Students!$D$2:$D$601,MATCH(B2620,Students!$A$2:$A$601,0))</f>
        <v>Data Analytics</v>
      </c>
      <c r="L2620" s="21" t="str">
        <f aca="false">INDEX(Companies!$C$2:$C$31,MATCH(C2620,Companies!$A$2:$A$31,0))</f>
        <v>IT Services</v>
      </c>
      <c r="M2620" s="21" t="str">
        <f aca="false">INDEX(Companies!$D$2:$D$31,MATCH(C2620,Companies!$A$2:$A$31,0))</f>
        <v>Tier 3</v>
      </c>
      <c r="N2620" s="34" t="n">
        <f aca="false">MATCH(F2620,Assumptions!$K$4:$K$8,0)</f>
        <v>5</v>
      </c>
      <c r="O2620" s="21" t="str">
        <f aca="false">IF(H2620="Yes",MONTH(I2620),"")</f>
        <v/>
      </c>
      <c r="P2620" s="21" t="str">
        <f aca="false">IF(H2620="Yes",B2620,"")</f>
        <v/>
      </c>
    </row>
    <row r="2621" customFormat="false" ht="15" hidden="false" customHeight="false" outlineLevel="0" collapsed="false">
      <c r="A2621" s="21" t="s">
        <v>3836</v>
      </c>
      <c r="B2621" s="21" t="s">
        <v>975</v>
      </c>
      <c r="C2621" s="21" t="s">
        <v>1196</v>
      </c>
      <c r="D2621" s="21" t="s">
        <v>1174</v>
      </c>
      <c r="E2621" s="33" t="n">
        <v>45982</v>
      </c>
      <c r="F2621" s="21" t="s">
        <v>1185</v>
      </c>
      <c r="G2621" s="32" t="n">
        <v>6.6</v>
      </c>
      <c r="H2621" s="21" t="s">
        <v>113</v>
      </c>
      <c r="I2621" s="33" t="n">
        <v>46025</v>
      </c>
      <c r="J2621" s="21" t="str">
        <f aca="false">INDEX(Students!$C$2:$C$601,MATCH(B2621,Students!$A$2:$A$601,0))</f>
        <v>Batch 2026</v>
      </c>
      <c r="K2621" s="21" t="str">
        <f aca="false">INDEX(Students!$D$2:$D$601,MATCH(B2621,Students!$A$2:$A$601,0))</f>
        <v>Full Stack Development</v>
      </c>
      <c r="L2621" s="21" t="str">
        <f aca="false">INDEX(Companies!$C$2:$C$31,MATCH(C2621,Companies!$A$2:$A$31,0))</f>
        <v>IT Services</v>
      </c>
      <c r="M2621" s="21" t="str">
        <f aca="false">INDEX(Companies!$D$2:$D$31,MATCH(C2621,Companies!$A$2:$A$31,0))</f>
        <v>Tier 3</v>
      </c>
      <c r="N2621" s="34" t="n">
        <f aca="false">MATCH(F2621,Assumptions!$K$4:$K$8,0)</f>
        <v>5</v>
      </c>
      <c r="O2621" s="21" t="str">
        <f aca="false">IF(H2621="Yes",MONTH(I2621),"")</f>
        <v/>
      </c>
      <c r="P2621" s="21" t="str">
        <f aca="false">IF(H2621="Yes",B2621,"")</f>
        <v/>
      </c>
    </row>
    <row r="2622" customFormat="false" ht="15" hidden="false" customHeight="false" outlineLevel="0" collapsed="false">
      <c r="A2622" s="21" t="s">
        <v>3837</v>
      </c>
      <c r="B2622" s="21" t="s">
        <v>838</v>
      </c>
      <c r="C2622" s="21" t="s">
        <v>1173</v>
      </c>
      <c r="D2622" s="21" t="s">
        <v>1209</v>
      </c>
      <c r="E2622" s="33" t="n">
        <v>45982</v>
      </c>
      <c r="F2622" s="21" t="s">
        <v>1197</v>
      </c>
      <c r="G2622" s="32"/>
      <c r="H2622" s="21"/>
      <c r="I2622" s="33"/>
      <c r="J2622" s="21" t="str">
        <f aca="false">INDEX(Students!$C$2:$C$601,MATCH(B2622,Students!$A$2:$A$601,0))</f>
        <v>Batch 2026</v>
      </c>
      <c r="K2622" s="21" t="str">
        <f aca="false">INDEX(Students!$D$2:$D$601,MATCH(B2622,Students!$A$2:$A$601,0))</f>
        <v>Data Analytics</v>
      </c>
      <c r="L2622" s="21" t="str">
        <f aca="false">INDEX(Companies!$C$2:$C$31,MATCH(C2622,Companies!$A$2:$A$31,0))</f>
        <v>Cybersecurity</v>
      </c>
      <c r="M2622" s="21" t="str">
        <f aca="false">INDEX(Companies!$D$2:$D$31,MATCH(C2622,Companies!$A$2:$A$31,0))</f>
        <v>Tier 1</v>
      </c>
      <c r="N2622" s="34" t="n">
        <f aca="false">MATCH(F2622,Assumptions!$K$4:$K$8,0)</f>
        <v>3</v>
      </c>
      <c r="O2622" s="21" t="str">
        <f aca="false">IF(H2622="Yes",MONTH(I2622),"")</f>
        <v/>
      </c>
      <c r="P2622" s="21" t="str">
        <f aca="false">IF(H2622="Yes",B2622,"")</f>
        <v/>
      </c>
    </row>
    <row r="2623" customFormat="false" ht="15" hidden="false" customHeight="false" outlineLevel="0" collapsed="false">
      <c r="A2623" s="21" t="s">
        <v>3838</v>
      </c>
      <c r="B2623" s="21" t="s">
        <v>941</v>
      </c>
      <c r="C2623" s="21" t="s">
        <v>1230</v>
      </c>
      <c r="D2623" s="21" t="s">
        <v>1181</v>
      </c>
      <c r="E2623" s="33" t="n">
        <v>45982</v>
      </c>
      <c r="F2623" s="21" t="s">
        <v>1185</v>
      </c>
      <c r="G2623" s="32" t="n">
        <v>5.1</v>
      </c>
      <c r="H2623" s="21" t="s">
        <v>113</v>
      </c>
      <c r="I2623" s="33" t="n">
        <v>46003</v>
      </c>
      <c r="J2623" s="21" t="str">
        <f aca="false">INDEX(Students!$C$2:$C$601,MATCH(B2623,Students!$A$2:$A$601,0))</f>
        <v>Batch 2026</v>
      </c>
      <c r="K2623" s="21" t="str">
        <f aca="false">INDEX(Students!$D$2:$D$601,MATCH(B2623,Students!$A$2:$A$601,0))</f>
        <v>Full Stack Development</v>
      </c>
      <c r="L2623" s="21" t="str">
        <f aca="false">INDEX(Companies!$C$2:$C$31,MATCH(C2623,Companies!$A$2:$A$31,0))</f>
        <v>IT Services</v>
      </c>
      <c r="M2623" s="21" t="str">
        <f aca="false">INDEX(Companies!$D$2:$D$31,MATCH(C2623,Companies!$A$2:$A$31,0))</f>
        <v>Tier 3</v>
      </c>
      <c r="N2623" s="34" t="n">
        <f aca="false">MATCH(F2623,Assumptions!$K$4:$K$8,0)</f>
        <v>5</v>
      </c>
      <c r="O2623" s="21" t="str">
        <f aca="false">IF(H2623="Yes",MONTH(I2623),"")</f>
        <v/>
      </c>
      <c r="P2623" s="21" t="str">
        <f aca="false">IF(H2623="Yes",B2623,"")</f>
        <v/>
      </c>
    </row>
    <row r="2624" customFormat="false" ht="15" hidden="false" customHeight="false" outlineLevel="0" collapsed="false">
      <c r="A2624" s="21" t="s">
        <v>3839</v>
      </c>
      <c r="B2624" s="21" t="s">
        <v>997</v>
      </c>
      <c r="C2624" s="21" t="s">
        <v>1187</v>
      </c>
      <c r="D2624" s="21" t="s">
        <v>1194</v>
      </c>
      <c r="E2624" s="33" t="n">
        <v>45983</v>
      </c>
      <c r="F2624" s="21" t="s">
        <v>1175</v>
      </c>
      <c r="G2624" s="32"/>
      <c r="H2624" s="21"/>
      <c r="I2624" s="33"/>
      <c r="J2624" s="21" t="str">
        <f aca="false">INDEX(Students!$C$2:$C$601,MATCH(B2624,Students!$A$2:$A$601,0))</f>
        <v>Batch 2026</v>
      </c>
      <c r="K2624" s="21" t="str">
        <f aca="false">INDEX(Students!$D$2:$D$601,MATCH(B2624,Students!$A$2:$A$601,0))</f>
        <v>Data Science &amp; ML</v>
      </c>
      <c r="L2624" s="21" t="str">
        <f aca="false">INDEX(Companies!$C$2:$C$31,MATCH(C2624,Companies!$A$2:$A$31,0))</f>
        <v>Product</v>
      </c>
      <c r="M2624" s="21" t="str">
        <f aca="false">INDEX(Companies!$D$2:$D$31,MATCH(C2624,Companies!$A$2:$A$31,0))</f>
        <v>Tier 1</v>
      </c>
      <c r="N2624" s="34" t="n">
        <f aca="false">MATCH(F2624,Assumptions!$K$4:$K$8,0)</f>
        <v>1</v>
      </c>
      <c r="O2624" s="21" t="str">
        <f aca="false">IF(H2624="Yes",MONTH(I2624),"")</f>
        <v/>
      </c>
      <c r="P2624" s="21" t="str">
        <f aca="false">IF(H2624="Yes",B2624,"")</f>
        <v/>
      </c>
    </row>
    <row r="2625" customFormat="false" ht="15" hidden="false" customHeight="false" outlineLevel="0" collapsed="false">
      <c r="A2625" s="21" t="s">
        <v>3840</v>
      </c>
      <c r="B2625" s="21" t="s">
        <v>1103</v>
      </c>
      <c r="C2625" s="21" t="s">
        <v>1183</v>
      </c>
      <c r="D2625" s="21" t="s">
        <v>1181</v>
      </c>
      <c r="E2625" s="33" t="n">
        <v>45983</v>
      </c>
      <c r="F2625" s="21" t="s">
        <v>1175</v>
      </c>
      <c r="G2625" s="32"/>
      <c r="H2625" s="21"/>
      <c r="I2625" s="33"/>
      <c r="J2625" s="21" t="str">
        <f aca="false">INDEX(Students!$C$2:$C$601,MATCH(B2625,Students!$A$2:$A$601,0))</f>
        <v>Batch 2026</v>
      </c>
      <c r="K2625" s="21" t="str">
        <f aca="false">INDEX(Students!$D$2:$D$601,MATCH(B2625,Students!$A$2:$A$601,0))</f>
        <v>Full Stack Development</v>
      </c>
      <c r="L2625" s="21" t="str">
        <f aca="false">INDEX(Companies!$C$2:$C$31,MATCH(C2625,Companies!$A$2:$A$31,0))</f>
        <v>E-commerce</v>
      </c>
      <c r="M2625" s="21" t="str">
        <f aca="false">INDEX(Companies!$D$2:$D$31,MATCH(C2625,Companies!$A$2:$A$31,0))</f>
        <v>Tier 2</v>
      </c>
      <c r="N2625" s="34" t="n">
        <f aca="false">MATCH(F2625,Assumptions!$K$4:$K$8,0)</f>
        <v>1</v>
      </c>
      <c r="O2625" s="21" t="str">
        <f aca="false">IF(H2625="Yes",MONTH(I2625),"")</f>
        <v/>
      </c>
      <c r="P2625" s="21" t="str">
        <f aca="false">IF(H2625="Yes",B2625,"")</f>
        <v/>
      </c>
    </row>
    <row r="2626" customFormat="false" ht="15" hidden="false" customHeight="false" outlineLevel="0" collapsed="false">
      <c r="A2626" s="21" t="s">
        <v>3841</v>
      </c>
      <c r="B2626" s="21" t="s">
        <v>979</v>
      </c>
      <c r="C2626" s="21" t="s">
        <v>1228</v>
      </c>
      <c r="D2626" s="21" t="s">
        <v>1184</v>
      </c>
      <c r="E2626" s="33" t="n">
        <v>45983</v>
      </c>
      <c r="F2626" s="21" t="s">
        <v>1185</v>
      </c>
      <c r="G2626" s="32" t="n">
        <v>21.9</v>
      </c>
      <c r="H2626" s="21" t="s">
        <v>120</v>
      </c>
      <c r="I2626" s="33" t="n">
        <v>46023</v>
      </c>
      <c r="J2626" s="21" t="str">
        <f aca="false">INDEX(Students!$C$2:$C$601,MATCH(B2626,Students!$A$2:$A$601,0))</f>
        <v>Batch 2026</v>
      </c>
      <c r="K2626" s="21" t="str">
        <f aca="false">INDEX(Students!$D$2:$D$601,MATCH(B2626,Students!$A$2:$A$601,0))</f>
        <v>DSA with Java</v>
      </c>
      <c r="L2626" s="21" t="str">
        <f aca="false">INDEX(Companies!$C$2:$C$31,MATCH(C2626,Companies!$A$2:$A$31,0))</f>
        <v>Fintech</v>
      </c>
      <c r="M2626" s="21" t="str">
        <f aca="false">INDEX(Companies!$D$2:$D$31,MATCH(C2626,Companies!$A$2:$A$31,0))</f>
        <v>Tier 1</v>
      </c>
      <c r="N2626" s="34" t="n">
        <f aca="false">MATCH(F2626,Assumptions!$K$4:$K$8,0)</f>
        <v>5</v>
      </c>
      <c r="O2626" s="21" t="n">
        <f aca="false">IF(H2626="Yes",MONTH(I2626),"")</f>
        <v>1</v>
      </c>
      <c r="P2626" s="21" t="str">
        <f aca="false">IF(H2626="Yes",B2626,"")</f>
        <v>S0487</v>
      </c>
    </row>
    <row r="2627" customFormat="false" ht="15" hidden="false" customHeight="false" outlineLevel="0" collapsed="false">
      <c r="A2627" s="21" t="s">
        <v>3842</v>
      </c>
      <c r="B2627" s="21" t="s">
        <v>923</v>
      </c>
      <c r="C2627" s="21" t="s">
        <v>1190</v>
      </c>
      <c r="D2627" s="21" t="s">
        <v>1209</v>
      </c>
      <c r="E2627" s="33" t="n">
        <v>45984</v>
      </c>
      <c r="F2627" s="21" t="s">
        <v>1175</v>
      </c>
      <c r="G2627" s="32"/>
      <c r="H2627" s="21"/>
      <c r="I2627" s="33"/>
      <c r="J2627" s="21" t="str">
        <f aca="false">INDEX(Students!$C$2:$C$601,MATCH(B2627,Students!$A$2:$A$601,0))</f>
        <v>Batch 2026</v>
      </c>
      <c r="K2627" s="21" t="str">
        <f aca="false">INDEX(Students!$D$2:$D$601,MATCH(B2627,Students!$A$2:$A$601,0))</f>
        <v>Data Analytics</v>
      </c>
      <c r="L2627" s="21" t="str">
        <f aca="false">INDEX(Companies!$C$2:$C$31,MATCH(C2627,Companies!$A$2:$A$31,0))</f>
        <v>Analytics &amp; Consulting</v>
      </c>
      <c r="M2627" s="21" t="str">
        <f aca="false">INDEX(Companies!$D$2:$D$31,MATCH(C2627,Companies!$A$2:$A$31,0))</f>
        <v>Tier 1</v>
      </c>
      <c r="N2627" s="34" t="n">
        <f aca="false">MATCH(F2627,Assumptions!$K$4:$K$8,0)</f>
        <v>1</v>
      </c>
      <c r="O2627" s="21" t="str">
        <f aca="false">IF(H2627="Yes",MONTH(I2627),"")</f>
        <v/>
      </c>
      <c r="P2627" s="21" t="str">
        <f aca="false">IF(H2627="Yes",B2627,"")</f>
        <v/>
      </c>
    </row>
    <row r="2628" customFormat="false" ht="15" hidden="false" customHeight="false" outlineLevel="0" collapsed="false">
      <c r="A2628" s="21" t="s">
        <v>3843</v>
      </c>
      <c r="B2628" s="21" t="s">
        <v>824</v>
      </c>
      <c r="C2628" s="21" t="s">
        <v>1193</v>
      </c>
      <c r="D2628" s="21" t="s">
        <v>1191</v>
      </c>
      <c r="E2628" s="33" t="n">
        <v>45984</v>
      </c>
      <c r="F2628" s="21" t="s">
        <v>1175</v>
      </c>
      <c r="G2628" s="32"/>
      <c r="H2628" s="21"/>
      <c r="I2628" s="33"/>
      <c r="J2628" s="21" t="str">
        <f aca="false">INDEX(Students!$C$2:$C$601,MATCH(B2628,Students!$A$2:$A$601,0))</f>
        <v>Batch 2026</v>
      </c>
      <c r="K2628" s="21" t="str">
        <f aca="false">INDEX(Students!$D$2:$D$601,MATCH(B2628,Students!$A$2:$A$601,0))</f>
        <v>DSA with Java</v>
      </c>
      <c r="L2628" s="21" t="str">
        <f aca="false">INDEX(Companies!$C$2:$C$31,MATCH(C2628,Companies!$A$2:$A$31,0))</f>
        <v>Analytics &amp; Consulting</v>
      </c>
      <c r="M2628" s="21" t="str">
        <f aca="false">INDEX(Companies!$D$2:$D$31,MATCH(C2628,Companies!$A$2:$A$31,0))</f>
        <v>Tier 2</v>
      </c>
      <c r="N2628" s="34" t="n">
        <f aca="false">MATCH(F2628,Assumptions!$K$4:$K$8,0)</f>
        <v>1</v>
      </c>
      <c r="O2628" s="21" t="str">
        <f aca="false">IF(H2628="Yes",MONTH(I2628),"")</f>
        <v/>
      </c>
      <c r="P2628" s="21" t="str">
        <f aca="false">IF(H2628="Yes",B2628,"")</f>
        <v/>
      </c>
    </row>
    <row r="2629" customFormat="false" ht="15" hidden="false" customHeight="false" outlineLevel="0" collapsed="false">
      <c r="A2629" s="21" t="s">
        <v>3844</v>
      </c>
      <c r="B2629" s="21" t="s">
        <v>1051</v>
      </c>
      <c r="C2629" s="21" t="s">
        <v>1222</v>
      </c>
      <c r="D2629" s="21" t="s">
        <v>1191</v>
      </c>
      <c r="E2629" s="33" t="n">
        <v>45984</v>
      </c>
      <c r="F2629" s="21" t="s">
        <v>1197</v>
      </c>
      <c r="G2629" s="32"/>
      <c r="H2629" s="21"/>
      <c r="I2629" s="33"/>
      <c r="J2629" s="21" t="str">
        <f aca="false">INDEX(Students!$C$2:$C$601,MATCH(B2629,Students!$A$2:$A$601,0))</f>
        <v>Batch 2026</v>
      </c>
      <c r="K2629" s="21" t="str">
        <f aca="false">INDEX(Students!$D$2:$D$601,MATCH(B2629,Students!$A$2:$A$601,0))</f>
        <v>DSA with Java</v>
      </c>
      <c r="L2629" s="21" t="str">
        <f aca="false">INDEX(Companies!$C$2:$C$31,MATCH(C2629,Companies!$A$2:$A$31,0))</f>
        <v>Product</v>
      </c>
      <c r="M2629" s="21" t="str">
        <f aca="false">INDEX(Companies!$D$2:$D$31,MATCH(C2629,Companies!$A$2:$A$31,0))</f>
        <v>Tier 2</v>
      </c>
      <c r="N2629" s="34" t="n">
        <f aca="false">MATCH(F2629,Assumptions!$K$4:$K$8,0)</f>
        <v>3</v>
      </c>
      <c r="O2629" s="21" t="str">
        <f aca="false">IF(H2629="Yes",MONTH(I2629),"")</f>
        <v/>
      </c>
      <c r="P2629" s="21" t="str">
        <f aca="false">IF(H2629="Yes",B2629,"")</f>
        <v/>
      </c>
    </row>
    <row r="2630" customFormat="false" ht="15" hidden="false" customHeight="false" outlineLevel="0" collapsed="false">
      <c r="A2630" s="21" t="s">
        <v>3845</v>
      </c>
      <c r="B2630" s="21" t="s">
        <v>907</v>
      </c>
      <c r="C2630" s="21" t="s">
        <v>1214</v>
      </c>
      <c r="D2630" s="21" t="s">
        <v>1243</v>
      </c>
      <c r="E2630" s="33" t="n">
        <v>45984</v>
      </c>
      <c r="F2630" s="21" t="s">
        <v>1175</v>
      </c>
      <c r="G2630" s="32"/>
      <c r="H2630" s="21"/>
      <c r="I2630" s="33"/>
      <c r="J2630" s="21" t="str">
        <f aca="false">INDEX(Students!$C$2:$C$601,MATCH(B2630,Students!$A$2:$A$601,0))</f>
        <v>Batch 2026</v>
      </c>
      <c r="K2630" s="21" t="str">
        <f aca="false">INDEX(Students!$D$2:$D$601,MATCH(B2630,Students!$A$2:$A$601,0))</f>
        <v>Data Science &amp; ML</v>
      </c>
      <c r="L2630" s="21" t="str">
        <f aca="false">INDEX(Companies!$C$2:$C$31,MATCH(C2630,Companies!$A$2:$A$31,0))</f>
        <v>Product</v>
      </c>
      <c r="M2630" s="21" t="str">
        <f aca="false">INDEX(Companies!$D$2:$D$31,MATCH(C2630,Companies!$A$2:$A$31,0))</f>
        <v>Tier 1</v>
      </c>
      <c r="N2630" s="34" t="n">
        <f aca="false">MATCH(F2630,Assumptions!$K$4:$K$8,0)</f>
        <v>1</v>
      </c>
      <c r="O2630" s="21" t="str">
        <f aca="false">IF(H2630="Yes",MONTH(I2630),"")</f>
        <v/>
      </c>
      <c r="P2630" s="21" t="str">
        <f aca="false">IF(H2630="Yes",B2630,"")</f>
        <v/>
      </c>
    </row>
    <row r="2631" customFormat="false" ht="15" hidden="false" customHeight="false" outlineLevel="0" collapsed="false">
      <c r="A2631" s="21" t="s">
        <v>3846</v>
      </c>
      <c r="B2631" s="21" t="s">
        <v>1035</v>
      </c>
      <c r="C2631" s="21" t="s">
        <v>1263</v>
      </c>
      <c r="D2631" s="21" t="s">
        <v>1181</v>
      </c>
      <c r="E2631" s="33" t="n">
        <v>45985</v>
      </c>
      <c r="F2631" s="21" t="s">
        <v>1175</v>
      </c>
      <c r="G2631" s="32"/>
      <c r="H2631" s="21"/>
      <c r="I2631" s="33"/>
      <c r="J2631" s="21" t="str">
        <f aca="false">INDEX(Students!$C$2:$C$601,MATCH(B2631,Students!$A$2:$A$601,0))</f>
        <v>Batch 2026</v>
      </c>
      <c r="K2631" s="21" t="str">
        <f aca="false">INDEX(Students!$D$2:$D$601,MATCH(B2631,Students!$A$2:$A$601,0))</f>
        <v>Full Stack Development</v>
      </c>
      <c r="L2631" s="21" t="str">
        <f aca="false">INDEX(Companies!$C$2:$C$31,MATCH(C2631,Companies!$A$2:$A$31,0))</f>
        <v>Analytics &amp; Consulting</v>
      </c>
      <c r="M2631" s="21" t="str">
        <f aca="false">INDEX(Companies!$D$2:$D$31,MATCH(C2631,Companies!$A$2:$A$31,0))</f>
        <v>Tier 2</v>
      </c>
      <c r="N2631" s="34" t="n">
        <f aca="false">MATCH(F2631,Assumptions!$K$4:$K$8,0)</f>
        <v>1</v>
      </c>
      <c r="O2631" s="21" t="str">
        <f aca="false">IF(H2631="Yes",MONTH(I2631),"")</f>
        <v/>
      </c>
      <c r="P2631" s="21" t="str">
        <f aca="false">IF(H2631="Yes",B2631,"")</f>
        <v/>
      </c>
    </row>
    <row r="2632" customFormat="false" ht="15" hidden="false" customHeight="false" outlineLevel="0" collapsed="false">
      <c r="A2632" s="21" t="s">
        <v>3847</v>
      </c>
      <c r="B2632" s="21" t="s">
        <v>961</v>
      </c>
      <c r="C2632" s="21" t="s">
        <v>1222</v>
      </c>
      <c r="D2632" s="21" t="s">
        <v>1188</v>
      </c>
      <c r="E2632" s="33" t="n">
        <v>45985</v>
      </c>
      <c r="F2632" s="21" t="s">
        <v>1175</v>
      </c>
      <c r="G2632" s="32"/>
      <c r="H2632" s="21"/>
      <c r="I2632" s="33"/>
      <c r="J2632" s="21" t="str">
        <f aca="false">INDEX(Students!$C$2:$C$601,MATCH(B2632,Students!$A$2:$A$601,0))</f>
        <v>Batch 2026</v>
      </c>
      <c r="K2632" s="21" t="str">
        <f aca="false">INDEX(Students!$D$2:$D$601,MATCH(B2632,Students!$A$2:$A$601,0))</f>
        <v>Data Analytics</v>
      </c>
      <c r="L2632" s="21" t="str">
        <f aca="false">INDEX(Companies!$C$2:$C$31,MATCH(C2632,Companies!$A$2:$A$31,0))</f>
        <v>Product</v>
      </c>
      <c r="M2632" s="21" t="str">
        <f aca="false">INDEX(Companies!$D$2:$D$31,MATCH(C2632,Companies!$A$2:$A$31,0))</f>
        <v>Tier 2</v>
      </c>
      <c r="N2632" s="34" t="n">
        <f aca="false">MATCH(F2632,Assumptions!$K$4:$K$8,0)</f>
        <v>1</v>
      </c>
      <c r="O2632" s="21" t="str">
        <f aca="false">IF(H2632="Yes",MONTH(I2632),"")</f>
        <v/>
      </c>
      <c r="P2632" s="21" t="str">
        <f aca="false">IF(H2632="Yes",B2632,"")</f>
        <v/>
      </c>
    </row>
    <row r="2633" customFormat="false" ht="15" hidden="false" customHeight="false" outlineLevel="0" collapsed="false">
      <c r="A2633" s="21" t="s">
        <v>3848</v>
      </c>
      <c r="B2633" s="21" t="s">
        <v>1069</v>
      </c>
      <c r="C2633" s="21" t="s">
        <v>1222</v>
      </c>
      <c r="D2633" s="21" t="s">
        <v>1243</v>
      </c>
      <c r="E2633" s="33" t="n">
        <v>45985</v>
      </c>
      <c r="F2633" s="21" t="s">
        <v>1185</v>
      </c>
      <c r="G2633" s="32" t="n">
        <v>13.2</v>
      </c>
      <c r="H2633" s="21" t="s">
        <v>120</v>
      </c>
      <c r="I2633" s="33" t="n">
        <v>46032</v>
      </c>
      <c r="J2633" s="21" t="str">
        <f aca="false">INDEX(Students!$C$2:$C$601,MATCH(B2633,Students!$A$2:$A$601,0))</f>
        <v>Batch 2026</v>
      </c>
      <c r="K2633" s="21" t="str">
        <f aca="false">INDEX(Students!$D$2:$D$601,MATCH(B2633,Students!$A$2:$A$601,0))</f>
        <v>Data Science &amp; ML</v>
      </c>
      <c r="L2633" s="21" t="str">
        <f aca="false">INDEX(Companies!$C$2:$C$31,MATCH(C2633,Companies!$A$2:$A$31,0))</f>
        <v>Product</v>
      </c>
      <c r="M2633" s="21" t="str">
        <f aca="false">INDEX(Companies!$D$2:$D$31,MATCH(C2633,Companies!$A$2:$A$31,0))</f>
        <v>Tier 2</v>
      </c>
      <c r="N2633" s="34" t="n">
        <f aca="false">MATCH(F2633,Assumptions!$K$4:$K$8,0)</f>
        <v>5</v>
      </c>
      <c r="O2633" s="21" t="n">
        <f aca="false">IF(H2633="Yes",MONTH(I2633),"")</f>
        <v>1</v>
      </c>
      <c r="P2633" s="21" t="str">
        <f aca="false">IF(H2633="Yes",B2633,"")</f>
        <v>S0542</v>
      </c>
    </row>
    <row r="2634" customFormat="false" ht="15" hidden="false" customHeight="false" outlineLevel="0" collapsed="false">
      <c r="A2634" s="21" t="s">
        <v>3849</v>
      </c>
      <c r="B2634" s="21" t="s">
        <v>1152</v>
      </c>
      <c r="C2634" s="21" t="s">
        <v>1290</v>
      </c>
      <c r="D2634" s="21" t="s">
        <v>1184</v>
      </c>
      <c r="E2634" s="33" t="n">
        <v>45985</v>
      </c>
      <c r="F2634" s="21" t="s">
        <v>1185</v>
      </c>
      <c r="G2634" s="32" t="n">
        <v>15.6</v>
      </c>
      <c r="H2634" s="21" t="s">
        <v>120</v>
      </c>
      <c r="I2634" s="33" t="n">
        <v>46034</v>
      </c>
      <c r="J2634" s="21" t="str">
        <f aca="false">INDEX(Students!$C$2:$C$601,MATCH(B2634,Students!$A$2:$A$601,0))</f>
        <v>Batch 2026</v>
      </c>
      <c r="K2634" s="21" t="str">
        <f aca="false">INDEX(Students!$D$2:$D$601,MATCH(B2634,Students!$A$2:$A$601,0))</f>
        <v>DSA with Java</v>
      </c>
      <c r="L2634" s="21" t="str">
        <f aca="false">INDEX(Companies!$C$2:$C$31,MATCH(C2634,Companies!$A$2:$A$31,0))</f>
        <v>Fintech</v>
      </c>
      <c r="M2634" s="21" t="str">
        <f aca="false">INDEX(Companies!$D$2:$D$31,MATCH(C2634,Companies!$A$2:$A$31,0))</f>
        <v>Tier 2</v>
      </c>
      <c r="N2634" s="34" t="n">
        <f aca="false">MATCH(F2634,Assumptions!$K$4:$K$8,0)</f>
        <v>5</v>
      </c>
      <c r="O2634" s="21" t="n">
        <f aca="false">IF(H2634="Yes",MONTH(I2634),"")</f>
        <v>1</v>
      </c>
      <c r="P2634" s="21" t="str">
        <f aca="false">IF(H2634="Yes",B2634,"")</f>
        <v>S0595</v>
      </c>
    </row>
    <row r="2635" customFormat="false" ht="15" hidden="false" customHeight="false" outlineLevel="0" collapsed="false">
      <c r="A2635" s="21" t="s">
        <v>3850</v>
      </c>
      <c r="B2635" s="21" t="s">
        <v>947</v>
      </c>
      <c r="C2635" s="21" t="s">
        <v>1214</v>
      </c>
      <c r="D2635" s="21" t="s">
        <v>1191</v>
      </c>
      <c r="E2635" s="33" t="n">
        <v>45985</v>
      </c>
      <c r="F2635" s="21" t="s">
        <v>1175</v>
      </c>
      <c r="G2635" s="32"/>
      <c r="H2635" s="21"/>
      <c r="I2635" s="33"/>
      <c r="J2635" s="21" t="str">
        <f aca="false">INDEX(Students!$C$2:$C$601,MATCH(B2635,Students!$A$2:$A$601,0))</f>
        <v>Batch 2026</v>
      </c>
      <c r="K2635" s="21" t="str">
        <f aca="false">INDEX(Students!$D$2:$D$601,MATCH(B2635,Students!$A$2:$A$601,0))</f>
        <v>DSA with Java</v>
      </c>
      <c r="L2635" s="21" t="str">
        <f aca="false">INDEX(Companies!$C$2:$C$31,MATCH(C2635,Companies!$A$2:$A$31,0))</f>
        <v>Product</v>
      </c>
      <c r="M2635" s="21" t="str">
        <f aca="false">INDEX(Companies!$D$2:$D$31,MATCH(C2635,Companies!$A$2:$A$31,0))</f>
        <v>Tier 1</v>
      </c>
      <c r="N2635" s="34" t="n">
        <f aca="false">MATCH(F2635,Assumptions!$K$4:$K$8,0)</f>
        <v>1</v>
      </c>
      <c r="O2635" s="21" t="str">
        <f aca="false">IF(H2635="Yes",MONTH(I2635),"")</f>
        <v/>
      </c>
      <c r="P2635" s="21" t="str">
        <f aca="false">IF(H2635="Yes",B2635,"")</f>
        <v/>
      </c>
    </row>
    <row r="2636" customFormat="false" ht="15" hidden="false" customHeight="false" outlineLevel="0" collapsed="false">
      <c r="A2636" s="21" t="s">
        <v>3851</v>
      </c>
      <c r="B2636" s="21" t="s">
        <v>1129</v>
      </c>
      <c r="C2636" s="21" t="s">
        <v>1275</v>
      </c>
      <c r="D2636" s="21" t="s">
        <v>1184</v>
      </c>
      <c r="E2636" s="33" t="n">
        <v>45985</v>
      </c>
      <c r="F2636" s="21" t="s">
        <v>1197</v>
      </c>
      <c r="G2636" s="32"/>
      <c r="H2636" s="21"/>
      <c r="I2636" s="33"/>
      <c r="J2636" s="21" t="str">
        <f aca="false">INDEX(Students!$C$2:$C$601,MATCH(B2636,Students!$A$2:$A$601,0))</f>
        <v>Batch 2026</v>
      </c>
      <c r="K2636" s="21" t="str">
        <f aca="false">INDEX(Students!$D$2:$D$601,MATCH(B2636,Students!$A$2:$A$601,0))</f>
        <v>DSA with Java</v>
      </c>
      <c r="L2636" s="21" t="str">
        <f aca="false">INDEX(Companies!$C$2:$C$31,MATCH(C2636,Companies!$A$2:$A$31,0))</f>
        <v>Cybersecurity</v>
      </c>
      <c r="M2636" s="21" t="str">
        <f aca="false">INDEX(Companies!$D$2:$D$31,MATCH(C2636,Companies!$A$2:$A$31,0))</f>
        <v>Tier 2</v>
      </c>
      <c r="N2636" s="34" t="n">
        <f aca="false">MATCH(F2636,Assumptions!$K$4:$K$8,0)</f>
        <v>3</v>
      </c>
      <c r="O2636" s="21" t="str">
        <f aca="false">IF(H2636="Yes",MONTH(I2636),"")</f>
        <v/>
      </c>
      <c r="P2636" s="21" t="str">
        <f aca="false">IF(H2636="Yes",B2636,"")</f>
        <v/>
      </c>
    </row>
    <row r="2637" customFormat="false" ht="15" hidden="false" customHeight="false" outlineLevel="0" collapsed="false">
      <c r="A2637" s="21" t="s">
        <v>3852</v>
      </c>
      <c r="B2637" s="21" t="s">
        <v>1100</v>
      </c>
      <c r="C2637" s="21" t="s">
        <v>1203</v>
      </c>
      <c r="D2637" s="21" t="s">
        <v>1174</v>
      </c>
      <c r="E2637" s="33" t="n">
        <v>45985</v>
      </c>
      <c r="F2637" s="21" t="s">
        <v>1175</v>
      </c>
      <c r="G2637" s="32"/>
      <c r="H2637" s="21"/>
      <c r="I2637" s="33"/>
      <c r="J2637" s="21" t="str">
        <f aca="false">INDEX(Students!$C$2:$C$601,MATCH(B2637,Students!$A$2:$A$601,0))</f>
        <v>Batch 2026</v>
      </c>
      <c r="K2637" s="21" t="str">
        <f aca="false">INDEX(Students!$D$2:$D$601,MATCH(B2637,Students!$A$2:$A$601,0))</f>
        <v>Full Stack Development</v>
      </c>
      <c r="L2637" s="21" t="str">
        <f aca="false">INDEX(Companies!$C$2:$C$31,MATCH(C2637,Companies!$A$2:$A$31,0))</f>
        <v>Healthtech</v>
      </c>
      <c r="M2637" s="21" t="str">
        <f aca="false">INDEX(Companies!$D$2:$D$31,MATCH(C2637,Companies!$A$2:$A$31,0))</f>
        <v>Tier 2</v>
      </c>
      <c r="N2637" s="34" t="n">
        <f aca="false">MATCH(F2637,Assumptions!$K$4:$K$8,0)</f>
        <v>1</v>
      </c>
      <c r="O2637" s="21" t="str">
        <f aca="false">IF(H2637="Yes",MONTH(I2637),"")</f>
        <v/>
      </c>
      <c r="P2637" s="21" t="str">
        <f aca="false">IF(H2637="Yes",B2637,"")</f>
        <v/>
      </c>
    </row>
    <row r="2638" customFormat="false" ht="15" hidden="false" customHeight="false" outlineLevel="0" collapsed="false">
      <c r="A2638" s="21" t="s">
        <v>3853</v>
      </c>
      <c r="B2638" s="21" t="s">
        <v>819</v>
      </c>
      <c r="C2638" s="21" t="s">
        <v>1203</v>
      </c>
      <c r="D2638" s="21" t="s">
        <v>1191</v>
      </c>
      <c r="E2638" s="33" t="n">
        <v>45985</v>
      </c>
      <c r="F2638" s="21" t="s">
        <v>1185</v>
      </c>
      <c r="G2638" s="32" t="n">
        <v>13.6</v>
      </c>
      <c r="H2638" s="21" t="s">
        <v>120</v>
      </c>
      <c r="I2638" s="33" t="n">
        <v>46030</v>
      </c>
      <c r="J2638" s="21" t="str">
        <f aca="false">INDEX(Students!$C$2:$C$601,MATCH(B2638,Students!$A$2:$A$601,0))</f>
        <v>Batch 2026</v>
      </c>
      <c r="K2638" s="21" t="str">
        <f aca="false">INDEX(Students!$D$2:$D$601,MATCH(B2638,Students!$A$2:$A$601,0))</f>
        <v>DSA with Java</v>
      </c>
      <c r="L2638" s="21" t="str">
        <f aca="false">INDEX(Companies!$C$2:$C$31,MATCH(C2638,Companies!$A$2:$A$31,0))</f>
        <v>Healthtech</v>
      </c>
      <c r="M2638" s="21" t="str">
        <f aca="false">INDEX(Companies!$D$2:$D$31,MATCH(C2638,Companies!$A$2:$A$31,0))</f>
        <v>Tier 2</v>
      </c>
      <c r="N2638" s="34" t="n">
        <f aca="false">MATCH(F2638,Assumptions!$K$4:$K$8,0)</f>
        <v>5</v>
      </c>
      <c r="O2638" s="21" t="n">
        <f aca="false">IF(H2638="Yes",MONTH(I2638),"")</f>
        <v>1</v>
      </c>
      <c r="P2638" s="21" t="str">
        <f aca="false">IF(H2638="Yes",B2638,"")</f>
        <v>S0388</v>
      </c>
    </row>
    <row r="2639" customFormat="false" ht="15" hidden="false" customHeight="false" outlineLevel="0" collapsed="false">
      <c r="A2639" s="21" t="s">
        <v>3854</v>
      </c>
      <c r="B2639" s="21" t="s">
        <v>1139</v>
      </c>
      <c r="C2639" s="21" t="s">
        <v>1180</v>
      </c>
      <c r="D2639" s="21" t="s">
        <v>1226</v>
      </c>
      <c r="E2639" s="33" t="n">
        <v>45985</v>
      </c>
      <c r="F2639" s="21" t="s">
        <v>1175</v>
      </c>
      <c r="G2639" s="32"/>
      <c r="H2639" s="21"/>
      <c r="I2639" s="33"/>
      <c r="J2639" s="21" t="str">
        <f aca="false">INDEX(Students!$C$2:$C$601,MATCH(B2639,Students!$A$2:$A$601,0))</f>
        <v>Batch 2026</v>
      </c>
      <c r="K2639" s="21" t="str">
        <f aca="false">INDEX(Students!$D$2:$D$601,MATCH(B2639,Students!$A$2:$A$601,0))</f>
        <v>Cybersecurity</v>
      </c>
      <c r="L2639" s="21" t="str">
        <f aca="false">INDEX(Companies!$C$2:$C$31,MATCH(C2639,Companies!$A$2:$A$31,0))</f>
        <v>IT Services</v>
      </c>
      <c r="M2639" s="21" t="str">
        <f aca="false">INDEX(Companies!$D$2:$D$31,MATCH(C2639,Companies!$A$2:$A$31,0))</f>
        <v>Tier 3</v>
      </c>
      <c r="N2639" s="34" t="n">
        <f aca="false">MATCH(F2639,Assumptions!$K$4:$K$8,0)</f>
        <v>1</v>
      </c>
      <c r="O2639" s="21" t="str">
        <f aca="false">IF(H2639="Yes",MONTH(I2639),"")</f>
        <v/>
      </c>
      <c r="P2639" s="21" t="str">
        <f aca="false">IF(H2639="Yes",B2639,"")</f>
        <v/>
      </c>
    </row>
    <row r="2640" customFormat="false" ht="15" hidden="false" customHeight="false" outlineLevel="0" collapsed="false">
      <c r="A2640" s="21" t="s">
        <v>3855</v>
      </c>
      <c r="B2640" s="21" t="s">
        <v>925</v>
      </c>
      <c r="C2640" s="21" t="s">
        <v>1177</v>
      </c>
      <c r="D2640" s="21" t="s">
        <v>1174</v>
      </c>
      <c r="E2640" s="33" t="n">
        <v>45986</v>
      </c>
      <c r="F2640" s="21" t="s">
        <v>1175</v>
      </c>
      <c r="G2640" s="32"/>
      <c r="H2640" s="21"/>
      <c r="I2640" s="33"/>
      <c r="J2640" s="21" t="str">
        <f aca="false">INDEX(Students!$C$2:$C$601,MATCH(B2640,Students!$A$2:$A$601,0))</f>
        <v>Batch 2026</v>
      </c>
      <c r="K2640" s="21" t="str">
        <f aca="false">INDEX(Students!$D$2:$D$601,MATCH(B2640,Students!$A$2:$A$601,0))</f>
        <v>Full Stack Development</v>
      </c>
      <c r="L2640" s="21" t="str">
        <f aca="false">INDEX(Companies!$C$2:$C$31,MATCH(C2640,Companies!$A$2:$A$31,0))</f>
        <v>IT Services</v>
      </c>
      <c r="M2640" s="21" t="str">
        <f aca="false">INDEX(Companies!$D$2:$D$31,MATCH(C2640,Companies!$A$2:$A$31,0))</f>
        <v>Tier 3</v>
      </c>
      <c r="N2640" s="34" t="n">
        <f aca="false">MATCH(F2640,Assumptions!$K$4:$K$8,0)</f>
        <v>1</v>
      </c>
      <c r="O2640" s="21" t="str">
        <f aca="false">IF(H2640="Yes",MONTH(I2640),"")</f>
        <v/>
      </c>
      <c r="P2640" s="21" t="str">
        <f aca="false">IF(H2640="Yes",B2640,"")</f>
        <v/>
      </c>
    </row>
    <row r="2641" customFormat="false" ht="15" hidden="false" customHeight="false" outlineLevel="0" collapsed="false">
      <c r="A2641" s="21" t="s">
        <v>3856</v>
      </c>
      <c r="B2641" s="21" t="s">
        <v>1148</v>
      </c>
      <c r="C2641" s="21" t="s">
        <v>1228</v>
      </c>
      <c r="D2641" s="21" t="s">
        <v>1194</v>
      </c>
      <c r="E2641" s="33" t="n">
        <v>45986</v>
      </c>
      <c r="F2641" s="21" t="s">
        <v>1185</v>
      </c>
      <c r="G2641" s="32" t="n">
        <v>25.9</v>
      </c>
      <c r="H2641" s="21" t="s">
        <v>120</v>
      </c>
      <c r="I2641" s="33" t="n">
        <v>46033</v>
      </c>
      <c r="J2641" s="21" t="str">
        <f aca="false">INDEX(Students!$C$2:$C$601,MATCH(B2641,Students!$A$2:$A$601,0))</f>
        <v>Batch 2026</v>
      </c>
      <c r="K2641" s="21" t="str">
        <f aca="false">INDEX(Students!$D$2:$D$601,MATCH(B2641,Students!$A$2:$A$601,0))</f>
        <v>Data Science &amp; ML</v>
      </c>
      <c r="L2641" s="21" t="str">
        <f aca="false">INDEX(Companies!$C$2:$C$31,MATCH(C2641,Companies!$A$2:$A$31,0))</f>
        <v>Fintech</v>
      </c>
      <c r="M2641" s="21" t="str">
        <f aca="false">INDEX(Companies!$D$2:$D$31,MATCH(C2641,Companies!$A$2:$A$31,0))</f>
        <v>Tier 1</v>
      </c>
      <c r="N2641" s="34" t="n">
        <f aca="false">MATCH(F2641,Assumptions!$K$4:$K$8,0)</f>
        <v>5</v>
      </c>
      <c r="O2641" s="21" t="n">
        <f aca="false">IF(H2641="Yes",MONTH(I2641),"")</f>
        <v>1</v>
      </c>
      <c r="P2641" s="21" t="str">
        <f aca="false">IF(H2641="Yes",B2641,"")</f>
        <v>S0593</v>
      </c>
    </row>
    <row r="2642" customFormat="false" ht="15" hidden="false" customHeight="false" outlineLevel="0" collapsed="false">
      <c r="A2642" s="21" t="s">
        <v>3857</v>
      </c>
      <c r="B2642" s="21" t="s">
        <v>977</v>
      </c>
      <c r="C2642" s="21" t="s">
        <v>1180</v>
      </c>
      <c r="D2642" s="21" t="s">
        <v>1181</v>
      </c>
      <c r="E2642" s="33" t="n">
        <v>45986</v>
      </c>
      <c r="F2642" s="21" t="s">
        <v>1185</v>
      </c>
      <c r="G2642" s="32" t="n">
        <v>5.7</v>
      </c>
      <c r="H2642" s="21" t="s">
        <v>113</v>
      </c>
      <c r="I2642" s="33" t="n">
        <v>46033</v>
      </c>
      <c r="J2642" s="21" t="str">
        <f aca="false">INDEX(Students!$C$2:$C$601,MATCH(B2642,Students!$A$2:$A$601,0))</f>
        <v>Batch 2026</v>
      </c>
      <c r="K2642" s="21" t="str">
        <f aca="false">INDEX(Students!$D$2:$D$601,MATCH(B2642,Students!$A$2:$A$601,0))</f>
        <v>Full Stack Development</v>
      </c>
      <c r="L2642" s="21" t="str">
        <f aca="false">INDEX(Companies!$C$2:$C$31,MATCH(C2642,Companies!$A$2:$A$31,0))</f>
        <v>IT Services</v>
      </c>
      <c r="M2642" s="21" t="str">
        <f aca="false">INDEX(Companies!$D$2:$D$31,MATCH(C2642,Companies!$A$2:$A$31,0))</f>
        <v>Tier 3</v>
      </c>
      <c r="N2642" s="34" t="n">
        <f aca="false">MATCH(F2642,Assumptions!$K$4:$K$8,0)</f>
        <v>5</v>
      </c>
      <c r="O2642" s="21" t="str">
        <f aca="false">IF(H2642="Yes",MONTH(I2642),"")</f>
        <v/>
      </c>
      <c r="P2642" s="21" t="str">
        <f aca="false">IF(H2642="Yes",B2642,"")</f>
        <v/>
      </c>
    </row>
    <row r="2643" customFormat="false" ht="15" hidden="false" customHeight="false" outlineLevel="0" collapsed="false">
      <c r="A2643" s="21" t="s">
        <v>3858</v>
      </c>
      <c r="B2643" s="21" t="s">
        <v>928</v>
      </c>
      <c r="C2643" s="21" t="s">
        <v>1230</v>
      </c>
      <c r="D2643" s="21" t="s">
        <v>1174</v>
      </c>
      <c r="E2643" s="33" t="n">
        <v>45986</v>
      </c>
      <c r="F2643" s="21" t="s">
        <v>1185</v>
      </c>
      <c r="G2643" s="32" t="n">
        <v>6</v>
      </c>
      <c r="H2643" s="21" t="s">
        <v>113</v>
      </c>
      <c r="I2643" s="33" t="n">
        <v>46006</v>
      </c>
      <c r="J2643" s="21" t="str">
        <f aca="false">INDEX(Students!$C$2:$C$601,MATCH(B2643,Students!$A$2:$A$601,0))</f>
        <v>Batch 2026</v>
      </c>
      <c r="K2643" s="21" t="str">
        <f aca="false">INDEX(Students!$D$2:$D$601,MATCH(B2643,Students!$A$2:$A$601,0))</f>
        <v>Full Stack Development</v>
      </c>
      <c r="L2643" s="21" t="str">
        <f aca="false">INDEX(Companies!$C$2:$C$31,MATCH(C2643,Companies!$A$2:$A$31,0))</f>
        <v>IT Services</v>
      </c>
      <c r="M2643" s="21" t="str">
        <f aca="false">INDEX(Companies!$D$2:$D$31,MATCH(C2643,Companies!$A$2:$A$31,0))</f>
        <v>Tier 3</v>
      </c>
      <c r="N2643" s="34" t="n">
        <f aca="false">MATCH(F2643,Assumptions!$K$4:$K$8,0)</f>
        <v>5</v>
      </c>
      <c r="O2643" s="21" t="str">
        <f aca="false">IF(H2643="Yes",MONTH(I2643),"")</f>
        <v/>
      </c>
      <c r="P2643" s="21" t="str">
        <f aca="false">IF(H2643="Yes",B2643,"")</f>
        <v/>
      </c>
    </row>
    <row r="2644" customFormat="false" ht="15" hidden="false" customHeight="false" outlineLevel="0" collapsed="false">
      <c r="A2644" s="21" t="s">
        <v>3859</v>
      </c>
      <c r="B2644" s="21" t="s">
        <v>872</v>
      </c>
      <c r="C2644" s="21" t="s">
        <v>1234</v>
      </c>
      <c r="D2644" s="21" t="s">
        <v>1243</v>
      </c>
      <c r="E2644" s="33" t="n">
        <v>45986</v>
      </c>
      <c r="F2644" s="21" t="s">
        <v>1185</v>
      </c>
      <c r="G2644" s="32" t="n">
        <v>6</v>
      </c>
      <c r="H2644" s="21" t="s">
        <v>113</v>
      </c>
      <c r="I2644" s="33" t="n">
        <v>46040</v>
      </c>
      <c r="J2644" s="21" t="str">
        <f aca="false">INDEX(Students!$C$2:$C$601,MATCH(B2644,Students!$A$2:$A$601,0))</f>
        <v>Batch 2026</v>
      </c>
      <c r="K2644" s="21" t="str">
        <f aca="false">INDEX(Students!$D$2:$D$601,MATCH(B2644,Students!$A$2:$A$601,0))</f>
        <v>Data Science &amp; ML</v>
      </c>
      <c r="L2644" s="21" t="str">
        <f aca="false">INDEX(Companies!$C$2:$C$31,MATCH(C2644,Companies!$A$2:$A$31,0))</f>
        <v>EdTech</v>
      </c>
      <c r="M2644" s="21" t="str">
        <f aca="false">INDEX(Companies!$D$2:$D$31,MATCH(C2644,Companies!$A$2:$A$31,0))</f>
        <v>Tier 3</v>
      </c>
      <c r="N2644" s="34" t="n">
        <f aca="false">MATCH(F2644,Assumptions!$K$4:$K$8,0)</f>
        <v>5</v>
      </c>
      <c r="O2644" s="21" t="str">
        <f aca="false">IF(H2644="Yes",MONTH(I2644),"")</f>
        <v/>
      </c>
      <c r="P2644" s="21" t="str">
        <f aca="false">IF(H2644="Yes",B2644,"")</f>
        <v/>
      </c>
    </row>
    <row r="2645" customFormat="false" ht="15" hidden="false" customHeight="false" outlineLevel="0" collapsed="false">
      <c r="A2645" s="21" t="s">
        <v>3860</v>
      </c>
      <c r="B2645" s="21" t="s">
        <v>815</v>
      </c>
      <c r="C2645" s="21" t="s">
        <v>1203</v>
      </c>
      <c r="D2645" s="21" t="s">
        <v>1240</v>
      </c>
      <c r="E2645" s="33" t="n">
        <v>45986</v>
      </c>
      <c r="F2645" s="21" t="s">
        <v>1175</v>
      </c>
      <c r="G2645" s="32"/>
      <c r="H2645" s="21"/>
      <c r="I2645" s="33"/>
      <c r="J2645" s="21" t="str">
        <f aca="false">INDEX(Students!$C$2:$C$601,MATCH(B2645,Students!$A$2:$A$601,0))</f>
        <v>Batch 2026</v>
      </c>
      <c r="K2645" s="21" t="str">
        <f aca="false">INDEX(Students!$D$2:$D$601,MATCH(B2645,Students!$A$2:$A$601,0))</f>
        <v>Cybersecurity</v>
      </c>
      <c r="L2645" s="21" t="str">
        <f aca="false">INDEX(Companies!$C$2:$C$31,MATCH(C2645,Companies!$A$2:$A$31,0))</f>
        <v>Healthtech</v>
      </c>
      <c r="M2645" s="21" t="str">
        <f aca="false">INDEX(Companies!$D$2:$D$31,MATCH(C2645,Companies!$A$2:$A$31,0))</f>
        <v>Tier 2</v>
      </c>
      <c r="N2645" s="34" t="n">
        <f aca="false">MATCH(F2645,Assumptions!$K$4:$K$8,0)</f>
        <v>1</v>
      </c>
      <c r="O2645" s="21" t="str">
        <f aca="false">IF(H2645="Yes",MONTH(I2645),"")</f>
        <v/>
      </c>
      <c r="P2645" s="21" t="str">
        <f aca="false">IF(H2645="Yes",B2645,"")</f>
        <v/>
      </c>
    </row>
    <row r="2646" customFormat="false" ht="15" hidden="false" customHeight="false" outlineLevel="0" collapsed="false">
      <c r="A2646" s="21" t="s">
        <v>3861</v>
      </c>
      <c r="B2646" s="21" t="s">
        <v>956</v>
      </c>
      <c r="C2646" s="21" t="s">
        <v>1208</v>
      </c>
      <c r="D2646" s="21" t="s">
        <v>1188</v>
      </c>
      <c r="E2646" s="33" t="n">
        <v>45986</v>
      </c>
      <c r="F2646" s="21" t="s">
        <v>1175</v>
      </c>
      <c r="G2646" s="32"/>
      <c r="H2646" s="21"/>
      <c r="I2646" s="33"/>
      <c r="J2646" s="21" t="str">
        <f aca="false">INDEX(Students!$C$2:$C$601,MATCH(B2646,Students!$A$2:$A$601,0))</f>
        <v>Batch 2026</v>
      </c>
      <c r="K2646" s="21" t="str">
        <f aca="false">INDEX(Students!$D$2:$D$601,MATCH(B2646,Students!$A$2:$A$601,0))</f>
        <v>Data Analytics</v>
      </c>
      <c r="L2646" s="21" t="str">
        <f aca="false">INDEX(Companies!$C$2:$C$31,MATCH(C2646,Companies!$A$2:$A$31,0))</f>
        <v>E-commerce</v>
      </c>
      <c r="M2646" s="21" t="str">
        <f aca="false">INDEX(Companies!$D$2:$D$31,MATCH(C2646,Companies!$A$2:$A$31,0))</f>
        <v>Tier 1</v>
      </c>
      <c r="N2646" s="34" t="n">
        <f aca="false">MATCH(F2646,Assumptions!$K$4:$K$8,0)</f>
        <v>1</v>
      </c>
      <c r="O2646" s="21" t="str">
        <f aca="false">IF(H2646="Yes",MONTH(I2646),"")</f>
        <v/>
      </c>
      <c r="P2646" s="21" t="str">
        <f aca="false">IF(H2646="Yes",B2646,"")</f>
        <v/>
      </c>
    </row>
    <row r="2647" customFormat="false" ht="15" hidden="false" customHeight="false" outlineLevel="0" collapsed="false">
      <c r="A2647" s="21" t="s">
        <v>3862</v>
      </c>
      <c r="B2647" s="21" t="s">
        <v>1080</v>
      </c>
      <c r="C2647" s="21" t="s">
        <v>1263</v>
      </c>
      <c r="D2647" s="21" t="s">
        <v>1191</v>
      </c>
      <c r="E2647" s="33" t="n">
        <v>45986</v>
      </c>
      <c r="F2647" s="21" t="s">
        <v>1185</v>
      </c>
      <c r="G2647" s="32" t="n">
        <v>13.8</v>
      </c>
      <c r="H2647" s="21" t="s">
        <v>113</v>
      </c>
      <c r="I2647" s="33" t="n">
        <v>46025</v>
      </c>
      <c r="J2647" s="21" t="str">
        <f aca="false">INDEX(Students!$C$2:$C$601,MATCH(B2647,Students!$A$2:$A$601,0))</f>
        <v>Batch 2026</v>
      </c>
      <c r="K2647" s="21" t="str">
        <f aca="false">INDEX(Students!$D$2:$D$601,MATCH(B2647,Students!$A$2:$A$601,0))</f>
        <v>DSA with Java</v>
      </c>
      <c r="L2647" s="21" t="str">
        <f aca="false">INDEX(Companies!$C$2:$C$31,MATCH(C2647,Companies!$A$2:$A$31,0))</f>
        <v>Analytics &amp; Consulting</v>
      </c>
      <c r="M2647" s="21" t="str">
        <f aca="false">INDEX(Companies!$D$2:$D$31,MATCH(C2647,Companies!$A$2:$A$31,0))</f>
        <v>Tier 2</v>
      </c>
      <c r="N2647" s="34" t="n">
        <f aca="false">MATCH(F2647,Assumptions!$K$4:$K$8,0)</f>
        <v>5</v>
      </c>
      <c r="O2647" s="21" t="str">
        <f aca="false">IF(H2647="Yes",MONTH(I2647),"")</f>
        <v/>
      </c>
      <c r="P2647" s="21" t="str">
        <f aca="false">IF(H2647="Yes",B2647,"")</f>
        <v/>
      </c>
    </row>
    <row r="2648" customFormat="false" ht="15" hidden="false" customHeight="false" outlineLevel="0" collapsed="false">
      <c r="A2648" s="21" t="s">
        <v>3863</v>
      </c>
      <c r="B2648" s="21" t="s">
        <v>981</v>
      </c>
      <c r="C2648" s="21" t="s">
        <v>1225</v>
      </c>
      <c r="D2648" s="21" t="s">
        <v>1181</v>
      </c>
      <c r="E2648" s="33" t="n">
        <v>45987</v>
      </c>
      <c r="F2648" s="21" t="s">
        <v>1218</v>
      </c>
      <c r="G2648" s="32"/>
      <c r="H2648" s="21"/>
      <c r="I2648" s="33"/>
      <c r="J2648" s="21" t="str">
        <f aca="false">INDEX(Students!$C$2:$C$601,MATCH(B2648,Students!$A$2:$A$601,0))</f>
        <v>Batch 2026</v>
      </c>
      <c r="K2648" s="21" t="str">
        <f aca="false">INDEX(Students!$D$2:$D$601,MATCH(B2648,Students!$A$2:$A$601,0))</f>
        <v>Full Stack Development</v>
      </c>
      <c r="L2648" s="21" t="str">
        <f aca="false">INDEX(Companies!$C$2:$C$31,MATCH(C2648,Companies!$A$2:$A$31,0))</f>
        <v>EdTech</v>
      </c>
      <c r="M2648" s="21" t="str">
        <f aca="false">INDEX(Companies!$D$2:$D$31,MATCH(C2648,Companies!$A$2:$A$31,0))</f>
        <v>Tier 2</v>
      </c>
      <c r="N2648" s="34" t="n">
        <f aca="false">MATCH(F2648,Assumptions!$K$4:$K$8,0)</f>
        <v>4</v>
      </c>
      <c r="O2648" s="21" t="str">
        <f aca="false">IF(H2648="Yes",MONTH(I2648),"")</f>
        <v/>
      </c>
      <c r="P2648" s="21" t="str">
        <f aca="false">IF(H2648="Yes",B2648,"")</f>
        <v/>
      </c>
    </row>
    <row r="2649" customFormat="false" ht="15" hidden="false" customHeight="false" outlineLevel="0" collapsed="false">
      <c r="A2649" s="21" t="s">
        <v>3864</v>
      </c>
      <c r="B2649" s="21" t="s">
        <v>936</v>
      </c>
      <c r="C2649" s="21" t="s">
        <v>1290</v>
      </c>
      <c r="D2649" s="21" t="s">
        <v>1181</v>
      </c>
      <c r="E2649" s="33" t="n">
        <v>45987</v>
      </c>
      <c r="F2649" s="21" t="s">
        <v>1178</v>
      </c>
      <c r="G2649" s="32"/>
      <c r="H2649" s="21"/>
      <c r="I2649" s="33"/>
      <c r="J2649" s="21" t="str">
        <f aca="false">INDEX(Students!$C$2:$C$601,MATCH(B2649,Students!$A$2:$A$601,0))</f>
        <v>Batch 2026</v>
      </c>
      <c r="K2649" s="21" t="str">
        <f aca="false">INDEX(Students!$D$2:$D$601,MATCH(B2649,Students!$A$2:$A$601,0))</f>
        <v>Full Stack Development</v>
      </c>
      <c r="L2649" s="21" t="str">
        <f aca="false">INDEX(Companies!$C$2:$C$31,MATCH(C2649,Companies!$A$2:$A$31,0))</f>
        <v>Fintech</v>
      </c>
      <c r="M2649" s="21" t="str">
        <f aca="false">INDEX(Companies!$D$2:$D$31,MATCH(C2649,Companies!$A$2:$A$31,0))</f>
        <v>Tier 2</v>
      </c>
      <c r="N2649" s="34" t="n">
        <f aca="false">MATCH(F2649,Assumptions!$K$4:$K$8,0)</f>
        <v>2</v>
      </c>
      <c r="O2649" s="21" t="str">
        <f aca="false">IF(H2649="Yes",MONTH(I2649),"")</f>
        <v/>
      </c>
      <c r="P2649" s="21" t="str">
        <f aca="false">IF(H2649="Yes",B2649,"")</f>
        <v/>
      </c>
    </row>
    <row r="2650" customFormat="false" ht="15" hidden="false" customHeight="false" outlineLevel="0" collapsed="false">
      <c r="A2650" s="21" t="s">
        <v>3865</v>
      </c>
      <c r="B2650" s="21" t="s">
        <v>1008</v>
      </c>
      <c r="C2650" s="21" t="s">
        <v>1216</v>
      </c>
      <c r="D2650" s="21" t="s">
        <v>1191</v>
      </c>
      <c r="E2650" s="33" t="n">
        <v>45987</v>
      </c>
      <c r="F2650" s="21" t="s">
        <v>1185</v>
      </c>
      <c r="G2650" s="32" t="n">
        <v>4.5</v>
      </c>
      <c r="H2650" s="21" t="s">
        <v>113</v>
      </c>
      <c r="I2650" s="33" t="n">
        <v>46021</v>
      </c>
      <c r="J2650" s="21" t="str">
        <f aca="false">INDEX(Students!$C$2:$C$601,MATCH(B2650,Students!$A$2:$A$601,0))</f>
        <v>Batch 2026</v>
      </c>
      <c r="K2650" s="21" t="str">
        <f aca="false">INDEX(Students!$D$2:$D$601,MATCH(B2650,Students!$A$2:$A$601,0))</f>
        <v>DSA with Java</v>
      </c>
      <c r="L2650" s="21" t="str">
        <f aca="false">INDEX(Companies!$C$2:$C$31,MATCH(C2650,Companies!$A$2:$A$31,0))</f>
        <v>IT Services</v>
      </c>
      <c r="M2650" s="21" t="str">
        <f aca="false">INDEX(Companies!$D$2:$D$31,MATCH(C2650,Companies!$A$2:$A$31,0))</f>
        <v>Tier 3</v>
      </c>
      <c r="N2650" s="34" t="n">
        <f aca="false">MATCH(F2650,Assumptions!$K$4:$K$8,0)</f>
        <v>5</v>
      </c>
      <c r="O2650" s="21" t="str">
        <f aca="false">IF(H2650="Yes",MONTH(I2650),"")</f>
        <v/>
      </c>
      <c r="P2650" s="21" t="str">
        <f aca="false">IF(H2650="Yes",B2650,"")</f>
        <v/>
      </c>
    </row>
    <row r="2651" customFormat="false" ht="15" hidden="false" customHeight="false" outlineLevel="0" collapsed="false">
      <c r="A2651" s="21" t="s">
        <v>3866</v>
      </c>
      <c r="B2651" s="21" t="s">
        <v>956</v>
      </c>
      <c r="C2651" s="21" t="s">
        <v>1193</v>
      </c>
      <c r="D2651" s="21" t="s">
        <v>1188</v>
      </c>
      <c r="E2651" s="33" t="n">
        <v>45987</v>
      </c>
      <c r="F2651" s="21" t="s">
        <v>1197</v>
      </c>
      <c r="G2651" s="32"/>
      <c r="H2651" s="21"/>
      <c r="I2651" s="33"/>
      <c r="J2651" s="21" t="str">
        <f aca="false">INDEX(Students!$C$2:$C$601,MATCH(B2651,Students!$A$2:$A$601,0))</f>
        <v>Batch 2026</v>
      </c>
      <c r="K2651" s="21" t="str">
        <f aca="false">INDEX(Students!$D$2:$D$601,MATCH(B2651,Students!$A$2:$A$601,0))</f>
        <v>Data Analytics</v>
      </c>
      <c r="L2651" s="21" t="str">
        <f aca="false">INDEX(Companies!$C$2:$C$31,MATCH(C2651,Companies!$A$2:$A$31,0))</f>
        <v>Analytics &amp; Consulting</v>
      </c>
      <c r="M2651" s="21" t="str">
        <f aca="false">INDEX(Companies!$D$2:$D$31,MATCH(C2651,Companies!$A$2:$A$31,0))</f>
        <v>Tier 2</v>
      </c>
      <c r="N2651" s="34" t="n">
        <f aca="false">MATCH(F2651,Assumptions!$K$4:$K$8,0)</f>
        <v>3</v>
      </c>
      <c r="O2651" s="21" t="str">
        <f aca="false">IF(H2651="Yes",MONTH(I2651),"")</f>
        <v/>
      </c>
      <c r="P2651" s="21" t="str">
        <f aca="false">IF(H2651="Yes",B2651,"")</f>
        <v/>
      </c>
    </row>
    <row r="2652" customFormat="false" ht="15" hidden="false" customHeight="false" outlineLevel="0" collapsed="false">
      <c r="A2652" s="21" t="s">
        <v>3867</v>
      </c>
      <c r="B2652" s="21" t="s">
        <v>1154</v>
      </c>
      <c r="C2652" s="21" t="s">
        <v>1228</v>
      </c>
      <c r="D2652" s="21" t="s">
        <v>1188</v>
      </c>
      <c r="E2652" s="33" t="n">
        <v>45987</v>
      </c>
      <c r="F2652" s="21" t="s">
        <v>1185</v>
      </c>
      <c r="G2652" s="32" t="n">
        <v>24.5</v>
      </c>
      <c r="H2652" s="21" t="s">
        <v>120</v>
      </c>
      <c r="I2652" s="33" t="n">
        <v>46041</v>
      </c>
      <c r="J2652" s="21" t="str">
        <f aca="false">INDEX(Students!$C$2:$C$601,MATCH(B2652,Students!$A$2:$A$601,0))</f>
        <v>Batch 2026</v>
      </c>
      <c r="K2652" s="21" t="str">
        <f aca="false">INDEX(Students!$D$2:$D$601,MATCH(B2652,Students!$A$2:$A$601,0))</f>
        <v>Data Analytics</v>
      </c>
      <c r="L2652" s="21" t="str">
        <f aca="false">INDEX(Companies!$C$2:$C$31,MATCH(C2652,Companies!$A$2:$A$31,0))</f>
        <v>Fintech</v>
      </c>
      <c r="M2652" s="21" t="str">
        <f aca="false">INDEX(Companies!$D$2:$D$31,MATCH(C2652,Companies!$A$2:$A$31,0))</f>
        <v>Tier 1</v>
      </c>
      <c r="N2652" s="34" t="n">
        <f aca="false">MATCH(F2652,Assumptions!$K$4:$K$8,0)</f>
        <v>5</v>
      </c>
      <c r="O2652" s="21" t="n">
        <f aca="false">IF(H2652="Yes",MONTH(I2652),"")</f>
        <v>1</v>
      </c>
      <c r="P2652" s="21" t="str">
        <f aca="false">IF(H2652="Yes",B2652,"")</f>
        <v>S0597</v>
      </c>
    </row>
    <row r="2653" customFormat="false" ht="15" hidden="false" customHeight="false" outlineLevel="0" collapsed="false">
      <c r="A2653" s="21" t="s">
        <v>3868</v>
      </c>
      <c r="B2653" s="21" t="s">
        <v>923</v>
      </c>
      <c r="C2653" s="21" t="s">
        <v>1201</v>
      </c>
      <c r="D2653" s="21" t="s">
        <v>1209</v>
      </c>
      <c r="E2653" s="33" t="n">
        <v>45987</v>
      </c>
      <c r="F2653" s="21" t="s">
        <v>1218</v>
      </c>
      <c r="G2653" s="32"/>
      <c r="H2653" s="21"/>
      <c r="I2653" s="33"/>
      <c r="J2653" s="21" t="str">
        <f aca="false">INDEX(Students!$C$2:$C$601,MATCH(B2653,Students!$A$2:$A$601,0))</f>
        <v>Batch 2026</v>
      </c>
      <c r="K2653" s="21" t="str">
        <f aca="false">INDEX(Students!$D$2:$D$601,MATCH(B2653,Students!$A$2:$A$601,0))</f>
        <v>Data Analytics</v>
      </c>
      <c r="L2653" s="21" t="str">
        <f aca="false">INDEX(Companies!$C$2:$C$31,MATCH(C2653,Companies!$A$2:$A$31,0))</f>
        <v>IT Services</v>
      </c>
      <c r="M2653" s="21" t="str">
        <f aca="false">INDEX(Companies!$D$2:$D$31,MATCH(C2653,Companies!$A$2:$A$31,0))</f>
        <v>Tier 3</v>
      </c>
      <c r="N2653" s="34" t="n">
        <f aca="false">MATCH(F2653,Assumptions!$K$4:$K$8,0)</f>
        <v>4</v>
      </c>
      <c r="O2653" s="21" t="str">
        <f aca="false">IF(H2653="Yes",MONTH(I2653),"")</f>
        <v/>
      </c>
      <c r="P2653" s="21" t="str">
        <f aca="false">IF(H2653="Yes",B2653,"")</f>
        <v/>
      </c>
    </row>
    <row r="2654" customFormat="false" ht="15" hidden="false" customHeight="false" outlineLevel="0" collapsed="false">
      <c r="A2654" s="21" t="s">
        <v>3869</v>
      </c>
      <c r="B2654" s="21" t="s">
        <v>872</v>
      </c>
      <c r="C2654" s="21" t="s">
        <v>1239</v>
      </c>
      <c r="D2654" s="21" t="s">
        <v>1243</v>
      </c>
      <c r="E2654" s="33" t="n">
        <v>45987</v>
      </c>
      <c r="F2654" s="21" t="s">
        <v>1175</v>
      </c>
      <c r="G2654" s="32"/>
      <c r="H2654" s="21"/>
      <c r="I2654" s="33"/>
      <c r="J2654" s="21" t="str">
        <f aca="false">INDEX(Students!$C$2:$C$601,MATCH(B2654,Students!$A$2:$A$601,0))</f>
        <v>Batch 2026</v>
      </c>
      <c r="K2654" s="21" t="str">
        <f aca="false">INDEX(Students!$D$2:$D$601,MATCH(B2654,Students!$A$2:$A$601,0))</f>
        <v>Data Science &amp; ML</v>
      </c>
      <c r="L2654" s="21" t="str">
        <f aca="false">INDEX(Companies!$C$2:$C$31,MATCH(C2654,Companies!$A$2:$A$31,0))</f>
        <v>E-commerce</v>
      </c>
      <c r="M2654" s="21" t="str">
        <f aca="false">INDEX(Companies!$D$2:$D$31,MATCH(C2654,Companies!$A$2:$A$31,0))</f>
        <v>Tier 3</v>
      </c>
      <c r="N2654" s="34" t="n">
        <f aca="false">MATCH(F2654,Assumptions!$K$4:$K$8,0)</f>
        <v>1</v>
      </c>
      <c r="O2654" s="21" t="str">
        <f aca="false">IF(H2654="Yes",MONTH(I2654),"")</f>
        <v/>
      </c>
      <c r="P2654" s="21" t="str">
        <f aca="false">IF(H2654="Yes",B2654,"")</f>
        <v/>
      </c>
    </row>
    <row r="2655" customFormat="false" ht="15" hidden="false" customHeight="false" outlineLevel="0" collapsed="false">
      <c r="A2655" s="21" t="s">
        <v>3870</v>
      </c>
      <c r="B2655" s="21" t="s">
        <v>1083</v>
      </c>
      <c r="C2655" s="21" t="s">
        <v>1187</v>
      </c>
      <c r="D2655" s="21" t="s">
        <v>1181</v>
      </c>
      <c r="E2655" s="33" t="n">
        <v>45987</v>
      </c>
      <c r="F2655" s="21" t="s">
        <v>1178</v>
      </c>
      <c r="G2655" s="32"/>
      <c r="H2655" s="21"/>
      <c r="I2655" s="33"/>
      <c r="J2655" s="21" t="str">
        <f aca="false">INDEX(Students!$C$2:$C$601,MATCH(B2655,Students!$A$2:$A$601,0))</f>
        <v>Batch 2026</v>
      </c>
      <c r="K2655" s="21" t="str">
        <f aca="false">INDEX(Students!$D$2:$D$601,MATCH(B2655,Students!$A$2:$A$601,0))</f>
        <v>Full Stack Development</v>
      </c>
      <c r="L2655" s="21" t="str">
        <f aca="false">INDEX(Companies!$C$2:$C$31,MATCH(C2655,Companies!$A$2:$A$31,0))</f>
        <v>Product</v>
      </c>
      <c r="M2655" s="21" t="str">
        <f aca="false">INDEX(Companies!$D$2:$D$31,MATCH(C2655,Companies!$A$2:$A$31,0))</f>
        <v>Tier 1</v>
      </c>
      <c r="N2655" s="34" t="n">
        <f aca="false">MATCH(F2655,Assumptions!$K$4:$K$8,0)</f>
        <v>2</v>
      </c>
      <c r="O2655" s="21" t="str">
        <f aca="false">IF(H2655="Yes",MONTH(I2655),"")</f>
        <v/>
      </c>
      <c r="P2655" s="21" t="str">
        <f aca="false">IF(H2655="Yes",B2655,"")</f>
        <v/>
      </c>
    </row>
    <row r="2656" customFormat="false" ht="15" hidden="false" customHeight="false" outlineLevel="0" collapsed="false">
      <c r="A2656" s="21" t="s">
        <v>3871</v>
      </c>
      <c r="B2656" s="21" t="s">
        <v>1141</v>
      </c>
      <c r="C2656" s="21" t="s">
        <v>1201</v>
      </c>
      <c r="D2656" s="21" t="s">
        <v>1191</v>
      </c>
      <c r="E2656" s="33" t="n">
        <v>45987</v>
      </c>
      <c r="F2656" s="21" t="s">
        <v>1178</v>
      </c>
      <c r="G2656" s="32"/>
      <c r="H2656" s="21"/>
      <c r="I2656" s="33"/>
      <c r="J2656" s="21" t="str">
        <f aca="false">INDEX(Students!$C$2:$C$601,MATCH(B2656,Students!$A$2:$A$601,0))</f>
        <v>Batch 2026</v>
      </c>
      <c r="K2656" s="21" t="str">
        <f aca="false">INDEX(Students!$D$2:$D$601,MATCH(B2656,Students!$A$2:$A$601,0))</f>
        <v>DSA with Java</v>
      </c>
      <c r="L2656" s="21" t="str">
        <f aca="false">INDEX(Companies!$C$2:$C$31,MATCH(C2656,Companies!$A$2:$A$31,0))</f>
        <v>IT Services</v>
      </c>
      <c r="M2656" s="21" t="str">
        <f aca="false">INDEX(Companies!$D$2:$D$31,MATCH(C2656,Companies!$A$2:$A$31,0))</f>
        <v>Tier 3</v>
      </c>
      <c r="N2656" s="34" t="n">
        <f aca="false">MATCH(F2656,Assumptions!$K$4:$K$8,0)</f>
        <v>2</v>
      </c>
      <c r="O2656" s="21" t="str">
        <f aca="false">IF(H2656="Yes",MONTH(I2656),"")</f>
        <v/>
      </c>
      <c r="P2656" s="21" t="str">
        <f aca="false">IF(H2656="Yes",B2656,"")</f>
        <v/>
      </c>
    </row>
    <row r="2657" customFormat="false" ht="15" hidden="false" customHeight="false" outlineLevel="0" collapsed="false">
      <c r="A2657" s="21" t="s">
        <v>3872</v>
      </c>
      <c r="B2657" s="21" t="s">
        <v>876</v>
      </c>
      <c r="C2657" s="21" t="s">
        <v>1298</v>
      </c>
      <c r="D2657" s="21" t="s">
        <v>1191</v>
      </c>
      <c r="E2657" s="33" t="n">
        <v>45987</v>
      </c>
      <c r="F2657" s="21" t="s">
        <v>1185</v>
      </c>
      <c r="G2657" s="32" t="n">
        <v>11.8</v>
      </c>
      <c r="H2657" s="21" t="s">
        <v>120</v>
      </c>
      <c r="I2657" s="33" t="n">
        <v>46024</v>
      </c>
      <c r="J2657" s="21" t="str">
        <f aca="false">INDEX(Students!$C$2:$C$601,MATCH(B2657,Students!$A$2:$A$601,0))</f>
        <v>Batch 2026</v>
      </c>
      <c r="K2657" s="21" t="str">
        <f aca="false">INDEX(Students!$D$2:$D$601,MATCH(B2657,Students!$A$2:$A$601,0))</f>
        <v>DSA with Java</v>
      </c>
      <c r="L2657" s="21" t="str">
        <f aca="false">INDEX(Companies!$C$2:$C$31,MATCH(C2657,Companies!$A$2:$A$31,0))</f>
        <v>Fintech</v>
      </c>
      <c r="M2657" s="21" t="str">
        <f aca="false">INDEX(Companies!$D$2:$D$31,MATCH(C2657,Companies!$A$2:$A$31,0))</f>
        <v>Tier 2</v>
      </c>
      <c r="N2657" s="34" t="n">
        <f aca="false">MATCH(F2657,Assumptions!$K$4:$K$8,0)</f>
        <v>5</v>
      </c>
      <c r="O2657" s="21" t="n">
        <f aca="false">IF(H2657="Yes",MONTH(I2657),"")</f>
        <v>1</v>
      </c>
      <c r="P2657" s="21" t="str">
        <f aca="false">IF(H2657="Yes",B2657,"")</f>
        <v>S0423</v>
      </c>
    </row>
    <row r="2658" customFormat="false" ht="15" hidden="false" customHeight="false" outlineLevel="0" collapsed="false">
      <c r="A2658" s="21" t="s">
        <v>3873</v>
      </c>
      <c r="B2658" s="21" t="s">
        <v>917</v>
      </c>
      <c r="C2658" s="21" t="s">
        <v>1203</v>
      </c>
      <c r="D2658" s="21" t="s">
        <v>1181</v>
      </c>
      <c r="E2658" s="33" t="n">
        <v>45987</v>
      </c>
      <c r="F2658" s="21" t="s">
        <v>1178</v>
      </c>
      <c r="G2658" s="32"/>
      <c r="H2658" s="21"/>
      <c r="I2658" s="33"/>
      <c r="J2658" s="21" t="str">
        <f aca="false">INDEX(Students!$C$2:$C$601,MATCH(B2658,Students!$A$2:$A$601,0))</f>
        <v>Batch 2026</v>
      </c>
      <c r="K2658" s="21" t="str">
        <f aca="false">INDEX(Students!$D$2:$D$601,MATCH(B2658,Students!$A$2:$A$601,0))</f>
        <v>Full Stack Development</v>
      </c>
      <c r="L2658" s="21" t="str">
        <f aca="false">INDEX(Companies!$C$2:$C$31,MATCH(C2658,Companies!$A$2:$A$31,0))</f>
        <v>Healthtech</v>
      </c>
      <c r="M2658" s="21" t="str">
        <f aca="false">INDEX(Companies!$D$2:$D$31,MATCH(C2658,Companies!$A$2:$A$31,0))</f>
        <v>Tier 2</v>
      </c>
      <c r="N2658" s="34" t="n">
        <f aca="false">MATCH(F2658,Assumptions!$K$4:$K$8,0)</f>
        <v>2</v>
      </c>
      <c r="O2658" s="21" t="str">
        <f aca="false">IF(H2658="Yes",MONTH(I2658),"")</f>
        <v/>
      </c>
      <c r="P2658" s="21" t="str">
        <f aca="false">IF(H2658="Yes",B2658,"")</f>
        <v/>
      </c>
    </row>
    <row r="2659" customFormat="false" ht="15" hidden="false" customHeight="false" outlineLevel="0" collapsed="false">
      <c r="A2659" s="21" t="s">
        <v>3874</v>
      </c>
      <c r="B2659" s="21" t="s">
        <v>1028</v>
      </c>
      <c r="C2659" s="21" t="s">
        <v>1222</v>
      </c>
      <c r="D2659" s="21" t="s">
        <v>1240</v>
      </c>
      <c r="E2659" s="33" t="n">
        <v>45987</v>
      </c>
      <c r="F2659" s="21" t="s">
        <v>1175</v>
      </c>
      <c r="G2659" s="32"/>
      <c r="H2659" s="21"/>
      <c r="I2659" s="33"/>
      <c r="J2659" s="21" t="str">
        <f aca="false">INDEX(Students!$C$2:$C$601,MATCH(B2659,Students!$A$2:$A$601,0))</f>
        <v>Batch 2026</v>
      </c>
      <c r="K2659" s="21" t="str">
        <f aca="false">INDEX(Students!$D$2:$D$601,MATCH(B2659,Students!$A$2:$A$601,0))</f>
        <v>Cybersecurity</v>
      </c>
      <c r="L2659" s="21" t="str">
        <f aca="false">INDEX(Companies!$C$2:$C$31,MATCH(C2659,Companies!$A$2:$A$31,0))</f>
        <v>Product</v>
      </c>
      <c r="M2659" s="21" t="str">
        <f aca="false">INDEX(Companies!$D$2:$D$31,MATCH(C2659,Companies!$A$2:$A$31,0))</f>
        <v>Tier 2</v>
      </c>
      <c r="N2659" s="34" t="n">
        <f aca="false">MATCH(F2659,Assumptions!$K$4:$K$8,0)</f>
        <v>1</v>
      </c>
      <c r="O2659" s="21" t="str">
        <f aca="false">IF(H2659="Yes",MONTH(I2659),"")</f>
        <v/>
      </c>
      <c r="P2659" s="21" t="str">
        <f aca="false">IF(H2659="Yes",B2659,"")</f>
        <v/>
      </c>
    </row>
    <row r="2660" customFormat="false" ht="15" hidden="false" customHeight="false" outlineLevel="0" collapsed="false">
      <c r="A2660" s="21" t="s">
        <v>3875</v>
      </c>
      <c r="B2660" s="21" t="s">
        <v>1078</v>
      </c>
      <c r="C2660" s="21" t="s">
        <v>1211</v>
      </c>
      <c r="D2660" s="21" t="s">
        <v>1191</v>
      </c>
      <c r="E2660" s="33" t="n">
        <v>45988</v>
      </c>
      <c r="F2660" s="21" t="s">
        <v>1185</v>
      </c>
      <c r="G2660" s="32" t="n">
        <v>6.7</v>
      </c>
      <c r="H2660" s="21" t="s">
        <v>113</v>
      </c>
      <c r="I2660" s="33" t="n">
        <v>46033</v>
      </c>
      <c r="J2660" s="21" t="str">
        <f aca="false">INDEX(Students!$C$2:$C$601,MATCH(B2660,Students!$A$2:$A$601,0))</f>
        <v>Batch 2026</v>
      </c>
      <c r="K2660" s="21" t="str">
        <f aca="false">INDEX(Students!$D$2:$D$601,MATCH(B2660,Students!$A$2:$A$601,0))</f>
        <v>DSA with Java</v>
      </c>
      <c r="L2660" s="21" t="str">
        <f aca="false">INDEX(Companies!$C$2:$C$31,MATCH(C2660,Companies!$A$2:$A$31,0))</f>
        <v>Analytics &amp; Consulting</v>
      </c>
      <c r="M2660" s="21" t="str">
        <f aca="false">INDEX(Companies!$D$2:$D$31,MATCH(C2660,Companies!$A$2:$A$31,0))</f>
        <v>Tier 3</v>
      </c>
      <c r="N2660" s="34" t="n">
        <f aca="false">MATCH(F2660,Assumptions!$K$4:$K$8,0)</f>
        <v>5</v>
      </c>
      <c r="O2660" s="21" t="str">
        <f aca="false">IF(H2660="Yes",MONTH(I2660),"")</f>
        <v/>
      </c>
      <c r="P2660" s="21" t="str">
        <f aca="false">IF(H2660="Yes",B2660,"")</f>
        <v/>
      </c>
    </row>
    <row r="2661" customFormat="false" ht="15" hidden="false" customHeight="false" outlineLevel="0" collapsed="false">
      <c r="A2661" s="21" t="s">
        <v>3876</v>
      </c>
      <c r="B2661" s="21" t="s">
        <v>952</v>
      </c>
      <c r="C2661" s="21" t="s">
        <v>1211</v>
      </c>
      <c r="D2661" s="21" t="s">
        <v>1184</v>
      </c>
      <c r="E2661" s="33" t="n">
        <v>45988</v>
      </c>
      <c r="F2661" s="21" t="s">
        <v>1197</v>
      </c>
      <c r="G2661" s="32"/>
      <c r="H2661" s="21"/>
      <c r="I2661" s="33"/>
      <c r="J2661" s="21" t="str">
        <f aca="false">INDEX(Students!$C$2:$C$601,MATCH(B2661,Students!$A$2:$A$601,0))</f>
        <v>Batch 2026</v>
      </c>
      <c r="K2661" s="21" t="str">
        <f aca="false">INDEX(Students!$D$2:$D$601,MATCH(B2661,Students!$A$2:$A$601,0))</f>
        <v>DSA with Java</v>
      </c>
      <c r="L2661" s="21" t="str">
        <f aca="false">INDEX(Companies!$C$2:$C$31,MATCH(C2661,Companies!$A$2:$A$31,0))</f>
        <v>Analytics &amp; Consulting</v>
      </c>
      <c r="M2661" s="21" t="str">
        <f aca="false">INDEX(Companies!$D$2:$D$31,MATCH(C2661,Companies!$A$2:$A$31,0))</f>
        <v>Tier 3</v>
      </c>
      <c r="N2661" s="34" t="n">
        <f aca="false">MATCH(F2661,Assumptions!$K$4:$K$8,0)</f>
        <v>3</v>
      </c>
      <c r="O2661" s="21" t="str">
        <f aca="false">IF(H2661="Yes",MONTH(I2661),"")</f>
        <v/>
      </c>
      <c r="P2661" s="21" t="str">
        <f aca="false">IF(H2661="Yes",B2661,"")</f>
        <v/>
      </c>
    </row>
    <row r="2662" customFormat="false" ht="15" hidden="false" customHeight="false" outlineLevel="0" collapsed="false">
      <c r="A2662" s="21" t="s">
        <v>3877</v>
      </c>
      <c r="B2662" s="21" t="s">
        <v>1083</v>
      </c>
      <c r="C2662" s="21" t="s">
        <v>1196</v>
      </c>
      <c r="D2662" s="21" t="s">
        <v>1174</v>
      </c>
      <c r="E2662" s="33" t="n">
        <v>45988</v>
      </c>
      <c r="F2662" s="21" t="s">
        <v>1175</v>
      </c>
      <c r="G2662" s="32"/>
      <c r="H2662" s="21"/>
      <c r="I2662" s="33"/>
      <c r="J2662" s="21" t="str">
        <f aca="false">INDEX(Students!$C$2:$C$601,MATCH(B2662,Students!$A$2:$A$601,0))</f>
        <v>Batch 2026</v>
      </c>
      <c r="K2662" s="21" t="str">
        <f aca="false">INDEX(Students!$D$2:$D$601,MATCH(B2662,Students!$A$2:$A$601,0))</f>
        <v>Full Stack Development</v>
      </c>
      <c r="L2662" s="21" t="str">
        <f aca="false">INDEX(Companies!$C$2:$C$31,MATCH(C2662,Companies!$A$2:$A$31,0))</f>
        <v>IT Services</v>
      </c>
      <c r="M2662" s="21" t="str">
        <f aca="false">INDEX(Companies!$D$2:$D$31,MATCH(C2662,Companies!$A$2:$A$31,0))</f>
        <v>Tier 3</v>
      </c>
      <c r="N2662" s="34" t="n">
        <f aca="false">MATCH(F2662,Assumptions!$K$4:$K$8,0)</f>
        <v>1</v>
      </c>
      <c r="O2662" s="21" t="str">
        <f aca="false">IF(H2662="Yes",MONTH(I2662),"")</f>
        <v/>
      </c>
      <c r="P2662" s="21" t="str">
        <f aca="false">IF(H2662="Yes",B2662,"")</f>
        <v/>
      </c>
    </row>
    <row r="2663" customFormat="false" ht="15" hidden="false" customHeight="false" outlineLevel="0" collapsed="false">
      <c r="A2663" s="21" t="s">
        <v>3878</v>
      </c>
      <c r="B2663" s="21" t="s">
        <v>821</v>
      </c>
      <c r="C2663" s="21" t="s">
        <v>1298</v>
      </c>
      <c r="D2663" s="21" t="s">
        <v>1184</v>
      </c>
      <c r="E2663" s="33" t="n">
        <v>45988</v>
      </c>
      <c r="F2663" s="21" t="s">
        <v>1175</v>
      </c>
      <c r="G2663" s="32"/>
      <c r="H2663" s="21"/>
      <c r="I2663" s="33"/>
      <c r="J2663" s="21" t="str">
        <f aca="false">INDEX(Students!$C$2:$C$601,MATCH(B2663,Students!$A$2:$A$601,0))</f>
        <v>Batch 2026</v>
      </c>
      <c r="K2663" s="21" t="str">
        <f aca="false">INDEX(Students!$D$2:$D$601,MATCH(B2663,Students!$A$2:$A$601,0))</f>
        <v>DSA with Java</v>
      </c>
      <c r="L2663" s="21" t="str">
        <f aca="false">INDEX(Companies!$C$2:$C$31,MATCH(C2663,Companies!$A$2:$A$31,0))</f>
        <v>Fintech</v>
      </c>
      <c r="M2663" s="21" t="str">
        <f aca="false">INDEX(Companies!$D$2:$D$31,MATCH(C2663,Companies!$A$2:$A$31,0))</f>
        <v>Tier 2</v>
      </c>
      <c r="N2663" s="34" t="n">
        <f aca="false">MATCH(F2663,Assumptions!$K$4:$K$8,0)</f>
        <v>1</v>
      </c>
      <c r="O2663" s="21" t="str">
        <f aca="false">IF(H2663="Yes",MONTH(I2663),"")</f>
        <v/>
      </c>
      <c r="P2663" s="21" t="str">
        <f aca="false">IF(H2663="Yes",B2663,"")</f>
        <v/>
      </c>
    </row>
    <row r="2664" customFormat="false" ht="15" hidden="false" customHeight="false" outlineLevel="0" collapsed="false">
      <c r="A2664" s="21" t="s">
        <v>3879</v>
      </c>
      <c r="B2664" s="21" t="s">
        <v>1107</v>
      </c>
      <c r="C2664" s="21" t="s">
        <v>1255</v>
      </c>
      <c r="D2664" s="21" t="s">
        <v>1226</v>
      </c>
      <c r="E2664" s="33" t="n">
        <v>45988</v>
      </c>
      <c r="F2664" s="21" t="s">
        <v>1185</v>
      </c>
      <c r="G2664" s="32" t="n">
        <v>6.2</v>
      </c>
      <c r="H2664" s="21" t="s">
        <v>113</v>
      </c>
      <c r="I2664" s="33" t="n">
        <v>46028</v>
      </c>
      <c r="J2664" s="21" t="str">
        <f aca="false">INDEX(Students!$C$2:$C$601,MATCH(B2664,Students!$A$2:$A$601,0))</f>
        <v>Batch 2026</v>
      </c>
      <c r="K2664" s="21" t="str">
        <f aca="false">INDEX(Students!$D$2:$D$601,MATCH(B2664,Students!$A$2:$A$601,0))</f>
        <v>Cybersecurity</v>
      </c>
      <c r="L2664" s="21" t="str">
        <f aca="false">INDEX(Companies!$C$2:$C$31,MATCH(C2664,Companies!$A$2:$A$31,0))</f>
        <v>IT Services</v>
      </c>
      <c r="M2664" s="21" t="str">
        <f aca="false">INDEX(Companies!$D$2:$D$31,MATCH(C2664,Companies!$A$2:$A$31,0))</f>
        <v>Tier 3</v>
      </c>
      <c r="N2664" s="34" t="n">
        <f aca="false">MATCH(F2664,Assumptions!$K$4:$K$8,0)</f>
        <v>5</v>
      </c>
      <c r="O2664" s="21" t="str">
        <f aca="false">IF(H2664="Yes",MONTH(I2664),"")</f>
        <v/>
      </c>
      <c r="P2664" s="21" t="str">
        <f aca="false">IF(H2664="Yes",B2664,"")</f>
        <v/>
      </c>
    </row>
    <row r="2665" customFormat="false" ht="15" hidden="false" customHeight="false" outlineLevel="0" collapsed="false">
      <c r="A2665" s="21" t="s">
        <v>3880</v>
      </c>
      <c r="B2665" s="21" t="s">
        <v>947</v>
      </c>
      <c r="C2665" s="21" t="s">
        <v>1228</v>
      </c>
      <c r="D2665" s="21" t="s">
        <v>1191</v>
      </c>
      <c r="E2665" s="33" t="n">
        <v>45989</v>
      </c>
      <c r="F2665" s="21" t="s">
        <v>1185</v>
      </c>
      <c r="G2665" s="32" t="n">
        <v>28.6</v>
      </c>
      <c r="H2665" s="21" t="s">
        <v>120</v>
      </c>
      <c r="I2665" s="33" t="n">
        <v>46030</v>
      </c>
      <c r="J2665" s="21" t="str">
        <f aca="false">INDEX(Students!$C$2:$C$601,MATCH(B2665,Students!$A$2:$A$601,0))</f>
        <v>Batch 2026</v>
      </c>
      <c r="K2665" s="21" t="str">
        <f aca="false">INDEX(Students!$D$2:$D$601,MATCH(B2665,Students!$A$2:$A$601,0))</f>
        <v>DSA with Java</v>
      </c>
      <c r="L2665" s="21" t="str">
        <f aca="false">INDEX(Companies!$C$2:$C$31,MATCH(C2665,Companies!$A$2:$A$31,0))</f>
        <v>Fintech</v>
      </c>
      <c r="M2665" s="21" t="str">
        <f aca="false">INDEX(Companies!$D$2:$D$31,MATCH(C2665,Companies!$A$2:$A$31,0))</f>
        <v>Tier 1</v>
      </c>
      <c r="N2665" s="34" t="n">
        <f aca="false">MATCH(F2665,Assumptions!$K$4:$K$8,0)</f>
        <v>5</v>
      </c>
      <c r="O2665" s="21" t="n">
        <f aca="false">IF(H2665="Yes",MONTH(I2665),"")</f>
        <v>1</v>
      </c>
      <c r="P2665" s="21" t="str">
        <f aca="false">IF(H2665="Yes",B2665,"")</f>
        <v>S0468</v>
      </c>
    </row>
    <row r="2666" customFormat="false" ht="15" hidden="false" customHeight="false" outlineLevel="0" collapsed="false">
      <c r="A2666" s="21" t="s">
        <v>3881</v>
      </c>
      <c r="B2666" s="21" t="s">
        <v>852</v>
      </c>
      <c r="C2666" s="21" t="s">
        <v>1208</v>
      </c>
      <c r="D2666" s="21" t="s">
        <v>1243</v>
      </c>
      <c r="E2666" s="33" t="n">
        <v>45989</v>
      </c>
      <c r="F2666" s="21" t="s">
        <v>1185</v>
      </c>
      <c r="G2666" s="32" t="n">
        <v>17.3</v>
      </c>
      <c r="H2666" s="21" t="s">
        <v>120</v>
      </c>
      <c r="I2666" s="33" t="n">
        <v>46012</v>
      </c>
      <c r="J2666" s="21" t="str">
        <f aca="false">INDEX(Students!$C$2:$C$601,MATCH(B2666,Students!$A$2:$A$601,0))</f>
        <v>Batch 2026</v>
      </c>
      <c r="K2666" s="21" t="str">
        <f aca="false">INDEX(Students!$D$2:$D$601,MATCH(B2666,Students!$A$2:$A$601,0))</f>
        <v>Data Science &amp; ML</v>
      </c>
      <c r="L2666" s="21" t="str">
        <f aca="false">INDEX(Companies!$C$2:$C$31,MATCH(C2666,Companies!$A$2:$A$31,0))</f>
        <v>E-commerce</v>
      </c>
      <c r="M2666" s="21" t="str">
        <f aca="false">INDEX(Companies!$D$2:$D$31,MATCH(C2666,Companies!$A$2:$A$31,0))</f>
        <v>Tier 1</v>
      </c>
      <c r="N2666" s="34" t="n">
        <f aca="false">MATCH(F2666,Assumptions!$K$4:$K$8,0)</f>
        <v>5</v>
      </c>
      <c r="O2666" s="21" t="n">
        <f aca="false">IF(H2666="Yes",MONTH(I2666),"")</f>
        <v>12</v>
      </c>
      <c r="P2666" s="21" t="str">
        <f aca="false">IF(H2666="Yes",B2666,"")</f>
        <v>S0408</v>
      </c>
    </row>
    <row r="2667" customFormat="false" ht="15" hidden="false" customHeight="false" outlineLevel="0" collapsed="false">
      <c r="A2667" s="21" t="s">
        <v>3882</v>
      </c>
      <c r="B2667" s="21" t="s">
        <v>957</v>
      </c>
      <c r="C2667" s="21" t="s">
        <v>1205</v>
      </c>
      <c r="D2667" s="21" t="s">
        <v>1184</v>
      </c>
      <c r="E2667" s="33" t="n">
        <v>45989</v>
      </c>
      <c r="F2667" s="21" t="s">
        <v>1178</v>
      </c>
      <c r="G2667" s="32"/>
      <c r="H2667" s="21"/>
      <c r="I2667" s="33"/>
      <c r="J2667" s="21" t="str">
        <f aca="false">INDEX(Students!$C$2:$C$601,MATCH(B2667,Students!$A$2:$A$601,0))</f>
        <v>Batch 2026</v>
      </c>
      <c r="K2667" s="21" t="str">
        <f aca="false">INDEX(Students!$D$2:$D$601,MATCH(B2667,Students!$A$2:$A$601,0))</f>
        <v>DSA with Java</v>
      </c>
      <c r="L2667" s="21" t="str">
        <f aca="false">INDEX(Companies!$C$2:$C$31,MATCH(C2667,Companies!$A$2:$A$31,0))</f>
        <v>Healthtech</v>
      </c>
      <c r="M2667" s="21" t="str">
        <f aca="false">INDEX(Companies!$D$2:$D$31,MATCH(C2667,Companies!$A$2:$A$31,0))</f>
        <v>Tier 3</v>
      </c>
      <c r="N2667" s="34" t="n">
        <f aca="false">MATCH(F2667,Assumptions!$K$4:$K$8,0)</f>
        <v>2</v>
      </c>
      <c r="O2667" s="21" t="str">
        <f aca="false">IF(H2667="Yes",MONTH(I2667),"")</f>
        <v/>
      </c>
      <c r="P2667" s="21" t="str">
        <f aca="false">IF(H2667="Yes",B2667,"")</f>
        <v/>
      </c>
    </row>
    <row r="2668" customFormat="false" ht="15" hidden="false" customHeight="false" outlineLevel="0" collapsed="false">
      <c r="A2668" s="21" t="s">
        <v>3883</v>
      </c>
      <c r="B2668" s="21" t="s">
        <v>1008</v>
      </c>
      <c r="C2668" s="21" t="s">
        <v>1234</v>
      </c>
      <c r="D2668" s="21" t="s">
        <v>1191</v>
      </c>
      <c r="E2668" s="33" t="n">
        <v>45991</v>
      </c>
      <c r="F2668" s="21" t="s">
        <v>1185</v>
      </c>
      <c r="G2668" s="32" t="n">
        <v>5.3</v>
      </c>
      <c r="H2668" s="21" t="s">
        <v>113</v>
      </c>
      <c r="I2668" s="33" t="n">
        <v>46016</v>
      </c>
      <c r="J2668" s="21" t="str">
        <f aca="false">INDEX(Students!$C$2:$C$601,MATCH(B2668,Students!$A$2:$A$601,0))</f>
        <v>Batch 2026</v>
      </c>
      <c r="K2668" s="21" t="str">
        <f aca="false">INDEX(Students!$D$2:$D$601,MATCH(B2668,Students!$A$2:$A$601,0))</f>
        <v>DSA with Java</v>
      </c>
      <c r="L2668" s="21" t="str">
        <f aca="false">INDEX(Companies!$C$2:$C$31,MATCH(C2668,Companies!$A$2:$A$31,0))</f>
        <v>EdTech</v>
      </c>
      <c r="M2668" s="21" t="str">
        <f aca="false">INDEX(Companies!$D$2:$D$31,MATCH(C2668,Companies!$A$2:$A$31,0))</f>
        <v>Tier 3</v>
      </c>
      <c r="N2668" s="34" t="n">
        <f aca="false">MATCH(F2668,Assumptions!$K$4:$K$8,0)</f>
        <v>5</v>
      </c>
      <c r="O2668" s="21" t="str">
        <f aca="false">IF(H2668="Yes",MONTH(I2668),"")</f>
        <v/>
      </c>
      <c r="P2668" s="21" t="str">
        <f aca="false">IF(H2668="Yes",B2668,"")</f>
        <v/>
      </c>
    </row>
    <row r="2669" customFormat="false" ht="15" hidden="false" customHeight="false" outlineLevel="0" collapsed="false">
      <c r="A2669" s="21" t="s">
        <v>3884</v>
      </c>
      <c r="B2669" s="21" t="s">
        <v>1112</v>
      </c>
      <c r="C2669" s="21" t="s">
        <v>1230</v>
      </c>
      <c r="D2669" s="21" t="s">
        <v>1240</v>
      </c>
      <c r="E2669" s="33" t="n">
        <v>45991</v>
      </c>
      <c r="F2669" s="21" t="s">
        <v>1185</v>
      </c>
      <c r="G2669" s="32" t="n">
        <v>5.2</v>
      </c>
      <c r="H2669" s="21" t="s">
        <v>113</v>
      </c>
      <c r="I2669" s="33" t="n">
        <v>46023</v>
      </c>
      <c r="J2669" s="21" t="str">
        <f aca="false">INDEX(Students!$C$2:$C$601,MATCH(B2669,Students!$A$2:$A$601,0))</f>
        <v>Batch 2026</v>
      </c>
      <c r="K2669" s="21" t="str">
        <f aca="false">INDEX(Students!$D$2:$D$601,MATCH(B2669,Students!$A$2:$A$601,0))</f>
        <v>Cybersecurity</v>
      </c>
      <c r="L2669" s="21" t="str">
        <f aca="false">INDEX(Companies!$C$2:$C$31,MATCH(C2669,Companies!$A$2:$A$31,0))</f>
        <v>IT Services</v>
      </c>
      <c r="M2669" s="21" t="str">
        <f aca="false">INDEX(Companies!$D$2:$D$31,MATCH(C2669,Companies!$A$2:$A$31,0))</f>
        <v>Tier 3</v>
      </c>
      <c r="N2669" s="34" t="n">
        <f aca="false">MATCH(F2669,Assumptions!$K$4:$K$8,0)</f>
        <v>5</v>
      </c>
      <c r="O2669" s="21" t="str">
        <f aca="false">IF(H2669="Yes",MONTH(I2669),"")</f>
        <v/>
      </c>
      <c r="P2669" s="21" t="str">
        <f aca="false">IF(H2669="Yes",B2669,"")</f>
        <v/>
      </c>
    </row>
    <row r="2670" customFormat="false" ht="15" hidden="false" customHeight="false" outlineLevel="0" collapsed="false">
      <c r="A2670" s="21" t="s">
        <v>3885</v>
      </c>
      <c r="B2670" s="21" t="s">
        <v>878</v>
      </c>
      <c r="C2670" s="21" t="s">
        <v>1177</v>
      </c>
      <c r="D2670" s="21" t="s">
        <v>1243</v>
      </c>
      <c r="E2670" s="33" t="n">
        <v>45991</v>
      </c>
      <c r="F2670" s="21" t="s">
        <v>1185</v>
      </c>
      <c r="G2670" s="32" t="n">
        <v>6.3</v>
      </c>
      <c r="H2670" s="21" t="s">
        <v>120</v>
      </c>
      <c r="I2670" s="33" t="n">
        <v>46039</v>
      </c>
      <c r="J2670" s="21" t="str">
        <f aca="false">INDEX(Students!$C$2:$C$601,MATCH(B2670,Students!$A$2:$A$601,0))</f>
        <v>Batch 2026</v>
      </c>
      <c r="K2670" s="21" t="str">
        <f aca="false">INDEX(Students!$D$2:$D$601,MATCH(B2670,Students!$A$2:$A$601,0))</f>
        <v>Data Science &amp; ML</v>
      </c>
      <c r="L2670" s="21" t="str">
        <f aca="false">INDEX(Companies!$C$2:$C$31,MATCH(C2670,Companies!$A$2:$A$31,0))</f>
        <v>IT Services</v>
      </c>
      <c r="M2670" s="21" t="str">
        <f aca="false">INDEX(Companies!$D$2:$D$31,MATCH(C2670,Companies!$A$2:$A$31,0))</f>
        <v>Tier 3</v>
      </c>
      <c r="N2670" s="34" t="n">
        <f aca="false">MATCH(F2670,Assumptions!$K$4:$K$8,0)</f>
        <v>5</v>
      </c>
      <c r="O2670" s="21" t="n">
        <f aca="false">IF(H2670="Yes",MONTH(I2670),"")</f>
        <v>1</v>
      </c>
      <c r="P2670" s="21" t="str">
        <f aca="false">IF(H2670="Yes",B2670,"")</f>
        <v>S0424</v>
      </c>
    </row>
    <row r="2671" customFormat="false" ht="15" hidden="false" customHeight="false" outlineLevel="0" collapsed="false">
      <c r="A2671" s="21" t="s">
        <v>3886</v>
      </c>
      <c r="B2671" s="21" t="s">
        <v>999</v>
      </c>
      <c r="C2671" s="21" t="s">
        <v>1177</v>
      </c>
      <c r="D2671" s="21" t="s">
        <v>1184</v>
      </c>
      <c r="E2671" s="33" t="n">
        <v>45991</v>
      </c>
      <c r="F2671" s="21" t="s">
        <v>1185</v>
      </c>
      <c r="G2671" s="32" t="n">
        <v>5</v>
      </c>
      <c r="H2671" s="21" t="s">
        <v>113</v>
      </c>
      <c r="I2671" s="33" t="n">
        <v>46036</v>
      </c>
      <c r="J2671" s="21" t="str">
        <f aca="false">INDEX(Students!$C$2:$C$601,MATCH(B2671,Students!$A$2:$A$601,0))</f>
        <v>Batch 2026</v>
      </c>
      <c r="K2671" s="21" t="str">
        <f aca="false">INDEX(Students!$D$2:$D$601,MATCH(B2671,Students!$A$2:$A$601,0))</f>
        <v>DSA with Java</v>
      </c>
      <c r="L2671" s="21" t="str">
        <f aca="false">INDEX(Companies!$C$2:$C$31,MATCH(C2671,Companies!$A$2:$A$31,0))</f>
        <v>IT Services</v>
      </c>
      <c r="M2671" s="21" t="str">
        <f aca="false">INDEX(Companies!$D$2:$D$31,MATCH(C2671,Companies!$A$2:$A$31,0))</f>
        <v>Tier 3</v>
      </c>
      <c r="N2671" s="34" t="n">
        <f aca="false">MATCH(F2671,Assumptions!$K$4:$K$8,0)</f>
        <v>5</v>
      </c>
      <c r="O2671" s="21" t="str">
        <f aca="false">IF(H2671="Yes",MONTH(I2671),"")</f>
        <v/>
      </c>
      <c r="P2671" s="21" t="str">
        <f aca="false">IF(H2671="Yes",B2671,"")</f>
        <v/>
      </c>
    </row>
    <row r="2672" customFormat="false" ht="15" hidden="false" customHeight="false" outlineLevel="0" collapsed="false">
      <c r="A2672" s="21" t="s">
        <v>3887</v>
      </c>
      <c r="B2672" s="21" t="s">
        <v>1125</v>
      </c>
      <c r="C2672" s="21" t="s">
        <v>1196</v>
      </c>
      <c r="D2672" s="21" t="s">
        <v>1209</v>
      </c>
      <c r="E2672" s="33" t="n">
        <v>45991</v>
      </c>
      <c r="F2672" s="21" t="s">
        <v>1197</v>
      </c>
      <c r="G2672" s="32"/>
      <c r="H2672" s="21"/>
      <c r="I2672" s="33"/>
      <c r="J2672" s="21" t="str">
        <f aca="false">INDEX(Students!$C$2:$C$601,MATCH(B2672,Students!$A$2:$A$601,0))</f>
        <v>Batch 2026</v>
      </c>
      <c r="K2672" s="21" t="str">
        <f aca="false">INDEX(Students!$D$2:$D$601,MATCH(B2672,Students!$A$2:$A$601,0))</f>
        <v>Data Analytics</v>
      </c>
      <c r="L2672" s="21" t="str">
        <f aca="false">INDEX(Companies!$C$2:$C$31,MATCH(C2672,Companies!$A$2:$A$31,0))</f>
        <v>IT Services</v>
      </c>
      <c r="M2672" s="21" t="str">
        <f aca="false">INDEX(Companies!$D$2:$D$31,MATCH(C2672,Companies!$A$2:$A$31,0))</f>
        <v>Tier 3</v>
      </c>
      <c r="N2672" s="34" t="n">
        <f aca="false">MATCH(F2672,Assumptions!$K$4:$K$8,0)</f>
        <v>3</v>
      </c>
      <c r="O2672" s="21" t="str">
        <f aca="false">IF(H2672="Yes",MONTH(I2672),"")</f>
        <v/>
      </c>
      <c r="P2672" s="21" t="str">
        <f aca="false">IF(H2672="Yes",B2672,"")</f>
        <v/>
      </c>
    </row>
    <row r="2673" customFormat="false" ht="15" hidden="false" customHeight="false" outlineLevel="0" collapsed="false">
      <c r="A2673" s="21" t="s">
        <v>3888</v>
      </c>
      <c r="B2673" s="21" t="s">
        <v>945</v>
      </c>
      <c r="C2673" s="21" t="s">
        <v>1199</v>
      </c>
      <c r="D2673" s="21" t="s">
        <v>1191</v>
      </c>
      <c r="E2673" s="33" t="n">
        <v>45991</v>
      </c>
      <c r="F2673" s="21" t="s">
        <v>1175</v>
      </c>
      <c r="G2673" s="32"/>
      <c r="H2673" s="21"/>
      <c r="I2673" s="33"/>
      <c r="J2673" s="21" t="str">
        <f aca="false">INDEX(Students!$C$2:$C$601,MATCH(B2673,Students!$A$2:$A$601,0))</f>
        <v>Batch 2026</v>
      </c>
      <c r="K2673" s="21" t="str">
        <f aca="false">INDEX(Students!$D$2:$D$601,MATCH(B2673,Students!$A$2:$A$601,0))</f>
        <v>DSA with Java</v>
      </c>
      <c r="L2673" s="21" t="str">
        <f aca="false">INDEX(Companies!$C$2:$C$31,MATCH(C2673,Companies!$A$2:$A$31,0))</f>
        <v>E-commerce</v>
      </c>
      <c r="M2673" s="21" t="str">
        <f aca="false">INDEX(Companies!$D$2:$D$31,MATCH(C2673,Companies!$A$2:$A$31,0))</f>
        <v>Tier 2</v>
      </c>
      <c r="N2673" s="34" t="n">
        <f aca="false">MATCH(F2673,Assumptions!$K$4:$K$8,0)</f>
        <v>1</v>
      </c>
      <c r="O2673" s="21" t="str">
        <f aca="false">IF(H2673="Yes",MONTH(I2673),"")</f>
        <v/>
      </c>
      <c r="P2673" s="21" t="str">
        <f aca="false">IF(H2673="Yes",B2673,"")</f>
        <v/>
      </c>
    </row>
    <row r="2674" customFormat="false" ht="15" hidden="false" customHeight="false" outlineLevel="0" collapsed="false">
      <c r="A2674" s="21" t="s">
        <v>3889</v>
      </c>
      <c r="B2674" s="21" t="s">
        <v>918</v>
      </c>
      <c r="C2674" s="21" t="s">
        <v>1177</v>
      </c>
      <c r="D2674" s="21" t="s">
        <v>1194</v>
      </c>
      <c r="E2674" s="33" t="n">
        <v>45992</v>
      </c>
      <c r="F2674" s="21" t="s">
        <v>1197</v>
      </c>
      <c r="G2674" s="32"/>
      <c r="H2674" s="21"/>
      <c r="I2674" s="33"/>
      <c r="J2674" s="21" t="str">
        <f aca="false">INDEX(Students!$C$2:$C$601,MATCH(B2674,Students!$A$2:$A$601,0))</f>
        <v>Batch 2026</v>
      </c>
      <c r="K2674" s="21" t="str">
        <f aca="false">INDEX(Students!$D$2:$D$601,MATCH(B2674,Students!$A$2:$A$601,0))</f>
        <v>Data Science &amp; ML</v>
      </c>
      <c r="L2674" s="21" t="str">
        <f aca="false">INDEX(Companies!$C$2:$C$31,MATCH(C2674,Companies!$A$2:$A$31,0))</f>
        <v>IT Services</v>
      </c>
      <c r="M2674" s="21" t="str">
        <f aca="false">INDEX(Companies!$D$2:$D$31,MATCH(C2674,Companies!$A$2:$A$31,0))</f>
        <v>Tier 3</v>
      </c>
      <c r="N2674" s="34" t="n">
        <f aca="false">MATCH(F2674,Assumptions!$K$4:$K$8,0)</f>
        <v>3</v>
      </c>
      <c r="O2674" s="21" t="str">
        <f aca="false">IF(H2674="Yes",MONTH(I2674),"")</f>
        <v/>
      </c>
      <c r="P2674" s="21" t="str">
        <f aca="false">IF(H2674="Yes",B2674,"")</f>
        <v/>
      </c>
    </row>
    <row r="2675" customFormat="false" ht="15" hidden="false" customHeight="false" outlineLevel="0" collapsed="false">
      <c r="A2675" s="21" t="s">
        <v>3890</v>
      </c>
      <c r="B2675" s="21" t="s">
        <v>912</v>
      </c>
      <c r="C2675" s="21" t="s">
        <v>1190</v>
      </c>
      <c r="D2675" s="21" t="s">
        <v>1174</v>
      </c>
      <c r="E2675" s="33" t="n">
        <v>45992</v>
      </c>
      <c r="F2675" s="21" t="s">
        <v>1175</v>
      </c>
      <c r="G2675" s="32"/>
      <c r="H2675" s="21"/>
      <c r="I2675" s="33"/>
      <c r="J2675" s="21" t="str">
        <f aca="false">INDEX(Students!$C$2:$C$601,MATCH(B2675,Students!$A$2:$A$601,0))</f>
        <v>Batch 2026</v>
      </c>
      <c r="K2675" s="21" t="str">
        <f aca="false">INDEX(Students!$D$2:$D$601,MATCH(B2675,Students!$A$2:$A$601,0))</f>
        <v>Full Stack Development</v>
      </c>
      <c r="L2675" s="21" t="str">
        <f aca="false">INDEX(Companies!$C$2:$C$31,MATCH(C2675,Companies!$A$2:$A$31,0))</f>
        <v>Analytics &amp; Consulting</v>
      </c>
      <c r="M2675" s="21" t="str">
        <f aca="false">INDEX(Companies!$D$2:$D$31,MATCH(C2675,Companies!$A$2:$A$31,0))</f>
        <v>Tier 1</v>
      </c>
      <c r="N2675" s="34" t="n">
        <f aca="false">MATCH(F2675,Assumptions!$K$4:$K$8,0)</f>
        <v>1</v>
      </c>
      <c r="O2675" s="21" t="str">
        <f aca="false">IF(H2675="Yes",MONTH(I2675),"")</f>
        <v/>
      </c>
      <c r="P2675" s="21" t="str">
        <f aca="false">IF(H2675="Yes",B2675,"")</f>
        <v/>
      </c>
    </row>
    <row r="2676" customFormat="false" ht="15" hidden="false" customHeight="false" outlineLevel="0" collapsed="false">
      <c r="A2676" s="21" t="s">
        <v>3891</v>
      </c>
      <c r="B2676" s="21" t="s">
        <v>1083</v>
      </c>
      <c r="C2676" s="21" t="s">
        <v>1228</v>
      </c>
      <c r="D2676" s="21" t="s">
        <v>1174</v>
      </c>
      <c r="E2676" s="33" t="n">
        <v>45992</v>
      </c>
      <c r="F2676" s="21" t="s">
        <v>1175</v>
      </c>
      <c r="G2676" s="32"/>
      <c r="H2676" s="21"/>
      <c r="I2676" s="33"/>
      <c r="J2676" s="21" t="str">
        <f aca="false">INDEX(Students!$C$2:$C$601,MATCH(B2676,Students!$A$2:$A$601,0))</f>
        <v>Batch 2026</v>
      </c>
      <c r="K2676" s="21" t="str">
        <f aca="false">INDEX(Students!$D$2:$D$601,MATCH(B2676,Students!$A$2:$A$601,0))</f>
        <v>Full Stack Development</v>
      </c>
      <c r="L2676" s="21" t="str">
        <f aca="false">INDEX(Companies!$C$2:$C$31,MATCH(C2676,Companies!$A$2:$A$31,0))</f>
        <v>Fintech</v>
      </c>
      <c r="M2676" s="21" t="str">
        <f aca="false">INDEX(Companies!$D$2:$D$31,MATCH(C2676,Companies!$A$2:$A$31,0))</f>
        <v>Tier 1</v>
      </c>
      <c r="N2676" s="34" t="n">
        <f aca="false">MATCH(F2676,Assumptions!$K$4:$K$8,0)</f>
        <v>1</v>
      </c>
      <c r="O2676" s="21" t="str">
        <f aca="false">IF(H2676="Yes",MONTH(I2676),"")</f>
        <v/>
      </c>
      <c r="P2676" s="21" t="str">
        <f aca="false">IF(H2676="Yes",B2676,"")</f>
        <v/>
      </c>
    </row>
    <row r="2677" customFormat="false" ht="15" hidden="false" customHeight="false" outlineLevel="0" collapsed="false">
      <c r="A2677" s="21" t="s">
        <v>3892</v>
      </c>
      <c r="B2677" s="21" t="s">
        <v>1107</v>
      </c>
      <c r="C2677" s="21" t="s">
        <v>1196</v>
      </c>
      <c r="D2677" s="21" t="s">
        <v>1240</v>
      </c>
      <c r="E2677" s="33" t="n">
        <v>45992</v>
      </c>
      <c r="F2677" s="21" t="s">
        <v>1197</v>
      </c>
      <c r="G2677" s="32"/>
      <c r="H2677" s="21"/>
      <c r="I2677" s="33"/>
      <c r="J2677" s="21" t="str">
        <f aca="false">INDEX(Students!$C$2:$C$601,MATCH(B2677,Students!$A$2:$A$601,0))</f>
        <v>Batch 2026</v>
      </c>
      <c r="K2677" s="21" t="str">
        <f aca="false">INDEX(Students!$D$2:$D$601,MATCH(B2677,Students!$A$2:$A$601,0))</f>
        <v>Cybersecurity</v>
      </c>
      <c r="L2677" s="21" t="str">
        <f aca="false">INDEX(Companies!$C$2:$C$31,MATCH(C2677,Companies!$A$2:$A$31,0))</f>
        <v>IT Services</v>
      </c>
      <c r="M2677" s="21" t="str">
        <f aca="false">INDEX(Companies!$D$2:$D$31,MATCH(C2677,Companies!$A$2:$A$31,0))</f>
        <v>Tier 3</v>
      </c>
      <c r="N2677" s="34" t="n">
        <f aca="false">MATCH(F2677,Assumptions!$K$4:$K$8,0)</f>
        <v>3</v>
      </c>
      <c r="O2677" s="21" t="str">
        <f aca="false">IF(H2677="Yes",MONTH(I2677),"")</f>
        <v/>
      </c>
      <c r="P2677" s="21" t="str">
        <f aca="false">IF(H2677="Yes",B2677,"")</f>
        <v/>
      </c>
    </row>
    <row r="2678" customFormat="false" ht="15" hidden="false" customHeight="false" outlineLevel="0" collapsed="false">
      <c r="A2678" s="21" t="s">
        <v>3893</v>
      </c>
      <c r="B2678" s="21" t="s">
        <v>863</v>
      </c>
      <c r="C2678" s="21" t="s">
        <v>1298</v>
      </c>
      <c r="D2678" s="21" t="s">
        <v>1174</v>
      </c>
      <c r="E2678" s="33" t="n">
        <v>45992</v>
      </c>
      <c r="F2678" s="21" t="s">
        <v>1178</v>
      </c>
      <c r="G2678" s="32"/>
      <c r="H2678" s="21"/>
      <c r="I2678" s="33"/>
      <c r="J2678" s="21" t="str">
        <f aca="false">INDEX(Students!$C$2:$C$601,MATCH(B2678,Students!$A$2:$A$601,0))</f>
        <v>Batch 2026</v>
      </c>
      <c r="K2678" s="21" t="str">
        <f aca="false">INDEX(Students!$D$2:$D$601,MATCH(B2678,Students!$A$2:$A$601,0))</f>
        <v>Full Stack Development</v>
      </c>
      <c r="L2678" s="21" t="str">
        <f aca="false">INDEX(Companies!$C$2:$C$31,MATCH(C2678,Companies!$A$2:$A$31,0))</f>
        <v>Fintech</v>
      </c>
      <c r="M2678" s="21" t="str">
        <f aca="false">INDEX(Companies!$D$2:$D$31,MATCH(C2678,Companies!$A$2:$A$31,0))</f>
        <v>Tier 2</v>
      </c>
      <c r="N2678" s="34" t="n">
        <f aca="false">MATCH(F2678,Assumptions!$K$4:$K$8,0)</f>
        <v>2</v>
      </c>
      <c r="O2678" s="21" t="str">
        <f aca="false">IF(H2678="Yes",MONTH(I2678),"")</f>
        <v/>
      </c>
      <c r="P2678" s="21" t="str">
        <f aca="false">IF(H2678="Yes",B2678,"")</f>
        <v/>
      </c>
    </row>
    <row r="2679" customFormat="false" ht="15" hidden="false" customHeight="false" outlineLevel="0" collapsed="false">
      <c r="A2679" s="21" t="s">
        <v>3894</v>
      </c>
      <c r="B2679" s="21" t="s">
        <v>1141</v>
      </c>
      <c r="C2679" s="21" t="s">
        <v>1208</v>
      </c>
      <c r="D2679" s="21" t="s">
        <v>1191</v>
      </c>
      <c r="E2679" s="33" t="n">
        <v>45993</v>
      </c>
      <c r="F2679" s="21" t="s">
        <v>1175</v>
      </c>
      <c r="G2679" s="32"/>
      <c r="H2679" s="21"/>
      <c r="I2679" s="33"/>
      <c r="J2679" s="21" t="str">
        <f aca="false">INDEX(Students!$C$2:$C$601,MATCH(B2679,Students!$A$2:$A$601,0))</f>
        <v>Batch 2026</v>
      </c>
      <c r="K2679" s="21" t="str">
        <f aca="false">INDEX(Students!$D$2:$D$601,MATCH(B2679,Students!$A$2:$A$601,0))</f>
        <v>DSA with Java</v>
      </c>
      <c r="L2679" s="21" t="str">
        <f aca="false">INDEX(Companies!$C$2:$C$31,MATCH(C2679,Companies!$A$2:$A$31,0))</f>
        <v>E-commerce</v>
      </c>
      <c r="M2679" s="21" t="str">
        <f aca="false">INDEX(Companies!$D$2:$D$31,MATCH(C2679,Companies!$A$2:$A$31,0))</f>
        <v>Tier 1</v>
      </c>
      <c r="N2679" s="34" t="n">
        <f aca="false">MATCH(F2679,Assumptions!$K$4:$K$8,0)</f>
        <v>1</v>
      </c>
      <c r="O2679" s="21" t="str">
        <f aca="false">IF(H2679="Yes",MONTH(I2679),"")</f>
        <v/>
      </c>
      <c r="P2679" s="21" t="str">
        <f aca="false">IF(H2679="Yes",B2679,"")</f>
        <v/>
      </c>
    </row>
    <row r="2680" customFormat="false" ht="15" hidden="false" customHeight="false" outlineLevel="0" collapsed="false">
      <c r="A2680" s="21" t="s">
        <v>3895</v>
      </c>
      <c r="B2680" s="21" t="s">
        <v>1005</v>
      </c>
      <c r="C2680" s="21" t="s">
        <v>1183</v>
      </c>
      <c r="D2680" s="21" t="s">
        <v>1243</v>
      </c>
      <c r="E2680" s="33" t="n">
        <v>45993</v>
      </c>
      <c r="F2680" s="21" t="s">
        <v>1197</v>
      </c>
      <c r="G2680" s="32"/>
      <c r="H2680" s="21"/>
      <c r="I2680" s="33"/>
      <c r="J2680" s="21" t="str">
        <f aca="false">INDEX(Students!$C$2:$C$601,MATCH(B2680,Students!$A$2:$A$601,0))</f>
        <v>Batch 2026</v>
      </c>
      <c r="K2680" s="21" t="str">
        <f aca="false">INDEX(Students!$D$2:$D$601,MATCH(B2680,Students!$A$2:$A$601,0))</f>
        <v>Data Science &amp; ML</v>
      </c>
      <c r="L2680" s="21" t="str">
        <f aca="false">INDEX(Companies!$C$2:$C$31,MATCH(C2680,Companies!$A$2:$A$31,0))</f>
        <v>E-commerce</v>
      </c>
      <c r="M2680" s="21" t="str">
        <f aca="false">INDEX(Companies!$D$2:$D$31,MATCH(C2680,Companies!$A$2:$A$31,0))</f>
        <v>Tier 2</v>
      </c>
      <c r="N2680" s="34" t="n">
        <f aca="false">MATCH(F2680,Assumptions!$K$4:$K$8,0)</f>
        <v>3</v>
      </c>
      <c r="O2680" s="21" t="str">
        <f aca="false">IF(H2680="Yes",MONTH(I2680),"")</f>
        <v/>
      </c>
      <c r="P2680" s="21" t="str">
        <f aca="false">IF(H2680="Yes",B2680,"")</f>
        <v/>
      </c>
    </row>
    <row r="2681" customFormat="false" ht="15" hidden="false" customHeight="false" outlineLevel="0" collapsed="false">
      <c r="A2681" s="21" t="s">
        <v>3896</v>
      </c>
      <c r="B2681" s="21" t="s">
        <v>811</v>
      </c>
      <c r="C2681" s="21" t="s">
        <v>1180</v>
      </c>
      <c r="D2681" s="21" t="s">
        <v>1191</v>
      </c>
      <c r="E2681" s="33" t="n">
        <v>45993</v>
      </c>
      <c r="F2681" s="21" t="s">
        <v>1178</v>
      </c>
      <c r="G2681" s="32"/>
      <c r="H2681" s="21"/>
      <c r="I2681" s="33"/>
      <c r="J2681" s="21" t="str">
        <f aca="false">INDEX(Students!$C$2:$C$601,MATCH(B2681,Students!$A$2:$A$601,0))</f>
        <v>Batch 2026</v>
      </c>
      <c r="K2681" s="21" t="str">
        <f aca="false">INDEX(Students!$D$2:$D$601,MATCH(B2681,Students!$A$2:$A$601,0))</f>
        <v>DSA with Java</v>
      </c>
      <c r="L2681" s="21" t="str">
        <f aca="false">INDEX(Companies!$C$2:$C$31,MATCH(C2681,Companies!$A$2:$A$31,0))</f>
        <v>IT Services</v>
      </c>
      <c r="M2681" s="21" t="str">
        <f aca="false">INDEX(Companies!$D$2:$D$31,MATCH(C2681,Companies!$A$2:$A$31,0))</f>
        <v>Tier 3</v>
      </c>
      <c r="N2681" s="34" t="n">
        <f aca="false">MATCH(F2681,Assumptions!$K$4:$K$8,0)</f>
        <v>2</v>
      </c>
      <c r="O2681" s="21" t="str">
        <f aca="false">IF(H2681="Yes",MONTH(I2681),"")</f>
        <v/>
      </c>
      <c r="P2681" s="21" t="str">
        <f aca="false">IF(H2681="Yes",B2681,"")</f>
        <v/>
      </c>
    </row>
    <row r="2682" customFormat="false" ht="15" hidden="false" customHeight="false" outlineLevel="0" collapsed="false">
      <c r="A2682" s="21" t="s">
        <v>3897</v>
      </c>
      <c r="B2682" s="21" t="s">
        <v>927</v>
      </c>
      <c r="C2682" s="21" t="s">
        <v>1322</v>
      </c>
      <c r="D2682" s="21" t="s">
        <v>1243</v>
      </c>
      <c r="E2682" s="33" t="n">
        <v>45993</v>
      </c>
      <c r="F2682" s="21" t="s">
        <v>1197</v>
      </c>
      <c r="G2682" s="32"/>
      <c r="H2682" s="21"/>
      <c r="I2682" s="33"/>
      <c r="J2682" s="21" t="str">
        <f aca="false">INDEX(Students!$C$2:$C$601,MATCH(B2682,Students!$A$2:$A$601,0))</f>
        <v>Batch 2026</v>
      </c>
      <c r="K2682" s="21" t="str">
        <f aca="false">INDEX(Students!$D$2:$D$601,MATCH(B2682,Students!$A$2:$A$601,0))</f>
        <v>Data Science &amp; ML</v>
      </c>
      <c r="L2682" s="21" t="str">
        <f aca="false">INDEX(Companies!$C$2:$C$31,MATCH(C2682,Companies!$A$2:$A$31,0))</f>
        <v>Healthtech</v>
      </c>
      <c r="M2682" s="21" t="str">
        <f aca="false">INDEX(Companies!$D$2:$D$31,MATCH(C2682,Companies!$A$2:$A$31,0))</f>
        <v>Tier 2</v>
      </c>
      <c r="N2682" s="34" t="n">
        <f aca="false">MATCH(F2682,Assumptions!$K$4:$K$8,0)</f>
        <v>3</v>
      </c>
      <c r="O2682" s="21" t="str">
        <f aca="false">IF(H2682="Yes",MONTH(I2682),"")</f>
        <v/>
      </c>
      <c r="P2682" s="21" t="str">
        <f aca="false">IF(H2682="Yes",B2682,"")</f>
        <v/>
      </c>
    </row>
    <row r="2683" customFormat="false" ht="15" hidden="false" customHeight="false" outlineLevel="0" collapsed="false">
      <c r="A2683" s="21" t="s">
        <v>3898</v>
      </c>
      <c r="B2683" s="21" t="s">
        <v>907</v>
      </c>
      <c r="C2683" s="21" t="s">
        <v>1255</v>
      </c>
      <c r="D2683" s="21" t="s">
        <v>1194</v>
      </c>
      <c r="E2683" s="33" t="n">
        <v>45993</v>
      </c>
      <c r="F2683" s="21" t="s">
        <v>1197</v>
      </c>
      <c r="G2683" s="32"/>
      <c r="H2683" s="21"/>
      <c r="I2683" s="33"/>
      <c r="J2683" s="21" t="str">
        <f aca="false">INDEX(Students!$C$2:$C$601,MATCH(B2683,Students!$A$2:$A$601,0))</f>
        <v>Batch 2026</v>
      </c>
      <c r="K2683" s="21" t="str">
        <f aca="false">INDEX(Students!$D$2:$D$601,MATCH(B2683,Students!$A$2:$A$601,0))</f>
        <v>Data Science &amp; ML</v>
      </c>
      <c r="L2683" s="21" t="str">
        <f aca="false">INDEX(Companies!$C$2:$C$31,MATCH(C2683,Companies!$A$2:$A$31,0))</f>
        <v>IT Services</v>
      </c>
      <c r="M2683" s="21" t="str">
        <f aca="false">INDEX(Companies!$D$2:$D$31,MATCH(C2683,Companies!$A$2:$A$31,0))</f>
        <v>Tier 3</v>
      </c>
      <c r="N2683" s="34" t="n">
        <f aca="false">MATCH(F2683,Assumptions!$K$4:$K$8,0)</f>
        <v>3</v>
      </c>
      <c r="O2683" s="21" t="str">
        <f aca="false">IF(H2683="Yes",MONTH(I2683),"")</f>
        <v/>
      </c>
      <c r="P2683" s="21" t="str">
        <f aca="false">IF(H2683="Yes",B2683,"")</f>
        <v/>
      </c>
    </row>
    <row r="2684" customFormat="false" ht="15" hidden="false" customHeight="false" outlineLevel="0" collapsed="false">
      <c r="A2684" s="21" t="s">
        <v>3899</v>
      </c>
      <c r="B2684" s="21" t="s">
        <v>1054</v>
      </c>
      <c r="C2684" s="21" t="s">
        <v>1255</v>
      </c>
      <c r="D2684" s="21" t="s">
        <v>1181</v>
      </c>
      <c r="E2684" s="33" t="n">
        <v>45993</v>
      </c>
      <c r="F2684" s="21" t="s">
        <v>1178</v>
      </c>
      <c r="G2684" s="32"/>
      <c r="H2684" s="21"/>
      <c r="I2684" s="33"/>
      <c r="J2684" s="21" t="str">
        <f aca="false">INDEX(Students!$C$2:$C$601,MATCH(B2684,Students!$A$2:$A$601,0))</f>
        <v>Batch 2026</v>
      </c>
      <c r="K2684" s="21" t="str">
        <f aca="false">INDEX(Students!$D$2:$D$601,MATCH(B2684,Students!$A$2:$A$601,0))</f>
        <v>Full Stack Development</v>
      </c>
      <c r="L2684" s="21" t="str">
        <f aca="false">INDEX(Companies!$C$2:$C$31,MATCH(C2684,Companies!$A$2:$A$31,0))</f>
        <v>IT Services</v>
      </c>
      <c r="M2684" s="21" t="str">
        <f aca="false">INDEX(Companies!$D$2:$D$31,MATCH(C2684,Companies!$A$2:$A$31,0))</f>
        <v>Tier 3</v>
      </c>
      <c r="N2684" s="34" t="n">
        <f aca="false">MATCH(F2684,Assumptions!$K$4:$K$8,0)</f>
        <v>2</v>
      </c>
      <c r="O2684" s="21" t="str">
        <f aca="false">IF(H2684="Yes",MONTH(I2684),"")</f>
        <v/>
      </c>
      <c r="P2684" s="21" t="str">
        <f aca="false">IF(H2684="Yes",B2684,"")</f>
        <v/>
      </c>
    </row>
    <row r="2685" customFormat="false" ht="15" hidden="false" customHeight="false" outlineLevel="0" collapsed="false">
      <c r="A2685" s="21" t="s">
        <v>3900</v>
      </c>
      <c r="B2685" s="21" t="s">
        <v>1011</v>
      </c>
      <c r="C2685" s="21" t="s">
        <v>1187</v>
      </c>
      <c r="D2685" s="21" t="s">
        <v>1174</v>
      </c>
      <c r="E2685" s="33" t="n">
        <v>45993</v>
      </c>
      <c r="F2685" s="21" t="s">
        <v>1175</v>
      </c>
      <c r="G2685" s="32"/>
      <c r="H2685" s="21"/>
      <c r="I2685" s="33"/>
      <c r="J2685" s="21" t="str">
        <f aca="false">INDEX(Students!$C$2:$C$601,MATCH(B2685,Students!$A$2:$A$601,0))</f>
        <v>Batch 2026</v>
      </c>
      <c r="K2685" s="21" t="str">
        <f aca="false">INDEX(Students!$D$2:$D$601,MATCH(B2685,Students!$A$2:$A$601,0))</f>
        <v>Full Stack Development</v>
      </c>
      <c r="L2685" s="21" t="str">
        <f aca="false">INDEX(Companies!$C$2:$C$31,MATCH(C2685,Companies!$A$2:$A$31,0))</f>
        <v>Product</v>
      </c>
      <c r="M2685" s="21" t="str">
        <f aca="false">INDEX(Companies!$D$2:$D$31,MATCH(C2685,Companies!$A$2:$A$31,0))</f>
        <v>Tier 1</v>
      </c>
      <c r="N2685" s="34" t="n">
        <f aca="false">MATCH(F2685,Assumptions!$K$4:$K$8,0)</f>
        <v>1</v>
      </c>
      <c r="O2685" s="21" t="str">
        <f aca="false">IF(H2685="Yes",MONTH(I2685),"")</f>
        <v/>
      </c>
      <c r="P2685" s="21" t="str">
        <f aca="false">IF(H2685="Yes",B2685,"")</f>
        <v/>
      </c>
    </row>
    <row r="2686" customFormat="false" ht="15" hidden="false" customHeight="false" outlineLevel="0" collapsed="false">
      <c r="A2686" s="21" t="s">
        <v>3901</v>
      </c>
      <c r="B2686" s="21" t="s">
        <v>963</v>
      </c>
      <c r="C2686" s="21" t="s">
        <v>1298</v>
      </c>
      <c r="D2686" s="21" t="s">
        <v>1174</v>
      </c>
      <c r="E2686" s="33" t="n">
        <v>45993</v>
      </c>
      <c r="F2686" s="21" t="s">
        <v>1175</v>
      </c>
      <c r="G2686" s="32"/>
      <c r="H2686" s="21"/>
      <c r="I2686" s="33"/>
      <c r="J2686" s="21" t="str">
        <f aca="false">INDEX(Students!$C$2:$C$601,MATCH(B2686,Students!$A$2:$A$601,0))</f>
        <v>Batch 2026</v>
      </c>
      <c r="K2686" s="21" t="str">
        <f aca="false">INDEX(Students!$D$2:$D$601,MATCH(B2686,Students!$A$2:$A$601,0))</f>
        <v>Full Stack Development</v>
      </c>
      <c r="L2686" s="21" t="str">
        <f aca="false">INDEX(Companies!$C$2:$C$31,MATCH(C2686,Companies!$A$2:$A$31,0))</f>
        <v>Fintech</v>
      </c>
      <c r="M2686" s="21" t="str">
        <f aca="false">INDEX(Companies!$D$2:$D$31,MATCH(C2686,Companies!$A$2:$A$31,0))</f>
        <v>Tier 2</v>
      </c>
      <c r="N2686" s="34" t="n">
        <f aca="false">MATCH(F2686,Assumptions!$K$4:$K$8,0)</f>
        <v>1</v>
      </c>
      <c r="O2686" s="21" t="str">
        <f aca="false">IF(H2686="Yes",MONTH(I2686),"")</f>
        <v/>
      </c>
      <c r="P2686" s="21" t="str">
        <f aca="false">IF(H2686="Yes",B2686,"")</f>
        <v/>
      </c>
    </row>
    <row r="2687" customFormat="false" ht="15" hidden="false" customHeight="false" outlineLevel="0" collapsed="false">
      <c r="A2687" s="21" t="s">
        <v>3902</v>
      </c>
      <c r="B2687" s="21" t="s">
        <v>998</v>
      </c>
      <c r="C2687" s="21" t="s">
        <v>1298</v>
      </c>
      <c r="D2687" s="21" t="s">
        <v>1226</v>
      </c>
      <c r="E2687" s="33" t="n">
        <v>45994</v>
      </c>
      <c r="F2687" s="21" t="s">
        <v>1175</v>
      </c>
      <c r="G2687" s="32"/>
      <c r="H2687" s="21"/>
      <c r="I2687" s="33"/>
      <c r="J2687" s="21" t="str">
        <f aca="false">INDEX(Students!$C$2:$C$601,MATCH(B2687,Students!$A$2:$A$601,0))</f>
        <v>Batch 2026</v>
      </c>
      <c r="K2687" s="21" t="str">
        <f aca="false">INDEX(Students!$D$2:$D$601,MATCH(B2687,Students!$A$2:$A$601,0))</f>
        <v>Cybersecurity</v>
      </c>
      <c r="L2687" s="21" t="str">
        <f aca="false">INDEX(Companies!$C$2:$C$31,MATCH(C2687,Companies!$A$2:$A$31,0))</f>
        <v>Fintech</v>
      </c>
      <c r="M2687" s="21" t="str">
        <f aca="false">INDEX(Companies!$D$2:$D$31,MATCH(C2687,Companies!$A$2:$A$31,0))</f>
        <v>Tier 2</v>
      </c>
      <c r="N2687" s="34" t="n">
        <f aca="false">MATCH(F2687,Assumptions!$K$4:$K$8,0)</f>
        <v>1</v>
      </c>
      <c r="O2687" s="21" t="str">
        <f aca="false">IF(H2687="Yes",MONTH(I2687),"")</f>
        <v/>
      </c>
      <c r="P2687" s="21" t="str">
        <f aca="false">IF(H2687="Yes",B2687,"")</f>
        <v/>
      </c>
    </row>
    <row r="2688" customFormat="false" ht="15" hidden="false" customHeight="false" outlineLevel="0" collapsed="false">
      <c r="A2688" s="21" t="s">
        <v>3903</v>
      </c>
      <c r="B2688" s="21" t="s">
        <v>813</v>
      </c>
      <c r="C2688" s="21" t="s">
        <v>1298</v>
      </c>
      <c r="D2688" s="21" t="s">
        <v>1191</v>
      </c>
      <c r="E2688" s="33" t="n">
        <v>45994</v>
      </c>
      <c r="F2688" s="21" t="s">
        <v>1197</v>
      </c>
      <c r="G2688" s="32"/>
      <c r="H2688" s="21"/>
      <c r="I2688" s="33"/>
      <c r="J2688" s="21" t="str">
        <f aca="false">INDEX(Students!$C$2:$C$601,MATCH(B2688,Students!$A$2:$A$601,0))</f>
        <v>Batch 2026</v>
      </c>
      <c r="K2688" s="21" t="str">
        <f aca="false">INDEX(Students!$D$2:$D$601,MATCH(B2688,Students!$A$2:$A$601,0))</f>
        <v>DSA with Java</v>
      </c>
      <c r="L2688" s="21" t="str">
        <f aca="false">INDEX(Companies!$C$2:$C$31,MATCH(C2688,Companies!$A$2:$A$31,0))</f>
        <v>Fintech</v>
      </c>
      <c r="M2688" s="21" t="str">
        <f aca="false">INDEX(Companies!$D$2:$D$31,MATCH(C2688,Companies!$A$2:$A$31,0))</f>
        <v>Tier 2</v>
      </c>
      <c r="N2688" s="34" t="n">
        <f aca="false">MATCH(F2688,Assumptions!$K$4:$K$8,0)</f>
        <v>3</v>
      </c>
      <c r="O2688" s="21" t="str">
        <f aca="false">IF(H2688="Yes",MONTH(I2688),"")</f>
        <v/>
      </c>
      <c r="P2688" s="21" t="str">
        <f aca="false">IF(H2688="Yes",B2688,"")</f>
        <v/>
      </c>
    </row>
    <row r="2689" customFormat="false" ht="15" hidden="false" customHeight="false" outlineLevel="0" collapsed="false">
      <c r="A2689" s="21" t="s">
        <v>3904</v>
      </c>
      <c r="B2689" s="21" t="s">
        <v>1139</v>
      </c>
      <c r="C2689" s="21" t="s">
        <v>1216</v>
      </c>
      <c r="D2689" s="21" t="s">
        <v>1226</v>
      </c>
      <c r="E2689" s="33" t="n">
        <v>45994</v>
      </c>
      <c r="F2689" s="21" t="s">
        <v>1185</v>
      </c>
      <c r="G2689" s="32" t="n">
        <v>5.8</v>
      </c>
      <c r="H2689" s="21" t="s">
        <v>120</v>
      </c>
      <c r="I2689" s="33" t="n">
        <v>46021</v>
      </c>
      <c r="J2689" s="21" t="str">
        <f aca="false">INDEX(Students!$C$2:$C$601,MATCH(B2689,Students!$A$2:$A$601,0))</f>
        <v>Batch 2026</v>
      </c>
      <c r="K2689" s="21" t="str">
        <f aca="false">INDEX(Students!$D$2:$D$601,MATCH(B2689,Students!$A$2:$A$601,0))</f>
        <v>Cybersecurity</v>
      </c>
      <c r="L2689" s="21" t="str">
        <f aca="false">INDEX(Companies!$C$2:$C$31,MATCH(C2689,Companies!$A$2:$A$31,0))</f>
        <v>IT Services</v>
      </c>
      <c r="M2689" s="21" t="str">
        <f aca="false">INDEX(Companies!$D$2:$D$31,MATCH(C2689,Companies!$A$2:$A$31,0))</f>
        <v>Tier 3</v>
      </c>
      <c r="N2689" s="34" t="n">
        <f aca="false">MATCH(F2689,Assumptions!$K$4:$K$8,0)</f>
        <v>5</v>
      </c>
      <c r="O2689" s="21" t="n">
        <f aca="false">IF(H2689="Yes",MONTH(I2689),"")</f>
        <v>12</v>
      </c>
      <c r="P2689" s="21" t="str">
        <f aca="false">IF(H2689="Yes",B2689,"")</f>
        <v>S0588</v>
      </c>
    </row>
    <row r="2690" customFormat="false" ht="15" hidden="false" customHeight="false" outlineLevel="0" collapsed="false">
      <c r="A2690" s="21" t="s">
        <v>3905</v>
      </c>
      <c r="B2690" s="21" t="s">
        <v>932</v>
      </c>
      <c r="C2690" s="21" t="s">
        <v>1275</v>
      </c>
      <c r="D2690" s="21" t="s">
        <v>1191</v>
      </c>
      <c r="E2690" s="33" t="n">
        <v>45994</v>
      </c>
      <c r="F2690" s="21" t="s">
        <v>1178</v>
      </c>
      <c r="G2690" s="32"/>
      <c r="H2690" s="21"/>
      <c r="I2690" s="33"/>
      <c r="J2690" s="21" t="str">
        <f aca="false">INDEX(Students!$C$2:$C$601,MATCH(B2690,Students!$A$2:$A$601,0))</f>
        <v>Batch 2026</v>
      </c>
      <c r="K2690" s="21" t="str">
        <f aca="false">INDEX(Students!$D$2:$D$601,MATCH(B2690,Students!$A$2:$A$601,0))</f>
        <v>DSA with Java</v>
      </c>
      <c r="L2690" s="21" t="str">
        <f aca="false">INDEX(Companies!$C$2:$C$31,MATCH(C2690,Companies!$A$2:$A$31,0))</f>
        <v>Cybersecurity</v>
      </c>
      <c r="M2690" s="21" t="str">
        <f aca="false">INDEX(Companies!$D$2:$D$31,MATCH(C2690,Companies!$A$2:$A$31,0))</f>
        <v>Tier 2</v>
      </c>
      <c r="N2690" s="34" t="n">
        <f aca="false">MATCH(F2690,Assumptions!$K$4:$K$8,0)</f>
        <v>2</v>
      </c>
      <c r="O2690" s="21" t="str">
        <f aca="false">IF(H2690="Yes",MONTH(I2690),"")</f>
        <v/>
      </c>
      <c r="P2690" s="21" t="str">
        <f aca="false">IF(H2690="Yes",B2690,"")</f>
        <v/>
      </c>
    </row>
    <row r="2691" customFormat="false" ht="15" hidden="false" customHeight="false" outlineLevel="0" collapsed="false">
      <c r="A2691" s="21" t="s">
        <v>3906</v>
      </c>
      <c r="B2691" s="21" t="s">
        <v>921</v>
      </c>
      <c r="C2691" s="21" t="s">
        <v>1255</v>
      </c>
      <c r="D2691" s="21" t="s">
        <v>1191</v>
      </c>
      <c r="E2691" s="33" t="n">
        <v>45994</v>
      </c>
      <c r="F2691" s="21" t="s">
        <v>1185</v>
      </c>
      <c r="G2691" s="32" t="n">
        <v>6.4</v>
      </c>
      <c r="H2691" s="21" t="s">
        <v>113</v>
      </c>
      <c r="I2691" s="33" t="n">
        <v>46036</v>
      </c>
      <c r="J2691" s="21" t="str">
        <f aca="false">INDEX(Students!$C$2:$C$601,MATCH(B2691,Students!$A$2:$A$601,0))</f>
        <v>Batch 2026</v>
      </c>
      <c r="K2691" s="21" t="str">
        <f aca="false">INDEX(Students!$D$2:$D$601,MATCH(B2691,Students!$A$2:$A$601,0))</f>
        <v>DSA with Java</v>
      </c>
      <c r="L2691" s="21" t="str">
        <f aca="false">INDEX(Companies!$C$2:$C$31,MATCH(C2691,Companies!$A$2:$A$31,0))</f>
        <v>IT Services</v>
      </c>
      <c r="M2691" s="21" t="str">
        <f aca="false">INDEX(Companies!$D$2:$D$31,MATCH(C2691,Companies!$A$2:$A$31,0))</f>
        <v>Tier 3</v>
      </c>
      <c r="N2691" s="34" t="n">
        <f aca="false">MATCH(F2691,Assumptions!$K$4:$K$8,0)</f>
        <v>5</v>
      </c>
      <c r="O2691" s="21" t="str">
        <f aca="false">IF(H2691="Yes",MONTH(I2691),"")</f>
        <v/>
      </c>
      <c r="P2691" s="21" t="str">
        <f aca="false">IF(H2691="Yes",B2691,"")</f>
        <v/>
      </c>
    </row>
    <row r="2692" customFormat="false" ht="15" hidden="false" customHeight="false" outlineLevel="0" collapsed="false">
      <c r="A2692" s="21" t="s">
        <v>3907</v>
      </c>
      <c r="B2692" s="21" t="s">
        <v>1034</v>
      </c>
      <c r="C2692" s="21" t="s">
        <v>1177</v>
      </c>
      <c r="D2692" s="21" t="s">
        <v>1184</v>
      </c>
      <c r="E2692" s="33" t="n">
        <v>45994</v>
      </c>
      <c r="F2692" s="21" t="s">
        <v>1185</v>
      </c>
      <c r="G2692" s="32" t="n">
        <v>6</v>
      </c>
      <c r="H2692" s="21" t="s">
        <v>113</v>
      </c>
      <c r="I2692" s="33" t="n">
        <v>46024</v>
      </c>
      <c r="J2692" s="21" t="str">
        <f aca="false">INDEX(Students!$C$2:$C$601,MATCH(B2692,Students!$A$2:$A$601,0))</f>
        <v>Batch 2026</v>
      </c>
      <c r="K2692" s="21" t="str">
        <f aca="false">INDEX(Students!$D$2:$D$601,MATCH(B2692,Students!$A$2:$A$601,0))</f>
        <v>DSA with Java</v>
      </c>
      <c r="L2692" s="21" t="str">
        <f aca="false">INDEX(Companies!$C$2:$C$31,MATCH(C2692,Companies!$A$2:$A$31,0))</f>
        <v>IT Services</v>
      </c>
      <c r="M2692" s="21" t="str">
        <f aca="false">INDEX(Companies!$D$2:$D$31,MATCH(C2692,Companies!$A$2:$A$31,0))</f>
        <v>Tier 3</v>
      </c>
      <c r="N2692" s="34" t="n">
        <f aca="false">MATCH(F2692,Assumptions!$K$4:$K$8,0)</f>
        <v>5</v>
      </c>
      <c r="O2692" s="21" t="str">
        <f aca="false">IF(H2692="Yes",MONTH(I2692),"")</f>
        <v/>
      </c>
      <c r="P2692" s="21" t="str">
        <f aca="false">IF(H2692="Yes",B2692,"")</f>
        <v/>
      </c>
    </row>
    <row r="2693" customFormat="false" ht="15" hidden="false" customHeight="false" outlineLevel="0" collapsed="false">
      <c r="A2693" s="21" t="s">
        <v>3908</v>
      </c>
      <c r="B2693" s="21" t="s">
        <v>933</v>
      </c>
      <c r="C2693" s="21" t="s">
        <v>1214</v>
      </c>
      <c r="D2693" s="21" t="s">
        <v>1181</v>
      </c>
      <c r="E2693" s="33" t="n">
        <v>45995</v>
      </c>
      <c r="F2693" s="21" t="s">
        <v>1178</v>
      </c>
      <c r="G2693" s="32"/>
      <c r="H2693" s="21"/>
      <c r="I2693" s="33"/>
      <c r="J2693" s="21" t="str">
        <f aca="false">INDEX(Students!$C$2:$C$601,MATCH(B2693,Students!$A$2:$A$601,0))</f>
        <v>Batch 2026</v>
      </c>
      <c r="K2693" s="21" t="str">
        <f aca="false">INDEX(Students!$D$2:$D$601,MATCH(B2693,Students!$A$2:$A$601,0))</f>
        <v>Full Stack Development</v>
      </c>
      <c r="L2693" s="21" t="str">
        <f aca="false">INDEX(Companies!$C$2:$C$31,MATCH(C2693,Companies!$A$2:$A$31,0))</f>
        <v>Product</v>
      </c>
      <c r="M2693" s="21" t="str">
        <f aca="false">INDEX(Companies!$D$2:$D$31,MATCH(C2693,Companies!$A$2:$A$31,0))</f>
        <v>Tier 1</v>
      </c>
      <c r="N2693" s="34" t="n">
        <f aca="false">MATCH(F2693,Assumptions!$K$4:$K$8,0)</f>
        <v>2</v>
      </c>
      <c r="O2693" s="21" t="str">
        <f aca="false">IF(H2693="Yes",MONTH(I2693),"")</f>
        <v/>
      </c>
      <c r="P2693" s="21" t="str">
        <f aca="false">IF(H2693="Yes",B2693,"")</f>
        <v/>
      </c>
    </row>
    <row r="2694" customFormat="false" ht="15" hidden="false" customHeight="false" outlineLevel="0" collapsed="false">
      <c r="A2694" s="21" t="s">
        <v>3909</v>
      </c>
      <c r="B2694" s="21" t="s">
        <v>1039</v>
      </c>
      <c r="C2694" s="21" t="s">
        <v>1225</v>
      </c>
      <c r="D2694" s="21" t="s">
        <v>1191</v>
      </c>
      <c r="E2694" s="33" t="n">
        <v>45995</v>
      </c>
      <c r="F2694" s="21" t="s">
        <v>1185</v>
      </c>
      <c r="G2694" s="32" t="n">
        <v>16</v>
      </c>
      <c r="H2694" s="21" t="s">
        <v>120</v>
      </c>
      <c r="I2694" s="33" t="n">
        <v>46029</v>
      </c>
      <c r="J2694" s="21" t="str">
        <f aca="false">INDEX(Students!$C$2:$C$601,MATCH(B2694,Students!$A$2:$A$601,0))</f>
        <v>Batch 2026</v>
      </c>
      <c r="K2694" s="21" t="str">
        <f aca="false">INDEX(Students!$D$2:$D$601,MATCH(B2694,Students!$A$2:$A$601,0))</f>
        <v>DSA with Java</v>
      </c>
      <c r="L2694" s="21" t="str">
        <f aca="false">INDEX(Companies!$C$2:$C$31,MATCH(C2694,Companies!$A$2:$A$31,0))</f>
        <v>EdTech</v>
      </c>
      <c r="M2694" s="21" t="str">
        <f aca="false">INDEX(Companies!$D$2:$D$31,MATCH(C2694,Companies!$A$2:$A$31,0))</f>
        <v>Tier 2</v>
      </c>
      <c r="N2694" s="34" t="n">
        <f aca="false">MATCH(F2694,Assumptions!$K$4:$K$8,0)</f>
        <v>5</v>
      </c>
      <c r="O2694" s="21" t="n">
        <f aca="false">IF(H2694="Yes",MONTH(I2694),"")</f>
        <v>1</v>
      </c>
      <c r="P2694" s="21" t="str">
        <f aca="false">IF(H2694="Yes",B2694,"")</f>
        <v>S0524</v>
      </c>
    </row>
    <row r="2695" customFormat="false" ht="15" hidden="false" customHeight="false" outlineLevel="0" collapsed="false">
      <c r="A2695" s="21" t="s">
        <v>3910</v>
      </c>
      <c r="B2695" s="21" t="s">
        <v>921</v>
      </c>
      <c r="C2695" s="21" t="s">
        <v>1208</v>
      </c>
      <c r="D2695" s="21" t="s">
        <v>1191</v>
      </c>
      <c r="E2695" s="33" t="n">
        <v>45995</v>
      </c>
      <c r="F2695" s="21" t="s">
        <v>1175</v>
      </c>
      <c r="G2695" s="32"/>
      <c r="H2695" s="21"/>
      <c r="I2695" s="33"/>
      <c r="J2695" s="21" t="str">
        <f aca="false">INDEX(Students!$C$2:$C$601,MATCH(B2695,Students!$A$2:$A$601,0))</f>
        <v>Batch 2026</v>
      </c>
      <c r="K2695" s="21" t="str">
        <f aca="false">INDEX(Students!$D$2:$D$601,MATCH(B2695,Students!$A$2:$A$601,0))</f>
        <v>DSA with Java</v>
      </c>
      <c r="L2695" s="21" t="str">
        <f aca="false">INDEX(Companies!$C$2:$C$31,MATCH(C2695,Companies!$A$2:$A$31,0))</f>
        <v>E-commerce</v>
      </c>
      <c r="M2695" s="21" t="str">
        <f aca="false">INDEX(Companies!$D$2:$D$31,MATCH(C2695,Companies!$A$2:$A$31,0))</f>
        <v>Tier 1</v>
      </c>
      <c r="N2695" s="34" t="n">
        <f aca="false">MATCH(F2695,Assumptions!$K$4:$K$8,0)</f>
        <v>1</v>
      </c>
      <c r="O2695" s="21" t="str">
        <f aca="false">IF(H2695="Yes",MONTH(I2695),"")</f>
        <v/>
      </c>
      <c r="P2695" s="21" t="str">
        <f aca="false">IF(H2695="Yes",B2695,"")</f>
        <v/>
      </c>
    </row>
    <row r="2696" customFormat="false" ht="15" hidden="false" customHeight="false" outlineLevel="0" collapsed="false">
      <c r="A2696" s="21" t="s">
        <v>3911</v>
      </c>
      <c r="B2696" s="21" t="s">
        <v>1136</v>
      </c>
      <c r="C2696" s="21" t="s">
        <v>1201</v>
      </c>
      <c r="D2696" s="21" t="s">
        <v>1209</v>
      </c>
      <c r="E2696" s="33" t="n">
        <v>45996</v>
      </c>
      <c r="F2696" s="21" t="s">
        <v>1218</v>
      </c>
      <c r="G2696" s="32"/>
      <c r="H2696" s="21"/>
      <c r="I2696" s="33"/>
      <c r="J2696" s="21" t="str">
        <f aca="false">INDEX(Students!$C$2:$C$601,MATCH(B2696,Students!$A$2:$A$601,0))</f>
        <v>Batch 2026</v>
      </c>
      <c r="K2696" s="21" t="str">
        <f aca="false">INDEX(Students!$D$2:$D$601,MATCH(B2696,Students!$A$2:$A$601,0))</f>
        <v>Data Analytics</v>
      </c>
      <c r="L2696" s="21" t="str">
        <f aca="false">INDEX(Companies!$C$2:$C$31,MATCH(C2696,Companies!$A$2:$A$31,0))</f>
        <v>IT Services</v>
      </c>
      <c r="M2696" s="21" t="str">
        <f aca="false">INDEX(Companies!$D$2:$D$31,MATCH(C2696,Companies!$A$2:$A$31,0))</f>
        <v>Tier 3</v>
      </c>
      <c r="N2696" s="34" t="n">
        <f aca="false">MATCH(F2696,Assumptions!$K$4:$K$8,0)</f>
        <v>4</v>
      </c>
      <c r="O2696" s="21" t="str">
        <f aca="false">IF(H2696="Yes",MONTH(I2696),"")</f>
        <v/>
      </c>
      <c r="P2696" s="21" t="str">
        <f aca="false">IF(H2696="Yes",B2696,"")</f>
        <v/>
      </c>
    </row>
    <row r="2697" customFormat="false" ht="15" hidden="false" customHeight="false" outlineLevel="0" collapsed="false">
      <c r="A2697" s="21" t="s">
        <v>3912</v>
      </c>
      <c r="B2697" s="21" t="s">
        <v>1125</v>
      </c>
      <c r="C2697" s="21" t="s">
        <v>1216</v>
      </c>
      <c r="D2697" s="21" t="s">
        <v>1209</v>
      </c>
      <c r="E2697" s="33" t="n">
        <v>45996</v>
      </c>
      <c r="F2697" s="21" t="s">
        <v>1175</v>
      </c>
      <c r="G2697" s="32"/>
      <c r="H2697" s="21"/>
      <c r="I2697" s="33"/>
      <c r="J2697" s="21" t="str">
        <f aca="false">INDEX(Students!$C$2:$C$601,MATCH(B2697,Students!$A$2:$A$601,0))</f>
        <v>Batch 2026</v>
      </c>
      <c r="K2697" s="21" t="str">
        <f aca="false">INDEX(Students!$D$2:$D$601,MATCH(B2697,Students!$A$2:$A$601,0))</f>
        <v>Data Analytics</v>
      </c>
      <c r="L2697" s="21" t="str">
        <f aca="false">INDEX(Companies!$C$2:$C$31,MATCH(C2697,Companies!$A$2:$A$31,0))</f>
        <v>IT Services</v>
      </c>
      <c r="M2697" s="21" t="str">
        <f aca="false">INDEX(Companies!$D$2:$D$31,MATCH(C2697,Companies!$A$2:$A$31,0))</f>
        <v>Tier 3</v>
      </c>
      <c r="N2697" s="34" t="n">
        <f aca="false">MATCH(F2697,Assumptions!$K$4:$K$8,0)</f>
        <v>1</v>
      </c>
      <c r="O2697" s="21" t="str">
        <f aca="false">IF(H2697="Yes",MONTH(I2697),"")</f>
        <v/>
      </c>
      <c r="P2697" s="21" t="str">
        <f aca="false">IF(H2697="Yes",B2697,"")</f>
        <v/>
      </c>
    </row>
    <row r="2698" customFormat="false" ht="15" hidden="false" customHeight="false" outlineLevel="0" collapsed="false">
      <c r="A2698" s="21" t="s">
        <v>3913</v>
      </c>
      <c r="B2698" s="21" t="s">
        <v>916</v>
      </c>
      <c r="C2698" s="21" t="s">
        <v>1322</v>
      </c>
      <c r="D2698" s="21" t="s">
        <v>1191</v>
      </c>
      <c r="E2698" s="33" t="n">
        <v>45996</v>
      </c>
      <c r="F2698" s="21" t="s">
        <v>1175</v>
      </c>
      <c r="G2698" s="32"/>
      <c r="H2698" s="21"/>
      <c r="I2698" s="33"/>
      <c r="J2698" s="21" t="str">
        <f aca="false">INDEX(Students!$C$2:$C$601,MATCH(B2698,Students!$A$2:$A$601,0))</f>
        <v>Batch 2026</v>
      </c>
      <c r="K2698" s="21" t="str">
        <f aca="false">INDEX(Students!$D$2:$D$601,MATCH(B2698,Students!$A$2:$A$601,0))</f>
        <v>DSA with Java</v>
      </c>
      <c r="L2698" s="21" t="str">
        <f aca="false">INDEX(Companies!$C$2:$C$31,MATCH(C2698,Companies!$A$2:$A$31,0))</f>
        <v>Healthtech</v>
      </c>
      <c r="M2698" s="21" t="str">
        <f aca="false">INDEX(Companies!$D$2:$D$31,MATCH(C2698,Companies!$A$2:$A$31,0))</f>
        <v>Tier 2</v>
      </c>
      <c r="N2698" s="34" t="n">
        <f aca="false">MATCH(F2698,Assumptions!$K$4:$K$8,0)</f>
        <v>1</v>
      </c>
      <c r="O2698" s="21" t="str">
        <f aca="false">IF(H2698="Yes",MONTH(I2698),"")</f>
        <v/>
      </c>
      <c r="P2698" s="21" t="str">
        <f aca="false">IF(H2698="Yes",B2698,"")</f>
        <v/>
      </c>
    </row>
    <row r="2699" customFormat="false" ht="15" hidden="false" customHeight="false" outlineLevel="0" collapsed="false">
      <c r="A2699" s="21" t="s">
        <v>3914</v>
      </c>
      <c r="B2699" s="21" t="s">
        <v>892</v>
      </c>
      <c r="C2699" s="21" t="s">
        <v>1228</v>
      </c>
      <c r="D2699" s="21" t="s">
        <v>1191</v>
      </c>
      <c r="E2699" s="33" t="n">
        <v>45996</v>
      </c>
      <c r="F2699" s="21" t="s">
        <v>1218</v>
      </c>
      <c r="G2699" s="32"/>
      <c r="H2699" s="21"/>
      <c r="I2699" s="33"/>
      <c r="J2699" s="21" t="str">
        <f aca="false">INDEX(Students!$C$2:$C$601,MATCH(B2699,Students!$A$2:$A$601,0))</f>
        <v>Batch 2026</v>
      </c>
      <c r="K2699" s="21" t="str">
        <f aca="false">INDEX(Students!$D$2:$D$601,MATCH(B2699,Students!$A$2:$A$601,0))</f>
        <v>DSA with Java</v>
      </c>
      <c r="L2699" s="21" t="str">
        <f aca="false">INDEX(Companies!$C$2:$C$31,MATCH(C2699,Companies!$A$2:$A$31,0))</f>
        <v>Fintech</v>
      </c>
      <c r="M2699" s="21" t="str">
        <f aca="false">INDEX(Companies!$D$2:$D$31,MATCH(C2699,Companies!$A$2:$A$31,0))</f>
        <v>Tier 1</v>
      </c>
      <c r="N2699" s="34" t="n">
        <f aca="false">MATCH(F2699,Assumptions!$K$4:$K$8,0)</f>
        <v>4</v>
      </c>
      <c r="O2699" s="21" t="str">
        <f aca="false">IF(H2699="Yes",MONTH(I2699),"")</f>
        <v/>
      </c>
      <c r="P2699" s="21" t="str">
        <f aca="false">IF(H2699="Yes",B2699,"")</f>
        <v/>
      </c>
    </row>
    <row r="2700" customFormat="false" ht="15" hidden="false" customHeight="false" outlineLevel="0" collapsed="false">
      <c r="A2700" s="21" t="s">
        <v>3915</v>
      </c>
      <c r="B2700" s="21" t="s">
        <v>842</v>
      </c>
      <c r="C2700" s="21" t="s">
        <v>1216</v>
      </c>
      <c r="D2700" s="21" t="s">
        <v>1191</v>
      </c>
      <c r="E2700" s="33" t="n">
        <v>45996</v>
      </c>
      <c r="F2700" s="21" t="s">
        <v>1178</v>
      </c>
      <c r="G2700" s="32"/>
      <c r="H2700" s="21"/>
      <c r="I2700" s="33"/>
      <c r="J2700" s="21" t="str">
        <f aca="false">INDEX(Students!$C$2:$C$601,MATCH(B2700,Students!$A$2:$A$601,0))</f>
        <v>Batch 2026</v>
      </c>
      <c r="K2700" s="21" t="str">
        <f aca="false">INDEX(Students!$D$2:$D$601,MATCH(B2700,Students!$A$2:$A$601,0))</f>
        <v>DSA with Java</v>
      </c>
      <c r="L2700" s="21" t="str">
        <f aca="false">INDEX(Companies!$C$2:$C$31,MATCH(C2700,Companies!$A$2:$A$31,0))</f>
        <v>IT Services</v>
      </c>
      <c r="M2700" s="21" t="str">
        <f aca="false">INDEX(Companies!$D$2:$D$31,MATCH(C2700,Companies!$A$2:$A$31,0))</f>
        <v>Tier 3</v>
      </c>
      <c r="N2700" s="34" t="n">
        <f aca="false">MATCH(F2700,Assumptions!$K$4:$K$8,0)</f>
        <v>2</v>
      </c>
      <c r="O2700" s="21" t="str">
        <f aca="false">IF(H2700="Yes",MONTH(I2700),"")</f>
        <v/>
      </c>
      <c r="P2700" s="21" t="str">
        <f aca="false">IF(H2700="Yes",B2700,"")</f>
        <v/>
      </c>
    </row>
    <row r="2701" customFormat="false" ht="15" hidden="false" customHeight="false" outlineLevel="0" collapsed="false">
      <c r="A2701" s="21" t="s">
        <v>3916</v>
      </c>
      <c r="B2701" s="21" t="s">
        <v>981</v>
      </c>
      <c r="C2701" s="21" t="s">
        <v>1214</v>
      </c>
      <c r="D2701" s="21" t="s">
        <v>1174</v>
      </c>
      <c r="E2701" s="33" t="n">
        <v>45996</v>
      </c>
      <c r="F2701" s="21" t="s">
        <v>1175</v>
      </c>
      <c r="G2701" s="32"/>
      <c r="H2701" s="21"/>
      <c r="I2701" s="33"/>
      <c r="J2701" s="21" t="str">
        <f aca="false">INDEX(Students!$C$2:$C$601,MATCH(B2701,Students!$A$2:$A$601,0))</f>
        <v>Batch 2026</v>
      </c>
      <c r="K2701" s="21" t="str">
        <f aca="false">INDEX(Students!$D$2:$D$601,MATCH(B2701,Students!$A$2:$A$601,0))</f>
        <v>Full Stack Development</v>
      </c>
      <c r="L2701" s="21" t="str">
        <f aca="false">INDEX(Companies!$C$2:$C$31,MATCH(C2701,Companies!$A$2:$A$31,0))</f>
        <v>Product</v>
      </c>
      <c r="M2701" s="21" t="str">
        <f aca="false">INDEX(Companies!$D$2:$D$31,MATCH(C2701,Companies!$A$2:$A$31,0))</f>
        <v>Tier 1</v>
      </c>
      <c r="N2701" s="34" t="n">
        <f aca="false">MATCH(F2701,Assumptions!$K$4:$K$8,0)</f>
        <v>1</v>
      </c>
      <c r="O2701" s="21" t="str">
        <f aca="false">IF(H2701="Yes",MONTH(I2701),"")</f>
        <v/>
      </c>
      <c r="P2701" s="21" t="str">
        <f aca="false">IF(H2701="Yes",B2701,"")</f>
        <v/>
      </c>
    </row>
    <row r="2702" customFormat="false" ht="15" hidden="false" customHeight="false" outlineLevel="0" collapsed="false">
      <c r="A2702" s="21" t="s">
        <v>3917</v>
      </c>
      <c r="B2702" s="21" t="s">
        <v>1030</v>
      </c>
      <c r="C2702" s="21" t="s">
        <v>1177</v>
      </c>
      <c r="D2702" s="21" t="s">
        <v>1243</v>
      </c>
      <c r="E2702" s="33" t="n">
        <v>45997</v>
      </c>
      <c r="F2702" s="21" t="s">
        <v>1197</v>
      </c>
      <c r="G2702" s="32"/>
      <c r="H2702" s="21"/>
      <c r="I2702" s="33"/>
      <c r="J2702" s="21" t="str">
        <f aca="false">INDEX(Students!$C$2:$C$601,MATCH(B2702,Students!$A$2:$A$601,0))</f>
        <v>Batch 2026</v>
      </c>
      <c r="K2702" s="21" t="str">
        <f aca="false">INDEX(Students!$D$2:$D$601,MATCH(B2702,Students!$A$2:$A$601,0))</f>
        <v>Data Science &amp; ML</v>
      </c>
      <c r="L2702" s="21" t="str">
        <f aca="false">INDEX(Companies!$C$2:$C$31,MATCH(C2702,Companies!$A$2:$A$31,0))</f>
        <v>IT Services</v>
      </c>
      <c r="M2702" s="21" t="str">
        <f aca="false">INDEX(Companies!$D$2:$D$31,MATCH(C2702,Companies!$A$2:$A$31,0))</f>
        <v>Tier 3</v>
      </c>
      <c r="N2702" s="34" t="n">
        <f aca="false">MATCH(F2702,Assumptions!$K$4:$K$8,0)</f>
        <v>3</v>
      </c>
      <c r="O2702" s="21" t="str">
        <f aca="false">IF(H2702="Yes",MONTH(I2702),"")</f>
        <v/>
      </c>
      <c r="P2702" s="21" t="str">
        <f aca="false">IF(H2702="Yes",B2702,"")</f>
        <v/>
      </c>
    </row>
    <row r="2703" customFormat="false" ht="15" hidden="false" customHeight="false" outlineLevel="0" collapsed="false">
      <c r="A2703" s="21" t="s">
        <v>3918</v>
      </c>
      <c r="B2703" s="21" t="s">
        <v>1123</v>
      </c>
      <c r="C2703" s="21" t="s">
        <v>1216</v>
      </c>
      <c r="D2703" s="21" t="s">
        <v>1181</v>
      </c>
      <c r="E2703" s="33" t="n">
        <v>45997</v>
      </c>
      <c r="F2703" s="21" t="s">
        <v>1185</v>
      </c>
      <c r="G2703" s="32" t="n">
        <v>4.3</v>
      </c>
      <c r="H2703" s="21" t="s">
        <v>120</v>
      </c>
      <c r="I2703" s="33" t="n">
        <v>46038</v>
      </c>
      <c r="J2703" s="21" t="str">
        <f aca="false">INDEX(Students!$C$2:$C$601,MATCH(B2703,Students!$A$2:$A$601,0))</f>
        <v>Batch 2026</v>
      </c>
      <c r="K2703" s="21" t="str">
        <f aca="false">INDEX(Students!$D$2:$D$601,MATCH(B2703,Students!$A$2:$A$601,0))</f>
        <v>Full Stack Development</v>
      </c>
      <c r="L2703" s="21" t="str">
        <f aca="false">INDEX(Companies!$C$2:$C$31,MATCH(C2703,Companies!$A$2:$A$31,0))</f>
        <v>IT Services</v>
      </c>
      <c r="M2703" s="21" t="str">
        <f aca="false">INDEX(Companies!$D$2:$D$31,MATCH(C2703,Companies!$A$2:$A$31,0))</f>
        <v>Tier 3</v>
      </c>
      <c r="N2703" s="34" t="n">
        <f aca="false">MATCH(F2703,Assumptions!$K$4:$K$8,0)</f>
        <v>5</v>
      </c>
      <c r="O2703" s="21" t="n">
        <f aca="false">IF(H2703="Yes",MONTH(I2703),"")</f>
        <v>1</v>
      </c>
      <c r="P2703" s="21" t="str">
        <f aca="false">IF(H2703="Yes",B2703,"")</f>
        <v>S0576</v>
      </c>
    </row>
    <row r="2704" customFormat="false" ht="15" hidden="false" customHeight="false" outlineLevel="0" collapsed="false">
      <c r="A2704" s="21" t="s">
        <v>3919</v>
      </c>
      <c r="B2704" s="21" t="s">
        <v>1053</v>
      </c>
      <c r="C2704" s="21" t="s">
        <v>1211</v>
      </c>
      <c r="D2704" s="21" t="s">
        <v>1191</v>
      </c>
      <c r="E2704" s="33" t="n">
        <v>45997</v>
      </c>
      <c r="F2704" s="21" t="s">
        <v>1185</v>
      </c>
      <c r="G2704" s="32" t="n">
        <v>4.4</v>
      </c>
      <c r="H2704" s="21" t="s">
        <v>113</v>
      </c>
      <c r="I2704" s="33" t="n">
        <v>46027</v>
      </c>
      <c r="J2704" s="21" t="str">
        <f aca="false">INDEX(Students!$C$2:$C$601,MATCH(B2704,Students!$A$2:$A$601,0))</f>
        <v>Batch 2026</v>
      </c>
      <c r="K2704" s="21" t="str">
        <f aca="false">INDEX(Students!$D$2:$D$601,MATCH(B2704,Students!$A$2:$A$601,0))</f>
        <v>DSA with Java</v>
      </c>
      <c r="L2704" s="21" t="str">
        <f aca="false">INDEX(Companies!$C$2:$C$31,MATCH(C2704,Companies!$A$2:$A$31,0))</f>
        <v>Analytics &amp; Consulting</v>
      </c>
      <c r="M2704" s="21" t="str">
        <f aca="false">INDEX(Companies!$D$2:$D$31,MATCH(C2704,Companies!$A$2:$A$31,0))</f>
        <v>Tier 3</v>
      </c>
      <c r="N2704" s="34" t="n">
        <f aca="false">MATCH(F2704,Assumptions!$K$4:$K$8,0)</f>
        <v>5</v>
      </c>
      <c r="O2704" s="21" t="str">
        <f aca="false">IF(H2704="Yes",MONTH(I2704),"")</f>
        <v/>
      </c>
      <c r="P2704" s="21" t="str">
        <f aca="false">IF(H2704="Yes",B2704,"")</f>
        <v/>
      </c>
    </row>
    <row r="2705" customFormat="false" ht="15" hidden="false" customHeight="false" outlineLevel="0" collapsed="false">
      <c r="A2705" s="21" t="s">
        <v>3920</v>
      </c>
      <c r="B2705" s="21" t="s">
        <v>1001</v>
      </c>
      <c r="C2705" s="21" t="s">
        <v>1228</v>
      </c>
      <c r="D2705" s="21" t="s">
        <v>1243</v>
      </c>
      <c r="E2705" s="33" t="n">
        <v>45997</v>
      </c>
      <c r="F2705" s="21" t="s">
        <v>1175</v>
      </c>
      <c r="G2705" s="32"/>
      <c r="H2705" s="21"/>
      <c r="I2705" s="33"/>
      <c r="J2705" s="21" t="str">
        <f aca="false">INDEX(Students!$C$2:$C$601,MATCH(B2705,Students!$A$2:$A$601,0))</f>
        <v>Batch 2026</v>
      </c>
      <c r="K2705" s="21" t="str">
        <f aca="false">INDEX(Students!$D$2:$D$601,MATCH(B2705,Students!$A$2:$A$601,0))</f>
        <v>Data Science &amp; ML</v>
      </c>
      <c r="L2705" s="21" t="str">
        <f aca="false">INDEX(Companies!$C$2:$C$31,MATCH(C2705,Companies!$A$2:$A$31,0))</f>
        <v>Fintech</v>
      </c>
      <c r="M2705" s="21" t="str">
        <f aca="false">INDEX(Companies!$D$2:$D$31,MATCH(C2705,Companies!$A$2:$A$31,0))</f>
        <v>Tier 1</v>
      </c>
      <c r="N2705" s="34" t="n">
        <f aca="false">MATCH(F2705,Assumptions!$K$4:$K$8,0)</f>
        <v>1</v>
      </c>
      <c r="O2705" s="21" t="str">
        <f aca="false">IF(H2705="Yes",MONTH(I2705),"")</f>
        <v/>
      </c>
      <c r="P2705" s="21" t="str">
        <f aca="false">IF(H2705="Yes",B2705,"")</f>
        <v/>
      </c>
    </row>
    <row r="2706" customFormat="false" ht="15" hidden="false" customHeight="false" outlineLevel="0" collapsed="false">
      <c r="A2706" s="21" t="s">
        <v>3921</v>
      </c>
      <c r="B2706" s="21" t="s">
        <v>1013</v>
      </c>
      <c r="C2706" s="21" t="s">
        <v>1201</v>
      </c>
      <c r="D2706" s="21" t="s">
        <v>1188</v>
      </c>
      <c r="E2706" s="33" t="n">
        <v>45997</v>
      </c>
      <c r="F2706" s="21" t="s">
        <v>1218</v>
      </c>
      <c r="G2706" s="32"/>
      <c r="H2706" s="21"/>
      <c r="I2706" s="33"/>
      <c r="J2706" s="21" t="str">
        <f aca="false">INDEX(Students!$C$2:$C$601,MATCH(B2706,Students!$A$2:$A$601,0))</f>
        <v>Batch 2026</v>
      </c>
      <c r="K2706" s="21" t="str">
        <f aca="false">INDEX(Students!$D$2:$D$601,MATCH(B2706,Students!$A$2:$A$601,0))</f>
        <v>Data Analytics</v>
      </c>
      <c r="L2706" s="21" t="str">
        <f aca="false">INDEX(Companies!$C$2:$C$31,MATCH(C2706,Companies!$A$2:$A$31,0))</f>
        <v>IT Services</v>
      </c>
      <c r="M2706" s="21" t="str">
        <f aca="false">INDEX(Companies!$D$2:$D$31,MATCH(C2706,Companies!$A$2:$A$31,0))</f>
        <v>Tier 3</v>
      </c>
      <c r="N2706" s="34" t="n">
        <f aca="false">MATCH(F2706,Assumptions!$K$4:$K$8,0)</f>
        <v>4</v>
      </c>
      <c r="O2706" s="21" t="str">
        <f aca="false">IF(H2706="Yes",MONTH(I2706),"")</f>
        <v/>
      </c>
      <c r="P2706" s="21" t="str">
        <f aca="false">IF(H2706="Yes",B2706,"")</f>
        <v/>
      </c>
    </row>
    <row r="2707" customFormat="false" ht="15" hidden="false" customHeight="false" outlineLevel="0" collapsed="false">
      <c r="A2707" s="21" t="s">
        <v>3922</v>
      </c>
      <c r="B2707" s="21" t="s">
        <v>977</v>
      </c>
      <c r="C2707" s="21" t="s">
        <v>1203</v>
      </c>
      <c r="D2707" s="21" t="s">
        <v>1181</v>
      </c>
      <c r="E2707" s="33" t="n">
        <v>45998</v>
      </c>
      <c r="F2707" s="21" t="s">
        <v>1175</v>
      </c>
      <c r="G2707" s="32"/>
      <c r="H2707" s="21"/>
      <c r="I2707" s="33"/>
      <c r="J2707" s="21" t="str">
        <f aca="false">INDEX(Students!$C$2:$C$601,MATCH(B2707,Students!$A$2:$A$601,0))</f>
        <v>Batch 2026</v>
      </c>
      <c r="K2707" s="21" t="str">
        <f aca="false">INDEX(Students!$D$2:$D$601,MATCH(B2707,Students!$A$2:$A$601,0))</f>
        <v>Full Stack Development</v>
      </c>
      <c r="L2707" s="21" t="str">
        <f aca="false">INDEX(Companies!$C$2:$C$31,MATCH(C2707,Companies!$A$2:$A$31,0))</f>
        <v>Healthtech</v>
      </c>
      <c r="M2707" s="21" t="str">
        <f aca="false">INDEX(Companies!$D$2:$D$31,MATCH(C2707,Companies!$A$2:$A$31,0))</f>
        <v>Tier 2</v>
      </c>
      <c r="N2707" s="34" t="n">
        <f aca="false">MATCH(F2707,Assumptions!$K$4:$K$8,0)</f>
        <v>1</v>
      </c>
      <c r="O2707" s="21" t="str">
        <f aca="false">IF(H2707="Yes",MONTH(I2707),"")</f>
        <v/>
      </c>
      <c r="P2707" s="21" t="str">
        <f aca="false">IF(H2707="Yes",B2707,"")</f>
        <v/>
      </c>
    </row>
    <row r="2708" customFormat="false" ht="15" hidden="false" customHeight="false" outlineLevel="0" collapsed="false">
      <c r="A2708" s="21" t="s">
        <v>3923</v>
      </c>
      <c r="B2708" s="21" t="s">
        <v>1093</v>
      </c>
      <c r="C2708" s="21" t="s">
        <v>1216</v>
      </c>
      <c r="D2708" s="21" t="s">
        <v>1184</v>
      </c>
      <c r="E2708" s="33" t="n">
        <v>45998</v>
      </c>
      <c r="F2708" s="21" t="s">
        <v>1185</v>
      </c>
      <c r="G2708" s="32" t="n">
        <v>5.6</v>
      </c>
      <c r="H2708" s="21" t="s">
        <v>113</v>
      </c>
      <c r="I2708" s="33" t="n">
        <v>46051</v>
      </c>
      <c r="J2708" s="21" t="str">
        <f aca="false">INDEX(Students!$C$2:$C$601,MATCH(B2708,Students!$A$2:$A$601,0))</f>
        <v>Batch 2026</v>
      </c>
      <c r="K2708" s="21" t="str">
        <f aca="false">INDEX(Students!$D$2:$D$601,MATCH(B2708,Students!$A$2:$A$601,0))</f>
        <v>DSA with Java</v>
      </c>
      <c r="L2708" s="21" t="str">
        <f aca="false">INDEX(Companies!$C$2:$C$31,MATCH(C2708,Companies!$A$2:$A$31,0))</f>
        <v>IT Services</v>
      </c>
      <c r="M2708" s="21" t="str">
        <f aca="false">INDEX(Companies!$D$2:$D$31,MATCH(C2708,Companies!$A$2:$A$31,0))</f>
        <v>Tier 3</v>
      </c>
      <c r="N2708" s="34" t="n">
        <f aca="false">MATCH(F2708,Assumptions!$K$4:$K$8,0)</f>
        <v>5</v>
      </c>
      <c r="O2708" s="21" t="str">
        <f aca="false">IF(H2708="Yes",MONTH(I2708),"")</f>
        <v/>
      </c>
      <c r="P2708" s="21" t="str">
        <f aca="false">IF(H2708="Yes",B2708,"")</f>
        <v/>
      </c>
    </row>
    <row r="2709" customFormat="false" ht="15" hidden="false" customHeight="false" outlineLevel="0" collapsed="false">
      <c r="A2709" s="21" t="s">
        <v>3924</v>
      </c>
      <c r="B2709" s="21" t="s">
        <v>1080</v>
      </c>
      <c r="C2709" s="21" t="s">
        <v>1230</v>
      </c>
      <c r="D2709" s="21" t="s">
        <v>1191</v>
      </c>
      <c r="E2709" s="33" t="n">
        <v>45998</v>
      </c>
      <c r="F2709" s="21" t="s">
        <v>1185</v>
      </c>
      <c r="G2709" s="32" t="n">
        <v>5.5</v>
      </c>
      <c r="H2709" s="21" t="s">
        <v>113</v>
      </c>
      <c r="I2709" s="33" t="n">
        <v>46033</v>
      </c>
      <c r="J2709" s="21" t="str">
        <f aca="false">INDEX(Students!$C$2:$C$601,MATCH(B2709,Students!$A$2:$A$601,0))</f>
        <v>Batch 2026</v>
      </c>
      <c r="K2709" s="21" t="str">
        <f aca="false">INDEX(Students!$D$2:$D$601,MATCH(B2709,Students!$A$2:$A$601,0))</f>
        <v>DSA with Java</v>
      </c>
      <c r="L2709" s="21" t="str">
        <f aca="false">INDEX(Companies!$C$2:$C$31,MATCH(C2709,Companies!$A$2:$A$31,0))</f>
        <v>IT Services</v>
      </c>
      <c r="M2709" s="21" t="str">
        <f aca="false">INDEX(Companies!$D$2:$D$31,MATCH(C2709,Companies!$A$2:$A$31,0))</f>
        <v>Tier 3</v>
      </c>
      <c r="N2709" s="34" t="n">
        <f aca="false">MATCH(F2709,Assumptions!$K$4:$K$8,0)</f>
        <v>5</v>
      </c>
      <c r="O2709" s="21" t="str">
        <f aca="false">IF(H2709="Yes",MONTH(I2709),"")</f>
        <v/>
      </c>
      <c r="P2709" s="21" t="str">
        <f aca="false">IF(H2709="Yes",B2709,"")</f>
        <v/>
      </c>
    </row>
    <row r="2710" customFormat="false" ht="15" hidden="false" customHeight="false" outlineLevel="0" collapsed="false">
      <c r="A2710" s="21" t="s">
        <v>3925</v>
      </c>
      <c r="B2710" s="21" t="s">
        <v>1097</v>
      </c>
      <c r="C2710" s="21" t="s">
        <v>1183</v>
      </c>
      <c r="D2710" s="21" t="s">
        <v>1184</v>
      </c>
      <c r="E2710" s="33" t="n">
        <v>45998</v>
      </c>
      <c r="F2710" s="21" t="s">
        <v>1197</v>
      </c>
      <c r="G2710" s="32"/>
      <c r="H2710" s="21"/>
      <c r="I2710" s="33"/>
      <c r="J2710" s="21" t="str">
        <f aca="false">INDEX(Students!$C$2:$C$601,MATCH(B2710,Students!$A$2:$A$601,0))</f>
        <v>Batch 2026</v>
      </c>
      <c r="K2710" s="21" t="str">
        <f aca="false">INDEX(Students!$D$2:$D$601,MATCH(B2710,Students!$A$2:$A$601,0))</f>
        <v>DSA with Java</v>
      </c>
      <c r="L2710" s="21" t="str">
        <f aca="false">INDEX(Companies!$C$2:$C$31,MATCH(C2710,Companies!$A$2:$A$31,0))</f>
        <v>E-commerce</v>
      </c>
      <c r="M2710" s="21" t="str">
        <f aca="false">INDEX(Companies!$D$2:$D$31,MATCH(C2710,Companies!$A$2:$A$31,0))</f>
        <v>Tier 2</v>
      </c>
      <c r="N2710" s="34" t="n">
        <f aca="false">MATCH(F2710,Assumptions!$K$4:$K$8,0)</f>
        <v>3</v>
      </c>
      <c r="O2710" s="21" t="str">
        <f aca="false">IF(H2710="Yes",MONTH(I2710),"")</f>
        <v/>
      </c>
      <c r="P2710" s="21" t="str">
        <f aca="false">IF(H2710="Yes",B2710,"")</f>
        <v/>
      </c>
    </row>
    <row r="2711" customFormat="false" ht="15" hidden="false" customHeight="false" outlineLevel="0" collapsed="false">
      <c r="A2711" s="21" t="s">
        <v>3926</v>
      </c>
      <c r="B2711" s="21" t="s">
        <v>1091</v>
      </c>
      <c r="C2711" s="21" t="s">
        <v>1199</v>
      </c>
      <c r="D2711" s="21" t="s">
        <v>1181</v>
      </c>
      <c r="E2711" s="33" t="n">
        <v>45998</v>
      </c>
      <c r="F2711" s="21" t="s">
        <v>1197</v>
      </c>
      <c r="G2711" s="32"/>
      <c r="H2711" s="21"/>
      <c r="I2711" s="33"/>
      <c r="J2711" s="21" t="str">
        <f aca="false">INDEX(Students!$C$2:$C$601,MATCH(B2711,Students!$A$2:$A$601,0))</f>
        <v>Batch 2026</v>
      </c>
      <c r="K2711" s="21" t="str">
        <f aca="false">INDEX(Students!$D$2:$D$601,MATCH(B2711,Students!$A$2:$A$601,0))</f>
        <v>Full Stack Development</v>
      </c>
      <c r="L2711" s="21" t="str">
        <f aca="false">INDEX(Companies!$C$2:$C$31,MATCH(C2711,Companies!$A$2:$A$31,0))</f>
        <v>E-commerce</v>
      </c>
      <c r="M2711" s="21" t="str">
        <f aca="false">INDEX(Companies!$D$2:$D$31,MATCH(C2711,Companies!$A$2:$A$31,0))</f>
        <v>Tier 2</v>
      </c>
      <c r="N2711" s="34" t="n">
        <f aca="false">MATCH(F2711,Assumptions!$K$4:$K$8,0)</f>
        <v>3</v>
      </c>
      <c r="O2711" s="21" t="str">
        <f aca="false">IF(H2711="Yes",MONTH(I2711),"")</f>
        <v/>
      </c>
      <c r="P2711" s="21" t="str">
        <f aca="false">IF(H2711="Yes",B2711,"")</f>
        <v/>
      </c>
    </row>
    <row r="2712" customFormat="false" ht="15" hidden="false" customHeight="false" outlineLevel="0" collapsed="false">
      <c r="A2712" s="21" t="s">
        <v>3927</v>
      </c>
      <c r="B2712" s="21" t="s">
        <v>917</v>
      </c>
      <c r="C2712" s="21" t="s">
        <v>1222</v>
      </c>
      <c r="D2712" s="21" t="s">
        <v>1181</v>
      </c>
      <c r="E2712" s="33" t="n">
        <v>45998</v>
      </c>
      <c r="F2712" s="21" t="s">
        <v>1178</v>
      </c>
      <c r="G2712" s="32"/>
      <c r="H2712" s="21"/>
      <c r="I2712" s="33"/>
      <c r="J2712" s="21" t="str">
        <f aca="false">INDEX(Students!$C$2:$C$601,MATCH(B2712,Students!$A$2:$A$601,0))</f>
        <v>Batch 2026</v>
      </c>
      <c r="K2712" s="21" t="str">
        <f aca="false">INDEX(Students!$D$2:$D$601,MATCH(B2712,Students!$A$2:$A$601,0))</f>
        <v>Full Stack Development</v>
      </c>
      <c r="L2712" s="21" t="str">
        <f aca="false">INDEX(Companies!$C$2:$C$31,MATCH(C2712,Companies!$A$2:$A$31,0))</f>
        <v>Product</v>
      </c>
      <c r="M2712" s="21" t="str">
        <f aca="false">INDEX(Companies!$D$2:$D$31,MATCH(C2712,Companies!$A$2:$A$31,0))</f>
        <v>Tier 2</v>
      </c>
      <c r="N2712" s="34" t="n">
        <f aca="false">MATCH(F2712,Assumptions!$K$4:$K$8,0)</f>
        <v>2</v>
      </c>
      <c r="O2712" s="21" t="str">
        <f aca="false">IF(H2712="Yes",MONTH(I2712),"")</f>
        <v/>
      </c>
      <c r="P2712" s="21" t="str">
        <f aca="false">IF(H2712="Yes",B2712,"")</f>
        <v/>
      </c>
    </row>
    <row r="2713" customFormat="false" ht="15" hidden="false" customHeight="false" outlineLevel="0" collapsed="false">
      <c r="A2713" s="21" t="s">
        <v>3928</v>
      </c>
      <c r="B2713" s="21" t="s">
        <v>1083</v>
      </c>
      <c r="C2713" s="21" t="s">
        <v>1216</v>
      </c>
      <c r="D2713" s="21" t="s">
        <v>1181</v>
      </c>
      <c r="E2713" s="33" t="n">
        <v>45998</v>
      </c>
      <c r="F2713" s="21" t="s">
        <v>1185</v>
      </c>
      <c r="G2713" s="32" t="n">
        <v>7.6</v>
      </c>
      <c r="H2713" s="21" t="s">
        <v>113</v>
      </c>
      <c r="I2713" s="33" t="n">
        <v>46028</v>
      </c>
      <c r="J2713" s="21" t="str">
        <f aca="false">INDEX(Students!$C$2:$C$601,MATCH(B2713,Students!$A$2:$A$601,0))</f>
        <v>Batch 2026</v>
      </c>
      <c r="K2713" s="21" t="str">
        <f aca="false">INDEX(Students!$D$2:$D$601,MATCH(B2713,Students!$A$2:$A$601,0))</f>
        <v>Full Stack Development</v>
      </c>
      <c r="L2713" s="21" t="str">
        <f aca="false">INDEX(Companies!$C$2:$C$31,MATCH(C2713,Companies!$A$2:$A$31,0))</f>
        <v>IT Services</v>
      </c>
      <c r="M2713" s="21" t="str">
        <f aca="false">INDEX(Companies!$D$2:$D$31,MATCH(C2713,Companies!$A$2:$A$31,0))</f>
        <v>Tier 3</v>
      </c>
      <c r="N2713" s="34" t="n">
        <f aca="false">MATCH(F2713,Assumptions!$K$4:$K$8,0)</f>
        <v>5</v>
      </c>
      <c r="O2713" s="21" t="str">
        <f aca="false">IF(H2713="Yes",MONTH(I2713),"")</f>
        <v/>
      </c>
      <c r="P2713" s="21" t="str">
        <f aca="false">IF(H2713="Yes",B2713,"")</f>
        <v/>
      </c>
    </row>
    <row r="2714" customFormat="false" ht="15" hidden="false" customHeight="false" outlineLevel="0" collapsed="false">
      <c r="A2714" s="21" t="s">
        <v>3929</v>
      </c>
      <c r="B2714" s="21" t="s">
        <v>870</v>
      </c>
      <c r="C2714" s="21" t="s">
        <v>1173</v>
      </c>
      <c r="D2714" s="21" t="s">
        <v>1181</v>
      </c>
      <c r="E2714" s="33" t="n">
        <v>45999</v>
      </c>
      <c r="F2714" s="21" t="s">
        <v>1175</v>
      </c>
      <c r="G2714" s="32"/>
      <c r="H2714" s="21"/>
      <c r="I2714" s="33"/>
      <c r="J2714" s="21" t="str">
        <f aca="false">INDEX(Students!$C$2:$C$601,MATCH(B2714,Students!$A$2:$A$601,0))</f>
        <v>Batch 2026</v>
      </c>
      <c r="K2714" s="21" t="str">
        <f aca="false">INDEX(Students!$D$2:$D$601,MATCH(B2714,Students!$A$2:$A$601,0))</f>
        <v>Full Stack Development</v>
      </c>
      <c r="L2714" s="21" t="str">
        <f aca="false">INDEX(Companies!$C$2:$C$31,MATCH(C2714,Companies!$A$2:$A$31,0))</f>
        <v>Cybersecurity</v>
      </c>
      <c r="M2714" s="21" t="str">
        <f aca="false">INDEX(Companies!$D$2:$D$31,MATCH(C2714,Companies!$A$2:$A$31,0))</f>
        <v>Tier 1</v>
      </c>
      <c r="N2714" s="34" t="n">
        <f aca="false">MATCH(F2714,Assumptions!$K$4:$K$8,0)</f>
        <v>1</v>
      </c>
      <c r="O2714" s="21" t="str">
        <f aca="false">IF(H2714="Yes",MONTH(I2714),"")</f>
        <v/>
      </c>
      <c r="P2714" s="21" t="str">
        <f aca="false">IF(H2714="Yes",B2714,"")</f>
        <v/>
      </c>
    </row>
    <row r="2715" customFormat="false" ht="15" hidden="false" customHeight="false" outlineLevel="0" collapsed="false">
      <c r="A2715" s="21" t="s">
        <v>3930</v>
      </c>
      <c r="B2715" s="21" t="s">
        <v>1092</v>
      </c>
      <c r="C2715" s="21" t="s">
        <v>1230</v>
      </c>
      <c r="D2715" s="21" t="s">
        <v>1174</v>
      </c>
      <c r="E2715" s="33" t="n">
        <v>45999</v>
      </c>
      <c r="F2715" s="21" t="s">
        <v>1218</v>
      </c>
      <c r="G2715" s="32"/>
      <c r="H2715" s="21"/>
      <c r="I2715" s="33"/>
      <c r="J2715" s="21" t="str">
        <f aca="false">INDEX(Students!$C$2:$C$601,MATCH(B2715,Students!$A$2:$A$601,0))</f>
        <v>Batch 2026</v>
      </c>
      <c r="K2715" s="21" t="str">
        <f aca="false">INDEX(Students!$D$2:$D$601,MATCH(B2715,Students!$A$2:$A$601,0))</f>
        <v>Full Stack Development</v>
      </c>
      <c r="L2715" s="21" t="str">
        <f aca="false">INDEX(Companies!$C$2:$C$31,MATCH(C2715,Companies!$A$2:$A$31,0))</f>
        <v>IT Services</v>
      </c>
      <c r="M2715" s="21" t="str">
        <f aca="false">INDEX(Companies!$D$2:$D$31,MATCH(C2715,Companies!$A$2:$A$31,0))</f>
        <v>Tier 3</v>
      </c>
      <c r="N2715" s="34" t="n">
        <f aca="false">MATCH(F2715,Assumptions!$K$4:$K$8,0)</f>
        <v>4</v>
      </c>
      <c r="O2715" s="21" t="str">
        <f aca="false">IF(H2715="Yes",MONTH(I2715),"")</f>
        <v/>
      </c>
      <c r="P2715" s="21" t="str">
        <f aca="false">IF(H2715="Yes",B2715,"")</f>
        <v/>
      </c>
    </row>
    <row r="2716" customFormat="false" ht="15" hidden="false" customHeight="false" outlineLevel="0" collapsed="false">
      <c r="A2716" s="21" t="s">
        <v>3931</v>
      </c>
      <c r="B2716" s="21" t="s">
        <v>1070</v>
      </c>
      <c r="C2716" s="21" t="s">
        <v>1196</v>
      </c>
      <c r="D2716" s="21" t="s">
        <v>1181</v>
      </c>
      <c r="E2716" s="33" t="n">
        <v>45999</v>
      </c>
      <c r="F2716" s="21" t="s">
        <v>1185</v>
      </c>
      <c r="G2716" s="32" t="n">
        <v>6.1</v>
      </c>
      <c r="H2716" s="21" t="s">
        <v>120</v>
      </c>
      <c r="I2716" s="33" t="n">
        <v>46032</v>
      </c>
      <c r="J2716" s="21" t="str">
        <f aca="false">INDEX(Students!$C$2:$C$601,MATCH(B2716,Students!$A$2:$A$601,0))</f>
        <v>Batch 2026</v>
      </c>
      <c r="K2716" s="21" t="str">
        <f aca="false">INDEX(Students!$D$2:$D$601,MATCH(B2716,Students!$A$2:$A$601,0))</f>
        <v>Full Stack Development</v>
      </c>
      <c r="L2716" s="21" t="str">
        <f aca="false">INDEX(Companies!$C$2:$C$31,MATCH(C2716,Companies!$A$2:$A$31,0))</f>
        <v>IT Services</v>
      </c>
      <c r="M2716" s="21" t="str">
        <f aca="false">INDEX(Companies!$D$2:$D$31,MATCH(C2716,Companies!$A$2:$A$31,0))</f>
        <v>Tier 3</v>
      </c>
      <c r="N2716" s="34" t="n">
        <f aca="false">MATCH(F2716,Assumptions!$K$4:$K$8,0)</f>
        <v>5</v>
      </c>
      <c r="O2716" s="21" t="n">
        <f aca="false">IF(H2716="Yes",MONTH(I2716),"")</f>
        <v>1</v>
      </c>
      <c r="P2716" s="21" t="str">
        <f aca="false">IF(H2716="Yes",B2716,"")</f>
        <v>S0543</v>
      </c>
    </row>
    <row r="2717" customFormat="false" ht="15" hidden="false" customHeight="false" outlineLevel="0" collapsed="false">
      <c r="A2717" s="21" t="s">
        <v>3932</v>
      </c>
      <c r="B2717" s="21" t="s">
        <v>878</v>
      </c>
      <c r="C2717" s="21" t="s">
        <v>1208</v>
      </c>
      <c r="D2717" s="21" t="s">
        <v>1194</v>
      </c>
      <c r="E2717" s="33" t="n">
        <v>45999</v>
      </c>
      <c r="F2717" s="21" t="s">
        <v>1178</v>
      </c>
      <c r="G2717" s="32"/>
      <c r="H2717" s="21"/>
      <c r="I2717" s="33"/>
      <c r="J2717" s="21" t="str">
        <f aca="false">INDEX(Students!$C$2:$C$601,MATCH(B2717,Students!$A$2:$A$601,0))</f>
        <v>Batch 2026</v>
      </c>
      <c r="K2717" s="21" t="str">
        <f aca="false">INDEX(Students!$D$2:$D$601,MATCH(B2717,Students!$A$2:$A$601,0))</f>
        <v>Data Science &amp; ML</v>
      </c>
      <c r="L2717" s="21" t="str">
        <f aca="false">INDEX(Companies!$C$2:$C$31,MATCH(C2717,Companies!$A$2:$A$31,0))</f>
        <v>E-commerce</v>
      </c>
      <c r="M2717" s="21" t="str">
        <f aca="false">INDEX(Companies!$D$2:$D$31,MATCH(C2717,Companies!$A$2:$A$31,0))</f>
        <v>Tier 1</v>
      </c>
      <c r="N2717" s="34" t="n">
        <f aca="false">MATCH(F2717,Assumptions!$K$4:$K$8,0)</f>
        <v>2</v>
      </c>
      <c r="O2717" s="21" t="str">
        <f aca="false">IF(H2717="Yes",MONTH(I2717),"")</f>
        <v/>
      </c>
      <c r="P2717" s="21" t="str">
        <f aca="false">IF(H2717="Yes",B2717,"")</f>
        <v/>
      </c>
    </row>
    <row r="2718" customFormat="false" ht="15" hidden="false" customHeight="false" outlineLevel="0" collapsed="false">
      <c r="A2718" s="21" t="s">
        <v>3933</v>
      </c>
      <c r="B2718" s="21" t="s">
        <v>1013</v>
      </c>
      <c r="C2718" s="21" t="s">
        <v>1230</v>
      </c>
      <c r="D2718" s="21" t="s">
        <v>1188</v>
      </c>
      <c r="E2718" s="33" t="n">
        <v>45999</v>
      </c>
      <c r="F2718" s="21" t="s">
        <v>1185</v>
      </c>
      <c r="G2718" s="32" t="n">
        <v>5.5</v>
      </c>
      <c r="H2718" s="21" t="s">
        <v>113</v>
      </c>
      <c r="I2718" s="33" t="n">
        <v>46047</v>
      </c>
      <c r="J2718" s="21" t="str">
        <f aca="false">INDEX(Students!$C$2:$C$601,MATCH(B2718,Students!$A$2:$A$601,0))</f>
        <v>Batch 2026</v>
      </c>
      <c r="K2718" s="21" t="str">
        <f aca="false">INDEX(Students!$D$2:$D$601,MATCH(B2718,Students!$A$2:$A$601,0))</f>
        <v>Data Analytics</v>
      </c>
      <c r="L2718" s="21" t="str">
        <f aca="false">INDEX(Companies!$C$2:$C$31,MATCH(C2718,Companies!$A$2:$A$31,0))</f>
        <v>IT Services</v>
      </c>
      <c r="M2718" s="21" t="str">
        <f aca="false">INDEX(Companies!$D$2:$D$31,MATCH(C2718,Companies!$A$2:$A$31,0))</f>
        <v>Tier 3</v>
      </c>
      <c r="N2718" s="34" t="n">
        <f aca="false">MATCH(F2718,Assumptions!$K$4:$K$8,0)</f>
        <v>5</v>
      </c>
      <c r="O2718" s="21" t="str">
        <f aca="false">IF(H2718="Yes",MONTH(I2718),"")</f>
        <v/>
      </c>
      <c r="P2718" s="21" t="str">
        <f aca="false">IF(H2718="Yes",B2718,"")</f>
        <v/>
      </c>
    </row>
    <row r="2719" customFormat="false" ht="15" hidden="false" customHeight="false" outlineLevel="0" collapsed="false">
      <c r="A2719" s="21" t="s">
        <v>3934</v>
      </c>
      <c r="B2719" s="21" t="s">
        <v>1023</v>
      </c>
      <c r="C2719" s="21" t="s">
        <v>1263</v>
      </c>
      <c r="D2719" s="21" t="s">
        <v>1191</v>
      </c>
      <c r="E2719" s="33" t="n">
        <v>45999</v>
      </c>
      <c r="F2719" s="21" t="s">
        <v>1175</v>
      </c>
      <c r="G2719" s="32"/>
      <c r="H2719" s="21"/>
      <c r="I2719" s="33"/>
      <c r="J2719" s="21" t="str">
        <f aca="false">INDEX(Students!$C$2:$C$601,MATCH(B2719,Students!$A$2:$A$601,0))</f>
        <v>Batch 2026</v>
      </c>
      <c r="K2719" s="21" t="str">
        <f aca="false">INDEX(Students!$D$2:$D$601,MATCH(B2719,Students!$A$2:$A$601,0))</f>
        <v>DSA with Java</v>
      </c>
      <c r="L2719" s="21" t="str">
        <f aca="false">INDEX(Companies!$C$2:$C$31,MATCH(C2719,Companies!$A$2:$A$31,0))</f>
        <v>Analytics &amp; Consulting</v>
      </c>
      <c r="M2719" s="21" t="str">
        <f aca="false">INDEX(Companies!$D$2:$D$31,MATCH(C2719,Companies!$A$2:$A$31,0))</f>
        <v>Tier 2</v>
      </c>
      <c r="N2719" s="34" t="n">
        <f aca="false">MATCH(F2719,Assumptions!$K$4:$K$8,0)</f>
        <v>1</v>
      </c>
      <c r="O2719" s="21" t="str">
        <f aca="false">IF(H2719="Yes",MONTH(I2719),"")</f>
        <v/>
      </c>
      <c r="P2719" s="21" t="str">
        <f aca="false">IF(H2719="Yes",B2719,"")</f>
        <v/>
      </c>
    </row>
    <row r="2720" customFormat="false" ht="15" hidden="false" customHeight="false" outlineLevel="0" collapsed="false">
      <c r="A2720" s="21" t="s">
        <v>3935</v>
      </c>
      <c r="B2720" s="21" t="s">
        <v>999</v>
      </c>
      <c r="C2720" s="21" t="s">
        <v>1208</v>
      </c>
      <c r="D2720" s="21" t="s">
        <v>1191</v>
      </c>
      <c r="E2720" s="33" t="n">
        <v>45999</v>
      </c>
      <c r="F2720" s="21" t="s">
        <v>1175</v>
      </c>
      <c r="G2720" s="32"/>
      <c r="H2720" s="21"/>
      <c r="I2720" s="33"/>
      <c r="J2720" s="21" t="str">
        <f aca="false">INDEX(Students!$C$2:$C$601,MATCH(B2720,Students!$A$2:$A$601,0))</f>
        <v>Batch 2026</v>
      </c>
      <c r="K2720" s="21" t="str">
        <f aca="false">INDEX(Students!$D$2:$D$601,MATCH(B2720,Students!$A$2:$A$601,0))</f>
        <v>DSA with Java</v>
      </c>
      <c r="L2720" s="21" t="str">
        <f aca="false">INDEX(Companies!$C$2:$C$31,MATCH(C2720,Companies!$A$2:$A$31,0))</f>
        <v>E-commerce</v>
      </c>
      <c r="M2720" s="21" t="str">
        <f aca="false">INDEX(Companies!$D$2:$D$31,MATCH(C2720,Companies!$A$2:$A$31,0))</f>
        <v>Tier 1</v>
      </c>
      <c r="N2720" s="34" t="n">
        <f aca="false">MATCH(F2720,Assumptions!$K$4:$K$8,0)</f>
        <v>1</v>
      </c>
      <c r="O2720" s="21" t="str">
        <f aca="false">IF(H2720="Yes",MONTH(I2720),"")</f>
        <v/>
      </c>
      <c r="P2720" s="21" t="str">
        <f aca="false">IF(H2720="Yes",B2720,"")</f>
        <v/>
      </c>
    </row>
    <row r="2721" customFormat="false" ht="15" hidden="false" customHeight="false" outlineLevel="0" collapsed="false">
      <c r="A2721" s="21" t="s">
        <v>3936</v>
      </c>
      <c r="B2721" s="21" t="s">
        <v>1117</v>
      </c>
      <c r="C2721" s="21" t="s">
        <v>1211</v>
      </c>
      <c r="D2721" s="21" t="s">
        <v>1188</v>
      </c>
      <c r="E2721" s="33" t="n">
        <v>45999</v>
      </c>
      <c r="F2721" s="21" t="s">
        <v>1185</v>
      </c>
      <c r="G2721" s="32" t="n">
        <v>6.4</v>
      </c>
      <c r="H2721" s="21" t="s">
        <v>113</v>
      </c>
      <c r="I2721" s="33" t="n">
        <v>46021</v>
      </c>
      <c r="J2721" s="21" t="str">
        <f aca="false">INDEX(Students!$C$2:$C$601,MATCH(B2721,Students!$A$2:$A$601,0))</f>
        <v>Batch 2026</v>
      </c>
      <c r="K2721" s="21" t="str">
        <f aca="false">INDEX(Students!$D$2:$D$601,MATCH(B2721,Students!$A$2:$A$601,0))</f>
        <v>Data Analytics</v>
      </c>
      <c r="L2721" s="21" t="str">
        <f aca="false">INDEX(Companies!$C$2:$C$31,MATCH(C2721,Companies!$A$2:$A$31,0))</f>
        <v>Analytics &amp; Consulting</v>
      </c>
      <c r="M2721" s="21" t="str">
        <f aca="false">INDEX(Companies!$D$2:$D$31,MATCH(C2721,Companies!$A$2:$A$31,0))</f>
        <v>Tier 3</v>
      </c>
      <c r="N2721" s="34" t="n">
        <f aca="false">MATCH(F2721,Assumptions!$K$4:$K$8,0)</f>
        <v>5</v>
      </c>
      <c r="O2721" s="21" t="str">
        <f aca="false">IF(H2721="Yes",MONTH(I2721),"")</f>
        <v/>
      </c>
      <c r="P2721" s="21" t="str">
        <f aca="false">IF(H2721="Yes",B2721,"")</f>
        <v/>
      </c>
    </row>
    <row r="2722" customFormat="false" ht="15" hidden="false" customHeight="false" outlineLevel="0" collapsed="false">
      <c r="A2722" s="21" t="s">
        <v>3937</v>
      </c>
      <c r="B2722" s="21" t="s">
        <v>1125</v>
      </c>
      <c r="C2722" s="21" t="s">
        <v>1203</v>
      </c>
      <c r="D2722" s="21" t="s">
        <v>1209</v>
      </c>
      <c r="E2722" s="33" t="n">
        <v>45999</v>
      </c>
      <c r="F2722" s="21" t="s">
        <v>1175</v>
      </c>
      <c r="G2722" s="32"/>
      <c r="H2722" s="21"/>
      <c r="I2722" s="33"/>
      <c r="J2722" s="21" t="str">
        <f aca="false">INDEX(Students!$C$2:$C$601,MATCH(B2722,Students!$A$2:$A$601,0))</f>
        <v>Batch 2026</v>
      </c>
      <c r="K2722" s="21" t="str">
        <f aca="false">INDEX(Students!$D$2:$D$601,MATCH(B2722,Students!$A$2:$A$601,0))</f>
        <v>Data Analytics</v>
      </c>
      <c r="L2722" s="21" t="str">
        <f aca="false">INDEX(Companies!$C$2:$C$31,MATCH(C2722,Companies!$A$2:$A$31,0))</f>
        <v>Healthtech</v>
      </c>
      <c r="M2722" s="21" t="str">
        <f aca="false">INDEX(Companies!$D$2:$D$31,MATCH(C2722,Companies!$A$2:$A$31,0))</f>
        <v>Tier 2</v>
      </c>
      <c r="N2722" s="34" t="n">
        <f aca="false">MATCH(F2722,Assumptions!$K$4:$K$8,0)</f>
        <v>1</v>
      </c>
      <c r="O2722" s="21" t="str">
        <f aca="false">IF(H2722="Yes",MONTH(I2722),"")</f>
        <v/>
      </c>
      <c r="P2722" s="21" t="str">
        <f aca="false">IF(H2722="Yes",B2722,"")</f>
        <v/>
      </c>
    </row>
    <row r="2723" customFormat="false" ht="15" hidden="false" customHeight="false" outlineLevel="0" collapsed="false">
      <c r="A2723" s="21" t="s">
        <v>3938</v>
      </c>
      <c r="B2723" s="21" t="s">
        <v>1093</v>
      </c>
      <c r="C2723" s="21" t="s">
        <v>1222</v>
      </c>
      <c r="D2723" s="21" t="s">
        <v>1191</v>
      </c>
      <c r="E2723" s="33" t="n">
        <v>45999</v>
      </c>
      <c r="F2723" s="21" t="s">
        <v>1185</v>
      </c>
      <c r="G2723" s="32" t="n">
        <v>13.6</v>
      </c>
      <c r="H2723" s="21" t="s">
        <v>120</v>
      </c>
      <c r="I2723" s="33" t="n">
        <v>46040</v>
      </c>
      <c r="J2723" s="21" t="str">
        <f aca="false">INDEX(Students!$C$2:$C$601,MATCH(B2723,Students!$A$2:$A$601,0))</f>
        <v>Batch 2026</v>
      </c>
      <c r="K2723" s="21" t="str">
        <f aca="false">INDEX(Students!$D$2:$D$601,MATCH(B2723,Students!$A$2:$A$601,0))</f>
        <v>DSA with Java</v>
      </c>
      <c r="L2723" s="21" t="str">
        <f aca="false">INDEX(Companies!$C$2:$C$31,MATCH(C2723,Companies!$A$2:$A$31,0))</f>
        <v>Product</v>
      </c>
      <c r="M2723" s="21" t="str">
        <f aca="false">INDEX(Companies!$D$2:$D$31,MATCH(C2723,Companies!$A$2:$A$31,0))</f>
        <v>Tier 2</v>
      </c>
      <c r="N2723" s="34" t="n">
        <f aca="false">MATCH(F2723,Assumptions!$K$4:$K$8,0)</f>
        <v>5</v>
      </c>
      <c r="O2723" s="21" t="n">
        <f aca="false">IF(H2723="Yes",MONTH(I2723),"")</f>
        <v>1</v>
      </c>
      <c r="P2723" s="21" t="str">
        <f aca="false">IF(H2723="Yes",B2723,"")</f>
        <v>S0558</v>
      </c>
    </row>
    <row r="2724" customFormat="false" ht="15" hidden="false" customHeight="false" outlineLevel="0" collapsed="false">
      <c r="A2724" s="21" t="s">
        <v>3939</v>
      </c>
      <c r="B2724" s="21" t="s">
        <v>935</v>
      </c>
      <c r="C2724" s="21" t="s">
        <v>1216</v>
      </c>
      <c r="D2724" s="21" t="s">
        <v>1209</v>
      </c>
      <c r="E2724" s="33" t="n">
        <v>45999</v>
      </c>
      <c r="F2724" s="21" t="s">
        <v>1185</v>
      </c>
      <c r="G2724" s="32" t="n">
        <v>5.4</v>
      </c>
      <c r="H2724" s="21" t="s">
        <v>120</v>
      </c>
      <c r="I2724" s="33" t="n">
        <v>46048</v>
      </c>
      <c r="J2724" s="21" t="str">
        <f aca="false">INDEX(Students!$C$2:$C$601,MATCH(B2724,Students!$A$2:$A$601,0))</f>
        <v>Batch 2026</v>
      </c>
      <c r="K2724" s="21" t="str">
        <f aca="false">INDEX(Students!$D$2:$D$601,MATCH(B2724,Students!$A$2:$A$601,0))</f>
        <v>Data Analytics</v>
      </c>
      <c r="L2724" s="21" t="str">
        <f aca="false">INDEX(Companies!$C$2:$C$31,MATCH(C2724,Companies!$A$2:$A$31,0))</f>
        <v>IT Services</v>
      </c>
      <c r="M2724" s="21" t="str">
        <f aca="false">INDEX(Companies!$D$2:$D$31,MATCH(C2724,Companies!$A$2:$A$31,0))</f>
        <v>Tier 3</v>
      </c>
      <c r="N2724" s="34" t="n">
        <f aca="false">MATCH(F2724,Assumptions!$K$4:$K$8,0)</f>
        <v>5</v>
      </c>
      <c r="O2724" s="21" t="n">
        <f aca="false">IF(H2724="Yes",MONTH(I2724),"")</f>
        <v>1</v>
      </c>
      <c r="P2724" s="21" t="str">
        <f aca="false">IF(H2724="Yes",B2724,"")</f>
        <v>S0460</v>
      </c>
    </row>
    <row r="2725" customFormat="false" ht="15" hidden="false" customHeight="false" outlineLevel="0" collapsed="false">
      <c r="A2725" s="21" t="s">
        <v>3940</v>
      </c>
      <c r="B2725" s="21" t="s">
        <v>999</v>
      </c>
      <c r="C2725" s="21" t="s">
        <v>1216</v>
      </c>
      <c r="D2725" s="21" t="s">
        <v>1191</v>
      </c>
      <c r="E2725" s="33" t="n">
        <v>46000</v>
      </c>
      <c r="F2725" s="21" t="s">
        <v>1178</v>
      </c>
      <c r="G2725" s="32"/>
      <c r="H2725" s="21"/>
      <c r="I2725" s="33"/>
      <c r="J2725" s="21" t="str">
        <f aca="false">INDEX(Students!$C$2:$C$601,MATCH(B2725,Students!$A$2:$A$601,0))</f>
        <v>Batch 2026</v>
      </c>
      <c r="K2725" s="21" t="str">
        <f aca="false">INDEX(Students!$D$2:$D$601,MATCH(B2725,Students!$A$2:$A$601,0))</f>
        <v>DSA with Java</v>
      </c>
      <c r="L2725" s="21" t="str">
        <f aca="false">INDEX(Companies!$C$2:$C$31,MATCH(C2725,Companies!$A$2:$A$31,0))</f>
        <v>IT Services</v>
      </c>
      <c r="M2725" s="21" t="str">
        <f aca="false">INDEX(Companies!$D$2:$D$31,MATCH(C2725,Companies!$A$2:$A$31,0))</f>
        <v>Tier 3</v>
      </c>
      <c r="N2725" s="34" t="n">
        <f aca="false">MATCH(F2725,Assumptions!$K$4:$K$8,0)</f>
        <v>2</v>
      </c>
      <c r="O2725" s="21" t="str">
        <f aca="false">IF(H2725="Yes",MONTH(I2725),"")</f>
        <v/>
      </c>
      <c r="P2725" s="21" t="str">
        <f aca="false">IF(H2725="Yes",B2725,"")</f>
        <v/>
      </c>
    </row>
    <row r="2726" customFormat="false" ht="15" hidden="false" customHeight="false" outlineLevel="0" collapsed="false">
      <c r="A2726" s="21" t="s">
        <v>3941</v>
      </c>
      <c r="B2726" s="21" t="s">
        <v>1040</v>
      </c>
      <c r="C2726" s="21" t="s">
        <v>1216</v>
      </c>
      <c r="D2726" s="21" t="s">
        <v>1184</v>
      </c>
      <c r="E2726" s="33" t="n">
        <v>46000</v>
      </c>
      <c r="F2726" s="21" t="s">
        <v>1175</v>
      </c>
      <c r="G2726" s="32"/>
      <c r="H2726" s="21"/>
      <c r="I2726" s="33"/>
      <c r="J2726" s="21" t="str">
        <f aca="false">INDEX(Students!$C$2:$C$601,MATCH(B2726,Students!$A$2:$A$601,0))</f>
        <v>Batch 2026</v>
      </c>
      <c r="K2726" s="21" t="str">
        <f aca="false">INDEX(Students!$D$2:$D$601,MATCH(B2726,Students!$A$2:$A$601,0))</f>
        <v>DSA with Java</v>
      </c>
      <c r="L2726" s="21" t="str">
        <f aca="false">INDEX(Companies!$C$2:$C$31,MATCH(C2726,Companies!$A$2:$A$31,0))</f>
        <v>IT Services</v>
      </c>
      <c r="M2726" s="21" t="str">
        <f aca="false">INDEX(Companies!$D$2:$D$31,MATCH(C2726,Companies!$A$2:$A$31,0))</f>
        <v>Tier 3</v>
      </c>
      <c r="N2726" s="34" t="n">
        <f aca="false">MATCH(F2726,Assumptions!$K$4:$K$8,0)</f>
        <v>1</v>
      </c>
      <c r="O2726" s="21" t="str">
        <f aca="false">IF(H2726="Yes",MONTH(I2726),"")</f>
        <v/>
      </c>
      <c r="P2726" s="21" t="str">
        <f aca="false">IF(H2726="Yes",B2726,"")</f>
        <v/>
      </c>
    </row>
    <row r="2727" customFormat="false" ht="15" hidden="false" customHeight="false" outlineLevel="0" collapsed="false">
      <c r="A2727" s="21" t="s">
        <v>3942</v>
      </c>
      <c r="B2727" s="21" t="s">
        <v>852</v>
      </c>
      <c r="C2727" s="21" t="s">
        <v>1180</v>
      </c>
      <c r="D2727" s="21" t="s">
        <v>1194</v>
      </c>
      <c r="E2727" s="33" t="n">
        <v>46000</v>
      </c>
      <c r="F2727" s="21" t="s">
        <v>1178</v>
      </c>
      <c r="G2727" s="32"/>
      <c r="H2727" s="21"/>
      <c r="I2727" s="33"/>
      <c r="J2727" s="21" t="str">
        <f aca="false">INDEX(Students!$C$2:$C$601,MATCH(B2727,Students!$A$2:$A$601,0))</f>
        <v>Batch 2026</v>
      </c>
      <c r="K2727" s="21" t="str">
        <f aca="false">INDEX(Students!$D$2:$D$601,MATCH(B2727,Students!$A$2:$A$601,0))</f>
        <v>Data Science &amp; ML</v>
      </c>
      <c r="L2727" s="21" t="str">
        <f aca="false">INDEX(Companies!$C$2:$C$31,MATCH(C2727,Companies!$A$2:$A$31,0))</f>
        <v>IT Services</v>
      </c>
      <c r="M2727" s="21" t="str">
        <f aca="false">INDEX(Companies!$D$2:$D$31,MATCH(C2727,Companies!$A$2:$A$31,0))</f>
        <v>Tier 3</v>
      </c>
      <c r="N2727" s="34" t="n">
        <f aca="false">MATCH(F2727,Assumptions!$K$4:$K$8,0)</f>
        <v>2</v>
      </c>
      <c r="O2727" s="21" t="str">
        <f aca="false">IF(H2727="Yes",MONTH(I2727),"")</f>
        <v/>
      </c>
      <c r="P2727" s="21" t="str">
        <f aca="false">IF(H2727="Yes",B2727,"")</f>
        <v/>
      </c>
    </row>
    <row r="2728" customFormat="false" ht="15" hidden="false" customHeight="false" outlineLevel="0" collapsed="false">
      <c r="A2728" s="21" t="s">
        <v>3943</v>
      </c>
      <c r="B2728" s="21" t="s">
        <v>918</v>
      </c>
      <c r="C2728" s="21" t="s">
        <v>1275</v>
      </c>
      <c r="D2728" s="21" t="s">
        <v>1194</v>
      </c>
      <c r="E2728" s="33" t="n">
        <v>46001</v>
      </c>
      <c r="F2728" s="21" t="s">
        <v>1175</v>
      </c>
      <c r="G2728" s="32"/>
      <c r="H2728" s="21"/>
      <c r="I2728" s="33"/>
      <c r="J2728" s="21" t="str">
        <f aca="false">INDEX(Students!$C$2:$C$601,MATCH(B2728,Students!$A$2:$A$601,0))</f>
        <v>Batch 2026</v>
      </c>
      <c r="K2728" s="21" t="str">
        <f aca="false">INDEX(Students!$D$2:$D$601,MATCH(B2728,Students!$A$2:$A$601,0))</f>
        <v>Data Science &amp; ML</v>
      </c>
      <c r="L2728" s="21" t="str">
        <f aca="false">INDEX(Companies!$C$2:$C$31,MATCH(C2728,Companies!$A$2:$A$31,0))</f>
        <v>Cybersecurity</v>
      </c>
      <c r="M2728" s="21" t="str">
        <f aca="false">INDEX(Companies!$D$2:$D$31,MATCH(C2728,Companies!$A$2:$A$31,0))</f>
        <v>Tier 2</v>
      </c>
      <c r="N2728" s="34" t="n">
        <f aca="false">MATCH(F2728,Assumptions!$K$4:$K$8,0)</f>
        <v>1</v>
      </c>
      <c r="O2728" s="21" t="str">
        <f aca="false">IF(H2728="Yes",MONTH(I2728),"")</f>
        <v/>
      </c>
      <c r="P2728" s="21" t="str">
        <f aca="false">IF(H2728="Yes",B2728,"")</f>
        <v/>
      </c>
    </row>
    <row r="2729" customFormat="false" ht="15" hidden="false" customHeight="false" outlineLevel="0" collapsed="false">
      <c r="A2729" s="21" t="s">
        <v>3944</v>
      </c>
      <c r="B2729" s="21" t="s">
        <v>972</v>
      </c>
      <c r="C2729" s="21" t="s">
        <v>1298</v>
      </c>
      <c r="D2729" s="21" t="s">
        <v>1209</v>
      </c>
      <c r="E2729" s="33" t="n">
        <v>46001</v>
      </c>
      <c r="F2729" s="21" t="s">
        <v>1185</v>
      </c>
      <c r="G2729" s="32" t="n">
        <v>13.3</v>
      </c>
      <c r="H2729" s="21" t="s">
        <v>120</v>
      </c>
      <c r="I2729" s="33" t="n">
        <v>46034</v>
      </c>
      <c r="J2729" s="21" t="str">
        <f aca="false">INDEX(Students!$C$2:$C$601,MATCH(B2729,Students!$A$2:$A$601,0))</f>
        <v>Batch 2026</v>
      </c>
      <c r="K2729" s="21" t="str">
        <f aca="false">INDEX(Students!$D$2:$D$601,MATCH(B2729,Students!$A$2:$A$601,0))</f>
        <v>Data Analytics</v>
      </c>
      <c r="L2729" s="21" t="str">
        <f aca="false">INDEX(Companies!$C$2:$C$31,MATCH(C2729,Companies!$A$2:$A$31,0))</f>
        <v>Fintech</v>
      </c>
      <c r="M2729" s="21" t="str">
        <f aca="false">INDEX(Companies!$D$2:$D$31,MATCH(C2729,Companies!$A$2:$A$31,0))</f>
        <v>Tier 2</v>
      </c>
      <c r="N2729" s="34" t="n">
        <f aca="false">MATCH(F2729,Assumptions!$K$4:$K$8,0)</f>
        <v>5</v>
      </c>
      <c r="O2729" s="21" t="n">
        <f aca="false">IF(H2729="Yes",MONTH(I2729),"")</f>
        <v>1</v>
      </c>
      <c r="P2729" s="21" t="str">
        <f aca="false">IF(H2729="Yes",B2729,"")</f>
        <v>S0483</v>
      </c>
    </row>
    <row r="2730" customFormat="false" ht="15" hidden="false" customHeight="false" outlineLevel="0" collapsed="false">
      <c r="A2730" s="21" t="s">
        <v>3945</v>
      </c>
      <c r="B2730" s="21" t="s">
        <v>958</v>
      </c>
      <c r="C2730" s="21" t="s">
        <v>1266</v>
      </c>
      <c r="D2730" s="21" t="s">
        <v>1191</v>
      </c>
      <c r="E2730" s="33" t="n">
        <v>46001</v>
      </c>
      <c r="F2730" s="21" t="s">
        <v>1175</v>
      </c>
      <c r="G2730" s="32"/>
      <c r="H2730" s="21"/>
      <c r="I2730" s="33"/>
      <c r="J2730" s="21" t="str">
        <f aca="false">INDEX(Students!$C$2:$C$601,MATCH(B2730,Students!$A$2:$A$601,0))</f>
        <v>Batch 2026</v>
      </c>
      <c r="K2730" s="21" t="str">
        <f aca="false">INDEX(Students!$D$2:$D$601,MATCH(B2730,Students!$A$2:$A$601,0))</f>
        <v>DSA with Java</v>
      </c>
      <c r="L2730" s="21" t="str">
        <f aca="false">INDEX(Companies!$C$2:$C$31,MATCH(C2730,Companies!$A$2:$A$31,0))</f>
        <v>IT Services</v>
      </c>
      <c r="M2730" s="21" t="str">
        <f aca="false">INDEX(Companies!$D$2:$D$31,MATCH(C2730,Companies!$A$2:$A$31,0))</f>
        <v>Tier 3</v>
      </c>
      <c r="N2730" s="34" t="n">
        <f aca="false">MATCH(F2730,Assumptions!$K$4:$K$8,0)</f>
        <v>1</v>
      </c>
      <c r="O2730" s="21" t="str">
        <f aca="false">IF(H2730="Yes",MONTH(I2730),"")</f>
        <v/>
      </c>
      <c r="P2730" s="21" t="str">
        <f aca="false">IF(H2730="Yes",B2730,"")</f>
        <v/>
      </c>
    </row>
    <row r="2731" customFormat="false" ht="15" hidden="false" customHeight="false" outlineLevel="0" collapsed="false">
      <c r="A2731" s="21" t="s">
        <v>3946</v>
      </c>
      <c r="B2731" s="21" t="s">
        <v>1126</v>
      </c>
      <c r="C2731" s="21" t="s">
        <v>1180</v>
      </c>
      <c r="D2731" s="21" t="s">
        <v>1191</v>
      </c>
      <c r="E2731" s="33" t="n">
        <v>46001</v>
      </c>
      <c r="F2731" s="21" t="s">
        <v>1175</v>
      </c>
      <c r="G2731" s="32"/>
      <c r="H2731" s="21"/>
      <c r="I2731" s="33"/>
      <c r="J2731" s="21" t="str">
        <f aca="false">INDEX(Students!$C$2:$C$601,MATCH(B2731,Students!$A$2:$A$601,0))</f>
        <v>Batch 2026</v>
      </c>
      <c r="K2731" s="21" t="str">
        <f aca="false">INDEX(Students!$D$2:$D$601,MATCH(B2731,Students!$A$2:$A$601,0))</f>
        <v>DSA with Java</v>
      </c>
      <c r="L2731" s="21" t="str">
        <f aca="false">INDEX(Companies!$C$2:$C$31,MATCH(C2731,Companies!$A$2:$A$31,0))</f>
        <v>IT Services</v>
      </c>
      <c r="M2731" s="21" t="str">
        <f aca="false">INDEX(Companies!$D$2:$D$31,MATCH(C2731,Companies!$A$2:$A$31,0))</f>
        <v>Tier 3</v>
      </c>
      <c r="N2731" s="34" t="n">
        <f aca="false">MATCH(F2731,Assumptions!$K$4:$K$8,0)</f>
        <v>1</v>
      </c>
      <c r="O2731" s="21" t="str">
        <f aca="false">IF(H2731="Yes",MONTH(I2731),"")</f>
        <v/>
      </c>
      <c r="P2731" s="21" t="str">
        <f aca="false">IF(H2731="Yes",B2731,"")</f>
        <v/>
      </c>
    </row>
    <row r="2732" customFormat="false" ht="15" hidden="false" customHeight="false" outlineLevel="0" collapsed="false">
      <c r="A2732" s="21" t="s">
        <v>3947</v>
      </c>
      <c r="B2732" s="21" t="s">
        <v>1082</v>
      </c>
      <c r="C2732" s="21" t="s">
        <v>1266</v>
      </c>
      <c r="D2732" s="21" t="s">
        <v>1209</v>
      </c>
      <c r="E2732" s="33" t="n">
        <v>46002</v>
      </c>
      <c r="F2732" s="21" t="s">
        <v>1218</v>
      </c>
      <c r="G2732" s="32"/>
      <c r="H2732" s="21"/>
      <c r="I2732" s="33"/>
      <c r="J2732" s="21" t="str">
        <f aca="false">INDEX(Students!$C$2:$C$601,MATCH(B2732,Students!$A$2:$A$601,0))</f>
        <v>Batch 2026</v>
      </c>
      <c r="K2732" s="21" t="str">
        <f aca="false">INDEX(Students!$D$2:$D$601,MATCH(B2732,Students!$A$2:$A$601,0))</f>
        <v>Data Analytics</v>
      </c>
      <c r="L2732" s="21" t="str">
        <f aca="false">INDEX(Companies!$C$2:$C$31,MATCH(C2732,Companies!$A$2:$A$31,0))</f>
        <v>IT Services</v>
      </c>
      <c r="M2732" s="21" t="str">
        <f aca="false">INDEX(Companies!$D$2:$D$31,MATCH(C2732,Companies!$A$2:$A$31,0))</f>
        <v>Tier 3</v>
      </c>
      <c r="N2732" s="34" t="n">
        <f aca="false">MATCH(F2732,Assumptions!$K$4:$K$8,0)</f>
        <v>4</v>
      </c>
      <c r="O2732" s="21" t="str">
        <f aca="false">IF(H2732="Yes",MONTH(I2732),"")</f>
        <v/>
      </c>
      <c r="P2732" s="21" t="str">
        <f aca="false">IF(H2732="Yes",B2732,"")</f>
        <v/>
      </c>
    </row>
    <row r="2733" customFormat="false" ht="15" hidden="false" customHeight="false" outlineLevel="0" collapsed="false">
      <c r="A2733" s="21" t="s">
        <v>3948</v>
      </c>
      <c r="B2733" s="21" t="s">
        <v>890</v>
      </c>
      <c r="C2733" s="21" t="s">
        <v>1211</v>
      </c>
      <c r="D2733" s="21" t="s">
        <v>1191</v>
      </c>
      <c r="E2733" s="33" t="n">
        <v>46002</v>
      </c>
      <c r="F2733" s="21" t="s">
        <v>1185</v>
      </c>
      <c r="G2733" s="32" t="n">
        <v>5</v>
      </c>
      <c r="H2733" s="21" t="s">
        <v>113</v>
      </c>
      <c r="I2733" s="33" t="n">
        <v>46027</v>
      </c>
      <c r="J2733" s="21" t="str">
        <f aca="false">INDEX(Students!$C$2:$C$601,MATCH(B2733,Students!$A$2:$A$601,0))</f>
        <v>Batch 2026</v>
      </c>
      <c r="K2733" s="21" t="str">
        <f aca="false">INDEX(Students!$D$2:$D$601,MATCH(B2733,Students!$A$2:$A$601,0))</f>
        <v>DSA with Java</v>
      </c>
      <c r="L2733" s="21" t="str">
        <f aca="false">INDEX(Companies!$C$2:$C$31,MATCH(C2733,Companies!$A$2:$A$31,0))</f>
        <v>Analytics &amp; Consulting</v>
      </c>
      <c r="M2733" s="21" t="str">
        <f aca="false">INDEX(Companies!$D$2:$D$31,MATCH(C2733,Companies!$A$2:$A$31,0))</f>
        <v>Tier 3</v>
      </c>
      <c r="N2733" s="34" t="n">
        <f aca="false">MATCH(F2733,Assumptions!$K$4:$K$8,0)</f>
        <v>5</v>
      </c>
      <c r="O2733" s="21" t="str">
        <f aca="false">IF(H2733="Yes",MONTH(I2733),"")</f>
        <v/>
      </c>
      <c r="P2733" s="21" t="str">
        <f aca="false">IF(H2733="Yes",B2733,"")</f>
        <v/>
      </c>
    </row>
    <row r="2734" customFormat="false" ht="15" hidden="false" customHeight="false" outlineLevel="0" collapsed="false">
      <c r="A2734" s="21" t="s">
        <v>3949</v>
      </c>
      <c r="B2734" s="21" t="s">
        <v>919</v>
      </c>
      <c r="C2734" s="21" t="s">
        <v>1266</v>
      </c>
      <c r="D2734" s="21" t="s">
        <v>1209</v>
      </c>
      <c r="E2734" s="33" t="n">
        <v>46002</v>
      </c>
      <c r="F2734" s="21" t="s">
        <v>1185</v>
      </c>
      <c r="G2734" s="32" t="n">
        <v>7.1</v>
      </c>
      <c r="H2734" s="21" t="s">
        <v>113</v>
      </c>
      <c r="I2734" s="33" t="n">
        <v>46031</v>
      </c>
      <c r="J2734" s="21" t="str">
        <f aca="false">INDEX(Students!$C$2:$C$601,MATCH(B2734,Students!$A$2:$A$601,0))</f>
        <v>Batch 2026</v>
      </c>
      <c r="K2734" s="21" t="str">
        <f aca="false">INDEX(Students!$D$2:$D$601,MATCH(B2734,Students!$A$2:$A$601,0))</f>
        <v>Data Analytics</v>
      </c>
      <c r="L2734" s="21" t="str">
        <f aca="false">INDEX(Companies!$C$2:$C$31,MATCH(C2734,Companies!$A$2:$A$31,0))</f>
        <v>IT Services</v>
      </c>
      <c r="M2734" s="21" t="str">
        <f aca="false">INDEX(Companies!$D$2:$D$31,MATCH(C2734,Companies!$A$2:$A$31,0))</f>
        <v>Tier 3</v>
      </c>
      <c r="N2734" s="34" t="n">
        <f aca="false">MATCH(F2734,Assumptions!$K$4:$K$8,0)</f>
        <v>5</v>
      </c>
      <c r="O2734" s="21" t="str">
        <f aca="false">IF(H2734="Yes",MONTH(I2734),"")</f>
        <v/>
      </c>
      <c r="P2734" s="21" t="str">
        <f aca="false">IF(H2734="Yes",B2734,"")</f>
        <v/>
      </c>
    </row>
    <row r="2735" customFormat="false" ht="15" hidden="false" customHeight="false" outlineLevel="0" collapsed="false">
      <c r="A2735" s="21" t="s">
        <v>3950</v>
      </c>
      <c r="B2735" s="21" t="s">
        <v>1034</v>
      </c>
      <c r="C2735" s="21" t="s">
        <v>1187</v>
      </c>
      <c r="D2735" s="21" t="s">
        <v>1191</v>
      </c>
      <c r="E2735" s="33" t="n">
        <v>46002</v>
      </c>
      <c r="F2735" s="21" t="s">
        <v>1185</v>
      </c>
      <c r="G2735" s="32" t="n">
        <v>25.3</v>
      </c>
      <c r="H2735" s="21" t="s">
        <v>120</v>
      </c>
      <c r="I2735" s="33" t="n">
        <v>46049</v>
      </c>
      <c r="J2735" s="21" t="str">
        <f aca="false">INDEX(Students!$C$2:$C$601,MATCH(B2735,Students!$A$2:$A$601,0))</f>
        <v>Batch 2026</v>
      </c>
      <c r="K2735" s="21" t="str">
        <f aca="false">INDEX(Students!$D$2:$D$601,MATCH(B2735,Students!$A$2:$A$601,0))</f>
        <v>DSA with Java</v>
      </c>
      <c r="L2735" s="21" t="str">
        <f aca="false">INDEX(Companies!$C$2:$C$31,MATCH(C2735,Companies!$A$2:$A$31,0))</f>
        <v>Product</v>
      </c>
      <c r="M2735" s="21" t="str">
        <f aca="false">INDEX(Companies!$D$2:$D$31,MATCH(C2735,Companies!$A$2:$A$31,0))</f>
        <v>Tier 1</v>
      </c>
      <c r="N2735" s="34" t="n">
        <f aca="false">MATCH(F2735,Assumptions!$K$4:$K$8,0)</f>
        <v>5</v>
      </c>
      <c r="O2735" s="21" t="n">
        <f aca="false">IF(H2735="Yes",MONTH(I2735),"")</f>
        <v>1</v>
      </c>
      <c r="P2735" s="21" t="str">
        <f aca="false">IF(H2735="Yes",B2735,"")</f>
        <v>S0521</v>
      </c>
    </row>
    <row r="2736" customFormat="false" ht="15" hidden="false" customHeight="false" outlineLevel="0" collapsed="false">
      <c r="A2736" s="21" t="s">
        <v>3951</v>
      </c>
      <c r="B2736" s="21" t="s">
        <v>1032</v>
      </c>
      <c r="C2736" s="21" t="s">
        <v>1193</v>
      </c>
      <c r="D2736" s="21" t="s">
        <v>1209</v>
      </c>
      <c r="E2736" s="33" t="n">
        <v>46003</v>
      </c>
      <c r="F2736" s="21" t="s">
        <v>1175</v>
      </c>
      <c r="G2736" s="32"/>
      <c r="H2736" s="21"/>
      <c r="I2736" s="33"/>
      <c r="J2736" s="21" t="str">
        <f aca="false">INDEX(Students!$C$2:$C$601,MATCH(B2736,Students!$A$2:$A$601,0))</f>
        <v>Batch 2026</v>
      </c>
      <c r="K2736" s="21" t="str">
        <f aca="false">INDEX(Students!$D$2:$D$601,MATCH(B2736,Students!$A$2:$A$601,0))</f>
        <v>Data Analytics</v>
      </c>
      <c r="L2736" s="21" t="str">
        <f aca="false">INDEX(Companies!$C$2:$C$31,MATCH(C2736,Companies!$A$2:$A$31,0))</f>
        <v>Analytics &amp; Consulting</v>
      </c>
      <c r="M2736" s="21" t="str">
        <f aca="false">INDEX(Companies!$D$2:$D$31,MATCH(C2736,Companies!$A$2:$A$31,0))</f>
        <v>Tier 2</v>
      </c>
      <c r="N2736" s="34" t="n">
        <f aca="false">MATCH(F2736,Assumptions!$K$4:$K$8,0)</f>
        <v>1</v>
      </c>
      <c r="O2736" s="21" t="str">
        <f aca="false">IF(H2736="Yes",MONTH(I2736),"")</f>
        <v/>
      </c>
      <c r="P2736" s="21" t="str">
        <f aca="false">IF(H2736="Yes",B2736,"")</f>
        <v/>
      </c>
    </row>
    <row r="2737" customFormat="false" ht="15" hidden="false" customHeight="false" outlineLevel="0" collapsed="false">
      <c r="A2737" s="21" t="s">
        <v>3952</v>
      </c>
      <c r="B2737" s="21" t="s">
        <v>1078</v>
      </c>
      <c r="C2737" s="21" t="s">
        <v>1199</v>
      </c>
      <c r="D2737" s="21" t="s">
        <v>1184</v>
      </c>
      <c r="E2737" s="33" t="n">
        <v>46003</v>
      </c>
      <c r="F2737" s="21" t="s">
        <v>1185</v>
      </c>
      <c r="G2737" s="32" t="n">
        <v>14.8</v>
      </c>
      <c r="H2737" s="21" t="s">
        <v>113</v>
      </c>
      <c r="I2737" s="33" t="n">
        <v>46040</v>
      </c>
      <c r="J2737" s="21" t="str">
        <f aca="false">INDEX(Students!$C$2:$C$601,MATCH(B2737,Students!$A$2:$A$601,0))</f>
        <v>Batch 2026</v>
      </c>
      <c r="K2737" s="21" t="str">
        <f aca="false">INDEX(Students!$D$2:$D$601,MATCH(B2737,Students!$A$2:$A$601,0))</f>
        <v>DSA with Java</v>
      </c>
      <c r="L2737" s="21" t="str">
        <f aca="false">INDEX(Companies!$C$2:$C$31,MATCH(C2737,Companies!$A$2:$A$31,0))</f>
        <v>E-commerce</v>
      </c>
      <c r="M2737" s="21" t="str">
        <f aca="false">INDEX(Companies!$D$2:$D$31,MATCH(C2737,Companies!$A$2:$A$31,0))</f>
        <v>Tier 2</v>
      </c>
      <c r="N2737" s="34" t="n">
        <f aca="false">MATCH(F2737,Assumptions!$K$4:$K$8,0)</f>
        <v>5</v>
      </c>
      <c r="O2737" s="21" t="str">
        <f aca="false">IF(H2737="Yes",MONTH(I2737),"")</f>
        <v/>
      </c>
      <c r="P2737" s="21" t="str">
        <f aca="false">IF(H2737="Yes",B2737,"")</f>
        <v/>
      </c>
    </row>
    <row r="2738" customFormat="false" ht="15" hidden="false" customHeight="false" outlineLevel="0" collapsed="false">
      <c r="A2738" s="21" t="s">
        <v>3953</v>
      </c>
      <c r="B2738" s="21" t="s">
        <v>1065</v>
      </c>
      <c r="C2738" s="21" t="s">
        <v>1208</v>
      </c>
      <c r="D2738" s="21" t="s">
        <v>1188</v>
      </c>
      <c r="E2738" s="33" t="n">
        <v>46003</v>
      </c>
      <c r="F2738" s="21" t="s">
        <v>1197</v>
      </c>
      <c r="G2738" s="32"/>
      <c r="H2738" s="21"/>
      <c r="I2738" s="33"/>
      <c r="J2738" s="21" t="str">
        <f aca="false">INDEX(Students!$C$2:$C$601,MATCH(B2738,Students!$A$2:$A$601,0))</f>
        <v>Batch 2026</v>
      </c>
      <c r="K2738" s="21" t="str">
        <f aca="false">INDEX(Students!$D$2:$D$601,MATCH(B2738,Students!$A$2:$A$601,0))</f>
        <v>Data Analytics</v>
      </c>
      <c r="L2738" s="21" t="str">
        <f aca="false">INDEX(Companies!$C$2:$C$31,MATCH(C2738,Companies!$A$2:$A$31,0))</f>
        <v>E-commerce</v>
      </c>
      <c r="M2738" s="21" t="str">
        <f aca="false">INDEX(Companies!$D$2:$D$31,MATCH(C2738,Companies!$A$2:$A$31,0))</f>
        <v>Tier 1</v>
      </c>
      <c r="N2738" s="34" t="n">
        <f aca="false">MATCH(F2738,Assumptions!$K$4:$K$8,0)</f>
        <v>3</v>
      </c>
      <c r="O2738" s="21" t="str">
        <f aca="false">IF(H2738="Yes",MONTH(I2738),"")</f>
        <v/>
      </c>
      <c r="P2738" s="21" t="str">
        <f aca="false">IF(H2738="Yes",B2738,"")</f>
        <v/>
      </c>
    </row>
    <row r="2739" customFormat="false" ht="15" hidden="false" customHeight="false" outlineLevel="0" collapsed="false">
      <c r="A2739" s="21" t="s">
        <v>3954</v>
      </c>
      <c r="B2739" s="21" t="s">
        <v>1105</v>
      </c>
      <c r="C2739" s="21" t="s">
        <v>1222</v>
      </c>
      <c r="D2739" s="21" t="s">
        <v>1191</v>
      </c>
      <c r="E2739" s="33" t="n">
        <v>46003</v>
      </c>
      <c r="F2739" s="21" t="s">
        <v>1197</v>
      </c>
      <c r="G2739" s="32"/>
      <c r="H2739" s="21"/>
      <c r="I2739" s="33"/>
      <c r="J2739" s="21" t="str">
        <f aca="false">INDEX(Students!$C$2:$C$601,MATCH(B2739,Students!$A$2:$A$601,0))</f>
        <v>Batch 2026</v>
      </c>
      <c r="K2739" s="21" t="str">
        <f aca="false">INDEX(Students!$D$2:$D$601,MATCH(B2739,Students!$A$2:$A$601,0))</f>
        <v>DSA with Java</v>
      </c>
      <c r="L2739" s="21" t="str">
        <f aca="false">INDEX(Companies!$C$2:$C$31,MATCH(C2739,Companies!$A$2:$A$31,0))</f>
        <v>Product</v>
      </c>
      <c r="M2739" s="21" t="str">
        <f aca="false">INDEX(Companies!$D$2:$D$31,MATCH(C2739,Companies!$A$2:$A$31,0))</f>
        <v>Tier 2</v>
      </c>
      <c r="N2739" s="34" t="n">
        <f aca="false">MATCH(F2739,Assumptions!$K$4:$K$8,0)</f>
        <v>3</v>
      </c>
      <c r="O2739" s="21" t="str">
        <f aca="false">IF(H2739="Yes",MONTH(I2739),"")</f>
        <v/>
      </c>
      <c r="P2739" s="21" t="str">
        <f aca="false">IF(H2739="Yes",B2739,"")</f>
        <v/>
      </c>
    </row>
    <row r="2740" customFormat="false" ht="15" hidden="false" customHeight="false" outlineLevel="0" collapsed="false">
      <c r="A2740" s="21" t="s">
        <v>3955</v>
      </c>
      <c r="B2740" s="21" t="s">
        <v>874</v>
      </c>
      <c r="C2740" s="21" t="s">
        <v>1199</v>
      </c>
      <c r="D2740" s="21" t="s">
        <v>1191</v>
      </c>
      <c r="E2740" s="33" t="n">
        <v>46003</v>
      </c>
      <c r="F2740" s="21" t="s">
        <v>1185</v>
      </c>
      <c r="G2740" s="32" t="n">
        <v>10.9</v>
      </c>
      <c r="H2740" s="21" t="s">
        <v>113</v>
      </c>
      <c r="I2740" s="33" t="n">
        <v>46035</v>
      </c>
      <c r="J2740" s="21" t="str">
        <f aca="false">INDEX(Students!$C$2:$C$601,MATCH(B2740,Students!$A$2:$A$601,0))</f>
        <v>Batch 2026</v>
      </c>
      <c r="K2740" s="21" t="str">
        <f aca="false">INDEX(Students!$D$2:$D$601,MATCH(B2740,Students!$A$2:$A$601,0))</f>
        <v>DSA with Java</v>
      </c>
      <c r="L2740" s="21" t="str">
        <f aca="false">INDEX(Companies!$C$2:$C$31,MATCH(C2740,Companies!$A$2:$A$31,0))</f>
        <v>E-commerce</v>
      </c>
      <c r="M2740" s="21" t="str">
        <f aca="false">INDEX(Companies!$D$2:$D$31,MATCH(C2740,Companies!$A$2:$A$31,0))</f>
        <v>Tier 2</v>
      </c>
      <c r="N2740" s="34" t="n">
        <f aca="false">MATCH(F2740,Assumptions!$K$4:$K$8,0)</f>
        <v>5</v>
      </c>
      <c r="O2740" s="21" t="str">
        <f aca="false">IF(H2740="Yes",MONTH(I2740),"")</f>
        <v/>
      </c>
      <c r="P2740" s="21" t="str">
        <f aca="false">IF(H2740="Yes",B2740,"")</f>
        <v/>
      </c>
    </row>
    <row r="2741" customFormat="false" ht="15" hidden="false" customHeight="false" outlineLevel="0" collapsed="false">
      <c r="A2741" s="21" t="s">
        <v>3956</v>
      </c>
      <c r="B2741" s="21" t="s">
        <v>1125</v>
      </c>
      <c r="C2741" s="21" t="s">
        <v>1211</v>
      </c>
      <c r="D2741" s="21" t="s">
        <v>1209</v>
      </c>
      <c r="E2741" s="33" t="n">
        <v>46004</v>
      </c>
      <c r="F2741" s="21" t="s">
        <v>1175</v>
      </c>
      <c r="G2741" s="32"/>
      <c r="H2741" s="21"/>
      <c r="I2741" s="33"/>
      <c r="J2741" s="21" t="str">
        <f aca="false">INDEX(Students!$C$2:$C$601,MATCH(B2741,Students!$A$2:$A$601,0))</f>
        <v>Batch 2026</v>
      </c>
      <c r="K2741" s="21" t="str">
        <f aca="false">INDEX(Students!$D$2:$D$601,MATCH(B2741,Students!$A$2:$A$601,0))</f>
        <v>Data Analytics</v>
      </c>
      <c r="L2741" s="21" t="str">
        <f aca="false">INDEX(Companies!$C$2:$C$31,MATCH(C2741,Companies!$A$2:$A$31,0))</f>
        <v>Analytics &amp; Consulting</v>
      </c>
      <c r="M2741" s="21" t="str">
        <f aca="false">INDEX(Companies!$D$2:$D$31,MATCH(C2741,Companies!$A$2:$A$31,0))</f>
        <v>Tier 3</v>
      </c>
      <c r="N2741" s="34" t="n">
        <f aca="false">MATCH(F2741,Assumptions!$K$4:$K$8,0)</f>
        <v>1</v>
      </c>
      <c r="O2741" s="21" t="str">
        <f aca="false">IF(H2741="Yes",MONTH(I2741),"")</f>
        <v/>
      </c>
      <c r="P2741" s="21" t="str">
        <f aca="false">IF(H2741="Yes",B2741,"")</f>
        <v/>
      </c>
    </row>
    <row r="2742" customFormat="false" ht="15" hidden="false" customHeight="false" outlineLevel="0" collapsed="false">
      <c r="A2742" s="21" t="s">
        <v>3957</v>
      </c>
      <c r="B2742" s="21" t="s">
        <v>991</v>
      </c>
      <c r="C2742" s="21" t="s">
        <v>1173</v>
      </c>
      <c r="D2742" s="21" t="s">
        <v>1174</v>
      </c>
      <c r="E2742" s="33" t="n">
        <v>46004</v>
      </c>
      <c r="F2742" s="21" t="s">
        <v>1197</v>
      </c>
      <c r="G2742" s="32"/>
      <c r="H2742" s="21"/>
      <c r="I2742" s="33"/>
      <c r="J2742" s="21" t="str">
        <f aca="false">INDEX(Students!$C$2:$C$601,MATCH(B2742,Students!$A$2:$A$601,0))</f>
        <v>Batch 2026</v>
      </c>
      <c r="K2742" s="21" t="str">
        <f aca="false">INDEX(Students!$D$2:$D$601,MATCH(B2742,Students!$A$2:$A$601,0))</f>
        <v>Full Stack Development</v>
      </c>
      <c r="L2742" s="21" t="str">
        <f aca="false">INDEX(Companies!$C$2:$C$31,MATCH(C2742,Companies!$A$2:$A$31,0))</f>
        <v>Cybersecurity</v>
      </c>
      <c r="M2742" s="21" t="str">
        <f aca="false">INDEX(Companies!$D$2:$D$31,MATCH(C2742,Companies!$A$2:$A$31,0))</f>
        <v>Tier 1</v>
      </c>
      <c r="N2742" s="34" t="n">
        <f aca="false">MATCH(F2742,Assumptions!$K$4:$K$8,0)</f>
        <v>3</v>
      </c>
      <c r="O2742" s="21" t="str">
        <f aca="false">IF(H2742="Yes",MONTH(I2742),"")</f>
        <v/>
      </c>
      <c r="P2742" s="21" t="str">
        <f aca="false">IF(H2742="Yes",B2742,"")</f>
        <v/>
      </c>
    </row>
    <row r="2743" customFormat="false" ht="15" hidden="false" customHeight="false" outlineLevel="0" collapsed="false">
      <c r="A2743" s="21" t="s">
        <v>3958</v>
      </c>
      <c r="B2743" s="21" t="s">
        <v>1074</v>
      </c>
      <c r="C2743" s="21" t="s">
        <v>1183</v>
      </c>
      <c r="D2743" s="21" t="s">
        <v>1191</v>
      </c>
      <c r="E2743" s="33" t="n">
        <v>46004</v>
      </c>
      <c r="F2743" s="21" t="s">
        <v>1185</v>
      </c>
      <c r="G2743" s="32" t="n">
        <v>10.7</v>
      </c>
      <c r="H2743" s="21" t="s">
        <v>120</v>
      </c>
      <c r="I2743" s="33" t="n">
        <v>46036</v>
      </c>
      <c r="J2743" s="21" t="str">
        <f aca="false">INDEX(Students!$C$2:$C$601,MATCH(B2743,Students!$A$2:$A$601,0))</f>
        <v>Batch 2026</v>
      </c>
      <c r="K2743" s="21" t="str">
        <f aca="false">INDEX(Students!$D$2:$D$601,MATCH(B2743,Students!$A$2:$A$601,0))</f>
        <v>DSA with Java</v>
      </c>
      <c r="L2743" s="21" t="str">
        <f aca="false">INDEX(Companies!$C$2:$C$31,MATCH(C2743,Companies!$A$2:$A$31,0))</f>
        <v>E-commerce</v>
      </c>
      <c r="M2743" s="21" t="str">
        <f aca="false">INDEX(Companies!$D$2:$D$31,MATCH(C2743,Companies!$A$2:$A$31,0))</f>
        <v>Tier 2</v>
      </c>
      <c r="N2743" s="34" t="n">
        <f aca="false">MATCH(F2743,Assumptions!$K$4:$K$8,0)</f>
        <v>5</v>
      </c>
      <c r="O2743" s="21" t="n">
        <f aca="false">IF(H2743="Yes",MONTH(I2743),"")</f>
        <v>1</v>
      </c>
      <c r="P2743" s="21" t="str">
        <f aca="false">IF(H2743="Yes",B2743,"")</f>
        <v>S0546</v>
      </c>
    </row>
    <row r="2744" customFormat="false" ht="15" hidden="false" customHeight="false" outlineLevel="0" collapsed="false">
      <c r="A2744" s="21" t="s">
        <v>3959</v>
      </c>
      <c r="B2744" s="21" t="s">
        <v>893</v>
      </c>
      <c r="C2744" s="21" t="s">
        <v>1193</v>
      </c>
      <c r="D2744" s="21" t="s">
        <v>1184</v>
      </c>
      <c r="E2744" s="33" t="n">
        <v>46004</v>
      </c>
      <c r="F2744" s="21" t="s">
        <v>1175</v>
      </c>
      <c r="G2744" s="32"/>
      <c r="H2744" s="21"/>
      <c r="I2744" s="33"/>
      <c r="J2744" s="21" t="str">
        <f aca="false">INDEX(Students!$C$2:$C$601,MATCH(B2744,Students!$A$2:$A$601,0))</f>
        <v>Batch 2026</v>
      </c>
      <c r="K2744" s="21" t="str">
        <f aca="false">INDEX(Students!$D$2:$D$601,MATCH(B2744,Students!$A$2:$A$601,0))</f>
        <v>DSA with Java</v>
      </c>
      <c r="L2744" s="21" t="str">
        <f aca="false">INDEX(Companies!$C$2:$C$31,MATCH(C2744,Companies!$A$2:$A$31,0))</f>
        <v>Analytics &amp; Consulting</v>
      </c>
      <c r="M2744" s="21" t="str">
        <f aca="false">INDEX(Companies!$D$2:$D$31,MATCH(C2744,Companies!$A$2:$A$31,0))</f>
        <v>Tier 2</v>
      </c>
      <c r="N2744" s="34" t="n">
        <f aca="false">MATCH(F2744,Assumptions!$K$4:$K$8,0)</f>
        <v>1</v>
      </c>
      <c r="O2744" s="21" t="str">
        <f aca="false">IF(H2744="Yes",MONTH(I2744),"")</f>
        <v/>
      </c>
      <c r="P2744" s="21" t="str">
        <f aca="false">IF(H2744="Yes",B2744,"")</f>
        <v/>
      </c>
    </row>
    <row r="2745" customFormat="false" ht="15" hidden="false" customHeight="false" outlineLevel="0" collapsed="false">
      <c r="A2745" s="21" t="s">
        <v>3960</v>
      </c>
      <c r="B2745" s="21" t="s">
        <v>836</v>
      </c>
      <c r="C2745" s="21" t="s">
        <v>1180</v>
      </c>
      <c r="D2745" s="21" t="s">
        <v>1243</v>
      </c>
      <c r="E2745" s="33" t="n">
        <v>46005</v>
      </c>
      <c r="F2745" s="21" t="s">
        <v>1175</v>
      </c>
      <c r="G2745" s="32"/>
      <c r="H2745" s="21"/>
      <c r="I2745" s="33"/>
      <c r="J2745" s="21" t="str">
        <f aca="false">INDEX(Students!$C$2:$C$601,MATCH(B2745,Students!$A$2:$A$601,0))</f>
        <v>Batch 2026</v>
      </c>
      <c r="K2745" s="21" t="str">
        <f aca="false">INDEX(Students!$D$2:$D$601,MATCH(B2745,Students!$A$2:$A$601,0))</f>
        <v>Data Science &amp; ML</v>
      </c>
      <c r="L2745" s="21" t="str">
        <f aca="false">INDEX(Companies!$C$2:$C$31,MATCH(C2745,Companies!$A$2:$A$31,0))</f>
        <v>IT Services</v>
      </c>
      <c r="M2745" s="21" t="str">
        <f aca="false">INDEX(Companies!$D$2:$D$31,MATCH(C2745,Companies!$A$2:$A$31,0))</f>
        <v>Tier 3</v>
      </c>
      <c r="N2745" s="34" t="n">
        <f aca="false">MATCH(F2745,Assumptions!$K$4:$K$8,0)</f>
        <v>1</v>
      </c>
      <c r="O2745" s="21" t="str">
        <f aca="false">IF(H2745="Yes",MONTH(I2745),"")</f>
        <v/>
      </c>
      <c r="P2745" s="21" t="str">
        <f aca="false">IF(H2745="Yes",B2745,"")</f>
        <v/>
      </c>
    </row>
    <row r="2746" customFormat="false" ht="15" hidden="false" customHeight="false" outlineLevel="0" collapsed="false">
      <c r="A2746" s="21" t="s">
        <v>3961</v>
      </c>
      <c r="B2746" s="21" t="s">
        <v>999</v>
      </c>
      <c r="C2746" s="21" t="s">
        <v>1230</v>
      </c>
      <c r="D2746" s="21" t="s">
        <v>1191</v>
      </c>
      <c r="E2746" s="33" t="n">
        <v>46005</v>
      </c>
      <c r="F2746" s="21" t="s">
        <v>1185</v>
      </c>
      <c r="G2746" s="32" t="n">
        <v>6.5</v>
      </c>
      <c r="H2746" s="21" t="s">
        <v>113</v>
      </c>
      <c r="I2746" s="33" t="n">
        <v>46045</v>
      </c>
      <c r="J2746" s="21" t="str">
        <f aca="false">INDEX(Students!$C$2:$C$601,MATCH(B2746,Students!$A$2:$A$601,0))</f>
        <v>Batch 2026</v>
      </c>
      <c r="K2746" s="21" t="str">
        <f aca="false">INDEX(Students!$D$2:$D$601,MATCH(B2746,Students!$A$2:$A$601,0))</f>
        <v>DSA with Java</v>
      </c>
      <c r="L2746" s="21" t="str">
        <f aca="false">INDEX(Companies!$C$2:$C$31,MATCH(C2746,Companies!$A$2:$A$31,0))</f>
        <v>IT Services</v>
      </c>
      <c r="M2746" s="21" t="str">
        <f aca="false">INDEX(Companies!$D$2:$D$31,MATCH(C2746,Companies!$A$2:$A$31,0))</f>
        <v>Tier 3</v>
      </c>
      <c r="N2746" s="34" t="n">
        <f aca="false">MATCH(F2746,Assumptions!$K$4:$K$8,0)</f>
        <v>5</v>
      </c>
      <c r="O2746" s="21" t="str">
        <f aca="false">IF(H2746="Yes",MONTH(I2746),"")</f>
        <v/>
      </c>
      <c r="P2746" s="21" t="str">
        <f aca="false">IF(H2746="Yes",B2746,"")</f>
        <v/>
      </c>
    </row>
    <row r="2747" customFormat="false" ht="15" hidden="false" customHeight="false" outlineLevel="0" collapsed="false">
      <c r="A2747" s="21" t="s">
        <v>3962</v>
      </c>
      <c r="B2747" s="21" t="s">
        <v>838</v>
      </c>
      <c r="C2747" s="21" t="s">
        <v>1180</v>
      </c>
      <c r="D2747" s="21" t="s">
        <v>1209</v>
      </c>
      <c r="E2747" s="33" t="n">
        <v>46005</v>
      </c>
      <c r="F2747" s="21" t="s">
        <v>1178</v>
      </c>
      <c r="G2747" s="32"/>
      <c r="H2747" s="21"/>
      <c r="I2747" s="33"/>
      <c r="J2747" s="21" t="str">
        <f aca="false">INDEX(Students!$C$2:$C$601,MATCH(B2747,Students!$A$2:$A$601,0))</f>
        <v>Batch 2026</v>
      </c>
      <c r="K2747" s="21" t="str">
        <f aca="false">INDEX(Students!$D$2:$D$601,MATCH(B2747,Students!$A$2:$A$601,0))</f>
        <v>Data Analytics</v>
      </c>
      <c r="L2747" s="21" t="str">
        <f aca="false">INDEX(Companies!$C$2:$C$31,MATCH(C2747,Companies!$A$2:$A$31,0))</f>
        <v>IT Services</v>
      </c>
      <c r="M2747" s="21" t="str">
        <f aca="false">INDEX(Companies!$D$2:$D$31,MATCH(C2747,Companies!$A$2:$A$31,0))</f>
        <v>Tier 3</v>
      </c>
      <c r="N2747" s="34" t="n">
        <f aca="false">MATCH(F2747,Assumptions!$K$4:$K$8,0)</f>
        <v>2</v>
      </c>
      <c r="O2747" s="21" t="str">
        <f aca="false">IF(H2747="Yes",MONTH(I2747),"")</f>
        <v/>
      </c>
      <c r="P2747" s="21" t="str">
        <f aca="false">IF(H2747="Yes",B2747,"")</f>
        <v/>
      </c>
    </row>
    <row r="2748" customFormat="false" ht="15" hidden="false" customHeight="false" outlineLevel="0" collapsed="false">
      <c r="A2748" s="21" t="s">
        <v>3963</v>
      </c>
      <c r="B2748" s="21" t="s">
        <v>864</v>
      </c>
      <c r="C2748" s="21" t="s">
        <v>1322</v>
      </c>
      <c r="D2748" s="21" t="s">
        <v>1188</v>
      </c>
      <c r="E2748" s="33" t="n">
        <v>46006</v>
      </c>
      <c r="F2748" s="21" t="s">
        <v>1175</v>
      </c>
      <c r="G2748" s="32"/>
      <c r="H2748" s="21"/>
      <c r="I2748" s="33"/>
      <c r="J2748" s="21" t="str">
        <f aca="false">INDEX(Students!$C$2:$C$601,MATCH(B2748,Students!$A$2:$A$601,0))</f>
        <v>Batch 2026</v>
      </c>
      <c r="K2748" s="21" t="str">
        <f aca="false">INDEX(Students!$D$2:$D$601,MATCH(B2748,Students!$A$2:$A$601,0))</f>
        <v>Data Analytics</v>
      </c>
      <c r="L2748" s="21" t="str">
        <f aca="false">INDEX(Companies!$C$2:$C$31,MATCH(C2748,Companies!$A$2:$A$31,0))</f>
        <v>Healthtech</v>
      </c>
      <c r="M2748" s="21" t="str">
        <f aca="false">INDEX(Companies!$D$2:$D$31,MATCH(C2748,Companies!$A$2:$A$31,0))</f>
        <v>Tier 2</v>
      </c>
      <c r="N2748" s="34" t="n">
        <f aca="false">MATCH(F2748,Assumptions!$K$4:$K$8,0)</f>
        <v>1</v>
      </c>
      <c r="O2748" s="21" t="str">
        <f aca="false">IF(H2748="Yes",MONTH(I2748),"")</f>
        <v/>
      </c>
      <c r="P2748" s="21" t="str">
        <f aca="false">IF(H2748="Yes",B2748,"")</f>
        <v/>
      </c>
    </row>
    <row r="2749" customFormat="false" ht="15" hidden="false" customHeight="false" outlineLevel="0" collapsed="false">
      <c r="A2749" s="21" t="s">
        <v>3964</v>
      </c>
      <c r="B2749" s="21" t="s">
        <v>1074</v>
      </c>
      <c r="C2749" s="21" t="s">
        <v>1196</v>
      </c>
      <c r="D2749" s="21" t="s">
        <v>1191</v>
      </c>
      <c r="E2749" s="33" t="n">
        <v>46006</v>
      </c>
      <c r="F2749" s="21" t="s">
        <v>1175</v>
      </c>
      <c r="G2749" s="32"/>
      <c r="H2749" s="21"/>
      <c r="I2749" s="33"/>
      <c r="J2749" s="21" t="str">
        <f aca="false">INDEX(Students!$C$2:$C$601,MATCH(B2749,Students!$A$2:$A$601,0))</f>
        <v>Batch 2026</v>
      </c>
      <c r="K2749" s="21" t="str">
        <f aca="false">INDEX(Students!$D$2:$D$601,MATCH(B2749,Students!$A$2:$A$601,0))</f>
        <v>DSA with Java</v>
      </c>
      <c r="L2749" s="21" t="str">
        <f aca="false">INDEX(Companies!$C$2:$C$31,MATCH(C2749,Companies!$A$2:$A$31,0))</f>
        <v>IT Services</v>
      </c>
      <c r="M2749" s="21" t="str">
        <f aca="false">INDEX(Companies!$D$2:$D$31,MATCH(C2749,Companies!$A$2:$A$31,0))</f>
        <v>Tier 3</v>
      </c>
      <c r="N2749" s="34" t="n">
        <f aca="false">MATCH(F2749,Assumptions!$K$4:$K$8,0)</f>
        <v>1</v>
      </c>
      <c r="O2749" s="21" t="str">
        <f aca="false">IF(H2749="Yes",MONTH(I2749),"")</f>
        <v/>
      </c>
      <c r="P2749" s="21" t="str">
        <f aca="false">IF(H2749="Yes",B2749,"")</f>
        <v/>
      </c>
    </row>
    <row r="2750" customFormat="false" ht="15" hidden="false" customHeight="false" outlineLevel="0" collapsed="false">
      <c r="A2750" s="21" t="s">
        <v>3965</v>
      </c>
      <c r="B2750" s="21" t="s">
        <v>1025</v>
      </c>
      <c r="C2750" s="21" t="s">
        <v>1177</v>
      </c>
      <c r="D2750" s="21" t="s">
        <v>1243</v>
      </c>
      <c r="E2750" s="33" t="n">
        <v>46006</v>
      </c>
      <c r="F2750" s="21" t="s">
        <v>1218</v>
      </c>
      <c r="G2750" s="32"/>
      <c r="H2750" s="21"/>
      <c r="I2750" s="33"/>
      <c r="J2750" s="21" t="str">
        <f aca="false">INDEX(Students!$C$2:$C$601,MATCH(B2750,Students!$A$2:$A$601,0))</f>
        <v>Batch 2026</v>
      </c>
      <c r="K2750" s="21" t="str">
        <f aca="false">INDEX(Students!$D$2:$D$601,MATCH(B2750,Students!$A$2:$A$601,0))</f>
        <v>Data Science &amp; ML</v>
      </c>
      <c r="L2750" s="21" t="str">
        <f aca="false">INDEX(Companies!$C$2:$C$31,MATCH(C2750,Companies!$A$2:$A$31,0))</f>
        <v>IT Services</v>
      </c>
      <c r="M2750" s="21" t="str">
        <f aca="false">INDEX(Companies!$D$2:$D$31,MATCH(C2750,Companies!$A$2:$A$31,0))</f>
        <v>Tier 3</v>
      </c>
      <c r="N2750" s="34" t="n">
        <f aca="false">MATCH(F2750,Assumptions!$K$4:$K$8,0)</f>
        <v>4</v>
      </c>
      <c r="O2750" s="21" t="str">
        <f aca="false">IF(H2750="Yes",MONTH(I2750),"")</f>
        <v/>
      </c>
      <c r="P2750" s="21" t="str">
        <f aca="false">IF(H2750="Yes",B2750,"")</f>
        <v/>
      </c>
    </row>
    <row r="2751" customFormat="false" ht="15" hidden="false" customHeight="false" outlineLevel="0" collapsed="false">
      <c r="A2751" s="21" t="s">
        <v>3966</v>
      </c>
      <c r="B2751" s="21" t="s">
        <v>1061</v>
      </c>
      <c r="C2751" s="21" t="s">
        <v>1263</v>
      </c>
      <c r="D2751" s="21" t="s">
        <v>1181</v>
      </c>
      <c r="E2751" s="33" t="n">
        <v>46007</v>
      </c>
      <c r="F2751" s="21" t="s">
        <v>1185</v>
      </c>
      <c r="G2751" s="32" t="n">
        <v>15</v>
      </c>
      <c r="H2751" s="21" t="s">
        <v>113</v>
      </c>
      <c r="I2751" s="33" t="n">
        <v>46061</v>
      </c>
      <c r="J2751" s="21" t="str">
        <f aca="false">INDEX(Students!$C$2:$C$601,MATCH(B2751,Students!$A$2:$A$601,0))</f>
        <v>Batch 2026</v>
      </c>
      <c r="K2751" s="21" t="str">
        <f aca="false">INDEX(Students!$D$2:$D$601,MATCH(B2751,Students!$A$2:$A$601,0))</f>
        <v>Full Stack Development</v>
      </c>
      <c r="L2751" s="21" t="str">
        <f aca="false">INDEX(Companies!$C$2:$C$31,MATCH(C2751,Companies!$A$2:$A$31,0))</f>
        <v>Analytics &amp; Consulting</v>
      </c>
      <c r="M2751" s="21" t="str">
        <f aca="false">INDEX(Companies!$D$2:$D$31,MATCH(C2751,Companies!$A$2:$A$31,0))</f>
        <v>Tier 2</v>
      </c>
      <c r="N2751" s="34" t="n">
        <f aca="false">MATCH(F2751,Assumptions!$K$4:$K$8,0)</f>
        <v>5</v>
      </c>
      <c r="O2751" s="21" t="str">
        <f aca="false">IF(H2751="Yes",MONTH(I2751),"")</f>
        <v/>
      </c>
      <c r="P2751" s="21" t="str">
        <f aca="false">IF(H2751="Yes",B2751,"")</f>
        <v/>
      </c>
    </row>
    <row r="2752" customFormat="false" ht="15" hidden="false" customHeight="false" outlineLevel="0" collapsed="false">
      <c r="A2752" s="21" t="s">
        <v>3967</v>
      </c>
      <c r="B2752" s="21" t="s">
        <v>824</v>
      </c>
      <c r="C2752" s="21" t="s">
        <v>1230</v>
      </c>
      <c r="D2752" s="21" t="s">
        <v>1191</v>
      </c>
      <c r="E2752" s="33" t="n">
        <v>46008</v>
      </c>
      <c r="F2752" s="21" t="s">
        <v>1185</v>
      </c>
      <c r="G2752" s="32" t="n">
        <v>7.5</v>
      </c>
      <c r="H2752" s="21" t="s">
        <v>113</v>
      </c>
      <c r="I2752" s="33" t="n">
        <v>46037</v>
      </c>
      <c r="J2752" s="21" t="str">
        <f aca="false">INDEX(Students!$C$2:$C$601,MATCH(B2752,Students!$A$2:$A$601,0))</f>
        <v>Batch 2026</v>
      </c>
      <c r="K2752" s="21" t="str">
        <f aca="false">INDEX(Students!$D$2:$D$601,MATCH(B2752,Students!$A$2:$A$601,0))</f>
        <v>DSA with Java</v>
      </c>
      <c r="L2752" s="21" t="str">
        <f aca="false">INDEX(Companies!$C$2:$C$31,MATCH(C2752,Companies!$A$2:$A$31,0))</f>
        <v>IT Services</v>
      </c>
      <c r="M2752" s="21" t="str">
        <f aca="false">INDEX(Companies!$D$2:$D$31,MATCH(C2752,Companies!$A$2:$A$31,0))</f>
        <v>Tier 3</v>
      </c>
      <c r="N2752" s="34" t="n">
        <f aca="false">MATCH(F2752,Assumptions!$K$4:$K$8,0)</f>
        <v>5</v>
      </c>
      <c r="O2752" s="21" t="str">
        <f aca="false">IF(H2752="Yes",MONTH(I2752),"")</f>
        <v/>
      </c>
      <c r="P2752" s="21" t="str">
        <f aca="false">IF(H2752="Yes",B2752,"")</f>
        <v/>
      </c>
    </row>
    <row r="2753" customFormat="false" ht="15" hidden="false" customHeight="false" outlineLevel="0" collapsed="false">
      <c r="A2753" s="21" t="s">
        <v>3968</v>
      </c>
      <c r="B2753" s="21" t="s">
        <v>1011</v>
      </c>
      <c r="C2753" s="21" t="s">
        <v>1205</v>
      </c>
      <c r="D2753" s="21" t="s">
        <v>1174</v>
      </c>
      <c r="E2753" s="33" t="n">
        <v>46008</v>
      </c>
      <c r="F2753" s="21" t="s">
        <v>1175</v>
      </c>
      <c r="G2753" s="32"/>
      <c r="H2753" s="21"/>
      <c r="I2753" s="33"/>
      <c r="J2753" s="21" t="str">
        <f aca="false">INDEX(Students!$C$2:$C$601,MATCH(B2753,Students!$A$2:$A$601,0))</f>
        <v>Batch 2026</v>
      </c>
      <c r="K2753" s="21" t="str">
        <f aca="false">INDEX(Students!$D$2:$D$601,MATCH(B2753,Students!$A$2:$A$601,0))</f>
        <v>Full Stack Development</v>
      </c>
      <c r="L2753" s="21" t="str">
        <f aca="false">INDEX(Companies!$C$2:$C$31,MATCH(C2753,Companies!$A$2:$A$31,0))</f>
        <v>Healthtech</v>
      </c>
      <c r="M2753" s="21" t="str">
        <f aca="false">INDEX(Companies!$D$2:$D$31,MATCH(C2753,Companies!$A$2:$A$31,0))</f>
        <v>Tier 3</v>
      </c>
      <c r="N2753" s="34" t="n">
        <f aca="false">MATCH(F2753,Assumptions!$K$4:$K$8,0)</f>
        <v>1</v>
      </c>
      <c r="O2753" s="21" t="str">
        <f aca="false">IF(H2753="Yes",MONTH(I2753),"")</f>
        <v/>
      </c>
      <c r="P2753" s="21" t="str">
        <f aca="false">IF(H2753="Yes",B2753,"")</f>
        <v/>
      </c>
    </row>
    <row r="2754" customFormat="false" ht="15" hidden="false" customHeight="false" outlineLevel="0" collapsed="false">
      <c r="A2754" s="21" t="s">
        <v>3969</v>
      </c>
      <c r="B2754" s="21" t="s">
        <v>1122</v>
      </c>
      <c r="C2754" s="21" t="s">
        <v>1203</v>
      </c>
      <c r="D2754" s="21" t="s">
        <v>1243</v>
      </c>
      <c r="E2754" s="33" t="n">
        <v>46008</v>
      </c>
      <c r="F2754" s="21" t="s">
        <v>1175</v>
      </c>
      <c r="G2754" s="32"/>
      <c r="H2754" s="21"/>
      <c r="I2754" s="33"/>
      <c r="J2754" s="21" t="str">
        <f aca="false">INDEX(Students!$C$2:$C$601,MATCH(B2754,Students!$A$2:$A$601,0))</f>
        <v>Batch 2026</v>
      </c>
      <c r="K2754" s="21" t="str">
        <f aca="false">INDEX(Students!$D$2:$D$601,MATCH(B2754,Students!$A$2:$A$601,0))</f>
        <v>Data Science &amp; ML</v>
      </c>
      <c r="L2754" s="21" t="str">
        <f aca="false">INDEX(Companies!$C$2:$C$31,MATCH(C2754,Companies!$A$2:$A$31,0))</f>
        <v>Healthtech</v>
      </c>
      <c r="M2754" s="21" t="str">
        <f aca="false">INDEX(Companies!$D$2:$D$31,MATCH(C2754,Companies!$A$2:$A$31,0))</f>
        <v>Tier 2</v>
      </c>
      <c r="N2754" s="34" t="n">
        <f aca="false">MATCH(F2754,Assumptions!$K$4:$K$8,0)</f>
        <v>1</v>
      </c>
      <c r="O2754" s="21" t="str">
        <f aca="false">IF(H2754="Yes",MONTH(I2754),"")</f>
        <v/>
      </c>
      <c r="P2754" s="21" t="str">
        <f aca="false">IF(H2754="Yes",B2754,"")</f>
        <v/>
      </c>
    </row>
    <row r="2755" customFormat="false" ht="15" hidden="false" customHeight="false" outlineLevel="0" collapsed="false">
      <c r="A2755" s="21" t="s">
        <v>3970</v>
      </c>
      <c r="B2755" s="21" t="s">
        <v>1092</v>
      </c>
      <c r="C2755" s="21" t="s">
        <v>1266</v>
      </c>
      <c r="D2755" s="21" t="s">
        <v>1181</v>
      </c>
      <c r="E2755" s="33" t="n">
        <v>46008</v>
      </c>
      <c r="F2755" s="21" t="s">
        <v>1185</v>
      </c>
      <c r="G2755" s="32" t="n">
        <v>7.8</v>
      </c>
      <c r="H2755" s="21" t="s">
        <v>120</v>
      </c>
      <c r="I2755" s="33" t="n">
        <v>46063</v>
      </c>
      <c r="J2755" s="21" t="str">
        <f aca="false">INDEX(Students!$C$2:$C$601,MATCH(B2755,Students!$A$2:$A$601,0))</f>
        <v>Batch 2026</v>
      </c>
      <c r="K2755" s="21" t="str">
        <f aca="false">INDEX(Students!$D$2:$D$601,MATCH(B2755,Students!$A$2:$A$601,0))</f>
        <v>Full Stack Development</v>
      </c>
      <c r="L2755" s="21" t="str">
        <f aca="false">INDEX(Companies!$C$2:$C$31,MATCH(C2755,Companies!$A$2:$A$31,0))</f>
        <v>IT Services</v>
      </c>
      <c r="M2755" s="21" t="str">
        <f aca="false">INDEX(Companies!$D$2:$D$31,MATCH(C2755,Companies!$A$2:$A$31,0))</f>
        <v>Tier 3</v>
      </c>
      <c r="N2755" s="34" t="n">
        <f aca="false">MATCH(F2755,Assumptions!$K$4:$K$8,0)</f>
        <v>5</v>
      </c>
      <c r="O2755" s="21" t="n">
        <f aca="false">IF(H2755="Yes",MONTH(I2755),"")</f>
        <v>2</v>
      </c>
      <c r="P2755" s="21" t="str">
        <f aca="false">IF(H2755="Yes",B2755,"")</f>
        <v>S0557</v>
      </c>
    </row>
    <row r="2756" customFormat="false" ht="15" hidden="false" customHeight="false" outlineLevel="0" collapsed="false">
      <c r="A2756" s="21" t="s">
        <v>3971</v>
      </c>
      <c r="B2756" s="21" t="s">
        <v>1065</v>
      </c>
      <c r="C2756" s="21" t="s">
        <v>1196</v>
      </c>
      <c r="D2756" s="21" t="s">
        <v>1209</v>
      </c>
      <c r="E2756" s="33" t="n">
        <v>46008</v>
      </c>
      <c r="F2756" s="21" t="s">
        <v>1185</v>
      </c>
      <c r="G2756" s="32" t="n">
        <v>5.1</v>
      </c>
      <c r="H2756" s="21" t="s">
        <v>113</v>
      </c>
      <c r="I2756" s="33" t="n">
        <v>46060</v>
      </c>
      <c r="J2756" s="21" t="str">
        <f aca="false">INDEX(Students!$C$2:$C$601,MATCH(B2756,Students!$A$2:$A$601,0))</f>
        <v>Batch 2026</v>
      </c>
      <c r="K2756" s="21" t="str">
        <f aca="false">INDEX(Students!$D$2:$D$601,MATCH(B2756,Students!$A$2:$A$601,0))</f>
        <v>Data Analytics</v>
      </c>
      <c r="L2756" s="21" t="str">
        <f aca="false">INDEX(Companies!$C$2:$C$31,MATCH(C2756,Companies!$A$2:$A$31,0))</f>
        <v>IT Services</v>
      </c>
      <c r="M2756" s="21" t="str">
        <f aca="false">INDEX(Companies!$D$2:$D$31,MATCH(C2756,Companies!$A$2:$A$31,0))</f>
        <v>Tier 3</v>
      </c>
      <c r="N2756" s="34" t="n">
        <f aca="false">MATCH(F2756,Assumptions!$K$4:$K$8,0)</f>
        <v>5</v>
      </c>
      <c r="O2756" s="21" t="str">
        <f aca="false">IF(H2756="Yes",MONTH(I2756),"")</f>
        <v/>
      </c>
      <c r="P2756" s="21" t="str">
        <f aca="false">IF(H2756="Yes",B2756,"")</f>
        <v/>
      </c>
    </row>
    <row r="2757" customFormat="false" ht="15" hidden="false" customHeight="false" outlineLevel="0" collapsed="false">
      <c r="A2757" s="21" t="s">
        <v>3972</v>
      </c>
      <c r="B2757" s="21" t="s">
        <v>1088</v>
      </c>
      <c r="C2757" s="21" t="s">
        <v>1222</v>
      </c>
      <c r="D2757" s="21" t="s">
        <v>1181</v>
      </c>
      <c r="E2757" s="33" t="n">
        <v>46009</v>
      </c>
      <c r="F2757" s="21" t="s">
        <v>1185</v>
      </c>
      <c r="G2757" s="32" t="n">
        <v>6.5</v>
      </c>
      <c r="H2757" s="21" t="s">
        <v>120</v>
      </c>
      <c r="I2757" s="33" t="n">
        <v>46045</v>
      </c>
      <c r="J2757" s="21" t="str">
        <f aca="false">INDEX(Students!$C$2:$C$601,MATCH(B2757,Students!$A$2:$A$601,0))</f>
        <v>Batch 2026</v>
      </c>
      <c r="K2757" s="21" t="str">
        <f aca="false">INDEX(Students!$D$2:$D$601,MATCH(B2757,Students!$A$2:$A$601,0))</f>
        <v>Full Stack Development</v>
      </c>
      <c r="L2757" s="21" t="str">
        <f aca="false">INDEX(Companies!$C$2:$C$31,MATCH(C2757,Companies!$A$2:$A$31,0))</f>
        <v>Product</v>
      </c>
      <c r="M2757" s="21" t="str">
        <f aca="false">INDEX(Companies!$D$2:$D$31,MATCH(C2757,Companies!$A$2:$A$31,0))</f>
        <v>Tier 2</v>
      </c>
      <c r="N2757" s="34" t="n">
        <f aca="false">MATCH(F2757,Assumptions!$K$4:$K$8,0)</f>
        <v>5</v>
      </c>
      <c r="O2757" s="21" t="n">
        <f aca="false">IF(H2757="Yes",MONTH(I2757),"")</f>
        <v>1</v>
      </c>
      <c r="P2757" s="21" t="str">
        <f aca="false">IF(H2757="Yes",B2757,"")</f>
        <v>S0554</v>
      </c>
    </row>
    <row r="2758" customFormat="false" ht="15" hidden="false" customHeight="false" outlineLevel="0" collapsed="false">
      <c r="A2758" s="21" t="s">
        <v>3973</v>
      </c>
      <c r="B2758" s="21" t="s">
        <v>985</v>
      </c>
      <c r="C2758" s="21" t="s">
        <v>1199</v>
      </c>
      <c r="D2758" s="21" t="s">
        <v>1181</v>
      </c>
      <c r="E2758" s="33" t="n">
        <v>46009</v>
      </c>
      <c r="F2758" s="21" t="s">
        <v>1175</v>
      </c>
      <c r="G2758" s="32"/>
      <c r="H2758" s="21"/>
      <c r="I2758" s="33"/>
      <c r="J2758" s="21" t="str">
        <f aca="false">INDEX(Students!$C$2:$C$601,MATCH(B2758,Students!$A$2:$A$601,0))</f>
        <v>Batch 2026</v>
      </c>
      <c r="K2758" s="21" t="str">
        <f aca="false">INDEX(Students!$D$2:$D$601,MATCH(B2758,Students!$A$2:$A$601,0))</f>
        <v>Full Stack Development</v>
      </c>
      <c r="L2758" s="21" t="str">
        <f aca="false">INDEX(Companies!$C$2:$C$31,MATCH(C2758,Companies!$A$2:$A$31,0))</f>
        <v>E-commerce</v>
      </c>
      <c r="M2758" s="21" t="str">
        <f aca="false">INDEX(Companies!$D$2:$D$31,MATCH(C2758,Companies!$A$2:$A$31,0))</f>
        <v>Tier 2</v>
      </c>
      <c r="N2758" s="34" t="n">
        <f aca="false">MATCH(F2758,Assumptions!$K$4:$K$8,0)</f>
        <v>1</v>
      </c>
      <c r="O2758" s="21" t="str">
        <f aca="false">IF(H2758="Yes",MONTH(I2758),"")</f>
        <v/>
      </c>
      <c r="P2758" s="21" t="str">
        <f aca="false">IF(H2758="Yes",B2758,"")</f>
        <v/>
      </c>
    </row>
    <row r="2759" customFormat="false" ht="15" hidden="false" customHeight="false" outlineLevel="0" collapsed="false">
      <c r="A2759" s="21" t="s">
        <v>3974</v>
      </c>
      <c r="B2759" s="21" t="s">
        <v>860</v>
      </c>
      <c r="C2759" s="21" t="s">
        <v>1216</v>
      </c>
      <c r="D2759" s="21" t="s">
        <v>1181</v>
      </c>
      <c r="E2759" s="33" t="n">
        <v>46009</v>
      </c>
      <c r="F2759" s="21" t="s">
        <v>1175</v>
      </c>
      <c r="G2759" s="32"/>
      <c r="H2759" s="21"/>
      <c r="I2759" s="33"/>
      <c r="J2759" s="21" t="str">
        <f aca="false">INDEX(Students!$C$2:$C$601,MATCH(B2759,Students!$A$2:$A$601,0))</f>
        <v>Batch 2026</v>
      </c>
      <c r="K2759" s="21" t="str">
        <f aca="false">INDEX(Students!$D$2:$D$601,MATCH(B2759,Students!$A$2:$A$601,0))</f>
        <v>Full Stack Development</v>
      </c>
      <c r="L2759" s="21" t="str">
        <f aca="false">INDEX(Companies!$C$2:$C$31,MATCH(C2759,Companies!$A$2:$A$31,0))</f>
        <v>IT Services</v>
      </c>
      <c r="M2759" s="21" t="str">
        <f aca="false">INDEX(Companies!$D$2:$D$31,MATCH(C2759,Companies!$A$2:$A$31,0))</f>
        <v>Tier 3</v>
      </c>
      <c r="N2759" s="34" t="n">
        <f aca="false">MATCH(F2759,Assumptions!$K$4:$K$8,0)</f>
        <v>1</v>
      </c>
      <c r="O2759" s="21" t="str">
        <f aca="false">IF(H2759="Yes",MONTH(I2759),"")</f>
        <v/>
      </c>
      <c r="P2759" s="21" t="str">
        <f aca="false">IF(H2759="Yes",B2759,"")</f>
        <v/>
      </c>
    </row>
    <row r="2760" customFormat="false" ht="15" hidden="false" customHeight="false" outlineLevel="0" collapsed="false">
      <c r="A2760" s="21" t="s">
        <v>3975</v>
      </c>
      <c r="B2760" s="21" t="s">
        <v>1059</v>
      </c>
      <c r="C2760" s="21" t="s">
        <v>1216</v>
      </c>
      <c r="D2760" s="21" t="s">
        <v>1174</v>
      </c>
      <c r="E2760" s="33" t="n">
        <v>46009</v>
      </c>
      <c r="F2760" s="21" t="s">
        <v>1185</v>
      </c>
      <c r="G2760" s="32" t="n">
        <v>6.6</v>
      </c>
      <c r="H2760" s="21" t="s">
        <v>113</v>
      </c>
      <c r="I2760" s="33" t="n">
        <v>46061</v>
      </c>
      <c r="J2760" s="21" t="str">
        <f aca="false">INDEX(Students!$C$2:$C$601,MATCH(B2760,Students!$A$2:$A$601,0))</f>
        <v>Batch 2026</v>
      </c>
      <c r="K2760" s="21" t="str">
        <f aca="false">INDEX(Students!$D$2:$D$601,MATCH(B2760,Students!$A$2:$A$601,0))</f>
        <v>Full Stack Development</v>
      </c>
      <c r="L2760" s="21" t="str">
        <f aca="false">INDEX(Companies!$C$2:$C$31,MATCH(C2760,Companies!$A$2:$A$31,0))</f>
        <v>IT Services</v>
      </c>
      <c r="M2760" s="21" t="str">
        <f aca="false">INDEX(Companies!$D$2:$D$31,MATCH(C2760,Companies!$A$2:$A$31,0))</f>
        <v>Tier 3</v>
      </c>
      <c r="N2760" s="34" t="n">
        <f aca="false">MATCH(F2760,Assumptions!$K$4:$K$8,0)</f>
        <v>5</v>
      </c>
      <c r="O2760" s="21" t="str">
        <f aca="false">IF(H2760="Yes",MONTH(I2760),"")</f>
        <v/>
      </c>
      <c r="P2760" s="21" t="str">
        <f aca="false">IF(H2760="Yes",B2760,"")</f>
        <v/>
      </c>
    </row>
    <row r="2761" customFormat="false" ht="15" hidden="false" customHeight="false" outlineLevel="0" collapsed="false">
      <c r="A2761" s="21" t="s">
        <v>3976</v>
      </c>
      <c r="B2761" s="21" t="s">
        <v>1032</v>
      </c>
      <c r="C2761" s="21" t="s">
        <v>1225</v>
      </c>
      <c r="D2761" s="21" t="s">
        <v>1209</v>
      </c>
      <c r="E2761" s="33" t="n">
        <v>46010</v>
      </c>
      <c r="F2761" s="21" t="s">
        <v>1178</v>
      </c>
      <c r="G2761" s="32"/>
      <c r="H2761" s="21"/>
      <c r="I2761" s="33"/>
      <c r="J2761" s="21" t="str">
        <f aca="false">INDEX(Students!$C$2:$C$601,MATCH(B2761,Students!$A$2:$A$601,0))</f>
        <v>Batch 2026</v>
      </c>
      <c r="K2761" s="21" t="str">
        <f aca="false">INDEX(Students!$D$2:$D$601,MATCH(B2761,Students!$A$2:$A$601,0))</f>
        <v>Data Analytics</v>
      </c>
      <c r="L2761" s="21" t="str">
        <f aca="false">INDEX(Companies!$C$2:$C$31,MATCH(C2761,Companies!$A$2:$A$31,0))</f>
        <v>EdTech</v>
      </c>
      <c r="M2761" s="21" t="str">
        <f aca="false">INDEX(Companies!$D$2:$D$31,MATCH(C2761,Companies!$A$2:$A$31,0))</f>
        <v>Tier 2</v>
      </c>
      <c r="N2761" s="34" t="n">
        <f aca="false">MATCH(F2761,Assumptions!$K$4:$K$8,0)</f>
        <v>2</v>
      </c>
      <c r="O2761" s="21" t="str">
        <f aca="false">IF(H2761="Yes",MONTH(I2761),"")</f>
        <v/>
      </c>
      <c r="P2761" s="21" t="str">
        <f aca="false">IF(H2761="Yes",B2761,"")</f>
        <v/>
      </c>
    </row>
    <row r="2762" customFormat="false" ht="15" hidden="false" customHeight="false" outlineLevel="0" collapsed="false">
      <c r="A2762" s="21" t="s">
        <v>3977</v>
      </c>
      <c r="B2762" s="21" t="s">
        <v>961</v>
      </c>
      <c r="C2762" s="21" t="s">
        <v>1177</v>
      </c>
      <c r="D2762" s="21" t="s">
        <v>1209</v>
      </c>
      <c r="E2762" s="33" t="n">
        <v>46010</v>
      </c>
      <c r="F2762" s="21" t="s">
        <v>1185</v>
      </c>
      <c r="G2762" s="32" t="n">
        <v>7.5</v>
      </c>
      <c r="H2762" s="21" t="s">
        <v>113</v>
      </c>
      <c r="I2762" s="33" t="n">
        <v>46051</v>
      </c>
      <c r="J2762" s="21" t="str">
        <f aca="false">INDEX(Students!$C$2:$C$601,MATCH(B2762,Students!$A$2:$A$601,0))</f>
        <v>Batch 2026</v>
      </c>
      <c r="K2762" s="21" t="str">
        <f aca="false">INDEX(Students!$D$2:$D$601,MATCH(B2762,Students!$A$2:$A$601,0))</f>
        <v>Data Analytics</v>
      </c>
      <c r="L2762" s="21" t="str">
        <f aca="false">INDEX(Companies!$C$2:$C$31,MATCH(C2762,Companies!$A$2:$A$31,0))</f>
        <v>IT Services</v>
      </c>
      <c r="M2762" s="21" t="str">
        <f aca="false">INDEX(Companies!$D$2:$D$31,MATCH(C2762,Companies!$A$2:$A$31,0))</f>
        <v>Tier 3</v>
      </c>
      <c r="N2762" s="34" t="n">
        <f aca="false">MATCH(F2762,Assumptions!$K$4:$K$8,0)</f>
        <v>5</v>
      </c>
      <c r="O2762" s="21" t="str">
        <f aca="false">IF(H2762="Yes",MONTH(I2762),"")</f>
        <v/>
      </c>
      <c r="P2762" s="21" t="str">
        <f aca="false">IF(H2762="Yes",B2762,"")</f>
        <v/>
      </c>
    </row>
    <row r="2763" customFormat="false" ht="15" hidden="false" customHeight="false" outlineLevel="0" collapsed="false">
      <c r="A2763" s="21" t="s">
        <v>3978</v>
      </c>
      <c r="B2763" s="21" t="s">
        <v>1070</v>
      </c>
      <c r="C2763" s="21" t="s">
        <v>1234</v>
      </c>
      <c r="D2763" s="21" t="s">
        <v>1174</v>
      </c>
      <c r="E2763" s="33" t="n">
        <v>46010</v>
      </c>
      <c r="F2763" s="21" t="s">
        <v>1178</v>
      </c>
      <c r="G2763" s="32"/>
      <c r="H2763" s="21"/>
      <c r="I2763" s="33"/>
      <c r="J2763" s="21" t="str">
        <f aca="false">INDEX(Students!$C$2:$C$601,MATCH(B2763,Students!$A$2:$A$601,0))</f>
        <v>Batch 2026</v>
      </c>
      <c r="K2763" s="21" t="str">
        <f aca="false">INDEX(Students!$D$2:$D$601,MATCH(B2763,Students!$A$2:$A$601,0))</f>
        <v>Full Stack Development</v>
      </c>
      <c r="L2763" s="21" t="str">
        <f aca="false">INDEX(Companies!$C$2:$C$31,MATCH(C2763,Companies!$A$2:$A$31,0))</f>
        <v>EdTech</v>
      </c>
      <c r="M2763" s="21" t="str">
        <f aca="false">INDEX(Companies!$D$2:$D$31,MATCH(C2763,Companies!$A$2:$A$31,0))</f>
        <v>Tier 3</v>
      </c>
      <c r="N2763" s="34" t="n">
        <f aca="false">MATCH(F2763,Assumptions!$K$4:$K$8,0)</f>
        <v>2</v>
      </c>
      <c r="O2763" s="21" t="str">
        <f aca="false">IF(H2763="Yes",MONTH(I2763),"")</f>
        <v/>
      </c>
      <c r="P2763" s="21" t="str">
        <f aca="false">IF(H2763="Yes",B2763,"")</f>
        <v/>
      </c>
    </row>
    <row r="2764" customFormat="false" ht="15" hidden="false" customHeight="false" outlineLevel="0" collapsed="false">
      <c r="A2764" s="21" t="s">
        <v>3979</v>
      </c>
      <c r="B2764" s="21" t="s">
        <v>1008</v>
      </c>
      <c r="C2764" s="21" t="s">
        <v>1222</v>
      </c>
      <c r="D2764" s="21" t="s">
        <v>1191</v>
      </c>
      <c r="E2764" s="33" t="n">
        <v>46010</v>
      </c>
      <c r="F2764" s="21" t="s">
        <v>1218</v>
      </c>
      <c r="G2764" s="32"/>
      <c r="H2764" s="21"/>
      <c r="I2764" s="33"/>
      <c r="J2764" s="21" t="str">
        <f aca="false">INDEX(Students!$C$2:$C$601,MATCH(B2764,Students!$A$2:$A$601,0))</f>
        <v>Batch 2026</v>
      </c>
      <c r="K2764" s="21" t="str">
        <f aca="false">INDEX(Students!$D$2:$D$601,MATCH(B2764,Students!$A$2:$A$601,0))</f>
        <v>DSA with Java</v>
      </c>
      <c r="L2764" s="21" t="str">
        <f aca="false">INDEX(Companies!$C$2:$C$31,MATCH(C2764,Companies!$A$2:$A$31,0))</f>
        <v>Product</v>
      </c>
      <c r="M2764" s="21" t="str">
        <f aca="false">INDEX(Companies!$D$2:$D$31,MATCH(C2764,Companies!$A$2:$A$31,0))</f>
        <v>Tier 2</v>
      </c>
      <c r="N2764" s="34" t="n">
        <f aca="false">MATCH(F2764,Assumptions!$K$4:$K$8,0)</f>
        <v>4</v>
      </c>
      <c r="O2764" s="21" t="str">
        <f aca="false">IF(H2764="Yes",MONTH(I2764),"")</f>
        <v/>
      </c>
      <c r="P2764" s="21" t="str">
        <f aca="false">IF(H2764="Yes",B2764,"")</f>
        <v/>
      </c>
    </row>
    <row r="2765" customFormat="false" ht="15" hidden="false" customHeight="false" outlineLevel="0" collapsed="false">
      <c r="A2765" s="21" t="s">
        <v>3980</v>
      </c>
      <c r="B2765" s="21" t="s">
        <v>1056</v>
      </c>
      <c r="C2765" s="21" t="s">
        <v>1230</v>
      </c>
      <c r="D2765" s="21" t="s">
        <v>1181</v>
      </c>
      <c r="E2765" s="33" t="n">
        <v>46010</v>
      </c>
      <c r="F2765" s="21" t="s">
        <v>1185</v>
      </c>
      <c r="G2765" s="32" t="n">
        <v>6.7</v>
      </c>
      <c r="H2765" s="21" t="s">
        <v>120</v>
      </c>
      <c r="I2765" s="33" t="n">
        <v>46059</v>
      </c>
      <c r="J2765" s="21" t="str">
        <f aca="false">INDEX(Students!$C$2:$C$601,MATCH(B2765,Students!$A$2:$A$601,0))</f>
        <v>Batch 2026</v>
      </c>
      <c r="K2765" s="21" t="str">
        <f aca="false">INDEX(Students!$D$2:$D$601,MATCH(B2765,Students!$A$2:$A$601,0))</f>
        <v>Full Stack Development</v>
      </c>
      <c r="L2765" s="21" t="str">
        <f aca="false">INDEX(Companies!$C$2:$C$31,MATCH(C2765,Companies!$A$2:$A$31,0))</f>
        <v>IT Services</v>
      </c>
      <c r="M2765" s="21" t="str">
        <f aca="false">INDEX(Companies!$D$2:$D$31,MATCH(C2765,Companies!$A$2:$A$31,0))</f>
        <v>Tier 3</v>
      </c>
      <c r="N2765" s="34" t="n">
        <f aca="false">MATCH(F2765,Assumptions!$K$4:$K$8,0)</f>
        <v>5</v>
      </c>
      <c r="O2765" s="21" t="n">
        <f aca="false">IF(H2765="Yes",MONTH(I2765),"")</f>
        <v>2</v>
      </c>
      <c r="P2765" s="21" t="str">
        <f aca="false">IF(H2765="Yes",B2765,"")</f>
        <v>S0534</v>
      </c>
    </row>
    <row r="2766" customFormat="false" ht="15" hidden="false" customHeight="false" outlineLevel="0" collapsed="false">
      <c r="A2766" s="21" t="s">
        <v>3981</v>
      </c>
      <c r="B2766" s="21" t="s">
        <v>886</v>
      </c>
      <c r="C2766" s="21" t="s">
        <v>1177</v>
      </c>
      <c r="D2766" s="21" t="s">
        <v>1209</v>
      </c>
      <c r="E2766" s="33" t="n">
        <v>46010</v>
      </c>
      <c r="F2766" s="21" t="s">
        <v>1185</v>
      </c>
      <c r="G2766" s="32" t="n">
        <v>4.2</v>
      </c>
      <c r="H2766" s="21" t="s">
        <v>120</v>
      </c>
      <c r="I2766" s="33" t="n">
        <v>46054</v>
      </c>
      <c r="J2766" s="21" t="str">
        <f aca="false">INDEX(Students!$C$2:$C$601,MATCH(B2766,Students!$A$2:$A$601,0))</f>
        <v>Batch 2026</v>
      </c>
      <c r="K2766" s="21" t="str">
        <f aca="false">INDEX(Students!$D$2:$D$601,MATCH(B2766,Students!$A$2:$A$601,0))</f>
        <v>Data Analytics</v>
      </c>
      <c r="L2766" s="21" t="str">
        <f aca="false">INDEX(Companies!$C$2:$C$31,MATCH(C2766,Companies!$A$2:$A$31,0))</f>
        <v>IT Services</v>
      </c>
      <c r="M2766" s="21" t="str">
        <f aca="false">INDEX(Companies!$D$2:$D$31,MATCH(C2766,Companies!$A$2:$A$31,0))</f>
        <v>Tier 3</v>
      </c>
      <c r="N2766" s="34" t="n">
        <f aca="false">MATCH(F2766,Assumptions!$K$4:$K$8,0)</f>
        <v>5</v>
      </c>
      <c r="O2766" s="21" t="n">
        <f aca="false">IF(H2766="Yes",MONTH(I2766),"")</f>
        <v>2</v>
      </c>
      <c r="P2766" s="21" t="str">
        <f aca="false">IF(H2766="Yes",B2766,"")</f>
        <v>S0428</v>
      </c>
    </row>
    <row r="2767" customFormat="false" ht="15" hidden="false" customHeight="false" outlineLevel="0" collapsed="false">
      <c r="A2767" s="21" t="s">
        <v>3982</v>
      </c>
      <c r="B2767" s="21" t="s">
        <v>1141</v>
      </c>
      <c r="C2767" s="21" t="s">
        <v>1203</v>
      </c>
      <c r="D2767" s="21" t="s">
        <v>1184</v>
      </c>
      <c r="E2767" s="33" t="n">
        <v>46011</v>
      </c>
      <c r="F2767" s="21" t="s">
        <v>1197</v>
      </c>
      <c r="G2767" s="32"/>
      <c r="H2767" s="21"/>
      <c r="I2767" s="33"/>
      <c r="J2767" s="21" t="str">
        <f aca="false">INDEX(Students!$C$2:$C$601,MATCH(B2767,Students!$A$2:$A$601,0))</f>
        <v>Batch 2026</v>
      </c>
      <c r="K2767" s="21" t="str">
        <f aca="false">INDEX(Students!$D$2:$D$601,MATCH(B2767,Students!$A$2:$A$601,0))</f>
        <v>DSA with Java</v>
      </c>
      <c r="L2767" s="21" t="str">
        <f aca="false">INDEX(Companies!$C$2:$C$31,MATCH(C2767,Companies!$A$2:$A$31,0))</f>
        <v>Healthtech</v>
      </c>
      <c r="M2767" s="21" t="str">
        <f aca="false">INDEX(Companies!$D$2:$D$31,MATCH(C2767,Companies!$A$2:$A$31,0))</f>
        <v>Tier 2</v>
      </c>
      <c r="N2767" s="34" t="n">
        <f aca="false">MATCH(F2767,Assumptions!$K$4:$K$8,0)</f>
        <v>3</v>
      </c>
      <c r="O2767" s="21" t="str">
        <f aca="false">IF(H2767="Yes",MONTH(I2767),"")</f>
        <v/>
      </c>
      <c r="P2767" s="21" t="str">
        <f aca="false">IF(H2767="Yes",B2767,"")</f>
        <v/>
      </c>
    </row>
    <row r="2768" customFormat="false" ht="15" hidden="false" customHeight="false" outlineLevel="0" collapsed="false">
      <c r="A2768" s="21" t="s">
        <v>3983</v>
      </c>
      <c r="B2768" s="21" t="s">
        <v>886</v>
      </c>
      <c r="C2768" s="21" t="s">
        <v>1211</v>
      </c>
      <c r="D2768" s="21" t="s">
        <v>1188</v>
      </c>
      <c r="E2768" s="33" t="n">
        <v>46011</v>
      </c>
      <c r="F2768" s="21" t="s">
        <v>1175</v>
      </c>
      <c r="G2768" s="32"/>
      <c r="H2768" s="21"/>
      <c r="I2768" s="33"/>
      <c r="J2768" s="21" t="str">
        <f aca="false">INDEX(Students!$C$2:$C$601,MATCH(B2768,Students!$A$2:$A$601,0))</f>
        <v>Batch 2026</v>
      </c>
      <c r="K2768" s="21" t="str">
        <f aca="false">INDEX(Students!$D$2:$D$601,MATCH(B2768,Students!$A$2:$A$601,0))</f>
        <v>Data Analytics</v>
      </c>
      <c r="L2768" s="21" t="str">
        <f aca="false">INDEX(Companies!$C$2:$C$31,MATCH(C2768,Companies!$A$2:$A$31,0))</f>
        <v>Analytics &amp; Consulting</v>
      </c>
      <c r="M2768" s="21" t="str">
        <f aca="false">INDEX(Companies!$D$2:$D$31,MATCH(C2768,Companies!$A$2:$A$31,0))</f>
        <v>Tier 3</v>
      </c>
      <c r="N2768" s="34" t="n">
        <f aca="false">MATCH(F2768,Assumptions!$K$4:$K$8,0)</f>
        <v>1</v>
      </c>
      <c r="O2768" s="21" t="str">
        <f aca="false">IF(H2768="Yes",MONTH(I2768),"")</f>
        <v/>
      </c>
      <c r="P2768" s="21" t="str">
        <f aca="false">IF(H2768="Yes",B2768,"")</f>
        <v/>
      </c>
    </row>
    <row r="2769" customFormat="false" ht="15" hidden="false" customHeight="false" outlineLevel="0" collapsed="false">
      <c r="A2769" s="21" t="s">
        <v>3984</v>
      </c>
      <c r="B2769" s="21" t="s">
        <v>933</v>
      </c>
      <c r="C2769" s="21" t="s">
        <v>1275</v>
      </c>
      <c r="D2769" s="21" t="s">
        <v>1181</v>
      </c>
      <c r="E2769" s="33" t="n">
        <v>46011</v>
      </c>
      <c r="F2769" s="21" t="s">
        <v>1218</v>
      </c>
      <c r="G2769" s="32"/>
      <c r="H2769" s="21"/>
      <c r="I2769" s="33"/>
      <c r="J2769" s="21" t="str">
        <f aca="false">INDEX(Students!$C$2:$C$601,MATCH(B2769,Students!$A$2:$A$601,0))</f>
        <v>Batch 2026</v>
      </c>
      <c r="K2769" s="21" t="str">
        <f aca="false">INDEX(Students!$D$2:$D$601,MATCH(B2769,Students!$A$2:$A$601,0))</f>
        <v>Full Stack Development</v>
      </c>
      <c r="L2769" s="21" t="str">
        <f aca="false">INDEX(Companies!$C$2:$C$31,MATCH(C2769,Companies!$A$2:$A$31,0))</f>
        <v>Cybersecurity</v>
      </c>
      <c r="M2769" s="21" t="str">
        <f aca="false">INDEX(Companies!$D$2:$D$31,MATCH(C2769,Companies!$A$2:$A$31,0))</f>
        <v>Tier 2</v>
      </c>
      <c r="N2769" s="34" t="n">
        <f aca="false">MATCH(F2769,Assumptions!$K$4:$K$8,0)</f>
        <v>4</v>
      </c>
      <c r="O2769" s="21" t="str">
        <f aca="false">IF(H2769="Yes",MONTH(I2769),"")</f>
        <v/>
      </c>
      <c r="P2769" s="21" t="str">
        <f aca="false">IF(H2769="Yes",B2769,"")</f>
        <v/>
      </c>
    </row>
    <row r="2770" customFormat="false" ht="15" hidden="false" customHeight="false" outlineLevel="0" collapsed="false">
      <c r="A2770" s="21" t="s">
        <v>3985</v>
      </c>
      <c r="B2770" s="21" t="s">
        <v>858</v>
      </c>
      <c r="C2770" s="21" t="s">
        <v>1228</v>
      </c>
      <c r="D2770" s="21" t="s">
        <v>1191</v>
      </c>
      <c r="E2770" s="33" t="n">
        <v>46011</v>
      </c>
      <c r="F2770" s="21" t="s">
        <v>1185</v>
      </c>
      <c r="G2770" s="32" t="n">
        <v>22.7</v>
      </c>
      <c r="H2770" s="21" t="s">
        <v>120</v>
      </c>
      <c r="I2770" s="33" t="n">
        <v>46038</v>
      </c>
      <c r="J2770" s="21" t="str">
        <f aca="false">INDEX(Students!$C$2:$C$601,MATCH(B2770,Students!$A$2:$A$601,0))</f>
        <v>Batch 2026</v>
      </c>
      <c r="K2770" s="21" t="str">
        <f aca="false">INDEX(Students!$D$2:$D$601,MATCH(B2770,Students!$A$2:$A$601,0))</f>
        <v>DSA with Java</v>
      </c>
      <c r="L2770" s="21" t="str">
        <f aca="false">INDEX(Companies!$C$2:$C$31,MATCH(C2770,Companies!$A$2:$A$31,0))</f>
        <v>Fintech</v>
      </c>
      <c r="M2770" s="21" t="str">
        <f aca="false">INDEX(Companies!$D$2:$D$31,MATCH(C2770,Companies!$A$2:$A$31,0))</f>
        <v>Tier 1</v>
      </c>
      <c r="N2770" s="34" t="n">
        <f aca="false">MATCH(F2770,Assumptions!$K$4:$K$8,0)</f>
        <v>5</v>
      </c>
      <c r="O2770" s="21" t="n">
        <f aca="false">IF(H2770="Yes",MONTH(I2770),"")</f>
        <v>1</v>
      </c>
      <c r="P2770" s="21" t="str">
        <f aca="false">IF(H2770="Yes",B2770,"")</f>
        <v>S0412</v>
      </c>
    </row>
    <row r="2771" customFormat="false" ht="15" hidden="false" customHeight="false" outlineLevel="0" collapsed="false">
      <c r="A2771" s="21" t="s">
        <v>3986</v>
      </c>
      <c r="B2771" s="21" t="s">
        <v>1061</v>
      </c>
      <c r="C2771" s="21" t="s">
        <v>1187</v>
      </c>
      <c r="D2771" s="21" t="s">
        <v>1181</v>
      </c>
      <c r="E2771" s="33" t="n">
        <v>46011</v>
      </c>
      <c r="F2771" s="21" t="s">
        <v>1175</v>
      </c>
      <c r="G2771" s="32"/>
      <c r="H2771" s="21"/>
      <c r="I2771" s="33"/>
      <c r="J2771" s="21" t="str">
        <f aca="false">INDEX(Students!$C$2:$C$601,MATCH(B2771,Students!$A$2:$A$601,0))</f>
        <v>Batch 2026</v>
      </c>
      <c r="K2771" s="21" t="str">
        <f aca="false">INDEX(Students!$D$2:$D$601,MATCH(B2771,Students!$A$2:$A$601,0))</f>
        <v>Full Stack Development</v>
      </c>
      <c r="L2771" s="21" t="str">
        <f aca="false">INDEX(Companies!$C$2:$C$31,MATCH(C2771,Companies!$A$2:$A$31,0))</f>
        <v>Product</v>
      </c>
      <c r="M2771" s="21" t="str">
        <f aca="false">INDEX(Companies!$D$2:$D$31,MATCH(C2771,Companies!$A$2:$A$31,0))</f>
        <v>Tier 1</v>
      </c>
      <c r="N2771" s="34" t="n">
        <f aca="false">MATCH(F2771,Assumptions!$K$4:$K$8,0)</f>
        <v>1</v>
      </c>
      <c r="O2771" s="21" t="str">
        <f aca="false">IF(H2771="Yes",MONTH(I2771),"")</f>
        <v/>
      </c>
      <c r="P2771" s="21" t="str">
        <f aca="false">IF(H2771="Yes",B2771,"")</f>
        <v/>
      </c>
    </row>
    <row r="2772" customFormat="false" ht="15" hidden="false" customHeight="false" outlineLevel="0" collapsed="false">
      <c r="A2772" s="21" t="s">
        <v>3987</v>
      </c>
      <c r="B2772" s="21" t="s">
        <v>1143</v>
      </c>
      <c r="C2772" s="21" t="s">
        <v>1196</v>
      </c>
      <c r="D2772" s="21" t="s">
        <v>1194</v>
      </c>
      <c r="E2772" s="33" t="n">
        <v>46012</v>
      </c>
      <c r="F2772" s="21" t="s">
        <v>1185</v>
      </c>
      <c r="G2772" s="32" t="n">
        <v>7.6</v>
      </c>
      <c r="H2772" s="21" t="s">
        <v>113</v>
      </c>
      <c r="I2772" s="33" t="n">
        <v>46053</v>
      </c>
      <c r="J2772" s="21" t="str">
        <f aca="false">INDEX(Students!$C$2:$C$601,MATCH(B2772,Students!$A$2:$A$601,0))</f>
        <v>Batch 2026</v>
      </c>
      <c r="K2772" s="21" t="str">
        <f aca="false">INDEX(Students!$D$2:$D$601,MATCH(B2772,Students!$A$2:$A$601,0))</f>
        <v>Data Science &amp; ML</v>
      </c>
      <c r="L2772" s="21" t="str">
        <f aca="false">INDEX(Companies!$C$2:$C$31,MATCH(C2772,Companies!$A$2:$A$31,0))</f>
        <v>IT Services</v>
      </c>
      <c r="M2772" s="21" t="str">
        <f aca="false">INDEX(Companies!$D$2:$D$31,MATCH(C2772,Companies!$A$2:$A$31,0))</f>
        <v>Tier 3</v>
      </c>
      <c r="N2772" s="34" t="n">
        <f aca="false">MATCH(F2772,Assumptions!$K$4:$K$8,0)</f>
        <v>5</v>
      </c>
      <c r="O2772" s="21" t="str">
        <f aca="false">IF(H2772="Yes",MONTH(I2772),"")</f>
        <v/>
      </c>
      <c r="P2772" s="21" t="str">
        <f aca="false">IF(H2772="Yes",B2772,"")</f>
        <v/>
      </c>
    </row>
    <row r="2773" customFormat="false" ht="15" hidden="false" customHeight="false" outlineLevel="0" collapsed="false">
      <c r="A2773" s="21" t="s">
        <v>3988</v>
      </c>
      <c r="B2773" s="21" t="s">
        <v>967</v>
      </c>
      <c r="C2773" s="21" t="s">
        <v>1216</v>
      </c>
      <c r="D2773" s="21" t="s">
        <v>1181</v>
      </c>
      <c r="E2773" s="33" t="n">
        <v>46012</v>
      </c>
      <c r="F2773" s="21" t="s">
        <v>1175</v>
      </c>
      <c r="G2773" s="32"/>
      <c r="H2773" s="21"/>
      <c r="I2773" s="33"/>
      <c r="J2773" s="21" t="str">
        <f aca="false">INDEX(Students!$C$2:$C$601,MATCH(B2773,Students!$A$2:$A$601,0))</f>
        <v>Batch 2026</v>
      </c>
      <c r="K2773" s="21" t="str">
        <f aca="false">INDEX(Students!$D$2:$D$601,MATCH(B2773,Students!$A$2:$A$601,0))</f>
        <v>Full Stack Development</v>
      </c>
      <c r="L2773" s="21" t="str">
        <f aca="false">INDEX(Companies!$C$2:$C$31,MATCH(C2773,Companies!$A$2:$A$31,0))</f>
        <v>IT Services</v>
      </c>
      <c r="M2773" s="21" t="str">
        <f aca="false">INDEX(Companies!$D$2:$D$31,MATCH(C2773,Companies!$A$2:$A$31,0))</f>
        <v>Tier 3</v>
      </c>
      <c r="N2773" s="34" t="n">
        <f aca="false">MATCH(F2773,Assumptions!$K$4:$K$8,0)</f>
        <v>1</v>
      </c>
      <c r="O2773" s="21" t="str">
        <f aca="false">IF(H2773="Yes",MONTH(I2773),"")</f>
        <v/>
      </c>
      <c r="P2773" s="21" t="str">
        <f aca="false">IF(H2773="Yes",B2773,"")</f>
        <v/>
      </c>
    </row>
    <row r="2774" customFormat="false" ht="15" hidden="false" customHeight="false" outlineLevel="0" collapsed="false">
      <c r="A2774" s="21" t="s">
        <v>3989</v>
      </c>
      <c r="B2774" s="21" t="s">
        <v>1040</v>
      </c>
      <c r="C2774" s="21" t="s">
        <v>1309</v>
      </c>
      <c r="D2774" s="21" t="s">
        <v>1191</v>
      </c>
      <c r="E2774" s="33" t="n">
        <v>46012</v>
      </c>
      <c r="F2774" s="21" t="s">
        <v>1197</v>
      </c>
      <c r="G2774" s="32"/>
      <c r="H2774" s="21"/>
      <c r="I2774" s="33"/>
      <c r="J2774" s="21" t="str">
        <f aca="false">INDEX(Students!$C$2:$C$601,MATCH(B2774,Students!$A$2:$A$601,0))</f>
        <v>Batch 2026</v>
      </c>
      <c r="K2774" s="21" t="str">
        <f aca="false">INDEX(Students!$D$2:$D$601,MATCH(B2774,Students!$A$2:$A$601,0))</f>
        <v>DSA with Java</v>
      </c>
      <c r="L2774" s="21" t="str">
        <f aca="false">INDEX(Companies!$C$2:$C$31,MATCH(C2774,Companies!$A$2:$A$31,0))</f>
        <v>EdTech</v>
      </c>
      <c r="M2774" s="21" t="str">
        <f aca="false">INDEX(Companies!$D$2:$D$31,MATCH(C2774,Companies!$A$2:$A$31,0))</f>
        <v>Tier 2</v>
      </c>
      <c r="N2774" s="34" t="n">
        <f aca="false">MATCH(F2774,Assumptions!$K$4:$K$8,0)</f>
        <v>3</v>
      </c>
      <c r="O2774" s="21" t="str">
        <f aca="false">IF(H2774="Yes",MONTH(I2774),"")</f>
        <v/>
      </c>
      <c r="P2774" s="21" t="str">
        <f aca="false">IF(H2774="Yes",B2774,"")</f>
        <v/>
      </c>
    </row>
    <row r="2775" customFormat="false" ht="15" hidden="false" customHeight="false" outlineLevel="0" collapsed="false">
      <c r="A2775" s="21" t="s">
        <v>3990</v>
      </c>
      <c r="B2775" s="21" t="s">
        <v>1095</v>
      </c>
      <c r="C2775" s="21" t="s">
        <v>1205</v>
      </c>
      <c r="D2775" s="21" t="s">
        <v>1191</v>
      </c>
      <c r="E2775" s="33" t="n">
        <v>46013</v>
      </c>
      <c r="F2775" s="21" t="s">
        <v>1185</v>
      </c>
      <c r="G2775" s="32" t="n">
        <v>6.8</v>
      </c>
      <c r="H2775" s="21" t="s">
        <v>113</v>
      </c>
      <c r="I2775" s="33" t="n">
        <v>46040</v>
      </c>
      <c r="J2775" s="21" t="str">
        <f aca="false">INDEX(Students!$C$2:$C$601,MATCH(B2775,Students!$A$2:$A$601,0))</f>
        <v>Batch 2026</v>
      </c>
      <c r="K2775" s="21" t="str">
        <f aca="false">INDEX(Students!$D$2:$D$601,MATCH(B2775,Students!$A$2:$A$601,0))</f>
        <v>DSA with Java</v>
      </c>
      <c r="L2775" s="21" t="str">
        <f aca="false">INDEX(Companies!$C$2:$C$31,MATCH(C2775,Companies!$A$2:$A$31,0))</f>
        <v>Healthtech</v>
      </c>
      <c r="M2775" s="21" t="str">
        <f aca="false">INDEX(Companies!$D$2:$D$31,MATCH(C2775,Companies!$A$2:$A$31,0))</f>
        <v>Tier 3</v>
      </c>
      <c r="N2775" s="34" t="n">
        <f aca="false">MATCH(F2775,Assumptions!$K$4:$K$8,0)</f>
        <v>5</v>
      </c>
      <c r="O2775" s="21" t="str">
        <f aca="false">IF(H2775="Yes",MONTH(I2775),"")</f>
        <v/>
      </c>
      <c r="P2775" s="21" t="str">
        <f aca="false">IF(H2775="Yes",B2775,"")</f>
        <v/>
      </c>
    </row>
    <row r="2776" customFormat="false" ht="15" hidden="false" customHeight="false" outlineLevel="0" collapsed="false">
      <c r="A2776" s="21" t="s">
        <v>3991</v>
      </c>
      <c r="B2776" s="21" t="s">
        <v>815</v>
      </c>
      <c r="C2776" s="21" t="s">
        <v>1214</v>
      </c>
      <c r="D2776" s="21" t="s">
        <v>1240</v>
      </c>
      <c r="E2776" s="33" t="n">
        <v>46013</v>
      </c>
      <c r="F2776" s="21" t="s">
        <v>1175</v>
      </c>
      <c r="G2776" s="32"/>
      <c r="H2776" s="21"/>
      <c r="I2776" s="33"/>
      <c r="J2776" s="21" t="str">
        <f aca="false">INDEX(Students!$C$2:$C$601,MATCH(B2776,Students!$A$2:$A$601,0))</f>
        <v>Batch 2026</v>
      </c>
      <c r="K2776" s="21" t="str">
        <f aca="false">INDEX(Students!$D$2:$D$601,MATCH(B2776,Students!$A$2:$A$601,0))</f>
        <v>Cybersecurity</v>
      </c>
      <c r="L2776" s="21" t="str">
        <f aca="false">INDEX(Companies!$C$2:$C$31,MATCH(C2776,Companies!$A$2:$A$31,0))</f>
        <v>Product</v>
      </c>
      <c r="M2776" s="21" t="str">
        <f aca="false">INDEX(Companies!$D$2:$D$31,MATCH(C2776,Companies!$A$2:$A$31,0))</f>
        <v>Tier 1</v>
      </c>
      <c r="N2776" s="34" t="n">
        <f aca="false">MATCH(F2776,Assumptions!$K$4:$K$8,0)</f>
        <v>1</v>
      </c>
      <c r="O2776" s="21" t="str">
        <f aca="false">IF(H2776="Yes",MONTH(I2776),"")</f>
        <v/>
      </c>
      <c r="P2776" s="21" t="str">
        <f aca="false">IF(H2776="Yes",B2776,"")</f>
        <v/>
      </c>
    </row>
    <row r="2777" customFormat="false" ht="15" hidden="false" customHeight="false" outlineLevel="0" collapsed="false">
      <c r="A2777" s="21" t="s">
        <v>3992</v>
      </c>
      <c r="B2777" s="21" t="s">
        <v>1129</v>
      </c>
      <c r="C2777" s="21" t="s">
        <v>1180</v>
      </c>
      <c r="D2777" s="21" t="s">
        <v>1184</v>
      </c>
      <c r="E2777" s="33" t="n">
        <v>46013</v>
      </c>
      <c r="F2777" s="21" t="s">
        <v>1175</v>
      </c>
      <c r="G2777" s="32"/>
      <c r="H2777" s="21"/>
      <c r="I2777" s="33"/>
      <c r="J2777" s="21" t="str">
        <f aca="false">INDEX(Students!$C$2:$C$601,MATCH(B2777,Students!$A$2:$A$601,0))</f>
        <v>Batch 2026</v>
      </c>
      <c r="K2777" s="21" t="str">
        <f aca="false">INDEX(Students!$D$2:$D$601,MATCH(B2777,Students!$A$2:$A$601,0))</f>
        <v>DSA with Java</v>
      </c>
      <c r="L2777" s="21" t="str">
        <f aca="false">INDEX(Companies!$C$2:$C$31,MATCH(C2777,Companies!$A$2:$A$31,0))</f>
        <v>IT Services</v>
      </c>
      <c r="M2777" s="21" t="str">
        <f aca="false">INDEX(Companies!$D$2:$D$31,MATCH(C2777,Companies!$A$2:$A$31,0))</f>
        <v>Tier 3</v>
      </c>
      <c r="N2777" s="34" t="n">
        <f aca="false">MATCH(F2777,Assumptions!$K$4:$K$8,0)</f>
        <v>1</v>
      </c>
      <c r="O2777" s="21" t="str">
        <f aca="false">IF(H2777="Yes",MONTH(I2777),"")</f>
        <v/>
      </c>
      <c r="P2777" s="21" t="str">
        <f aca="false">IF(H2777="Yes",B2777,"")</f>
        <v/>
      </c>
    </row>
    <row r="2778" customFormat="false" ht="15" hidden="false" customHeight="false" outlineLevel="0" collapsed="false">
      <c r="A2778" s="21" t="s">
        <v>3993</v>
      </c>
      <c r="B2778" s="21" t="s">
        <v>957</v>
      </c>
      <c r="C2778" s="21" t="s">
        <v>1211</v>
      </c>
      <c r="D2778" s="21" t="s">
        <v>1184</v>
      </c>
      <c r="E2778" s="33" t="n">
        <v>46013</v>
      </c>
      <c r="F2778" s="21" t="s">
        <v>1178</v>
      </c>
      <c r="G2778" s="32"/>
      <c r="H2778" s="21"/>
      <c r="I2778" s="33"/>
      <c r="J2778" s="21" t="str">
        <f aca="false">INDEX(Students!$C$2:$C$601,MATCH(B2778,Students!$A$2:$A$601,0))</f>
        <v>Batch 2026</v>
      </c>
      <c r="K2778" s="21" t="str">
        <f aca="false">INDEX(Students!$D$2:$D$601,MATCH(B2778,Students!$A$2:$A$601,0))</f>
        <v>DSA with Java</v>
      </c>
      <c r="L2778" s="21" t="str">
        <f aca="false">INDEX(Companies!$C$2:$C$31,MATCH(C2778,Companies!$A$2:$A$31,0))</f>
        <v>Analytics &amp; Consulting</v>
      </c>
      <c r="M2778" s="21" t="str">
        <f aca="false">INDEX(Companies!$D$2:$D$31,MATCH(C2778,Companies!$A$2:$A$31,0))</f>
        <v>Tier 3</v>
      </c>
      <c r="N2778" s="34" t="n">
        <f aca="false">MATCH(F2778,Assumptions!$K$4:$K$8,0)</f>
        <v>2</v>
      </c>
      <c r="O2778" s="21" t="str">
        <f aca="false">IF(H2778="Yes",MONTH(I2778),"")</f>
        <v/>
      </c>
      <c r="P2778" s="21" t="str">
        <f aca="false">IF(H2778="Yes",B2778,"")</f>
        <v/>
      </c>
    </row>
    <row r="2779" customFormat="false" ht="15" hidden="false" customHeight="false" outlineLevel="0" collapsed="false">
      <c r="A2779" s="21" t="s">
        <v>3994</v>
      </c>
      <c r="B2779" s="21" t="s">
        <v>905</v>
      </c>
      <c r="C2779" s="21" t="s">
        <v>1183</v>
      </c>
      <c r="D2779" s="21" t="s">
        <v>1174</v>
      </c>
      <c r="E2779" s="33" t="n">
        <v>46013</v>
      </c>
      <c r="F2779" s="21" t="s">
        <v>1185</v>
      </c>
      <c r="G2779" s="32" t="n">
        <v>9.7</v>
      </c>
      <c r="H2779" s="21" t="s">
        <v>120</v>
      </c>
      <c r="I2779" s="33" t="n">
        <v>46065</v>
      </c>
      <c r="J2779" s="21" t="str">
        <f aca="false">INDEX(Students!$C$2:$C$601,MATCH(B2779,Students!$A$2:$A$601,0))</f>
        <v>Batch 2026</v>
      </c>
      <c r="K2779" s="21" t="str">
        <f aca="false">INDEX(Students!$D$2:$D$601,MATCH(B2779,Students!$A$2:$A$601,0))</f>
        <v>Full Stack Development</v>
      </c>
      <c r="L2779" s="21" t="str">
        <f aca="false">INDEX(Companies!$C$2:$C$31,MATCH(C2779,Companies!$A$2:$A$31,0))</f>
        <v>E-commerce</v>
      </c>
      <c r="M2779" s="21" t="str">
        <f aca="false">INDEX(Companies!$D$2:$D$31,MATCH(C2779,Companies!$A$2:$A$31,0))</f>
        <v>Tier 2</v>
      </c>
      <c r="N2779" s="34" t="n">
        <f aca="false">MATCH(F2779,Assumptions!$K$4:$K$8,0)</f>
        <v>5</v>
      </c>
      <c r="O2779" s="21" t="n">
        <f aca="false">IF(H2779="Yes",MONTH(I2779),"")</f>
        <v>2</v>
      </c>
      <c r="P2779" s="21" t="str">
        <f aca="false">IF(H2779="Yes",B2779,"")</f>
        <v>S0440</v>
      </c>
    </row>
    <row r="2780" customFormat="false" ht="15" hidden="false" customHeight="false" outlineLevel="0" collapsed="false">
      <c r="A2780" s="21" t="s">
        <v>3995</v>
      </c>
      <c r="B2780" s="21" t="s">
        <v>1042</v>
      </c>
      <c r="C2780" s="21" t="s">
        <v>1211</v>
      </c>
      <c r="D2780" s="21" t="s">
        <v>1243</v>
      </c>
      <c r="E2780" s="33" t="n">
        <v>46013</v>
      </c>
      <c r="F2780" s="21" t="s">
        <v>1185</v>
      </c>
      <c r="G2780" s="32" t="n">
        <v>5.9</v>
      </c>
      <c r="H2780" s="21" t="s">
        <v>120</v>
      </c>
      <c r="I2780" s="33" t="n">
        <v>46052</v>
      </c>
      <c r="J2780" s="21" t="str">
        <f aca="false">INDEX(Students!$C$2:$C$601,MATCH(B2780,Students!$A$2:$A$601,0))</f>
        <v>Batch 2026</v>
      </c>
      <c r="K2780" s="21" t="str">
        <f aca="false">INDEX(Students!$D$2:$D$601,MATCH(B2780,Students!$A$2:$A$601,0))</f>
        <v>Data Science &amp; ML</v>
      </c>
      <c r="L2780" s="21" t="str">
        <f aca="false">INDEX(Companies!$C$2:$C$31,MATCH(C2780,Companies!$A$2:$A$31,0))</f>
        <v>Analytics &amp; Consulting</v>
      </c>
      <c r="M2780" s="21" t="str">
        <f aca="false">INDEX(Companies!$D$2:$D$31,MATCH(C2780,Companies!$A$2:$A$31,0))</f>
        <v>Tier 3</v>
      </c>
      <c r="N2780" s="34" t="n">
        <f aca="false">MATCH(F2780,Assumptions!$K$4:$K$8,0)</f>
        <v>5</v>
      </c>
      <c r="O2780" s="21" t="n">
        <f aca="false">IF(H2780="Yes",MONTH(I2780),"")</f>
        <v>1</v>
      </c>
      <c r="P2780" s="21" t="str">
        <f aca="false">IF(H2780="Yes",B2780,"")</f>
        <v>S0526</v>
      </c>
    </row>
    <row r="2781" customFormat="false" ht="15" hidden="false" customHeight="false" outlineLevel="0" collapsed="false">
      <c r="A2781" s="21" t="s">
        <v>3996</v>
      </c>
      <c r="B2781" s="21" t="s">
        <v>1051</v>
      </c>
      <c r="C2781" s="21" t="s">
        <v>1309</v>
      </c>
      <c r="D2781" s="21" t="s">
        <v>1191</v>
      </c>
      <c r="E2781" s="33" t="n">
        <v>46013</v>
      </c>
      <c r="F2781" s="21" t="s">
        <v>1175</v>
      </c>
      <c r="G2781" s="32"/>
      <c r="H2781" s="21"/>
      <c r="I2781" s="33"/>
      <c r="J2781" s="21" t="str">
        <f aca="false">INDEX(Students!$C$2:$C$601,MATCH(B2781,Students!$A$2:$A$601,0))</f>
        <v>Batch 2026</v>
      </c>
      <c r="K2781" s="21" t="str">
        <f aca="false">INDEX(Students!$D$2:$D$601,MATCH(B2781,Students!$A$2:$A$601,0))</f>
        <v>DSA with Java</v>
      </c>
      <c r="L2781" s="21" t="str">
        <f aca="false">INDEX(Companies!$C$2:$C$31,MATCH(C2781,Companies!$A$2:$A$31,0))</f>
        <v>EdTech</v>
      </c>
      <c r="M2781" s="21" t="str">
        <f aca="false">INDEX(Companies!$D$2:$D$31,MATCH(C2781,Companies!$A$2:$A$31,0))</f>
        <v>Tier 2</v>
      </c>
      <c r="N2781" s="34" t="n">
        <f aca="false">MATCH(F2781,Assumptions!$K$4:$K$8,0)</f>
        <v>1</v>
      </c>
      <c r="O2781" s="21" t="str">
        <f aca="false">IF(H2781="Yes",MONTH(I2781),"")</f>
        <v/>
      </c>
      <c r="P2781" s="21" t="str">
        <f aca="false">IF(H2781="Yes",B2781,"")</f>
        <v/>
      </c>
    </row>
    <row r="2782" customFormat="false" ht="15" hidden="false" customHeight="false" outlineLevel="0" collapsed="false">
      <c r="A2782" s="21" t="s">
        <v>3997</v>
      </c>
      <c r="B2782" s="21" t="s">
        <v>876</v>
      </c>
      <c r="C2782" s="21" t="s">
        <v>1255</v>
      </c>
      <c r="D2782" s="21" t="s">
        <v>1184</v>
      </c>
      <c r="E2782" s="33" t="n">
        <v>46013</v>
      </c>
      <c r="F2782" s="21" t="s">
        <v>1185</v>
      </c>
      <c r="G2782" s="32" t="n">
        <v>6.3</v>
      </c>
      <c r="H2782" s="21" t="s">
        <v>113</v>
      </c>
      <c r="I2782" s="33" t="n">
        <v>46049</v>
      </c>
      <c r="J2782" s="21" t="str">
        <f aca="false">INDEX(Students!$C$2:$C$601,MATCH(B2782,Students!$A$2:$A$601,0))</f>
        <v>Batch 2026</v>
      </c>
      <c r="K2782" s="21" t="str">
        <f aca="false">INDEX(Students!$D$2:$D$601,MATCH(B2782,Students!$A$2:$A$601,0))</f>
        <v>DSA with Java</v>
      </c>
      <c r="L2782" s="21" t="str">
        <f aca="false">INDEX(Companies!$C$2:$C$31,MATCH(C2782,Companies!$A$2:$A$31,0))</f>
        <v>IT Services</v>
      </c>
      <c r="M2782" s="21" t="str">
        <f aca="false">INDEX(Companies!$D$2:$D$31,MATCH(C2782,Companies!$A$2:$A$31,0))</f>
        <v>Tier 3</v>
      </c>
      <c r="N2782" s="34" t="n">
        <f aca="false">MATCH(F2782,Assumptions!$K$4:$K$8,0)</f>
        <v>5</v>
      </c>
      <c r="O2782" s="21" t="str">
        <f aca="false">IF(H2782="Yes",MONTH(I2782),"")</f>
        <v/>
      </c>
      <c r="P2782" s="21" t="str">
        <f aca="false">IF(H2782="Yes",B2782,"")</f>
        <v/>
      </c>
    </row>
    <row r="2783" customFormat="false" ht="15" hidden="false" customHeight="false" outlineLevel="0" collapsed="false">
      <c r="A2783" s="21" t="s">
        <v>3998</v>
      </c>
      <c r="B2783" s="21" t="s">
        <v>1076</v>
      </c>
      <c r="C2783" s="21" t="s">
        <v>1290</v>
      </c>
      <c r="D2783" s="21" t="s">
        <v>1243</v>
      </c>
      <c r="E2783" s="33" t="n">
        <v>46013</v>
      </c>
      <c r="F2783" s="21" t="s">
        <v>1175</v>
      </c>
      <c r="G2783" s="32"/>
      <c r="H2783" s="21"/>
      <c r="I2783" s="33"/>
      <c r="J2783" s="21" t="str">
        <f aca="false">INDEX(Students!$C$2:$C$601,MATCH(B2783,Students!$A$2:$A$601,0))</f>
        <v>Batch 2026</v>
      </c>
      <c r="K2783" s="21" t="str">
        <f aca="false">INDEX(Students!$D$2:$D$601,MATCH(B2783,Students!$A$2:$A$601,0))</f>
        <v>Data Science &amp; ML</v>
      </c>
      <c r="L2783" s="21" t="str">
        <f aca="false">INDEX(Companies!$C$2:$C$31,MATCH(C2783,Companies!$A$2:$A$31,0))</f>
        <v>Fintech</v>
      </c>
      <c r="M2783" s="21" t="str">
        <f aca="false">INDEX(Companies!$D$2:$D$31,MATCH(C2783,Companies!$A$2:$A$31,0))</f>
        <v>Tier 2</v>
      </c>
      <c r="N2783" s="34" t="n">
        <f aca="false">MATCH(F2783,Assumptions!$K$4:$K$8,0)</f>
        <v>1</v>
      </c>
      <c r="O2783" s="21" t="str">
        <f aca="false">IF(H2783="Yes",MONTH(I2783),"")</f>
        <v/>
      </c>
      <c r="P2783" s="21" t="str">
        <f aca="false">IF(H2783="Yes",B2783,"")</f>
        <v/>
      </c>
    </row>
    <row r="2784" customFormat="false" ht="15" hidden="false" customHeight="false" outlineLevel="0" collapsed="false">
      <c r="A2784" s="21" t="s">
        <v>3999</v>
      </c>
      <c r="B2784" s="21" t="s">
        <v>849</v>
      </c>
      <c r="C2784" s="21" t="s">
        <v>1199</v>
      </c>
      <c r="D2784" s="21" t="s">
        <v>1194</v>
      </c>
      <c r="E2784" s="33" t="n">
        <v>46013</v>
      </c>
      <c r="F2784" s="21" t="s">
        <v>1185</v>
      </c>
      <c r="G2784" s="32" t="n">
        <v>9.8</v>
      </c>
      <c r="H2784" s="21" t="s">
        <v>120</v>
      </c>
      <c r="I2784" s="33" t="n">
        <v>46040</v>
      </c>
      <c r="J2784" s="21" t="str">
        <f aca="false">INDEX(Students!$C$2:$C$601,MATCH(B2784,Students!$A$2:$A$601,0))</f>
        <v>Batch 2026</v>
      </c>
      <c r="K2784" s="21" t="str">
        <f aca="false">INDEX(Students!$D$2:$D$601,MATCH(B2784,Students!$A$2:$A$601,0))</f>
        <v>Data Science &amp; ML</v>
      </c>
      <c r="L2784" s="21" t="str">
        <f aca="false">INDEX(Companies!$C$2:$C$31,MATCH(C2784,Companies!$A$2:$A$31,0))</f>
        <v>E-commerce</v>
      </c>
      <c r="M2784" s="21" t="str">
        <f aca="false">INDEX(Companies!$D$2:$D$31,MATCH(C2784,Companies!$A$2:$A$31,0))</f>
        <v>Tier 2</v>
      </c>
      <c r="N2784" s="34" t="n">
        <f aca="false">MATCH(F2784,Assumptions!$K$4:$K$8,0)</f>
        <v>5</v>
      </c>
      <c r="O2784" s="21" t="n">
        <f aca="false">IF(H2784="Yes",MONTH(I2784),"")</f>
        <v>1</v>
      </c>
      <c r="P2784" s="21" t="str">
        <f aca="false">IF(H2784="Yes",B2784,"")</f>
        <v>S0406</v>
      </c>
    </row>
    <row r="2785" customFormat="false" ht="15" hidden="false" customHeight="false" outlineLevel="0" collapsed="false">
      <c r="A2785" s="21" t="s">
        <v>4000</v>
      </c>
      <c r="B2785" s="21" t="s">
        <v>1040</v>
      </c>
      <c r="C2785" s="21" t="s">
        <v>1255</v>
      </c>
      <c r="D2785" s="21" t="s">
        <v>1191</v>
      </c>
      <c r="E2785" s="33" t="n">
        <v>46014</v>
      </c>
      <c r="F2785" s="21" t="s">
        <v>1175</v>
      </c>
      <c r="G2785" s="32"/>
      <c r="H2785" s="21"/>
      <c r="I2785" s="33"/>
      <c r="J2785" s="21" t="str">
        <f aca="false">INDEX(Students!$C$2:$C$601,MATCH(B2785,Students!$A$2:$A$601,0))</f>
        <v>Batch 2026</v>
      </c>
      <c r="K2785" s="21" t="str">
        <f aca="false">INDEX(Students!$D$2:$D$601,MATCH(B2785,Students!$A$2:$A$601,0))</f>
        <v>DSA with Java</v>
      </c>
      <c r="L2785" s="21" t="str">
        <f aca="false">INDEX(Companies!$C$2:$C$31,MATCH(C2785,Companies!$A$2:$A$31,0))</f>
        <v>IT Services</v>
      </c>
      <c r="M2785" s="21" t="str">
        <f aca="false">INDEX(Companies!$D$2:$D$31,MATCH(C2785,Companies!$A$2:$A$31,0))</f>
        <v>Tier 3</v>
      </c>
      <c r="N2785" s="34" t="n">
        <f aca="false">MATCH(F2785,Assumptions!$K$4:$K$8,0)</f>
        <v>1</v>
      </c>
      <c r="O2785" s="21" t="str">
        <f aca="false">IF(H2785="Yes",MONTH(I2785),"")</f>
        <v/>
      </c>
      <c r="P2785" s="21" t="str">
        <f aca="false">IF(H2785="Yes",B2785,"")</f>
        <v/>
      </c>
    </row>
    <row r="2786" customFormat="false" ht="15" hidden="false" customHeight="false" outlineLevel="0" collapsed="false">
      <c r="A2786" s="21" t="s">
        <v>4001</v>
      </c>
      <c r="B2786" s="21" t="s">
        <v>995</v>
      </c>
      <c r="C2786" s="21" t="s">
        <v>1222</v>
      </c>
      <c r="D2786" s="21" t="s">
        <v>1181</v>
      </c>
      <c r="E2786" s="33" t="n">
        <v>46014</v>
      </c>
      <c r="F2786" s="21" t="s">
        <v>1175</v>
      </c>
      <c r="G2786" s="32"/>
      <c r="H2786" s="21"/>
      <c r="I2786" s="33"/>
      <c r="J2786" s="21" t="str">
        <f aca="false">INDEX(Students!$C$2:$C$601,MATCH(B2786,Students!$A$2:$A$601,0))</f>
        <v>Batch 2026</v>
      </c>
      <c r="K2786" s="21" t="str">
        <f aca="false">INDEX(Students!$D$2:$D$601,MATCH(B2786,Students!$A$2:$A$601,0))</f>
        <v>Full Stack Development</v>
      </c>
      <c r="L2786" s="21" t="str">
        <f aca="false">INDEX(Companies!$C$2:$C$31,MATCH(C2786,Companies!$A$2:$A$31,0))</f>
        <v>Product</v>
      </c>
      <c r="M2786" s="21" t="str">
        <f aca="false">INDEX(Companies!$D$2:$D$31,MATCH(C2786,Companies!$A$2:$A$31,0))</f>
        <v>Tier 2</v>
      </c>
      <c r="N2786" s="34" t="n">
        <f aca="false">MATCH(F2786,Assumptions!$K$4:$K$8,0)</f>
        <v>1</v>
      </c>
      <c r="O2786" s="21" t="str">
        <f aca="false">IF(H2786="Yes",MONTH(I2786),"")</f>
        <v/>
      </c>
      <c r="P2786" s="21" t="str">
        <f aca="false">IF(H2786="Yes",B2786,"")</f>
        <v/>
      </c>
    </row>
    <row r="2787" customFormat="false" ht="15" hidden="false" customHeight="false" outlineLevel="0" collapsed="false">
      <c r="A2787" s="21" t="s">
        <v>4002</v>
      </c>
      <c r="B2787" s="21" t="s">
        <v>933</v>
      </c>
      <c r="C2787" s="21" t="s">
        <v>1187</v>
      </c>
      <c r="D2787" s="21" t="s">
        <v>1174</v>
      </c>
      <c r="E2787" s="33" t="n">
        <v>46014</v>
      </c>
      <c r="F2787" s="21" t="s">
        <v>1175</v>
      </c>
      <c r="G2787" s="32"/>
      <c r="H2787" s="21"/>
      <c r="I2787" s="33"/>
      <c r="J2787" s="21" t="str">
        <f aca="false">INDEX(Students!$C$2:$C$601,MATCH(B2787,Students!$A$2:$A$601,0))</f>
        <v>Batch 2026</v>
      </c>
      <c r="K2787" s="21" t="str">
        <f aca="false">INDEX(Students!$D$2:$D$601,MATCH(B2787,Students!$A$2:$A$601,0))</f>
        <v>Full Stack Development</v>
      </c>
      <c r="L2787" s="21" t="str">
        <f aca="false">INDEX(Companies!$C$2:$C$31,MATCH(C2787,Companies!$A$2:$A$31,0))</f>
        <v>Product</v>
      </c>
      <c r="M2787" s="21" t="str">
        <f aca="false">INDEX(Companies!$D$2:$D$31,MATCH(C2787,Companies!$A$2:$A$31,0))</f>
        <v>Tier 1</v>
      </c>
      <c r="N2787" s="34" t="n">
        <f aca="false">MATCH(F2787,Assumptions!$K$4:$K$8,0)</f>
        <v>1</v>
      </c>
      <c r="O2787" s="21" t="str">
        <f aca="false">IF(H2787="Yes",MONTH(I2787),"")</f>
        <v/>
      </c>
      <c r="P2787" s="21" t="str">
        <f aca="false">IF(H2787="Yes",B2787,"")</f>
        <v/>
      </c>
    </row>
    <row r="2788" customFormat="false" ht="15" hidden="false" customHeight="false" outlineLevel="0" collapsed="false">
      <c r="A2788" s="21" t="s">
        <v>4003</v>
      </c>
      <c r="B2788" s="21" t="s">
        <v>824</v>
      </c>
      <c r="C2788" s="21" t="s">
        <v>1322</v>
      </c>
      <c r="D2788" s="21" t="s">
        <v>1191</v>
      </c>
      <c r="E2788" s="33" t="n">
        <v>46014</v>
      </c>
      <c r="F2788" s="21" t="s">
        <v>1185</v>
      </c>
      <c r="G2788" s="32" t="n">
        <v>14.2</v>
      </c>
      <c r="H2788" s="21" t="s">
        <v>113</v>
      </c>
      <c r="I2788" s="33" t="n">
        <v>46046</v>
      </c>
      <c r="J2788" s="21" t="str">
        <f aca="false">INDEX(Students!$C$2:$C$601,MATCH(B2788,Students!$A$2:$A$601,0))</f>
        <v>Batch 2026</v>
      </c>
      <c r="K2788" s="21" t="str">
        <f aca="false">INDEX(Students!$D$2:$D$601,MATCH(B2788,Students!$A$2:$A$601,0))</f>
        <v>DSA with Java</v>
      </c>
      <c r="L2788" s="21" t="str">
        <f aca="false">INDEX(Companies!$C$2:$C$31,MATCH(C2788,Companies!$A$2:$A$31,0))</f>
        <v>Healthtech</v>
      </c>
      <c r="M2788" s="21" t="str">
        <f aca="false">INDEX(Companies!$D$2:$D$31,MATCH(C2788,Companies!$A$2:$A$31,0))</f>
        <v>Tier 2</v>
      </c>
      <c r="N2788" s="34" t="n">
        <f aca="false">MATCH(F2788,Assumptions!$K$4:$K$8,0)</f>
        <v>5</v>
      </c>
      <c r="O2788" s="21" t="str">
        <f aca="false">IF(H2788="Yes",MONTH(I2788),"")</f>
        <v/>
      </c>
      <c r="P2788" s="21" t="str">
        <f aca="false">IF(H2788="Yes",B2788,"")</f>
        <v/>
      </c>
    </row>
    <row r="2789" customFormat="false" ht="15" hidden="false" customHeight="false" outlineLevel="0" collapsed="false">
      <c r="A2789" s="21" t="s">
        <v>4004</v>
      </c>
      <c r="B2789" s="21" t="s">
        <v>1091</v>
      </c>
      <c r="C2789" s="21" t="s">
        <v>1196</v>
      </c>
      <c r="D2789" s="21" t="s">
        <v>1174</v>
      </c>
      <c r="E2789" s="33" t="n">
        <v>46014</v>
      </c>
      <c r="F2789" s="21" t="s">
        <v>1197</v>
      </c>
      <c r="G2789" s="32"/>
      <c r="H2789" s="21"/>
      <c r="I2789" s="33"/>
      <c r="J2789" s="21" t="str">
        <f aca="false">INDEX(Students!$C$2:$C$601,MATCH(B2789,Students!$A$2:$A$601,0))</f>
        <v>Batch 2026</v>
      </c>
      <c r="K2789" s="21" t="str">
        <f aca="false">INDEX(Students!$D$2:$D$601,MATCH(B2789,Students!$A$2:$A$601,0))</f>
        <v>Full Stack Development</v>
      </c>
      <c r="L2789" s="21" t="str">
        <f aca="false">INDEX(Companies!$C$2:$C$31,MATCH(C2789,Companies!$A$2:$A$31,0))</f>
        <v>IT Services</v>
      </c>
      <c r="M2789" s="21" t="str">
        <f aca="false">INDEX(Companies!$D$2:$D$31,MATCH(C2789,Companies!$A$2:$A$31,0))</f>
        <v>Tier 3</v>
      </c>
      <c r="N2789" s="34" t="n">
        <f aca="false">MATCH(F2789,Assumptions!$K$4:$K$8,0)</f>
        <v>3</v>
      </c>
      <c r="O2789" s="21" t="str">
        <f aca="false">IF(H2789="Yes",MONTH(I2789),"")</f>
        <v/>
      </c>
      <c r="P2789" s="21" t="str">
        <f aca="false">IF(H2789="Yes",B2789,"")</f>
        <v/>
      </c>
    </row>
    <row r="2790" customFormat="false" ht="15" hidden="false" customHeight="false" outlineLevel="0" collapsed="false">
      <c r="A2790" s="21" t="s">
        <v>4005</v>
      </c>
      <c r="B2790" s="21" t="s">
        <v>943</v>
      </c>
      <c r="C2790" s="21" t="s">
        <v>1230</v>
      </c>
      <c r="D2790" s="21" t="s">
        <v>1181</v>
      </c>
      <c r="E2790" s="33" t="n">
        <v>46014</v>
      </c>
      <c r="F2790" s="21" t="s">
        <v>1178</v>
      </c>
      <c r="G2790" s="32"/>
      <c r="H2790" s="21"/>
      <c r="I2790" s="33"/>
      <c r="J2790" s="21" t="str">
        <f aca="false">INDEX(Students!$C$2:$C$601,MATCH(B2790,Students!$A$2:$A$601,0))</f>
        <v>Batch 2026</v>
      </c>
      <c r="K2790" s="21" t="str">
        <f aca="false">INDEX(Students!$D$2:$D$601,MATCH(B2790,Students!$A$2:$A$601,0))</f>
        <v>Full Stack Development</v>
      </c>
      <c r="L2790" s="21" t="str">
        <f aca="false">INDEX(Companies!$C$2:$C$31,MATCH(C2790,Companies!$A$2:$A$31,0))</f>
        <v>IT Services</v>
      </c>
      <c r="M2790" s="21" t="str">
        <f aca="false">INDEX(Companies!$D$2:$D$31,MATCH(C2790,Companies!$A$2:$A$31,0))</f>
        <v>Tier 3</v>
      </c>
      <c r="N2790" s="34" t="n">
        <f aca="false">MATCH(F2790,Assumptions!$K$4:$K$8,0)</f>
        <v>2</v>
      </c>
      <c r="O2790" s="21" t="str">
        <f aca="false">IF(H2790="Yes",MONTH(I2790),"")</f>
        <v/>
      </c>
      <c r="P2790" s="21" t="str">
        <f aca="false">IF(H2790="Yes",B2790,"")</f>
        <v/>
      </c>
    </row>
    <row r="2791" customFormat="false" ht="15" hidden="false" customHeight="false" outlineLevel="0" collapsed="false">
      <c r="A2791" s="21" t="s">
        <v>4006</v>
      </c>
      <c r="B2791" s="21" t="s">
        <v>849</v>
      </c>
      <c r="C2791" s="21" t="s">
        <v>1322</v>
      </c>
      <c r="D2791" s="21" t="s">
        <v>1194</v>
      </c>
      <c r="E2791" s="33" t="n">
        <v>46014</v>
      </c>
      <c r="F2791" s="21" t="s">
        <v>1175</v>
      </c>
      <c r="G2791" s="32"/>
      <c r="H2791" s="21"/>
      <c r="I2791" s="33"/>
      <c r="J2791" s="21" t="str">
        <f aca="false">INDEX(Students!$C$2:$C$601,MATCH(B2791,Students!$A$2:$A$601,0))</f>
        <v>Batch 2026</v>
      </c>
      <c r="K2791" s="21" t="str">
        <f aca="false">INDEX(Students!$D$2:$D$601,MATCH(B2791,Students!$A$2:$A$601,0))</f>
        <v>Data Science &amp; ML</v>
      </c>
      <c r="L2791" s="21" t="str">
        <f aca="false">INDEX(Companies!$C$2:$C$31,MATCH(C2791,Companies!$A$2:$A$31,0))</f>
        <v>Healthtech</v>
      </c>
      <c r="M2791" s="21" t="str">
        <f aca="false">INDEX(Companies!$D$2:$D$31,MATCH(C2791,Companies!$A$2:$A$31,0))</f>
        <v>Tier 2</v>
      </c>
      <c r="N2791" s="34" t="n">
        <f aca="false">MATCH(F2791,Assumptions!$K$4:$K$8,0)</f>
        <v>1</v>
      </c>
      <c r="O2791" s="21" t="str">
        <f aca="false">IF(H2791="Yes",MONTH(I2791),"")</f>
        <v/>
      </c>
      <c r="P2791" s="21" t="str">
        <f aca="false">IF(H2791="Yes",B2791,"")</f>
        <v/>
      </c>
    </row>
    <row r="2792" customFormat="false" ht="15" hidden="false" customHeight="false" outlineLevel="0" collapsed="false">
      <c r="A2792" s="21" t="s">
        <v>4007</v>
      </c>
      <c r="B2792" s="21" t="s">
        <v>963</v>
      </c>
      <c r="C2792" s="21" t="s">
        <v>1222</v>
      </c>
      <c r="D2792" s="21" t="s">
        <v>1174</v>
      </c>
      <c r="E2792" s="33" t="n">
        <v>46014</v>
      </c>
      <c r="F2792" s="21" t="s">
        <v>1175</v>
      </c>
      <c r="G2792" s="32"/>
      <c r="H2792" s="21"/>
      <c r="I2792" s="33"/>
      <c r="J2792" s="21" t="str">
        <f aca="false">INDEX(Students!$C$2:$C$601,MATCH(B2792,Students!$A$2:$A$601,0))</f>
        <v>Batch 2026</v>
      </c>
      <c r="K2792" s="21" t="str">
        <f aca="false">INDEX(Students!$D$2:$D$601,MATCH(B2792,Students!$A$2:$A$601,0))</f>
        <v>Full Stack Development</v>
      </c>
      <c r="L2792" s="21" t="str">
        <f aca="false">INDEX(Companies!$C$2:$C$31,MATCH(C2792,Companies!$A$2:$A$31,0))</f>
        <v>Product</v>
      </c>
      <c r="M2792" s="21" t="str">
        <f aca="false">INDEX(Companies!$D$2:$D$31,MATCH(C2792,Companies!$A$2:$A$31,0))</f>
        <v>Tier 2</v>
      </c>
      <c r="N2792" s="34" t="n">
        <f aca="false">MATCH(F2792,Assumptions!$K$4:$K$8,0)</f>
        <v>1</v>
      </c>
      <c r="O2792" s="21" t="str">
        <f aca="false">IF(H2792="Yes",MONTH(I2792),"")</f>
        <v/>
      </c>
      <c r="P2792" s="21" t="str">
        <f aca="false">IF(H2792="Yes",B2792,"")</f>
        <v/>
      </c>
    </row>
    <row r="2793" customFormat="false" ht="15" hidden="false" customHeight="false" outlineLevel="0" collapsed="false">
      <c r="A2793" s="21" t="s">
        <v>4008</v>
      </c>
      <c r="B2793" s="21" t="s">
        <v>997</v>
      </c>
      <c r="C2793" s="21" t="s">
        <v>1309</v>
      </c>
      <c r="D2793" s="21" t="s">
        <v>1243</v>
      </c>
      <c r="E2793" s="33" t="n">
        <v>46014</v>
      </c>
      <c r="F2793" s="21" t="s">
        <v>1178</v>
      </c>
      <c r="G2793" s="32"/>
      <c r="H2793" s="21"/>
      <c r="I2793" s="33"/>
      <c r="J2793" s="21" t="str">
        <f aca="false">INDEX(Students!$C$2:$C$601,MATCH(B2793,Students!$A$2:$A$601,0))</f>
        <v>Batch 2026</v>
      </c>
      <c r="K2793" s="21" t="str">
        <f aca="false">INDEX(Students!$D$2:$D$601,MATCH(B2793,Students!$A$2:$A$601,0))</f>
        <v>Data Science &amp; ML</v>
      </c>
      <c r="L2793" s="21" t="str">
        <f aca="false">INDEX(Companies!$C$2:$C$31,MATCH(C2793,Companies!$A$2:$A$31,0))</f>
        <v>EdTech</v>
      </c>
      <c r="M2793" s="21" t="str">
        <f aca="false">INDEX(Companies!$D$2:$D$31,MATCH(C2793,Companies!$A$2:$A$31,0))</f>
        <v>Tier 2</v>
      </c>
      <c r="N2793" s="34" t="n">
        <f aca="false">MATCH(F2793,Assumptions!$K$4:$K$8,0)</f>
        <v>2</v>
      </c>
      <c r="O2793" s="21" t="str">
        <f aca="false">IF(H2793="Yes",MONTH(I2793),"")</f>
        <v/>
      </c>
      <c r="P2793" s="21" t="str">
        <f aca="false">IF(H2793="Yes",B2793,"")</f>
        <v/>
      </c>
    </row>
    <row r="2794" customFormat="false" ht="15" hidden="false" customHeight="false" outlineLevel="0" collapsed="false">
      <c r="A2794" s="21" t="s">
        <v>4009</v>
      </c>
      <c r="B2794" s="21" t="s">
        <v>868</v>
      </c>
      <c r="C2794" s="21" t="s">
        <v>1193</v>
      </c>
      <c r="D2794" s="21" t="s">
        <v>1226</v>
      </c>
      <c r="E2794" s="33" t="n">
        <v>46015</v>
      </c>
      <c r="F2794" s="21" t="s">
        <v>1175</v>
      </c>
      <c r="G2794" s="32"/>
      <c r="H2794" s="21"/>
      <c r="I2794" s="33"/>
      <c r="J2794" s="21" t="str">
        <f aca="false">INDEX(Students!$C$2:$C$601,MATCH(B2794,Students!$A$2:$A$601,0))</f>
        <v>Batch 2026</v>
      </c>
      <c r="K2794" s="21" t="str">
        <f aca="false">INDEX(Students!$D$2:$D$601,MATCH(B2794,Students!$A$2:$A$601,0))</f>
        <v>Cybersecurity</v>
      </c>
      <c r="L2794" s="21" t="str">
        <f aca="false">INDEX(Companies!$C$2:$C$31,MATCH(C2794,Companies!$A$2:$A$31,0))</f>
        <v>Analytics &amp; Consulting</v>
      </c>
      <c r="M2794" s="21" t="str">
        <f aca="false">INDEX(Companies!$D$2:$D$31,MATCH(C2794,Companies!$A$2:$A$31,0))</f>
        <v>Tier 2</v>
      </c>
      <c r="N2794" s="34" t="n">
        <f aca="false">MATCH(F2794,Assumptions!$K$4:$K$8,0)</f>
        <v>1</v>
      </c>
      <c r="O2794" s="21" t="str">
        <f aca="false">IF(H2794="Yes",MONTH(I2794),"")</f>
        <v/>
      </c>
      <c r="P2794" s="21" t="str">
        <f aca="false">IF(H2794="Yes",B2794,"")</f>
        <v/>
      </c>
    </row>
    <row r="2795" customFormat="false" ht="15" hidden="false" customHeight="false" outlineLevel="0" collapsed="false">
      <c r="A2795" s="21" t="s">
        <v>4010</v>
      </c>
      <c r="B2795" s="21" t="s">
        <v>860</v>
      </c>
      <c r="C2795" s="21" t="s">
        <v>1211</v>
      </c>
      <c r="D2795" s="21" t="s">
        <v>1181</v>
      </c>
      <c r="E2795" s="33" t="n">
        <v>46015</v>
      </c>
      <c r="F2795" s="21" t="s">
        <v>1185</v>
      </c>
      <c r="G2795" s="32" t="n">
        <v>6.5</v>
      </c>
      <c r="H2795" s="21" t="s">
        <v>120</v>
      </c>
      <c r="I2795" s="33" t="n">
        <v>46045</v>
      </c>
      <c r="J2795" s="21" t="str">
        <f aca="false">INDEX(Students!$C$2:$C$601,MATCH(B2795,Students!$A$2:$A$601,0))</f>
        <v>Batch 2026</v>
      </c>
      <c r="K2795" s="21" t="str">
        <f aca="false">INDEX(Students!$D$2:$D$601,MATCH(B2795,Students!$A$2:$A$601,0))</f>
        <v>Full Stack Development</v>
      </c>
      <c r="L2795" s="21" t="str">
        <f aca="false">INDEX(Companies!$C$2:$C$31,MATCH(C2795,Companies!$A$2:$A$31,0))</f>
        <v>Analytics &amp; Consulting</v>
      </c>
      <c r="M2795" s="21" t="str">
        <f aca="false">INDEX(Companies!$D$2:$D$31,MATCH(C2795,Companies!$A$2:$A$31,0))</f>
        <v>Tier 3</v>
      </c>
      <c r="N2795" s="34" t="n">
        <f aca="false">MATCH(F2795,Assumptions!$K$4:$K$8,0)</f>
        <v>5</v>
      </c>
      <c r="O2795" s="21" t="n">
        <f aca="false">IF(H2795="Yes",MONTH(I2795),"")</f>
        <v>1</v>
      </c>
      <c r="P2795" s="21" t="str">
        <f aca="false">IF(H2795="Yes",B2795,"")</f>
        <v>S0413</v>
      </c>
    </row>
    <row r="2796" customFormat="false" ht="15" hidden="false" customHeight="false" outlineLevel="0" collapsed="false">
      <c r="A2796" s="21" t="s">
        <v>4011</v>
      </c>
      <c r="B2796" s="21" t="s">
        <v>858</v>
      </c>
      <c r="C2796" s="21" t="s">
        <v>1263</v>
      </c>
      <c r="D2796" s="21" t="s">
        <v>1184</v>
      </c>
      <c r="E2796" s="33" t="n">
        <v>46015</v>
      </c>
      <c r="F2796" s="21" t="s">
        <v>1175</v>
      </c>
      <c r="G2796" s="32"/>
      <c r="H2796" s="21"/>
      <c r="I2796" s="33"/>
      <c r="J2796" s="21" t="str">
        <f aca="false">INDEX(Students!$C$2:$C$601,MATCH(B2796,Students!$A$2:$A$601,0))</f>
        <v>Batch 2026</v>
      </c>
      <c r="K2796" s="21" t="str">
        <f aca="false">INDEX(Students!$D$2:$D$601,MATCH(B2796,Students!$A$2:$A$601,0))</f>
        <v>DSA with Java</v>
      </c>
      <c r="L2796" s="21" t="str">
        <f aca="false">INDEX(Companies!$C$2:$C$31,MATCH(C2796,Companies!$A$2:$A$31,0))</f>
        <v>Analytics &amp; Consulting</v>
      </c>
      <c r="M2796" s="21" t="str">
        <f aca="false">INDEX(Companies!$D$2:$D$31,MATCH(C2796,Companies!$A$2:$A$31,0))</f>
        <v>Tier 2</v>
      </c>
      <c r="N2796" s="34" t="n">
        <f aca="false">MATCH(F2796,Assumptions!$K$4:$K$8,0)</f>
        <v>1</v>
      </c>
      <c r="O2796" s="21" t="str">
        <f aca="false">IF(H2796="Yes",MONTH(I2796),"")</f>
        <v/>
      </c>
      <c r="P2796" s="21" t="str">
        <f aca="false">IF(H2796="Yes",B2796,"")</f>
        <v/>
      </c>
    </row>
    <row r="2797" customFormat="false" ht="15" hidden="false" customHeight="false" outlineLevel="0" collapsed="false">
      <c r="A2797" s="21" t="s">
        <v>4012</v>
      </c>
      <c r="B2797" s="21" t="s">
        <v>1054</v>
      </c>
      <c r="C2797" s="21" t="s">
        <v>1211</v>
      </c>
      <c r="D2797" s="21" t="s">
        <v>1181</v>
      </c>
      <c r="E2797" s="33" t="n">
        <v>46015</v>
      </c>
      <c r="F2797" s="21" t="s">
        <v>1185</v>
      </c>
      <c r="G2797" s="32" t="n">
        <v>6.5</v>
      </c>
      <c r="H2797" s="21" t="s">
        <v>120</v>
      </c>
      <c r="I2797" s="33" t="n">
        <v>46050</v>
      </c>
      <c r="J2797" s="21" t="str">
        <f aca="false">INDEX(Students!$C$2:$C$601,MATCH(B2797,Students!$A$2:$A$601,0))</f>
        <v>Batch 2026</v>
      </c>
      <c r="K2797" s="21" t="str">
        <f aca="false">INDEX(Students!$D$2:$D$601,MATCH(B2797,Students!$A$2:$A$601,0))</f>
        <v>Full Stack Development</v>
      </c>
      <c r="L2797" s="21" t="str">
        <f aca="false">INDEX(Companies!$C$2:$C$31,MATCH(C2797,Companies!$A$2:$A$31,0))</f>
        <v>Analytics &amp; Consulting</v>
      </c>
      <c r="M2797" s="21" t="str">
        <f aca="false">INDEX(Companies!$D$2:$D$31,MATCH(C2797,Companies!$A$2:$A$31,0))</f>
        <v>Tier 3</v>
      </c>
      <c r="N2797" s="34" t="n">
        <f aca="false">MATCH(F2797,Assumptions!$K$4:$K$8,0)</f>
        <v>5</v>
      </c>
      <c r="O2797" s="21" t="n">
        <f aca="false">IF(H2797="Yes",MONTH(I2797),"")</f>
        <v>1</v>
      </c>
      <c r="P2797" s="21" t="str">
        <f aca="false">IF(H2797="Yes",B2797,"")</f>
        <v>S0533</v>
      </c>
    </row>
    <row r="2798" customFormat="false" ht="15" hidden="false" customHeight="false" outlineLevel="0" collapsed="false">
      <c r="A2798" s="21" t="s">
        <v>4013</v>
      </c>
      <c r="B2798" s="21" t="s">
        <v>819</v>
      </c>
      <c r="C2798" s="21" t="s">
        <v>1234</v>
      </c>
      <c r="D2798" s="21" t="s">
        <v>1191</v>
      </c>
      <c r="E2798" s="33" t="n">
        <v>46015</v>
      </c>
      <c r="F2798" s="21" t="s">
        <v>1218</v>
      </c>
      <c r="G2798" s="32"/>
      <c r="H2798" s="21"/>
      <c r="I2798" s="33"/>
      <c r="J2798" s="21" t="str">
        <f aca="false">INDEX(Students!$C$2:$C$601,MATCH(B2798,Students!$A$2:$A$601,0))</f>
        <v>Batch 2026</v>
      </c>
      <c r="K2798" s="21" t="str">
        <f aca="false">INDEX(Students!$D$2:$D$601,MATCH(B2798,Students!$A$2:$A$601,0))</f>
        <v>DSA with Java</v>
      </c>
      <c r="L2798" s="21" t="str">
        <f aca="false">INDEX(Companies!$C$2:$C$31,MATCH(C2798,Companies!$A$2:$A$31,0))</f>
        <v>EdTech</v>
      </c>
      <c r="M2798" s="21" t="str">
        <f aca="false">INDEX(Companies!$D$2:$D$31,MATCH(C2798,Companies!$A$2:$A$31,0))</f>
        <v>Tier 3</v>
      </c>
      <c r="N2798" s="34" t="n">
        <f aca="false">MATCH(F2798,Assumptions!$K$4:$K$8,0)</f>
        <v>4</v>
      </c>
      <c r="O2798" s="21" t="str">
        <f aca="false">IF(H2798="Yes",MONTH(I2798),"")</f>
        <v/>
      </c>
      <c r="P2798" s="21" t="str">
        <f aca="false">IF(H2798="Yes",B2798,"")</f>
        <v/>
      </c>
    </row>
    <row r="2799" customFormat="false" ht="15" hidden="false" customHeight="false" outlineLevel="0" collapsed="false">
      <c r="A2799" s="21" t="s">
        <v>4014</v>
      </c>
      <c r="B2799" s="21" t="s">
        <v>981</v>
      </c>
      <c r="C2799" s="21" t="s">
        <v>1196</v>
      </c>
      <c r="D2799" s="21" t="s">
        <v>1181</v>
      </c>
      <c r="E2799" s="33" t="n">
        <v>46015</v>
      </c>
      <c r="F2799" s="21" t="s">
        <v>1185</v>
      </c>
      <c r="G2799" s="32" t="n">
        <v>4.9</v>
      </c>
      <c r="H2799" s="21" t="s">
        <v>113</v>
      </c>
      <c r="I2799" s="33" t="n">
        <v>46046</v>
      </c>
      <c r="J2799" s="21" t="str">
        <f aca="false">INDEX(Students!$C$2:$C$601,MATCH(B2799,Students!$A$2:$A$601,0))</f>
        <v>Batch 2026</v>
      </c>
      <c r="K2799" s="21" t="str">
        <f aca="false">INDEX(Students!$D$2:$D$601,MATCH(B2799,Students!$A$2:$A$601,0))</f>
        <v>Full Stack Development</v>
      </c>
      <c r="L2799" s="21" t="str">
        <f aca="false">INDEX(Companies!$C$2:$C$31,MATCH(C2799,Companies!$A$2:$A$31,0))</f>
        <v>IT Services</v>
      </c>
      <c r="M2799" s="21" t="str">
        <f aca="false">INDEX(Companies!$D$2:$D$31,MATCH(C2799,Companies!$A$2:$A$31,0))</f>
        <v>Tier 3</v>
      </c>
      <c r="N2799" s="34" t="n">
        <f aca="false">MATCH(F2799,Assumptions!$K$4:$K$8,0)</f>
        <v>5</v>
      </c>
      <c r="O2799" s="21" t="str">
        <f aca="false">IF(H2799="Yes",MONTH(I2799),"")</f>
        <v/>
      </c>
      <c r="P2799" s="21" t="str">
        <f aca="false">IF(H2799="Yes",B2799,"")</f>
        <v/>
      </c>
    </row>
    <row r="2800" customFormat="false" ht="15" hidden="false" customHeight="false" outlineLevel="0" collapsed="false">
      <c r="A2800" s="21" t="s">
        <v>4015</v>
      </c>
      <c r="B2800" s="21" t="s">
        <v>1129</v>
      </c>
      <c r="C2800" s="21" t="s">
        <v>1205</v>
      </c>
      <c r="D2800" s="21" t="s">
        <v>1191</v>
      </c>
      <c r="E2800" s="33" t="n">
        <v>46015</v>
      </c>
      <c r="F2800" s="21" t="s">
        <v>1185</v>
      </c>
      <c r="G2800" s="32" t="n">
        <v>5.8</v>
      </c>
      <c r="H2800" s="21" t="s">
        <v>113</v>
      </c>
      <c r="I2800" s="33" t="n">
        <v>46045</v>
      </c>
      <c r="J2800" s="21" t="str">
        <f aca="false">INDEX(Students!$C$2:$C$601,MATCH(B2800,Students!$A$2:$A$601,0))</f>
        <v>Batch 2026</v>
      </c>
      <c r="K2800" s="21" t="str">
        <f aca="false">INDEX(Students!$D$2:$D$601,MATCH(B2800,Students!$A$2:$A$601,0))</f>
        <v>DSA with Java</v>
      </c>
      <c r="L2800" s="21" t="str">
        <f aca="false">INDEX(Companies!$C$2:$C$31,MATCH(C2800,Companies!$A$2:$A$31,0))</f>
        <v>Healthtech</v>
      </c>
      <c r="M2800" s="21" t="str">
        <f aca="false">INDEX(Companies!$D$2:$D$31,MATCH(C2800,Companies!$A$2:$A$31,0))</f>
        <v>Tier 3</v>
      </c>
      <c r="N2800" s="34" t="n">
        <f aca="false">MATCH(F2800,Assumptions!$K$4:$K$8,0)</f>
        <v>5</v>
      </c>
      <c r="O2800" s="21" t="str">
        <f aca="false">IF(H2800="Yes",MONTH(I2800),"")</f>
        <v/>
      </c>
      <c r="P2800" s="21" t="str">
        <f aca="false">IF(H2800="Yes",B2800,"")</f>
        <v/>
      </c>
    </row>
    <row r="2801" customFormat="false" ht="15" hidden="false" customHeight="false" outlineLevel="0" collapsed="false">
      <c r="A2801" s="21" t="s">
        <v>4016</v>
      </c>
      <c r="B2801" s="21" t="s">
        <v>1018</v>
      </c>
      <c r="C2801" s="21" t="s">
        <v>1263</v>
      </c>
      <c r="D2801" s="21" t="s">
        <v>1191</v>
      </c>
      <c r="E2801" s="33" t="n">
        <v>46015</v>
      </c>
      <c r="F2801" s="21" t="s">
        <v>1178</v>
      </c>
      <c r="G2801" s="32"/>
      <c r="H2801" s="21"/>
      <c r="I2801" s="33"/>
      <c r="J2801" s="21" t="str">
        <f aca="false">INDEX(Students!$C$2:$C$601,MATCH(B2801,Students!$A$2:$A$601,0))</f>
        <v>Batch 2026</v>
      </c>
      <c r="K2801" s="21" t="str">
        <f aca="false">INDEX(Students!$D$2:$D$601,MATCH(B2801,Students!$A$2:$A$601,0))</f>
        <v>DSA with Java</v>
      </c>
      <c r="L2801" s="21" t="str">
        <f aca="false">INDEX(Companies!$C$2:$C$31,MATCH(C2801,Companies!$A$2:$A$31,0))</f>
        <v>Analytics &amp; Consulting</v>
      </c>
      <c r="M2801" s="21" t="str">
        <f aca="false">INDEX(Companies!$D$2:$D$31,MATCH(C2801,Companies!$A$2:$A$31,0))</f>
        <v>Tier 2</v>
      </c>
      <c r="N2801" s="34" t="n">
        <f aca="false">MATCH(F2801,Assumptions!$K$4:$K$8,0)</f>
        <v>2</v>
      </c>
      <c r="O2801" s="21" t="str">
        <f aca="false">IF(H2801="Yes",MONTH(I2801),"")</f>
        <v/>
      </c>
      <c r="P2801" s="21" t="str">
        <f aca="false">IF(H2801="Yes",B2801,"")</f>
        <v/>
      </c>
    </row>
    <row r="2802" customFormat="false" ht="15" hidden="false" customHeight="false" outlineLevel="0" collapsed="false">
      <c r="A2802" s="21" t="s">
        <v>4017</v>
      </c>
      <c r="B2802" s="21" t="s">
        <v>1143</v>
      </c>
      <c r="C2802" s="21" t="s">
        <v>1216</v>
      </c>
      <c r="D2802" s="21" t="s">
        <v>1243</v>
      </c>
      <c r="E2802" s="33" t="n">
        <v>46016</v>
      </c>
      <c r="F2802" s="21" t="s">
        <v>1185</v>
      </c>
      <c r="G2802" s="32" t="n">
        <v>5.4</v>
      </c>
      <c r="H2802" s="21" t="s">
        <v>113</v>
      </c>
      <c r="I2802" s="33" t="n">
        <v>46038</v>
      </c>
      <c r="J2802" s="21" t="str">
        <f aca="false">INDEX(Students!$C$2:$C$601,MATCH(B2802,Students!$A$2:$A$601,0))</f>
        <v>Batch 2026</v>
      </c>
      <c r="K2802" s="21" t="str">
        <f aca="false">INDEX(Students!$D$2:$D$601,MATCH(B2802,Students!$A$2:$A$601,0))</f>
        <v>Data Science &amp; ML</v>
      </c>
      <c r="L2802" s="21" t="str">
        <f aca="false">INDEX(Companies!$C$2:$C$31,MATCH(C2802,Companies!$A$2:$A$31,0))</f>
        <v>IT Services</v>
      </c>
      <c r="M2802" s="21" t="str">
        <f aca="false">INDEX(Companies!$D$2:$D$31,MATCH(C2802,Companies!$A$2:$A$31,0))</f>
        <v>Tier 3</v>
      </c>
      <c r="N2802" s="34" t="n">
        <f aca="false">MATCH(F2802,Assumptions!$K$4:$K$8,0)</f>
        <v>5</v>
      </c>
      <c r="O2802" s="21" t="str">
        <f aca="false">IF(H2802="Yes",MONTH(I2802),"")</f>
        <v/>
      </c>
      <c r="P2802" s="21" t="str">
        <f aca="false">IF(H2802="Yes",B2802,"")</f>
        <v/>
      </c>
    </row>
    <row r="2803" customFormat="false" ht="15" hidden="false" customHeight="false" outlineLevel="0" collapsed="false">
      <c r="A2803" s="21" t="s">
        <v>4018</v>
      </c>
      <c r="B2803" s="21" t="s">
        <v>1007</v>
      </c>
      <c r="C2803" s="21" t="s">
        <v>1216</v>
      </c>
      <c r="D2803" s="21" t="s">
        <v>1174</v>
      </c>
      <c r="E2803" s="33" t="n">
        <v>46016</v>
      </c>
      <c r="F2803" s="21" t="s">
        <v>1175</v>
      </c>
      <c r="G2803" s="32"/>
      <c r="H2803" s="21"/>
      <c r="I2803" s="33"/>
      <c r="J2803" s="21" t="str">
        <f aca="false">INDEX(Students!$C$2:$C$601,MATCH(B2803,Students!$A$2:$A$601,0))</f>
        <v>Batch 2026</v>
      </c>
      <c r="K2803" s="21" t="str">
        <f aca="false">INDEX(Students!$D$2:$D$601,MATCH(B2803,Students!$A$2:$A$601,0))</f>
        <v>Full Stack Development</v>
      </c>
      <c r="L2803" s="21" t="str">
        <f aca="false">INDEX(Companies!$C$2:$C$31,MATCH(C2803,Companies!$A$2:$A$31,0))</f>
        <v>IT Services</v>
      </c>
      <c r="M2803" s="21" t="str">
        <f aca="false">INDEX(Companies!$D$2:$D$31,MATCH(C2803,Companies!$A$2:$A$31,0))</f>
        <v>Tier 3</v>
      </c>
      <c r="N2803" s="34" t="n">
        <f aca="false">MATCH(F2803,Assumptions!$K$4:$K$8,0)</f>
        <v>1</v>
      </c>
      <c r="O2803" s="21" t="str">
        <f aca="false">IF(H2803="Yes",MONTH(I2803),"")</f>
        <v/>
      </c>
      <c r="P2803" s="21" t="str">
        <f aca="false">IF(H2803="Yes",B2803,"")</f>
        <v/>
      </c>
    </row>
    <row r="2804" customFormat="false" ht="15" hidden="false" customHeight="false" outlineLevel="0" collapsed="false">
      <c r="A2804" s="21" t="s">
        <v>4019</v>
      </c>
      <c r="B2804" s="21" t="s">
        <v>1153</v>
      </c>
      <c r="C2804" s="21" t="s">
        <v>1214</v>
      </c>
      <c r="D2804" s="21" t="s">
        <v>1209</v>
      </c>
      <c r="E2804" s="33" t="n">
        <v>46016</v>
      </c>
      <c r="F2804" s="21" t="s">
        <v>1175</v>
      </c>
      <c r="G2804" s="32"/>
      <c r="H2804" s="21"/>
      <c r="I2804" s="33"/>
      <c r="J2804" s="21" t="str">
        <f aca="false">INDEX(Students!$C$2:$C$601,MATCH(B2804,Students!$A$2:$A$601,0))</f>
        <v>Batch 2026</v>
      </c>
      <c r="K2804" s="21" t="str">
        <f aca="false">INDEX(Students!$D$2:$D$601,MATCH(B2804,Students!$A$2:$A$601,0))</f>
        <v>Data Analytics</v>
      </c>
      <c r="L2804" s="21" t="str">
        <f aca="false">INDEX(Companies!$C$2:$C$31,MATCH(C2804,Companies!$A$2:$A$31,0))</f>
        <v>Product</v>
      </c>
      <c r="M2804" s="21" t="str">
        <f aca="false">INDEX(Companies!$D$2:$D$31,MATCH(C2804,Companies!$A$2:$A$31,0))</f>
        <v>Tier 1</v>
      </c>
      <c r="N2804" s="34" t="n">
        <f aca="false">MATCH(F2804,Assumptions!$K$4:$K$8,0)</f>
        <v>1</v>
      </c>
      <c r="O2804" s="21" t="str">
        <f aca="false">IF(H2804="Yes",MONTH(I2804),"")</f>
        <v/>
      </c>
      <c r="P2804" s="21" t="str">
        <f aca="false">IF(H2804="Yes",B2804,"")</f>
        <v/>
      </c>
    </row>
    <row r="2805" customFormat="false" ht="15" hidden="false" customHeight="false" outlineLevel="0" collapsed="false">
      <c r="A2805" s="21" t="s">
        <v>4020</v>
      </c>
      <c r="B2805" s="21" t="s">
        <v>1067</v>
      </c>
      <c r="C2805" s="21" t="s">
        <v>1290</v>
      </c>
      <c r="D2805" s="21" t="s">
        <v>1181</v>
      </c>
      <c r="E2805" s="33" t="n">
        <v>46017</v>
      </c>
      <c r="F2805" s="21" t="s">
        <v>1175</v>
      </c>
      <c r="G2805" s="32"/>
      <c r="H2805" s="21"/>
      <c r="I2805" s="33"/>
      <c r="J2805" s="21" t="str">
        <f aca="false">INDEX(Students!$C$2:$C$601,MATCH(B2805,Students!$A$2:$A$601,0))</f>
        <v>Batch 2026</v>
      </c>
      <c r="K2805" s="21" t="str">
        <f aca="false">INDEX(Students!$D$2:$D$601,MATCH(B2805,Students!$A$2:$A$601,0))</f>
        <v>Full Stack Development</v>
      </c>
      <c r="L2805" s="21" t="str">
        <f aca="false">INDEX(Companies!$C$2:$C$31,MATCH(C2805,Companies!$A$2:$A$31,0))</f>
        <v>Fintech</v>
      </c>
      <c r="M2805" s="21" t="str">
        <f aca="false">INDEX(Companies!$D$2:$D$31,MATCH(C2805,Companies!$A$2:$A$31,0))</f>
        <v>Tier 2</v>
      </c>
      <c r="N2805" s="34" t="n">
        <f aca="false">MATCH(F2805,Assumptions!$K$4:$K$8,0)</f>
        <v>1</v>
      </c>
      <c r="O2805" s="21" t="str">
        <f aca="false">IF(H2805="Yes",MONTH(I2805),"")</f>
        <v/>
      </c>
      <c r="P2805" s="21" t="str">
        <f aca="false">IF(H2805="Yes",B2805,"")</f>
        <v/>
      </c>
    </row>
    <row r="2806" customFormat="false" ht="15" hidden="false" customHeight="false" outlineLevel="0" collapsed="false">
      <c r="A2806" s="21" t="s">
        <v>4021</v>
      </c>
      <c r="B2806" s="21" t="s">
        <v>1143</v>
      </c>
      <c r="C2806" s="21" t="s">
        <v>1203</v>
      </c>
      <c r="D2806" s="21" t="s">
        <v>1243</v>
      </c>
      <c r="E2806" s="33" t="n">
        <v>46017</v>
      </c>
      <c r="F2806" s="21" t="s">
        <v>1185</v>
      </c>
      <c r="G2806" s="32" t="n">
        <v>12.9</v>
      </c>
      <c r="H2806" s="21" t="s">
        <v>120</v>
      </c>
      <c r="I2806" s="33" t="n">
        <v>46063</v>
      </c>
      <c r="J2806" s="21" t="str">
        <f aca="false">INDEX(Students!$C$2:$C$601,MATCH(B2806,Students!$A$2:$A$601,0))</f>
        <v>Batch 2026</v>
      </c>
      <c r="K2806" s="21" t="str">
        <f aca="false">INDEX(Students!$D$2:$D$601,MATCH(B2806,Students!$A$2:$A$601,0))</f>
        <v>Data Science &amp; ML</v>
      </c>
      <c r="L2806" s="21" t="str">
        <f aca="false">INDEX(Companies!$C$2:$C$31,MATCH(C2806,Companies!$A$2:$A$31,0))</f>
        <v>Healthtech</v>
      </c>
      <c r="M2806" s="21" t="str">
        <f aca="false">INDEX(Companies!$D$2:$D$31,MATCH(C2806,Companies!$A$2:$A$31,0))</f>
        <v>Tier 2</v>
      </c>
      <c r="N2806" s="34" t="n">
        <f aca="false">MATCH(F2806,Assumptions!$K$4:$K$8,0)</f>
        <v>5</v>
      </c>
      <c r="O2806" s="21" t="n">
        <f aca="false">IF(H2806="Yes",MONTH(I2806),"")</f>
        <v>2</v>
      </c>
      <c r="P2806" s="21" t="str">
        <f aca="false">IF(H2806="Yes",B2806,"")</f>
        <v>S0590</v>
      </c>
    </row>
    <row r="2807" customFormat="false" ht="15" hidden="false" customHeight="false" outlineLevel="0" collapsed="false">
      <c r="A2807" s="21" t="s">
        <v>4022</v>
      </c>
      <c r="B2807" s="21" t="s">
        <v>1067</v>
      </c>
      <c r="C2807" s="21" t="s">
        <v>1298</v>
      </c>
      <c r="D2807" s="21" t="s">
        <v>1181</v>
      </c>
      <c r="E2807" s="33" t="n">
        <v>46017</v>
      </c>
      <c r="F2807" s="21" t="s">
        <v>1175</v>
      </c>
      <c r="G2807" s="32"/>
      <c r="H2807" s="21"/>
      <c r="I2807" s="33"/>
      <c r="J2807" s="21" t="str">
        <f aca="false">INDEX(Students!$C$2:$C$601,MATCH(B2807,Students!$A$2:$A$601,0))</f>
        <v>Batch 2026</v>
      </c>
      <c r="K2807" s="21" t="str">
        <f aca="false">INDEX(Students!$D$2:$D$601,MATCH(B2807,Students!$A$2:$A$601,0))</f>
        <v>Full Stack Development</v>
      </c>
      <c r="L2807" s="21" t="str">
        <f aca="false">INDEX(Companies!$C$2:$C$31,MATCH(C2807,Companies!$A$2:$A$31,0))</f>
        <v>Fintech</v>
      </c>
      <c r="M2807" s="21" t="str">
        <f aca="false">INDEX(Companies!$D$2:$D$31,MATCH(C2807,Companies!$A$2:$A$31,0))</f>
        <v>Tier 2</v>
      </c>
      <c r="N2807" s="34" t="n">
        <f aca="false">MATCH(F2807,Assumptions!$K$4:$K$8,0)</f>
        <v>1</v>
      </c>
      <c r="O2807" s="21" t="str">
        <f aca="false">IF(H2807="Yes",MONTH(I2807),"")</f>
        <v/>
      </c>
      <c r="P2807" s="21" t="str">
        <f aca="false">IF(H2807="Yes",B2807,"")</f>
        <v/>
      </c>
    </row>
    <row r="2808" customFormat="false" ht="15" hidden="false" customHeight="false" outlineLevel="0" collapsed="false">
      <c r="A2808" s="21" t="s">
        <v>4023</v>
      </c>
      <c r="B2808" s="21" t="s">
        <v>972</v>
      </c>
      <c r="C2808" s="21" t="s">
        <v>1199</v>
      </c>
      <c r="D2808" s="21" t="s">
        <v>1209</v>
      </c>
      <c r="E2808" s="33" t="n">
        <v>46018</v>
      </c>
      <c r="F2808" s="21" t="s">
        <v>1178</v>
      </c>
      <c r="G2808" s="32"/>
      <c r="H2808" s="21"/>
      <c r="I2808" s="33"/>
      <c r="J2808" s="21" t="str">
        <f aca="false">INDEX(Students!$C$2:$C$601,MATCH(B2808,Students!$A$2:$A$601,0))</f>
        <v>Batch 2026</v>
      </c>
      <c r="K2808" s="21" t="str">
        <f aca="false">INDEX(Students!$D$2:$D$601,MATCH(B2808,Students!$A$2:$A$601,0))</f>
        <v>Data Analytics</v>
      </c>
      <c r="L2808" s="21" t="str">
        <f aca="false">INDEX(Companies!$C$2:$C$31,MATCH(C2808,Companies!$A$2:$A$31,0))</f>
        <v>E-commerce</v>
      </c>
      <c r="M2808" s="21" t="str">
        <f aca="false">INDEX(Companies!$D$2:$D$31,MATCH(C2808,Companies!$A$2:$A$31,0))</f>
        <v>Tier 2</v>
      </c>
      <c r="N2808" s="34" t="n">
        <f aca="false">MATCH(F2808,Assumptions!$K$4:$K$8,0)</f>
        <v>2</v>
      </c>
      <c r="O2808" s="21" t="str">
        <f aca="false">IF(H2808="Yes",MONTH(I2808),"")</f>
        <v/>
      </c>
      <c r="P2808" s="21" t="str">
        <f aca="false">IF(H2808="Yes",B2808,"")</f>
        <v/>
      </c>
    </row>
    <row r="2809" customFormat="false" ht="15" hidden="false" customHeight="false" outlineLevel="0" collapsed="false">
      <c r="A2809" s="21" t="s">
        <v>4024</v>
      </c>
      <c r="B2809" s="21" t="s">
        <v>936</v>
      </c>
      <c r="C2809" s="21" t="s">
        <v>1190</v>
      </c>
      <c r="D2809" s="21" t="s">
        <v>1174</v>
      </c>
      <c r="E2809" s="33" t="n">
        <v>46018</v>
      </c>
      <c r="F2809" s="21" t="s">
        <v>1178</v>
      </c>
      <c r="G2809" s="32"/>
      <c r="H2809" s="21"/>
      <c r="I2809" s="33"/>
      <c r="J2809" s="21" t="str">
        <f aca="false">INDEX(Students!$C$2:$C$601,MATCH(B2809,Students!$A$2:$A$601,0))</f>
        <v>Batch 2026</v>
      </c>
      <c r="K2809" s="21" t="str">
        <f aca="false">INDEX(Students!$D$2:$D$601,MATCH(B2809,Students!$A$2:$A$601,0))</f>
        <v>Full Stack Development</v>
      </c>
      <c r="L2809" s="21" t="str">
        <f aca="false">INDEX(Companies!$C$2:$C$31,MATCH(C2809,Companies!$A$2:$A$31,0))</f>
        <v>Analytics &amp; Consulting</v>
      </c>
      <c r="M2809" s="21" t="str">
        <f aca="false">INDEX(Companies!$D$2:$D$31,MATCH(C2809,Companies!$A$2:$A$31,0))</f>
        <v>Tier 1</v>
      </c>
      <c r="N2809" s="34" t="n">
        <f aca="false">MATCH(F2809,Assumptions!$K$4:$K$8,0)</f>
        <v>2</v>
      </c>
      <c r="O2809" s="21" t="str">
        <f aca="false">IF(H2809="Yes",MONTH(I2809),"")</f>
        <v/>
      </c>
      <c r="P2809" s="21" t="str">
        <f aca="false">IF(H2809="Yes",B2809,"")</f>
        <v/>
      </c>
    </row>
    <row r="2810" customFormat="false" ht="15" hidden="false" customHeight="false" outlineLevel="0" collapsed="false">
      <c r="A2810" s="21" t="s">
        <v>4025</v>
      </c>
      <c r="B2810" s="21" t="s">
        <v>969</v>
      </c>
      <c r="C2810" s="21" t="s">
        <v>1177</v>
      </c>
      <c r="D2810" s="21" t="s">
        <v>1243</v>
      </c>
      <c r="E2810" s="33" t="n">
        <v>46018</v>
      </c>
      <c r="F2810" s="21" t="s">
        <v>1178</v>
      </c>
      <c r="G2810" s="32"/>
      <c r="H2810" s="21"/>
      <c r="I2810" s="33"/>
      <c r="J2810" s="21" t="str">
        <f aca="false">INDEX(Students!$C$2:$C$601,MATCH(B2810,Students!$A$2:$A$601,0))</f>
        <v>Batch 2026</v>
      </c>
      <c r="K2810" s="21" t="str">
        <f aca="false">INDEX(Students!$D$2:$D$601,MATCH(B2810,Students!$A$2:$A$601,0))</f>
        <v>Data Science &amp; ML</v>
      </c>
      <c r="L2810" s="21" t="str">
        <f aca="false">INDEX(Companies!$C$2:$C$31,MATCH(C2810,Companies!$A$2:$A$31,0))</f>
        <v>IT Services</v>
      </c>
      <c r="M2810" s="21" t="str">
        <f aca="false">INDEX(Companies!$D$2:$D$31,MATCH(C2810,Companies!$A$2:$A$31,0))</f>
        <v>Tier 3</v>
      </c>
      <c r="N2810" s="34" t="n">
        <f aca="false">MATCH(F2810,Assumptions!$K$4:$K$8,0)</f>
        <v>2</v>
      </c>
      <c r="O2810" s="21" t="str">
        <f aca="false">IF(H2810="Yes",MONTH(I2810),"")</f>
        <v/>
      </c>
      <c r="P2810" s="21" t="str">
        <f aca="false">IF(H2810="Yes",B2810,"")</f>
        <v/>
      </c>
    </row>
    <row r="2811" customFormat="false" ht="15" hidden="false" customHeight="false" outlineLevel="0" collapsed="false">
      <c r="A2811" s="21" t="s">
        <v>4026</v>
      </c>
      <c r="B2811" s="21" t="s">
        <v>1065</v>
      </c>
      <c r="C2811" s="21" t="s">
        <v>1183</v>
      </c>
      <c r="D2811" s="21" t="s">
        <v>1188</v>
      </c>
      <c r="E2811" s="33" t="n">
        <v>46018</v>
      </c>
      <c r="F2811" s="21" t="s">
        <v>1175</v>
      </c>
      <c r="G2811" s="32"/>
      <c r="H2811" s="21"/>
      <c r="I2811" s="33"/>
      <c r="J2811" s="21" t="str">
        <f aca="false">INDEX(Students!$C$2:$C$601,MATCH(B2811,Students!$A$2:$A$601,0))</f>
        <v>Batch 2026</v>
      </c>
      <c r="K2811" s="21" t="str">
        <f aca="false">INDEX(Students!$D$2:$D$601,MATCH(B2811,Students!$A$2:$A$601,0))</f>
        <v>Data Analytics</v>
      </c>
      <c r="L2811" s="21" t="str">
        <f aca="false">INDEX(Companies!$C$2:$C$31,MATCH(C2811,Companies!$A$2:$A$31,0))</f>
        <v>E-commerce</v>
      </c>
      <c r="M2811" s="21" t="str">
        <f aca="false">INDEX(Companies!$D$2:$D$31,MATCH(C2811,Companies!$A$2:$A$31,0))</f>
        <v>Tier 2</v>
      </c>
      <c r="N2811" s="34" t="n">
        <f aca="false">MATCH(F2811,Assumptions!$K$4:$K$8,0)</f>
        <v>1</v>
      </c>
      <c r="O2811" s="21" t="str">
        <f aca="false">IF(H2811="Yes",MONTH(I2811),"")</f>
        <v/>
      </c>
      <c r="P2811" s="21" t="str">
        <f aca="false">IF(H2811="Yes",B2811,"")</f>
        <v/>
      </c>
    </row>
    <row r="2812" customFormat="false" ht="15" hidden="false" customHeight="false" outlineLevel="0" collapsed="false">
      <c r="A2812" s="21" t="s">
        <v>4027</v>
      </c>
      <c r="B2812" s="21" t="s">
        <v>1023</v>
      </c>
      <c r="C2812" s="21" t="s">
        <v>1180</v>
      </c>
      <c r="D2812" s="21" t="s">
        <v>1191</v>
      </c>
      <c r="E2812" s="33" t="n">
        <v>46018</v>
      </c>
      <c r="F2812" s="21" t="s">
        <v>1185</v>
      </c>
      <c r="G2812" s="32" t="n">
        <v>5.6</v>
      </c>
      <c r="H2812" s="21" t="s">
        <v>113</v>
      </c>
      <c r="I2812" s="33" t="n">
        <v>46063</v>
      </c>
      <c r="J2812" s="21" t="str">
        <f aca="false">INDEX(Students!$C$2:$C$601,MATCH(B2812,Students!$A$2:$A$601,0))</f>
        <v>Batch 2026</v>
      </c>
      <c r="K2812" s="21" t="str">
        <f aca="false">INDEX(Students!$D$2:$D$601,MATCH(B2812,Students!$A$2:$A$601,0))</f>
        <v>DSA with Java</v>
      </c>
      <c r="L2812" s="21" t="str">
        <f aca="false">INDEX(Companies!$C$2:$C$31,MATCH(C2812,Companies!$A$2:$A$31,0))</f>
        <v>IT Services</v>
      </c>
      <c r="M2812" s="21" t="str">
        <f aca="false">INDEX(Companies!$D$2:$D$31,MATCH(C2812,Companies!$A$2:$A$31,0))</f>
        <v>Tier 3</v>
      </c>
      <c r="N2812" s="34" t="n">
        <f aca="false">MATCH(F2812,Assumptions!$K$4:$K$8,0)</f>
        <v>5</v>
      </c>
      <c r="O2812" s="21" t="str">
        <f aca="false">IF(H2812="Yes",MONTH(I2812),"")</f>
        <v/>
      </c>
      <c r="P2812" s="21" t="str">
        <f aca="false">IF(H2812="Yes",B2812,"")</f>
        <v/>
      </c>
    </row>
    <row r="2813" customFormat="false" ht="15" hidden="false" customHeight="false" outlineLevel="0" collapsed="false">
      <c r="A2813" s="21" t="s">
        <v>4028</v>
      </c>
      <c r="B2813" s="21" t="s">
        <v>1078</v>
      </c>
      <c r="C2813" s="21" t="s">
        <v>1208</v>
      </c>
      <c r="D2813" s="21" t="s">
        <v>1191</v>
      </c>
      <c r="E2813" s="33" t="n">
        <v>46018</v>
      </c>
      <c r="F2813" s="21" t="s">
        <v>1185</v>
      </c>
      <c r="G2813" s="32" t="n">
        <v>28.6</v>
      </c>
      <c r="H2813" s="21" t="s">
        <v>120</v>
      </c>
      <c r="I2813" s="33" t="n">
        <v>46047</v>
      </c>
      <c r="J2813" s="21" t="str">
        <f aca="false">INDEX(Students!$C$2:$C$601,MATCH(B2813,Students!$A$2:$A$601,0))</f>
        <v>Batch 2026</v>
      </c>
      <c r="K2813" s="21" t="str">
        <f aca="false">INDEX(Students!$D$2:$D$601,MATCH(B2813,Students!$A$2:$A$601,0))</f>
        <v>DSA with Java</v>
      </c>
      <c r="L2813" s="21" t="str">
        <f aca="false">INDEX(Companies!$C$2:$C$31,MATCH(C2813,Companies!$A$2:$A$31,0))</f>
        <v>E-commerce</v>
      </c>
      <c r="M2813" s="21" t="str">
        <f aca="false">INDEX(Companies!$D$2:$D$31,MATCH(C2813,Companies!$A$2:$A$31,0))</f>
        <v>Tier 1</v>
      </c>
      <c r="N2813" s="34" t="n">
        <f aca="false">MATCH(F2813,Assumptions!$K$4:$K$8,0)</f>
        <v>5</v>
      </c>
      <c r="O2813" s="21" t="n">
        <f aca="false">IF(H2813="Yes",MONTH(I2813),"")</f>
        <v>1</v>
      </c>
      <c r="P2813" s="21" t="str">
        <f aca="false">IF(H2813="Yes",B2813,"")</f>
        <v>S0548</v>
      </c>
    </row>
    <row r="2814" customFormat="false" ht="15" hidden="false" customHeight="false" outlineLevel="0" collapsed="false">
      <c r="A2814" s="21" t="s">
        <v>4029</v>
      </c>
      <c r="B2814" s="21" t="s">
        <v>956</v>
      </c>
      <c r="C2814" s="21" t="s">
        <v>1239</v>
      </c>
      <c r="D2814" s="21" t="s">
        <v>1188</v>
      </c>
      <c r="E2814" s="33" t="n">
        <v>46018</v>
      </c>
      <c r="F2814" s="21" t="s">
        <v>1185</v>
      </c>
      <c r="G2814" s="32" t="n">
        <v>6.5</v>
      </c>
      <c r="H2814" s="21" t="s">
        <v>113</v>
      </c>
      <c r="I2814" s="33" t="n">
        <v>46067</v>
      </c>
      <c r="J2814" s="21" t="str">
        <f aca="false">INDEX(Students!$C$2:$C$601,MATCH(B2814,Students!$A$2:$A$601,0))</f>
        <v>Batch 2026</v>
      </c>
      <c r="K2814" s="21" t="str">
        <f aca="false">INDEX(Students!$D$2:$D$601,MATCH(B2814,Students!$A$2:$A$601,0))</f>
        <v>Data Analytics</v>
      </c>
      <c r="L2814" s="21" t="str">
        <f aca="false">INDEX(Companies!$C$2:$C$31,MATCH(C2814,Companies!$A$2:$A$31,0))</f>
        <v>E-commerce</v>
      </c>
      <c r="M2814" s="21" t="str">
        <f aca="false">INDEX(Companies!$D$2:$D$31,MATCH(C2814,Companies!$A$2:$A$31,0))</f>
        <v>Tier 3</v>
      </c>
      <c r="N2814" s="34" t="n">
        <f aca="false">MATCH(F2814,Assumptions!$K$4:$K$8,0)</f>
        <v>5</v>
      </c>
      <c r="O2814" s="21" t="str">
        <f aca="false">IF(H2814="Yes",MONTH(I2814),"")</f>
        <v/>
      </c>
      <c r="P2814" s="21" t="str">
        <f aca="false">IF(H2814="Yes",B2814,"")</f>
        <v/>
      </c>
    </row>
    <row r="2815" customFormat="false" ht="15" hidden="false" customHeight="false" outlineLevel="0" collapsed="false">
      <c r="A2815" s="21" t="s">
        <v>4030</v>
      </c>
      <c r="B2815" s="21" t="s">
        <v>981</v>
      </c>
      <c r="C2815" s="21" t="s">
        <v>1309</v>
      </c>
      <c r="D2815" s="21" t="s">
        <v>1174</v>
      </c>
      <c r="E2815" s="33" t="n">
        <v>46018</v>
      </c>
      <c r="F2815" s="21" t="s">
        <v>1185</v>
      </c>
      <c r="G2815" s="32" t="n">
        <v>13.6</v>
      </c>
      <c r="H2815" s="21" t="s">
        <v>113</v>
      </c>
      <c r="I2815" s="33" t="n">
        <v>46071</v>
      </c>
      <c r="J2815" s="21" t="str">
        <f aca="false">INDEX(Students!$C$2:$C$601,MATCH(B2815,Students!$A$2:$A$601,0))</f>
        <v>Batch 2026</v>
      </c>
      <c r="K2815" s="21" t="str">
        <f aca="false">INDEX(Students!$D$2:$D$601,MATCH(B2815,Students!$A$2:$A$601,0))</f>
        <v>Full Stack Development</v>
      </c>
      <c r="L2815" s="21" t="str">
        <f aca="false">INDEX(Companies!$C$2:$C$31,MATCH(C2815,Companies!$A$2:$A$31,0))</f>
        <v>EdTech</v>
      </c>
      <c r="M2815" s="21" t="str">
        <f aca="false">INDEX(Companies!$D$2:$D$31,MATCH(C2815,Companies!$A$2:$A$31,0))</f>
        <v>Tier 2</v>
      </c>
      <c r="N2815" s="34" t="n">
        <f aca="false">MATCH(F2815,Assumptions!$K$4:$K$8,0)</f>
        <v>5</v>
      </c>
      <c r="O2815" s="21" t="str">
        <f aca="false">IF(H2815="Yes",MONTH(I2815),"")</f>
        <v/>
      </c>
      <c r="P2815" s="21" t="str">
        <f aca="false">IF(H2815="Yes",B2815,"")</f>
        <v/>
      </c>
    </row>
    <row r="2816" customFormat="false" ht="15" hidden="false" customHeight="false" outlineLevel="0" collapsed="false">
      <c r="A2816" s="21" t="s">
        <v>4031</v>
      </c>
      <c r="B2816" s="21" t="s">
        <v>878</v>
      </c>
      <c r="C2816" s="21" t="s">
        <v>1211</v>
      </c>
      <c r="D2816" s="21" t="s">
        <v>1243</v>
      </c>
      <c r="E2816" s="33" t="n">
        <v>46018</v>
      </c>
      <c r="F2816" s="21" t="s">
        <v>1178</v>
      </c>
      <c r="G2816" s="32"/>
      <c r="H2816" s="21"/>
      <c r="I2816" s="33"/>
      <c r="J2816" s="21" t="str">
        <f aca="false">INDEX(Students!$C$2:$C$601,MATCH(B2816,Students!$A$2:$A$601,0))</f>
        <v>Batch 2026</v>
      </c>
      <c r="K2816" s="21" t="str">
        <f aca="false">INDEX(Students!$D$2:$D$601,MATCH(B2816,Students!$A$2:$A$601,0))</f>
        <v>Data Science &amp; ML</v>
      </c>
      <c r="L2816" s="21" t="str">
        <f aca="false">INDEX(Companies!$C$2:$C$31,MATCH(C2816,Companies!$A$2:$A$31,0))</f>
        <v>Analytics &amp; Consulting</v>
      </c>
      <c r="M2816" s="21" t="str">
        <f aca="false">INDEX(Companies!$D$2:$D$31,MATCH(C2816,Companies!$A$2:$A$31,0))</f>
        <v>Tier 3</v>
      </c>
      <c r="N2816" s="34" t="n">
        <f aca="false">MATCH(F2816,Assumptions!$K$4:$K$8,0)</f>
        <v>2</v>
      </c>
      <c r="O2816" s="21" t="str">
        <f aca="false">IF(H2816="Yes",MONTH(I2816),"")</f>
        <v/>
      </c>
      <c r="P2816" s="21" t="str">
        <f aca="false">IF(H2816="Yes",B2816,"")</f>
        <v/>
      </c>
    </row>
    <row r="2817" customFormat="false" ht="15" hidden="false" customHeight="false" outlineLevel="0" collapsed="false">
      <c r="A2817" s="21" t="s">
        <v>4032</v>
      </c>
      <c r="B2817" s="21" t="s">
        <v>1061</v>
      </c>
      <c r="C2817" s="21" t="s">
        <v>1266</v>
      </c>
      <c r="D2817" s="21" t="s">
        <v>1174</v>
      </c>
      <c r="E2817" s="33" t="n">
        <v>46018</v>
      </c>
      <c r="F2817" s="21" t="s">
        <v>1185</v>
      </c>
      <c r="G2817" s="32" t="n">
        <v>7</v>
      </c>
      <c r="H2817" s="21" t="s">
        <v>113</v>
      </c>
      <c r="I2817" s="33" t="n">
        <v>46052</v>
      </c>
      <c r="J2817" s="21" t="str">
        <f aca="false">INDEX(Students!$C$2:$C$601,MATCH(B2817,Students!$A$2:$A$601,0))</f>
        <v>Batch 2026</v>
      </c>
      <c r="K2817" s="21" t="str">
        <f aca="false">INDEX(Students!$D$2:$D$601,MATCH(B2817,Students!$A$2:$A$601,0))</f>
        <v>Full Stack Development</v>
      </c>
      <c r="L2817" s="21" t="str">
        <f aca="false">INDEX(Companies!$C$2:$C$31,MATCH(C2817,Companies!$A$2:$A$31,0))</f>
        <v>IT Services</v>
      </c>
      <c r="M2817" s="21" t="str">
        <f aca="false">INDEX(Companies!$D$2:$D$31,MATCH(C2817,Companies!$A$2:$A$31,0))</f>
        <v>Tier 3</v>
      </c>
      <c r="N2817" s="34" t="n">
        <f aca="false">MATCH(F2817,Assumptions!$K$4:$K$8,0)</f>
        <v>5</v>
      </c>
      <c r="O2817" s="21" t="str">
        <f aca="false">IF(H2817="Yes",MONTH(I2817),"")</f>
        <v/>
      </c>
      <c r="P2817" s="21" t="str">
        <f aca="false">IF(H2817="Yes",B2817,"")</f>
        <v/>
      </c>
    </row>
    <row r="2818" customFormat="false" ht="15" hidden="false" customHeight="false" outlineLevel="0" collapsed="false">
      <c r="A2818" s="21" t="s">
        <v>4033</v>
      </c>
      <c r="B2818" s="21" t="s">
        <v>1051</v>
      </c>
      <c r="C2818" s="21" t="s">
        <v>1322</v>
      </c>
      <c r="D2818" s="21" t="s">
        <v>1191</v>
      </c>
      <c r="E2818" s="33" t="n">
        <v>46018</v>
      </c>
      <c r="F2818" s="21" t="s">
        <v>1175</v>
      </c>
      <c r="G2818" s="32"/>
      <c r="H2818" s="21"/>
      <c r="I2818" s="33"/>
      <c r="J2818" s="21" t="str">
        <f aca="false">INDEX(Students!$C$2:$C$601,MATCH(B2818,Students!$A$2:$A$601,0))</f>
        <v>Batch 2026</v>
      </c>
      <c r="K2818" s="21" t="str">
        <f aca="false">INDEX(Students!$D$2:$D$601,MATCH(B2818,Students!$A$2:$A$601,0))</f>
        <v>DSA with Java</v>
      </c>
      <c r="L2818" s="21" t="str">
        <f aca="false">INDEX(Companies!$C$2:$C$31,MATCH(C2818,Companies!$A$2:$A$31,0))</f>
        <v>Healthtech</v>
      </c>
      <c r="M2818" s="21" t="str">
        <f aca="false">INDEX(Companies!$D$2:$D$31,MATCH(C2818,Companies!$A$2:$A$31,0))</f>
        <v>Tier 2</v>
      </c>
      <c r="N2818" s="34" t="n">
        <f aca="false">MATCH(F2818,Assumptions!$K$4:$K$8,0)</f>
        <v>1</v>
      </c>
      <c r="O2818" s="21" t="str">
        <f aca="false">IF(H2818="Yes",MONTH(I2818),"")</f>
        <v/>
      </c>
      <c r="P2818" s="21" t="str">
        <f aca="false">IF(H2818="Yes",B2818,"")</f>
        <v/>
      </c>
    </row>
    <row r="2819" customFormat="false" ht="15" hidden="false" customHeight="false" outlineLevel="0" collapsed="false">
      <c r="A2819" s="21" t="s">
        <v>4034</v>
      </c>
      <c r="B2819" s="21" t="s">
        <v>871</v>
      </c>
      <c r="C2819" s="21" t="s">
        <v>1255</v>
      </c>
      <c r="D2819" s="21" t="s">
        <v>1243</v>
      </c>
      <c r="E2819" s="33" t="n">
        <v>46018</v>
      </c>
      <c r="F2819" s="21" t="s">
        <v>1175</v>
      </c>
      <c r="G2819" s="32"/>
      <c r="H2819" s="21"/>
      <c r="I2819" s="33"/>
      <c r="J2819" s="21" t="str">
        <f aca="false">INDEX(Students!$C$2:$C$601,MATCH(B2819,Students!$A$2:$A$601,0))</f>
        <v>Batch 2026</v>
      </c>
      <c r="K2819" s="21" t="str">
        <f aca="false">INDEX(Students!$D$2:$D$601,MATCH(B2819,Students!$A$2:$A$601,0))</f>
        <v>Data Science &amp; ML</v>
      </c>
      <c r="L2819" s="21" t="str">
        <f aca="false">INDEX(Companies!$C$2:$C$31,MATCH(C2819,Companies!$A$2:$A$31,0))</f>
        <v>IT Services</v>
      </c>
      <c r="M2819" s="21" t="str">
        <f aca="false">INDEX(Companies!$D$2:$D$31,MATCH(C2819,Companies!$A$2:$A$31,0))</f>
        <v>Tier 3</v>
      </c>
      <c r="N2819" s="34" t="n">
        <f aca="false">MATCH(F2819,Assumptions!$K$4:$K$8,0)</f>
        <v>1</v>
      </c>
      <c r="O2819" s="21" t="str">
        <f aca="false">IF(H2819="Yes",MONTH(I2819),"")</f>
        <v/>
      </c>
      <c r="P2819" s="21" t="str">
        <f aca="false">IF(H2819="Yes",B2819,"")</f>
        <v/>
      </c>
    </row>
    <row r="2820" customFormat="false" ht="15" hidden="false" customHeight="false" outlineLevel="0" collapsed="false">
      <c r="A2820" s="21" t="s">
        <v>4035</v>
      </c>
      <c r="B2820" s="21" t="s">
        <v>933</v>
      </c>
      <c r="C2820" s="21" t="s">
        <v>1193</v>
      </c>
      <c r="D2820" s="21" t="s">
        <v>1181</v>
      </c>
      <c r="E2820" s="33" t="n">
        <v>46019</v>
      </c>
      <c r="F2820" s="21" t="s">
        <v>1197</v>
      </c>
      <c r="G2820" s="32"/>
      <c r="H2820" s="21"/>
      <c r="I2820" s="33"/>
      <c r="J2820" s="21" t="str">
        <f aca="false">INDEX(Students!$C$2:$C$601,MATCH(B2820,Students!$A$2:$A$601,0))</f>
        <v>Batch 2026</v>
      </c>
      <c r="K2820" s="21" t="str">
        <f aca="false">INDEX(Students!$D$2:$D$601,MATCH(B2820,Students!$A$2:$A$601,0))</f>
        <v>Full Stack Development</v>
      </c>
      <c r="L2820" s="21" t="str">
        <f aca="false">INDEX(Companies!$C$2:$C$31,MATCH(C2820,Companies!$A$2:$A$31,0))</f>
        <v>Analytics &amp; Consulting</v>
      </c>
      <c r="M2820" s="21" t="str">
        <f aca="false">INDEX(Companies!$D$2:$D$31,MATCH(C2820,Companies!$A$2:$A$31,0))</f>
        <v>Tier 2</v>
      </c>
      <c r="N2820" s="34" t="n">
        <f aca="false">MATCH(F2820,Assumptions!$K$4:$K$8,0)</f>
        <v>3</v>
      </c>
      <c r="O2820" s="21" t="str">
        <f aca="false">IF(H2820="Yes",MONTH(I2820),"")</f>
        <v/>
      </c>
      <c r="P2820" s="21" t="str">
        <f aca="false">IF(H2820="Yes",B2820,"")</f>
        <v/>
      </c>
    </row>
    <row r="2821" customFormat="false" ht="15" hidden="false" customHeight="false" outlineLevel="0" collapsed="false">
      <c r="A2821" s="21" t="s">
        <v>4036</v>
      </c>
      <c r="B2821" s="21" t="s">
        <v>849</v>
      </c>
      <c r="C2821" s="21" t="s">
        <v>1203</v>
      </c>
      <c r="D2821" s="21" t="s">
        <v>1243</v>
      </c>
      <c r="E2821" s="33" t="n">
        <v>46019</v>
      </c>
      <c r="F2821" s="21" t="s">
        <v>1175</v>
      </c>
      <c r="G2821" s="32"/>
      <c r="H2821" s="21"/>
      <c r="I2821" s="33"/>
      <c r="J2821" s="21" t="str">
        <f aca="false">INDEX(Students!$C$2:$C$601,MATCH(B2821,Students!$A$2:$A$601,0))</f>
        <v>Batch 2026</v>
      </c>
      <c r="K2821" s="21" t="str">
        <f aca="false">INDEX(Students!$D$2:$D$601,MATCH(B2821,Students!$A$2:$A$601,0))</f>
        <v>Data Science &amp; ML</v>
      </c>
      <c r="L2821" s="21" t="str">
        <f aca="false">INDEX(Companies!$C$2:$C$31,MATCH(C2821,Companies!$A$2:$A$31,0))</f>
        <v>Healthtech</v>
      </c>
      <c r="M2821" s="21" t="str">
        <f aca="false">INDEX(Companies!$D$2:$D$31,MATCH(C2821,Companies!$A$2:$A$31,0))</f>
        <v>Tier 2</v>
      </c>
      <c r="N2821" s="34" t="n">
        <f aca="false">MATCH(F2821,Assumptions!$K$4:$K$8,0)</f>
        <v>1</v>
      </c>
      <c r="O2821" s="21" t="str">
        <f aca="false">IF(H2821="Yes",MONTH(I2821),"")</f>
        <v/>
      </c>
      <c r="P2821" s="21" t="str">
        <f aca="false">IF(H2821="Yes",B2821,"")</f>
        <v/>
      </c>
    </row>
    <row r="2822" customFormat="false" ht="15" hidden="false" customHeight="false" outlineLevel="0" collapsed="false">
      <c r="A2822" s="21" t="s">
        <v>4037</v>
      </c>
      <c r="B2822" s="21" t="s">
        <v>866</v>
      </c>
      <c r="C2822" s="21" t="s">
        <v>1214</v>
      </c>
      <c r="D2822" s="21" t="s">
        <v>1181</v>
      </c>
      <c r="E2822" s="33" t="n">
        <v>46020</v>
      </c>
      <c r="F2822" s="21" t="s">
        <v>1175</v>
      </c>
      <c r="G2822" s="32"/>
      <c r="H2822" s="21"/>
      <c r="I2822" s="33"/>
      <c r="J2822" s="21" t="str">
        <f aca="false">INDEX(Students!$C$2:$C$601,MATCH(B2822,Students!$A$2:$A$601,0))</f>
        <v>Batch 2026</v>
      </c>
      <c r="K2822" s="21" t="str">
        <f aca="false">INDEX(Students!$D$2:$D$601,MATCH(B2822,Students!$A$2:$A$601,0))</f>
        <v>Full Stack Development</v>
      </c>
      <c r="L2822" s="21" t="str">
        <f aca="false">INDEX(Companies!$C$2:$C$31,MATCH(C2822,Companies!$A$2:$A$31,0))</f>
        <v>Product</v>
      </c>
      <c r="M2822" s="21" t="str">
        <f aca="false">INDEX(Companies!$D$2:$D$31,MATCH(C2822,Companies!$A$2:$A$31,0))</f>
        <v>Tier 1</v>
      </c>
      <c r="N2822" s="34" t="n">
        <f aca="false">MATCH(F2822,Assumptions!$K$4:$K$8,0)</f>
        <v>1</v>
      </c>
      <c r="O2822" s="21" t="str">
        <f aca="false">IF(H2822="Yes",MONTH(I2822),"")</f>
        <v/>
      </c>
      <c r="P2822" s="21" t="str">
        <f aca="false">IF(H2822="Yes",B2822,"")</f>
        <v/>
      </c>
    </row>
    <row r="2823" customFormat="false" ht="15" hidden="false" customHeight="false" outlineLevel="0" collapsed="false">
      <c r="A2823" s="21" t="s">
        <v>4038</v>
      </c>
      <c r="B2823" s="21" t="s">
        <v>999</v>
      </c>
      <c r="C2823" s="21" t="s">
        <v>1266</v>
      </c>
      <c r="D2823" s="21" t="s">
        <v>1191</v>
      </c>
      <c r="E2823" s="33" t="n">
        <v>46020</v>
      </c>
      <c r="F2823" s="21" t="s">
        <v>1185</v>
      </c>
      <c r="G2823" s="32" t="n">
        <v>6.1</v>
      </c>
      <c r="H2823" s="21" t="s">
        <v>113</v>
      </c>
      <c r="I2823" s="33" t="n">
        <v>46049</v>
      </c>
      <c r="J2823" s="21" t="str">
        <f aca="false">INDEX(Students!$C$2:$C$601,MATCH(B2823,Students!$A$2:$A$601,0))</f>
        <v>Batch 2026</v>
      </c>
      <c r="K2823" s="21" t="str">
        <f aca="false">INDEX(Students!$D$2:$D$601,MATCH(B2823,Students!$A$2:$A$601,0))</f>
        <v>DSA with Java</v>
      </c>
      <c r="L2823" s="21" t="str">
        <f aca="false">INDEX(Companies!$C$2:$C$31,MATCH(C2823,Companies!$A$2:$A$31,0))</f>
        <v>IT Services</v>
      </c>
      <c r="M2823" s="21" t="str">
        <f aca="false">INDEX(Companies!$D$2:$D$31,MATCH(C2823,Companies!$A$2:$A$31,0))</f>
        <v>Tier 3</v>
      </c>
      <c r="N2823" s="34" t="n">
        <f aca="false">MATCH(F2823,Assumptions!$K$4:$K$8,0)</f>
        <v>5</v>
      </c>
      <c r="O2823" s="21" t="str">
        <f aca="false">IF(H2823="Yes",MONTH(I2823),"")</f>
        <v/>
      </c>
      <c r="P2823" s="21" t="str">
        <f aca="false">IF(H2823="Yes",B2823,"")</f>
        <v/>
      </c>
    </row>
    <row r="2824" customFormat="false" ht="15" hidden="false" customHeight="false" outlineLevel="0" collapsed="false">
      <c r="A2824" s="21" t="s">
        <v>4039</v>
      </c>
      <c r="B2824" s="21" t="s">
        <v>963</v>
      </c>
      <c r="C2824" s="21" t="s">
        <v>1201</v>
      </c>
      <c r="D2824" s="21" t="s">
        <v>1174</v>
      </c>
      <c r="E2824" s="33" t="n">
        <v>46020</v>
      </c>
      <c r="F2824" s="21" t="s">
        <v>1185</v>
      </c>
      <c r="G2824" s="32" t="n">
        <v>6</v>
      </c>
      <c r="H2824" s="21" t="s">
        <v>120</v>
      </c>
      <c r="I2824" s="33" t="n">
        <v>46071</v>
      </c>
      <c r="J2824" s="21" t="str">
        <f aca="false">INDEX(Students!$C$2:$C$601,MATCH(B2824,Students!$A$2:$A$601,0))</f>
        <v>Batch 2026</v>
      </c>
      <c r="K2824" s="21" t="str">
        <f aca="false">INDEX(Students!$D$2:$D$601,MATCH(B2824,Students!$A$2:$A$601,0))</f>
        <v>Full Stack Development</v>
      </c>
      <c r="L2824" s="21" t="str">
        <f aca="false">INDEX(Companies!$C$2:$C$31,MATCH(C2824,Companies!$A$2:$A$31,0))</f>
        <v>IT Services</v>
      </c>
      <c r="M2824" s="21" t="str">
        <f aca="false">INDEX(Companies!$D$2:$D$31,MATCH(C2824,Companies!$A$2:$A$31,0))</f>
        <v>Tier 3</v>
      </c>
      <c r="N2824" s="34" t="n">
        <f aca="false">MATCH(F2824,Assumptions!$K$4:$K$8,0)</f>
        <v>5</v>
      </c>
      <c r="O2824" s="21" t="n">
        <f aca="false">IF(H2824="Yes",MONTH(I2824),"")</f>
        <v>2</v>
      </c>
      <c r="P2824" s="21" t="str">
        <f aca="false">IF(H2824="Yes",B2824,"")</f>
        <v>S0478</v>
      </c>
    </row>
    <row r="2825" customFormat="false" ht="15" hidden="false" customHeight="false" outlineLevel="0" collapsed="false">
      <c r="A2825" s="21" t="s">
        <v>4040</v>
      </c>
      <c r="B2825" s="21" t="s">
        <v>826</v>
      </c>
      <c r="C2825" s="21" t="s">
        <v>1322</v>
      </c>
      <c r="D2825" s="21" t="s">
        <v>1188</v>
      </c>
      <c r="E2825" s="33" t="n">
        <v>46021</v>
      </c>
      <c r="F2825" s="21" t="s">
        <v>1185</v>
      </c>
      <c r="G2825" s="32" t="n">
        <v>10.2</v>
      </c>
      <c r="H2825" s="21" t="s">
        <v>120</v>
      </c>
      <c r="I2825" s="33" t="n">
        <v>46045</v>
      </c>
      <c r="J2825" s="21" t="str">
        <f aca="false">INDEX(Students!$C$2:$C$601,MATCH(B2825,Students!$A$2:$A$601,0))</f>
        <v>Batch 2026</v>
      </c>
      <c r="K2825" s="21" t="str">
        <f aca="false">INDEX(Students!$D$2:$D$601,MATCH(B2825,Students!$A$2:$A$601,0))</f>
        <v>Data Analytics</v>
      </c>
      <c r="L2825" s="21" t="str">
        <f aca="false">INDEX(Companies!$C$2:$C$31,MATCH(C2825,Companies!$A$2:$A$31,0))</f>
        <v>Healthtech</v>
      </c>
      <c r="M2825" s="21" t="str">
        <f aca="false">INDEX(Companies!$D$2:$D$31,MATCH(C2825,Companies!$A$2:$A$31,0))</f>
        <v>Tier 2</v>
      </c>
      <c r="N2825" s="34" t="n">
        <f aca="false">MATCH(F2825,Assumptions!$K$4:$K$8,0)</f>
        <v>5</v>
      </c>
      <c r="O2825" s="21" t="n">
        <f aca="false">IF(H2825="Yes",MONTH(I2825),"")</f>
        <v>1</v>
      </c>
      <c r="P2825" s="21" t="str">
        <f aca="false">IF(H2825="Yes",B2825,"")</f>
        <v>S0392</v>
      </c>
    </row>
    <row r="2826" customFormat="false" ht="15" hidden="false" customHeight="false" outlineLevel="0" collapsed="false">
      <c r="A2826" s="21" t="s">
        <v>4041</v>
      </c>
      <c r="B2826" s="21" t="s">
        <v>1131</v>
      </c>
      <c r="C2826" s="21" t="s">
        <v>1255</v>
      </c>
      <c r="D2826" s="21" t="s">
        <v>1209</v>
      </c>
      <c r="E2826" s="33" t="n">
        <v>46021</v>
      </c>
      <c r="F2826" s="21" t="s">
        <v>1197</v>
      </c>
      <c r="G2826" s="32"/>
      <c r="H2826" s="21"/>
      <c r="I2826" s="33"/>
      <c r="J2826" s="21" t="str">
        <f aca="false">INDEX(Students!$C$2:$C$601,MATCH(B2826,Students!$A$2:$A$601,0))</f>
        <v>Batch 2026</v>
      </c>
      <c r="K2826" s="21" t="str">
        <f aca="false">INDEX(Students!$D$2:$D$601,MATCH(B2826,Students!$A$2:$A$601,0))</f>
        <v>Data Analytics</v>
      </c>
      <c r="L2826" s="21" t="str">
        <f aca="false">INDEX(Companies!$C$2:$C$31,MATCH(C2826,Companies!$A$2:$A$31,0))</f>
        <v>IT Services</v>
      </c>
      <c r="M2826" s="21" t="str">
        <f aca="false">INDEX(Companies!$D$2:$D$31,MATCH(C2826,Companies!$A$2:$A$31,0))</f>
        <v>Tier 3</v>
      </c>
      <c r="N2826" s="34" t="n">
        <f aca="false">MATCH(F2826,Assumptions!$K$4:$K$8,0)</f>
        <v>3</v>
      </c>
      <c r="O2826" s="21" t="str">
        <f aca="false">IF(H2826="Yes",MONTH(I2826),"")</f>
        <v/>
      </c>
      <c r="P2826" s="21" t="str">
        <f aca="false">IF(H2826="Yes",B2826,"")</f>
        <v/>
      </c>
    </row>
    <row r="2827" customFormat="false" ht="15" hidden="false" customHeight="false" outlineLevel="0" collapsed="false">
      <c r="A2827" s="21" t="s">
        <v>4042</v>
      </c>
      <c r="B2827" s="21" t="s">
        <v>863</v>
      </c>
      <c r="C2827" s="21" t="s">
        <v>1183</v>
      </c>
      <c r="D2827" s="21" t="s">
        <v>1174</v>
      </c>
      <c r="E2827" s="33" t="n">
        <v>46021</v>
      </c>
      <c r="F2827" s="21" t="s">
        <v>1175</v>
      </c>
      <c r="G2827" s="32"/>
      <c r="H2827" s="21"/>
      <c r="I2827" s="33"/>
      <c r="J2827" s="21" t="str">
        <f aca="false">INDEX(Students!$C$2:$C$601,MATCH(B2827,Students!$A$2:$A$601,0))</f>
        <v>Batch 2026</v>
      </c>
      <c r="K2827" s="21" t="str">
        <f aca="false">INDEX(Students!$D$2:$D$601,MATCH(B2827,Students!$A$2:$A$601,0))</f>
        <v>Full Stack Development</v>
      </c>
      <c r="L2827" s="21" t="str">
        <f aca="false">INDEX(Companies!$C$2:$C$31,MATCH(C2827,Companies!$A$2:$A$31,0))</f>
        <v>E-commerce</v>
      </c>
      <c r="M2827" s="21" t="str">
        <f aca="false">INDEX(Companies!$D$2:$D$31,MATCH(C2827,Companies!$A$2:$A$31,0))</f>
        <v>Tier 2</v>
      </c>
      <c r="N2827" s="34" t="n">
        <f aca="false">MATCH(F2827,Assumptions!$K$4:$K$8,0)</f>
        <v>1</v>
      </c>
      <c r="O2827" s="21" t="str">
        <f aca="false">IF(H2827="Yes",MONTH(I2827),"")</f>
        <v/>
      </c>
      <c r="P2827" s="21" t="str">
        <f aca="false">IF(H2827="Yes",B2827,"")</f>
        <v/>
      </c>
    </row>
    <row r="2828" customFormat="false" ht="15" hidden="false" customHeight="false" outlineLevel="0" collapsed="false">
      <c r="A2828" s="21" t="s">
        <v>4043</v>
      </c>
      <c r="B2828" s="21" t="s">
        <v>945</v>
      </c>
      <c r="C2828" s="21" t="s">
        <v>1228</v>
      </c>
      <c r="D2828" s="21" t="s">
        <v>1191</v>
      </c>
      <c r="E2828" s="33" t="n">
        <v>46021</v>
      </c>
      <c r="F2828" s="21" t="s">
        <v>1185</v>
      </c>
      <c r="G2828" s="32" t="n">
        <v>29.7</v>
      </c>
      <c r="H2828" s="21" t="s">
        <v>120</v>
      </c>
      <c r="I2828" s="33" t="n">
        <v>46055</v>
      </c>
      <c r="J2828" s="21" t="str">
        <f aca="false">INDEX(Students!$C$2:$C$601,MATCH(B2828,Students!$A$2:$A$601,0))</f>
        <v>Batch 2026</v>
      </c>
      <c r="K2828" s="21" t="str">
        <f aca="false">INDEX(Students!$D$2:$D$601,MATCH(B2828,Students!$A$2:$A$601,0))</f>
        <v>DSA with Java</v>
      </c>
      <c r="L2828" s="21" t="str">
        <f aca="false">INDEX(Companies!$C$2:$C$31,MATCH(C2828,Companies!$A$2:$A$31,0))</f>
        <v>Fintech</v>
      </c>
      <c r="M2828" s="21" t="str">
        <f aca="false">INDEX(Companies!$D$2:$D$31,MATCH(C2828,Companies!$A$2:$A$31,0))</f>
        <v>Tier 1</v>
      </c>
      <c r="N2828" s="34" t="n">
        <f aca="false">MATCH(F2828,Assumptions!$K$4:$K$8,0)</f>
        <v>5</v>
      </c>
      <c r="O2828" s="21" t="n">
        <f aca="false">IF(H2828="Yes",MONTH(I2828),"")</f>
        <v>2</v>
      </c>
      <c r="P2828" s="21" t="str">
        <f aca="false">IF(H2828="Yes",B2828,"")</f>
        <v>S0467</v>
      </c>
    </row>
    <row r="2829" customFormat="false" ht="15" hidden="false" customHeight="false" outlineLevel="0" collapsed="false">
      <c r="A2829" s="21" t="s">
        <v>4044</v>
      </c>
      <c r="B2829" s="21" t="s">
        <v>815</v>
      </c>
      <c r="C2829" s="21" t="s">
        <v>1239</v>
      </c>
      <c r="D2829" s="21" t="s">
        <v>1240</v>
      </c>
      <c r="E2829" s="33" t="n">
        <v>46021</v>
      </c>
      <c r="F2829" s="21" t="s">
        <v>1178</v>
      </c>
      <c r="G2829" s="32"/>
      <c r="H2829" s="21"/>
      <c r="I2829" s="33"/>
      <c r="J2829" s="21" t="str">
        <f aca="false">INDEX(Students!$C$2:$C$601,MATCH(B2829,Students!$A$2:$A$601,0))</f>
        <v>Batch 2026</v>
      </c>
      <c r="K2829" s="21" t="str">
        <f aca="false">INDEX(Students!$D$2:$D$601,MATCH(B2829,Students!$A$2:$A$601,0))</f>
        <v>Cybersecurity</v>
      </c>
      <c r="L2829" s="21" t="str">
        <f aca="false">INDEX(Companies!$C$2:$C$31,MATCH(C2829,Companies!$A$2:$A$31,0))</f>
        <v>E-commerce</v>
      </c>
      <c r="M2829" s="21" t="str">
        <f aca="false">INDEX(Companies!$D$2:$D$31,MATCH(C2829,Companies!$A$2:$A$31,0))</f>
        <v>Tier 3</v>
      </c>
      <c r="N2829" s="34" t="n">
        <f aca="false">MATCH(F2829,Assumptions!$K$4:$K$8,0)</f>
        <v>2</v>
      </c>
      <c r="O2829" s="21" t="str">
        <f aca="false">IF(H2829="Yes",MONTH(I2829),"")</f>
        <v/>
      </c>
      <c r="P2829" s="21" t="str">
        <f aca="false">IF(H2829="Yes",B2829,"")</f>
        <v/>
      </c>
    </row>
    <row r="2830" customFormat="false" ht="15" hidden="false" customHeight="false" outlineLevel="0" collapsed="false">
      <c r="A2830" s="21" t="s">
        <v>4045</v>
      </c>
      <c r="B2830" s="21" t="s">
        <v>954</v>
      </c>
      <c r="C2830" s="21" t="s">
        <v>1216</v>
      </c>
      <c r="D2830" s="21" t="s">
        <v>1191</v>
      </c>
      <c r="E2830" s="33" t="n">
        <v>46021</v>
      </c>
      <c r="F2830" s="21" t="s">
        <v>1185</v>
      </c>
      <c r="G2830" s="32" t="n">
        <v>7</v>
      </c>
      <c r="H2830" s="21" t="s">
        <v>113</v>
      </c>
      <c r="I2830" s="33" t="n">
        <v>46054</v>
      </c>
      <c r="J2830" s="21" t="str">
        <f aca="false">INDEX(Students!$C$2:$C$601,MATCH(B2830,Students!$A$2:$A$601,0))</f>
        <v>Batch 2026</v>
      </c>
      <c r="K2830" s="21" t="str">
        <f aca="false">INDEX(Students!$D$2:$D$601,MATCH(B2830,Students!$A$2:$A$601,0))</f>
        <v>DSA with Java</v>
      </c>
      <c r="L2830" s="21" t="str">
        <f aca="false">INDEX(Companies!$C$2:$C$31,MATCH(C2830,Companies!$A$2:$A$31,0))</f>
        <v>IT Services</v>
      </c>
      <c r="M2830" s="21" t="str">
        <f aca="false">INDEX(Companies!$D$2:$D$31,MATCH(C2830,Companies!$A$2:$A$31,0))</f>
        <v>Tier 3</v>
      </c>
      <c r="N2830" s="34" t="n">
        <f aca="false">MATCH(F2830,Assumptions!$K$4:$K$8,0)</f>
        <v>5</v>
      </c>
      <c r="O2830" s="21" t="str">
        <f aca="false">IF(H2830="Yes",MONTH(I2830),"")</f>
        <v/>
      </c>
      <c r="P2830" s="21" t="str">
        <f aca="false">IF(H2830="Yes",B2830,"")</f>
        <v/>
      </c>
    </row>
    <row r="2831" customFormat="false" ht="15" hidden="false" customHeight="false" outlineLevel="0" collapsed="false">
      <c r="A2831" s="21" t="s">
        <v>4046</v>
      </c>
      <c r="B2831" s="21" t="s">
        <v>1097</v>
      </c>
      <c r="C2831" s="21" t="s">
        <v>1203</v>
      </c>
      <c r="D2831" s="21" t="s">
        <v>1184</v>
      </c>
      <c r="E2831" s="33" t="n">
        <v>46021</v>
      </c>
      <c r="F2831" s="21" t="s">
        <v>1178</v>
      </c>
      <c r="G2831" s="32"/>
      <c r="H2831" s="21"/>
      <c r="I2831" s="33"/>
      <c r="J2831" s="21" t="str">
        <f aca="false">INDEX(Students!$C$2:$C$601,MATCH(B2831,Students!$A$2:$A$601,0))</f>
        <v>Batch 2026</v>
      </c>
      <c r="K2831" s="21" t="str">
        <f aca="false">INDEX(Students!$D$2:$D$601,MATCH(B2831,Students!$A$2:$A$601,0))</f>
        <v>DSA with Java</v>
      </c>
      <c r="L2831" s="21" t="str">
        <f aca="false">INDEX(Companies!$C$2:$C$31,MATCH(C2831,Companies!$A$2:$A$31,0))</f>
        <v>Healthtech</v>
      </c>
      <c r="M2831" s="21" t="str">
        <f aca="false">INDEX(Companies!$D$2:$D$31,MATCH(C2831,Companies!$A$2:$A$31,0))</f>
        <v>Tier 2</v>
      </c>
      <c r="N2831" s="34" t="n">
        <f aca="false">MATCH(F2831,Assumptions!$K$4:$K$8,0)</f>
        <v>2</v>
      </c>
      <c r="O2831" s="21" t="str">
        <f aca="false">IF(H2831="Yes",MONTH(I2831),"")</f>
        <v/>
      </c>
      <c r="P2831" s="21" t="str">
        <f aca="false">IF(H2831="Yes",B2831,"")</f>
        <v/>
      </c>
    </row>
    <row r="2832" customFormat="false" ht="15" hidden="false" customHeight="false" outlineLevel="0" collapsed="false">
      <c r="A2832" s="21" t="s">
        <v>4047</v>
      </c>
      <c r="B2832" s="21" t="s">
        <v>836</v>
      </c>
      <c r="C2832" s="21" t="s">
        <v>1275</v>
      </c>
      <c r="D2832" s="21" t="s">
        <v>1194</v>
      </c>
      <c r="E2832" s="33" t="n">
        <v>46022</v>
      </c>
      <c r="F2832" s="21" t="s">
        <v>1178</v>
      </c>
      <c r="G2832" s="32"/>
      <c r="H2832" s="21"/>
      <c r="I2832" s="33"/>
      <c r="J2832" s="21" t="str">
        <f aca="false">INDEX(Students!$C$2:$C$601,MATCH(B2832,Students!$A$2:$A$601,0))</f>
        <v>Batch 2026</v>
      </c>
      <c r="K2832" s="21" t="str">
        <f aca="false">INDEX(Students!$D$2:$D$601,MATCH(B2832,Students!$A$2:$A$601,0))</f>
        <v>Data Science &amp; ML</v>
      </c>
      <c r="L2832" s="21" t="str">
        <f aca="false">INDEX(Companies!$C$2:$C$31,MATCH(C2832,Companies!$A$2:$A$31,0))</f>
        <v>Cybersecurity</v>
      </c>
      <c r="M2832" s="21" t="str">
        <f aca="false">INDEX(Companies!$D$2:$D$31,MATCH(C2832,Companies!$A$2:$A$31,0))</f>
        <v>Tier 2</v>
      </c>
      <c r="N2832" s="34" t="n">
        <f aca="false">MATCH(F2832,Assumptions!$K$4:$K$8,0)</f>
        <v>2</v>
      </c>
      <c r="O2832" s="21" t="str">
        <f aca="false">IF(H2832="Yes",MONTH(I2832),"")</f>
        <v/>
      </c>
      <c r="P2832" s="21" t="str">
        <f aca="false">IF(H2832="Yes",B2832,"")</f>
        <v/>
      </c>
    </row>
    <row r="2833" customFormat="false" ht="15" hidden="false" customHeight="false" outlineLevel="0" collapsed="false">
      <c r="A2833" s="21" t="s">
        <v>4048</v>
      </c>
      <c r="B2833" s="21" t="s">
        <v>1046</v>
      </c>
      <c r="C2833" s="21" t="s">
        <v>1222</v>
      </c>
      <c r="D2833" s="21" t="s">
        <v>1181</v>
      </c>
      <c r="E2833" s="33" t="n">
        <v>46022</v>
      </c>
      <c r="F2833" s="21" t="s">
        <v>1175</v>
      </c>
      <c r="G2833" s="32"/>
      <c r="H2833" s="21"/>
      <c r="I2833" s="33"/>
      <c r="J2833" s="21" t="str">
        <f aca="false">INDEX(Students!$C$2:$C$601,MATCH(B2833,Students!$A$2:$A$601,0))</f>
        <v>Batch 2026</v>
      </c>
      <c r="K2833" s="21" t="str">
        <f aca="false">INDEX(Students!$D$2:$D$601,MATCH(B2833,Students!$A$2:$A$601,0))</f>
        <v>Full Stack Development</v>
      </c>
      <c r="L2833" s="21" t="str">
        <f aca="false">INDEX(Companies!$C$2:$C$31,MATCH(C2833,Companies!$A$2:$A$31,0))</f>
        <v>Product</v>
      </c>
      <c r="M2833" s="21" t="str">
        <f aca="false">INDEX(Companies!$D$2:$D$31,MATCH(C2833,Companies!$A$2:$A$31,0))</f>
        <v>Tier 2</v>
      </c>
      <c r="N2833" s="34" t="n">
        <f aca="false">MATCH(F2833,Assumptions!$K$4:$K$8,0)</f>
        <v>1</v>
      </c>
      <c r="O2833" s="21" t="str">
        <f aca="false">IF(H2833="Yes",MONTH(I2833),"")</f>
        <v/>
      </c>
      <c r="P2833" s="21" t="str">
        <f aca="false">IF(H2833="Yes",B2833,"")</f>
        <v/>
      </c>
    </row>
    <row r="2834" customFormat="false" ht="15" hidden="false" customHeight="false" outlineLevel="0" collapsed="false">
      <c r="A2834" s="21" t="s">
        <v>4049</v>
      </c>
      <c r="B2834" s="21" t="s">
        <v>1080</v>
      </c>
      <c r="C2834" s="21" t="s">
        <v>1255</v>
      </c>
      <c r="D2834" s="21" t="s">
        <v>1191</v>
      </c>
      <c r="E2834" s="33" t="n">
        <v>46022</v>
      </c>
      <c r="F2834" s="21" t="s">
        <v>1185</v>
      </c>
      <c r="G2834" s="32" t="n">
        <v>7.4</v>
      </c>
      <c r="H2834" s="21" t="s">
        <v>113</v>
      </c>
      <c r="I2834" s="33" t="n">
        <v>46061</v>
      </c>
      <c r="J2834" s="21" t="str">
        <f aca="false">INDEX(Students!$C$2:$C$601,MATCH(B2834,Students!$A$2:$A$601,0))</f>
        <v>Batch 2026</v>
      </c>
      <c r="K2834" s="21" t="str">
        <f aca="false">INDEX(Students!$D$2:$D$601,MATCH(B2834,Students!$A$2:$A$601,0))</f>
        <v>DSA with Java</v>
      </c>
      <c r="L2834" s="21" t="str">
        <f aca="false">INDEX(Companies!$C$2:$C$31,MATCH(C2834,Companies!$A$2:$A$31,0))</f>
        <v>IT Services</v>
      </c>
      <c r="M2834" s="21" t="str">
        <f aca="false">INDEX(Companies!$D$2:$D$31,MATCH(C2834,Companies!$A$2:$A$31,0))</f>
        <v>Tier 3</v>
      </c>
      <c r="N2834" s="34" t="n">
        <f aca="false">MATCH(F2834,Assumptions!$K$4:$K$8,0)</f>
        <v>5</v>
      </c>
      <c r="O2834" s="21" t="str">
        <f aca="false">IF(H2834="Yes",MONTH(I2834),"")</f>
        <v/>
      </c>
      <c r="P2834" s="21" t="str">
        <f aca="false">IF(H2834="Yes",B2834,"")</f>
        <v/>
      </c>
    </row>
    <row r="2835" customFormat="false" ht="15" hidden="false" customHeight="false" outlineLevel="0" collapsed="false">
      <c r="A2835" s="21" t="s">
        <v>4050</v>
      </c>
      <c r="B2835" s="21" t="s">
        <v>939</v>
      </c>
      <c r="C2835" s="21" t="s">
        <v>1266</v>
      </c>
      <c r="D2835" s="21" t="s">
        <v>1240</v>
      </c>
      <c r="E2835" s="33" t="n">
        <v>46022</v>
      </c>
      <c r="F2835" s="21" t="s">
        <v>1197</v>
      </c>
      <c r="G2835" s="32"/>
      <c r="H2835" s="21"/>
      <c r="I2835" s="33"/>
      <c r="J2835" s="21" t="str">
        <f aca="false">INDEX(Students!$C$2:$C$601,MATCH(B2835,Students!$A$2:$A$601,0))</f>
        <v>Batch 2026</v>
      </c>
      <c r="K2835" s="21" t="str">
        <f aca="false">INDEX(Students!$D$2:$D$601,MATCH(B2835,Students!$A$2:$A$601,0))</f>
        <v>Cybersecurity</v>
      </c>
      <c r="L2835" s="21" t="str">
        <f aca="false">INDEX(Companies!$C$2:$C$31,MATCH(C2835,Companies!$A$2:$A$31,0))</f>
        <v>IT Services</v>
      </c>
      <c r="M2835" s="21" t="str">
        <f aca="false">INDEX(Companies!$D$2:$D$31,MATCH(C2835,Companies!$A$2:$A$31,0))</f>
        <v>Tier 3</v>
      </c>
      <c r="N2835" s="34" t="n">
        <f aca="false">MATCH(F2835,Assumptions!$K$4:$K$8,0)</f>
        <v>3</v>
      </c>
      <c r="O2835" s="21" t="str">
        <f aca="false">IF(H2835="Yes",MONTH(I2835),"")</f>
        <v/>
      </c>
      <c r="P2835" s="21" t="str">
        <f aca="false">IF(H2835="Yes",B2835,"")</f>
        <v/>
      </c>
    </row>
    <row r="2836" customFormat="false" ht="15" hidden="false" customHeight="false" outlineLevel="0" collapsed="false">
      <c r="A2836" s="21" t="s">
        <v>4051</v>
      </c>
      <c r="B2836" s="21" t="s">
        <v>903</v>
      </c>
      <c r="C2836" s="21" t="s">
        <v>1173</v>
      </c>
      <c r="D2836" s="21" t="s">
        <v>1181</v>
      </c>
      <c r="E2836" s="33" t="n">
        <v>46022</v>
      </c>
      <c r="F2836" s="21" t="s">
        <v>1178</v>
      </c>
      <c r="G2836" s="32"/>
      <c r="H2836" s="21"/>
      <c r="I2836" s="33"/>
      <c r="J2836" s="21" t="str">
        <f aca="false">INDEX(Students!$C$2:$C$601,MATCH(B2836,Students!$A$2:$A$601,0))</f>
        <v>Batch 2026</v>
      </c>
      <c r="K2836" s="21" t="str">
        <f aca="false">INDEX(Students!$D$2:$D$601,MATCH(B2836,Students!$A$2:$A$601,0))</f>
        <v>Full Stack Development</v>
      </c>
      <c r="L2836" s="21" t="str">
        <f aca="false">INDEX(Companies!$C$2:$C$31,MATCH(C2836,Companies!$A$2:$A$31,0))</f>
        <v>Cybersecurity</v>
      </c>
      <c r="M2836" s="21" t="str">
        <f aca="false">INDEX(Companies!$D$2:$D$31,MATCH(C2836,Companies!$A$2:$A$31,0))</f>
        <v>Tier 1</v>
      </c>
      <c r="N2836" s="34" t="n">
        <f aca="false">MATCH(F2836,Assumptions!$K$4:$K$8,0)</f>
        <v>2</v>
      </c>
      <c r="O2836" s="21" t="str">
        <f aca="false">IF(H2836="Yes",MONTH(I2836),"")</f>
        <v/>
      </c>
      <c r="P2836" s="21" t="str">
        <f aca="false">IF(H2836="Yes",B2836,"")</f>
        <v/>
      </c>
    </row>
    <row r="2837" customFormat="false" ht="15" hidden="false" customHeight="false" outlineLevel="0" collapsed="false">
      <c r="A2837" s="21" t="s">
        <v>4052</v>
      </c>
      <c r="B2837" s="21" t="s">
        <v>1074</v>
      </c>
      <c r="C2837" s="21" t="s">
        <v>1173</v>
      </c>
      <c r="D2837" s="21" t="s">
        <v>1191</v>
      </c>
      <c r="E2837" s="33" t="n">
        <v>46022</v>
      </c>
      <c r="F2837" s="21" t="s">
        <v>1175</v>
      </c>
      <c r="G2837" s="32"/>
      <c r="H2837" s="21"/>
      <c r="I2837" s="33"/>
      <c r="J2837" s="21" t="str">
        <f aca="false">INDEX(Students!$C$2:$C$601,MATCH(B2837,Students!$A$2:$A$601,0))</f>
        <v>Batch 2026</v>
      </c>
      <c r="K2837" s="21" t="str">
        <f aca="false">INDEX(Students!$D$2:$D$601,MATCH(B2837,Students!$A$2:$A$601,0))</f>
        <v>DSA with Java</v>
      </c>
      <c r="L2837" s="21" t="str">
        <f aca="false">INDEX(Companies!$C$2:$C$31,MATCH(C2837,Companies!$A$2:$A$31,0))</f>
        <v>Cybersecurity</v>
      </c>
      <c r="M2837" s="21" t="str">
        <f aca="false">INDEX(Companies!$D$2:$D$31,MATCH(C2837,Companies!$A$2:$A$31,0))</f>
        <v>Tier 1</v>
      </c>
      <c r="N2837" s="34" t="n">
        <f aca="false">MATCH(F2837,Assumptions!$K$4:$K$8,0)</f>
        <v>1</v>
      </c>
      <c r="O2837" s="21" t="str">
        <f aca="false">IF(H2837="Yes",MONTH(I2837),"")</f>
        <v/>
      </c>
      <c r="P2837" s="21" t="str">
        <f aca="false">IF(H2837="Yes",B2837,"")</f>
        <v/>
      </c>
    </row>
    <row r="2838" customFormat="false" ht="15" hidden="false" customHeight="false" outlineLevel="0" collapsed="false">
      <c r="A2838" s="21" t="s">
        <v>4053</v>
      </c>
      <c r="B2838" s="21" t="s">
        <v>890</v>
      </c>
      <c r="C2838" s="21" t="s">
        <v>1239</v>
      </c>
      <c r="D2838" s="21" t="s">
        <v>1191</v>
      </c>
      <c r="E2838" s="33" t="n">
        <v>46023</v>
      </c>
      <c r="F2838" s="21" t="s">
        <v>1175</v>
      </c>
      <c r="G2838" s="32"/>
      <c r="H2838" s="21"/>
      <c r="I2838" s="33"/>
      <c r="J2838" s="21" t="str">
        <f aca="false">INDEX(Students!$C$2:$C$601,MATCH(B2838,Students!$A$2:$A$601,0))</f>
        <v>Batch 2026</v>
      </c>
      <c r="K2838" s="21" t="str">
        <f aca="false">INDEX(Students!$D$2:$D$601,MATCH(B2838,Students!$A$2:$A$601,0))</f>
        <v>DSA with Java</v>
      </c>
      <c r="L2838" s="21" t="str">
        <f aca="false">INDEX(Companies!$C$2:$C$31,MATCH(C2838,Companies!$A$2:$A$31,0))</f>
        <v>E-commerce</v>
      </c>
      <c r="M2838" s="21" t="str">
        <f aca="false">INDEX(Companies!$D$2:$D$31,MATCH(C2838,Companies!$A$2:$A$31,0))</f>
        <v>Tier 3</v>
      </c>
      <c r="N2838" s="34" t="n">
        <f aca="false">MATCH(F2838,Assumptions!$K$4:$K$8,0)</f>
        <v>1</v>
      </c>
      <c r="O2838" s="21" t="str">
        <f aca="false">IF(H2838="Yes",MONTH(I2838),"")</f>
        <v/>
      </c>
      <c r="P2838" s="21" t="str">
        <f aca="false">IF(H2838="Yes",B2838,"")</f>
        <v/>
      </c>
    </row>
    <row r="2839" customFormat="false" ht="15" hidden="false" customHeight="false" outlineLevel="0" collapsed="false">
      <c r="A2839" s="21" t="s">
        <v>4054</v>
      </c>
      <c r="B2839" s="21" t="s">
        <v>840</v>
      </c>
      <c r="C2839" s="21" t="s">
        <v>1266</v>
      </c>
      <c r="D2839" s="21" t="s">
        <v>1243</v>
      </c>
      <c r="E2839" s="33" t="n">
        <v>46023</v>
      </c>
      <c r="F2839" s="21" t="s">
        <v>1185</v>
      </c>
      <c r="G2839" s="32" t="n">
        <v>4</v>
      </c>
      <c r="H2839" s="21" t="s">
        <v>120</v>
      </c>
      <c r="I2839" s="33" t="n">
        <v>46072</v>
      </c>
      <c r="J2839" s="21" t="str">
        <f aca="false">INDEX(Students!$C$2:$C$601,MATCH(B2839,Students!$A$2:$A$601,0))</f>
        <v>Batch 2026</v>
      </c>
      <c r="K2839" s="21" t="str">
        <f aca="false">INDEX(Students!$D$2:$D$601,MATCH(B2839,Students!$A$2:$A$601,0))</f>
        <v>Data Science &amp; ML</v>
      </c>
      <c r="L2839" s="21" t="str">
        <f aca="false">INDEX(Companies!$C$2:$C$31,MATCH(C2839,Companies!$A$2:$A$31,0))</f>
        <v>IT Services</v>
      </c>
      <c r="M2839" s="21" t="str">
        <f aca="false">INDEX(Companies!$D$2:$D$31,MATCH(C2839,Companies!$A$2:$A$31,0))</f>
        <v>Tier 3</v>
      </c>
      <c r="N2839" s="34" t="n">
        <f aca="false">MATCH(F2839,Assumptions!$K$4:$K$8,0)</f>
        <v>5</v>
      </c>
      <c r="O2839" s="21" t="n">
        <f aca="false">IF(H2839="Yes",MONTH(I2839),"")</f>
        <v>2</v>
      </c>
      <c r="P2839" s="21" t="str">
        <f aca="false">IF(H2839="Yes",B2839,"")</f>
        <v>S0400</v>
      </c>
    </row>
    <row r="2840" customFormat="false" ht="15" hidden="false" customHeight="false" outlineLevel="0" collapsed="false">
      <c r="A2840" s="21" t="s">
        <v>4055</v>
      </c>
      <c r="B2840" s="21" t="s">
        <v>814</v>
      </c>
      <c r="C2840" s="21" t="s">
        <v>1275</v>
      </c>
      <c r="D2840" s="21" t="s">
        <v>1188</v>
      </c>
      <c r="E2840" s="33" t="n">
        <v>46023</v>
      </c>
      <c r="F2840" s="21" t="s">
        <v>1175</v>
      </c>
      <c r="G2840" s="32"/>
      <c r="H2840" s="21"/>
      <c r="I2840" s="33"/>
      <c r="J2840" s="21" t="str">
        <f aca="false">INDEX(Students!$C$2:$C$601,MATCH(B2840,Students!$A$2:$A$601,0))</f>
        <v>Batch 2026</v>
      </c>
      <c r="K2840" s="21" t="str">
        <f aca="false">INDEX(Students!$D$2:$D$601,MATCH(B2840,Students!$A$2:$A$601,0))</f>
        <v>Data Analytics</v>
      </c>
      <c r="L2840" s="21" t="str">
        <f aca="false">INDEX(Companies!$C$2:$C$31,MATCH(C2840,Companies!$A$2:$A$31,0))</f>
        <v>Cybersecurity</v>
      </c>
      <c r="M2840" s="21" t="str">
        <f aca="false">INDEX(Companies!$D$2:$D$31,MATCH(C2840,Companies!$A$2:$A$31,0))</f>
        <v>Tier 2</v>
      </c>
      <c r="N2840" s="34" t="n">
        <f aca="false">MATCH(F2840,Assumptions!$K$4:$K$8,0)</f>
        <v>1</v>
      </c>
      <c r="O2840" s="21" t="str">
        <f aca="false">IF(H2840="Yes",MONTH(I2840),"")</f>
        <v/>
      </c>
      <c r="P2840" s="21" t="str">
        <f aca="false">IF(H2840="Yes",B2840,"")</f>
        <v/>
      </c>
    </row>
    <row r="2841" customFormat="false" ht="15" hidden="false" customHeight="false" outlineLevel="0" collapsed="false">
      <c r="A2841" s="21" t="s">
        <v>4056</v>
      </c>
      <c r="B2841" s="21" t="s">
        <v>1053</v>
      </c>
      <c r="C2841" s="21" t="s">
        <v>1290</v>
      </c>
      <c r="D2841" s="21" t="s">
        <v>1191</v>
      </c>
      <c r="E2841" s="33" t="n">
        <v>46023</v>
      </c>
      <c r="F2841" s="21" t="s">
        <v>1185</v>
      </c>
      <c r="G2841" s="32" t="n">
        <v>9.6</v>
      </c>
      <c r="H2841" s="21" t="s">
        <v>113</v>
      </c>
      <c r="I2841" s="33" t="n">
        <v>46044</v>
      </c>
      <c r="J2841" s="21" t="str">
        <f aca="false">INDEX(Students!$C$2:$C$601,MATCH(B2841,Students!$A$2:$A$601,0))</f>
        <v>Batch 2026</v>
      </c>
      <c r="K2841" s="21" t="str">
        <f aca="false">INDEX(Students!$D$2:$D$601,MATCH(B2841,Students!$A$2:$A$601,0))</f>
        <v>DSA with Java</v>
      </c>
      <c r="L2841" s="21" t="str">
        <f aca="false">INDEX(Companies!$C$2:$C$31,MATCH(C2841,Companies!$A$2:$A$31,0))</f>
        <v>Fintech</v>
      </c>
      <c r="M2841" s="21" t="str">
        <f aca="false">INDEX(Companies!$D$2:$D$31,MATCH(C2841,Companies!$A$2:$A$31,0))</f>
        <v>Tier 2</v>
      </c>
      <c r="N2841" s="34" t="n">
        <f aca="false">MATCH(F2841,Assumptions!$K$4:$K$8,0)</f>
        <v>5</v>
      </c>
      <c r="O2841" s="21" t="str">
        <f aca="false">IF(H2841="Yes",MONTH(I2841),"")</f>
        <v/>
      </c>
      <c r="P2841" s="21" t="str">
        <f aca="false">IF(H2841="Yes",B2841,"")</f>
        <v/>
      </c>
    </row>
    <row r="2842" customFormat="false" ht="15" hidden="false" customHeight="false" outlineLevel="0" collapsed="false">
      <c r="A2842" s="21" t="s">
        <v>4057</v>
      </c>
      <c r="B2842" s="21" t="s">
        <v>1020</v>
      </c>
      <c r="C2842" s="21" t="s">
        <v>1230</v>
      </c>
      <c r="D2842" s="21" t="s">
        <v>1226</v>
      </c>
      <c r="E2842" s="33" t="n">
        <v>46023</v>
      </c>
      <c r="F2842" s="21" t="s">
        <v>1185</v>
      </c>
      <c r="G2842" s="32" t="n">
        <v>5.8</v>
      </c>
      <c r="H2842" s="21" t="s">
        <v>120</v>
      </c>
      <c r="I2842" s="33" t="n">
        <v>46072</v>
      </c>
      <c r="J2842" s="21" t="str">
        <f aca="false">INDEX(Students!$C$2:$C$601,MATCH(B2842,Students!$A$2:$A$601,0))</f>
        <v>Batch 2026</v>
      </c>
      <c r="K2842" s="21" t="str">
        <f aca="false">INDEX(Students!$D$2:$D$601,MATCH(B2842,Students!$A$2:$A$601,0))</f>
        <v>Cybersecurity</v>
      </c>
      <c r="L2842" s="21" t="str">
        <f aca="false">INDEX(Companies!$C$2:$C$31,MATCH(C2842,Companies!$A$2:$A$31,0))</f>
        <v>IT Services</v>
      </c>
      <c r="M2842" s="21" t="str">
        <f aca="false">INDEX(Companies!$D$2:$D$31,MATCH(C2842,Companies!$A$2:$A$31,0))</f>
        <v>Tier 3</v>
      </c>
      <c r="N2842" s="34" t="n">
        <f aca="false">MATCH(F2842,Assumptions!$K$4:$K$8,0)</f>
        <v>5</v>
      </c>
      <c r="O2842" s="21" t="n">
        <f aca="false">IF(H2842="Yes",MONTH(I2842),"")</f>
        <v>2</v>
      </c>
      <c r="P2842" s="21" t="str">
        <f aca="false">IF(H2842="Yes",B2842,"")</f>
        <v>S0512</v>
      </c>
    </row>
    <row r="2843" customFormat="false" ht="15" hidden="false" customHeight="false" outlineLevel="0" collapsed="false">
      <c r="A2843" s="21" t="s">
        <v>4058</v>
      </c>
      <c r="B2843" s="21" t="s">
        <v>853</v>
      </c>
      <c r="C2843" s="21" t="s">
        <v>1201</v>
      </c>
      <c r="D2843" s="21" t="s">
        <v>1194</v>
      </c>
      <c r="E2843" s="33" t="n">
        <v>46023</v>
      </c>
      <c r="F2843" s="21" t="s">
        <v>1175</v>
      </c>
      <c r="G2843" s="32"/>
      <c r="H2843" s="21"/>
      <c r="I2843" s="33"/>
      <c r="J2843" s="21" t="str">
        <f aca="false">INDEX(Students!$C$2:$C$601,MATCH(B2843,Students!$A$2:$A$601,0))</f>
        <v>Batch 2026</v>
      </c>
      <c r="K2843" s="21" t="str">
        <f aca="false">INDEX(Students!$D$2:$D$601,MATCH(B2843,Students!$A$2:$A$601,0))</f>
        <v>Data Science &amp; ML</v>
      </c>
      <c r="L2843" s="21" t="str">
        <f aca="false">INDEX(Companies!$C$2:$C$31,MATCH(C2843,Companies!$A$2:$A$31,0))</f>
        <v>IT Services</v>
      </c>
      <c r="M2843" s="21" t="str">
        <f aca="false">INDEX(Companies!$D$2:$D$31,MATCH(C2843,Companies!$A$2:$A$31,0))</f>
        <v>Tier 3</v>
      </c>
      <c r="N2843" s="34" t="n">
        <f aca="false">MATCH(F2843,Assumptions!$K$4:$K$8,0)</f>
        <v>1</v>
      </c>
      <c r="O2843" s="21" t="str">
        <f aca="false">IF(H2843="Yes",MONTH(I2843),"")</f>
        <v/>
      </c>
      <c r="P2843" s="21" t="str">
        <f aca="false">IF(H2843="Yes",B2843,"")</f>
        <v/>
      </c>
    </row>
    <row r="2844" customFormat="false" ht="15" hidden="false" customHeight="false" outlineLevel="0" collapsed="false">
      <c r="A2844" s="21" t="s">
        <v>4059</v>
      </c>
      <c r="B2844" s="21" t="s">
        <v>919</v>
      </c>
      <c r="C2844" s="21" t="s">
        <v>1205</v>
      </c>
      <c r="D2844" s="21" t="s">
        <v>1209</v>
      </c>
      <c r="E2844" s="33" t="n">
        <v>46023</v>
      </c>
      <c r="F2844" s="21" t="s">
        <v>1185</v>
      </c>
      <c r="G2844" s="32" t="n">
        <v>5.2</v>
      </c>
      <c r="H2844" s="21" t="s">
        <v>113</v>
      </c>
      <c r="I2844" s="33" t="n">
        <v>46061</v>
      </c>
      <c r="J2844" s="21" t="str">
        <f aca="false">INDEX(Students!$C$2:$C$601,MATCH(B2844,Students!$A$2:$A$601,0))</f>
        <v>Batch 2026</v>
      </c>
      <c r="K2844" s="21" t="str">
        <f aca="false">INDEX(Students!$D$2:$D$601,MATCH(B2844,Students!$A$2:$A$601,0))</f>
        <v>Data Analytics</v>
      </c>
      <c r="L2844" s="21" t="str">
        <f aca="false">INDEX(Companies!$C$2:$C$31,MATCH(C2844,Companies!$A$2:$A$31,0))</f>
        <v>Healthtech</v>
      </c>
      <c r="M2844" s="21" t="str">
        <f aca="false">INDEX(Companies!$D$2:$D$31,MATCH(C2844,Companies!$A$2:$A$31,0))</f>
        <v>Tier 3</v>
      </c>
      <c r="N2844" s="34" t="n">
        <f aca="false">MATCH(F2844,Assumptions!$K$4:$K$8,0)</f>
        <v>5</v>
      </c>
      <c r="O2844" s="21" t="str">
        <f aca="false">IF(H2844="Yes",MONTH(I2844),"")</f>
        <v/>
      </c>
      <c r="P2844" s="21" t="str">
        <f aca="false">IF(H2844="Yes",B2844,"")</f>
        <v/>
      </c>
    </row>
    <row r="2845" customFormat="false" ht="15" hidden="false" customHeight="false" outlineLevel="0" collapsed="false">
      <c r="A2845" s="21" t="s">
        <v>4060</v>
      </c>
      <c r="B2845" s="21" t="s">
        <v>847</v>
      </c>
      <c r="C2845" s="21" t="s">
        <v>1208</v>
      </c>
      <c r="D2845" s="21" t="s">
        <v>1188</v>
      </c>
      <c r="E2845" s="33" t="n">
        <v>46024</v>
      </c>
      <c r="F2845" s="21" t="s">
        <v>1175</v>
      </c>
      <c r="G2845" s="32"/>
      <c r="H2845" s="21"/>
      <c r="I2845" s="33"/>
      <c r="J2845" s="21" t="str">
        <f aca="false">INDEX(Students!$C$2:$C$601,MATCH(B2845,Students!$A$2:$A$601,0))</f>
        <v>Batch 2026</v>
      </c>
      <c r="K2845" s="21" t="str">
        <f aca="false">INDEX(Students!$D$2:$D$601,MATCH(B2845,Students!$A$2:$A$601,0))</f>
        <v>Data Analytics</v>
      </c>
      <c r="L2845" s="21" t="str">
        <f aca="false">INDEX(Companies!$C$2:$C$31,MATCH(C2845,Companies!$A$2:$A$31,0))</f>
        <v>E-commerce</v>
      </c>
      <c r="M2845" s="21" t="str">
        <f aca="false">INDEX(Companies!$D$2:$D$31,MATCH(C2845,Companies!$A$2:$A$31,0))</f>
        <v>Tier 1</v>
      </c>
      <c r="N2845" s="34" t="n">
        <f aca="false">MATCH(F2845,Assumptions!$K$4:$K$8,0)</f>
        <v>1</v>
      </c>
      <c r="O2845" s="21" t="str">
        <f aca="false">IF(H2845="Yes",MONTH(I2845),"")</f>
        <v/>
      </c>
      <c r="P2845" s="21" t="str">
        <f aca="false">IF(H2845="Yes",B2845,"")</f>
        <v/>
      </c>
    </row>
    <row r="2846" customFormat="false" ht="15" hidden="false" customHeight="false" outlineLevel="0" collapsed="false">
      <c r="A2846" s="21" t="s">
        <v>4061</v>
      </c>
      <c r="B2846" s="21" t="s">
        <v>849</v>
      </c>
      <c r="C2846" s="21" t="s">
        <v>1255</v>
      </c>
      <c r="D2846" s="21" t="s">
        <v>1194</v>
      </c>
      <c r="E2846" s="33" t="n">
        <v>46024</v>
      </c>
      <c r="F2846" s="21" t="s">
        <v>1178</v>
      </c>
      <c r="G2846" s="32"/>
      <c r="H2846" s="21"/>
      <c r="I2846" s="33"/>
      <c r="J2846" s="21" t="str">
        <f aca="false">INDEX(Students!$C$2:$C$601,MATCH(B2846,Students!$A$2:$A$601,0))</f>
        <v>Batch 2026</v>
      </c>
      <c r="K2846" s="21" t="str">
        <f aca="false">INDEX(Students!$D$2:$D$601,MATCH(B2846,Students!$A$2:$A$601,0))</f>
        <v>Data Science &amp; ML</v>
      </c>
      <c r="L2846" s="21" t="str">
        <f aca="false">INDEX(Companies!$C$2:$C$31,MATCH(C2846,Companies!$A$2:$A$31,0))</f>
        <v>IT Services</v>
      </c>
      <c r="M2846" s="21" t="str">
        <f aca="false">INDEX(Companies!$D$2:$D$31,MATCH(C2846,Companies!$A$2:$A$31,0))</f>
        <v>Tier 3</v>
      </c>
      <c r="N2846" s="34" t="n">
        <f aca="false">MATCH(F2846,Assumptions!$K$4:$K$8,0)</f>
        <v>2</v>
      </c>
      <c r="O2846" s="21" t="str">
        <f aca="false">IF(H2846="Yes",MONTH(I2846),"")</f>
        <v/>
      </c>
      <c r="P2846" s="21" t="str">
        <f aca="false">IF(H2846="Yes",B2846,"")</f>
        <v/>
      </c>
    </row>
    <row r="2847" customFormat="false" ht="15" hidden="false" customHeight="false" outlineLevel="0" collapsed="false">
      <c r="A2847" s="21" t="s">
        <v>4062</v>
      </c>
      <c r="B2847" s="21" t="s">
        <v>819</v>
      </c>
      <c r="C2847" s="21" t="s">
        <v>1239</v>
      </c>
      <c r="D2847" s="21" t="s">
        <v>1184</v>
      </c>
      <c r="E2847" s="33" t="n">
        <v>46024</v>
      </c>
      <c r="F2847" s="21" t="s">
        <v>1185</v>
      </c>
      <c r="G2847" s="32" t="n">
        <v>6</v>
      </c>
      <c r="H2847" s="21" t="s">
        <v>113</v>
      </c>
      <c r="I2847" s="33" t="n">
        <v>46057</v>
      </c>
      <c r="J2847" s="21" t="str">
        <f aca="false">INDEX(Students!$C$2:$C$601,MATCH(B2847,Students!$A$2:$A$601,0))</f>
        <v>Batch 2026</v>
      </c>
      <c r="K2847" s="21" t="str">
        <f aca="false">INDEX(Students!$D$2:$D$601,MATCH(B2847,Students!$A$2:$A$601,0))</f>
        <v>DSA with Java</v>
      </c>
      <c r="L2847" s="21" t="str">
        <f aca="false">INDEX(Companies!$C$2:$C$31,MATCH(C2847,Companies!$A$2:$A$31,0))</f>
        <v>E-commerce</v>
      </c>
      <c r="M2847" s="21" t="str">
        <f aca="false">INDEX(Companies!$D$2:$D$31,MATCH(C2847,Companies!$A$2:$A$31,0))</f>
        <v>Tier 3</v>
      </c>
      <c r="N2847" s="34" t="n">
        <f aca="false">MATCH(F2847,Assumptions!$K$4:$K$8,0)</f>
        <v>5</v>
      </c>
      <c r="O2847" s="21" t="str">
        <f aca="false">IF(H2847="Yes",MONTH(I2847),"")</f>
        <v/>
      </c>
      <c r="P2847" s="21" t="str">
        <f aca="false">IF(H2847="Yes",B2847,"")</f>
        <v/>
      </c>
    </row>
    <row r="2848" customFormat="false" ht="15" hidden="false" customHeight="false" outlineLevel="0" collapsed="false">
      <c r="A2848" s="21" t="s">
        <v>4063</v>
      </c>
      <c r="B2848" s="21" t="s">
        <v>1015</v>
      </c>
      <c r="C2848" s="21" t="s">
        <v>1201</v>
      </c>
      <c r="D2848" s="21" t="s">
        <v>1188</v>
      </c>
      <c r="E2848" s="33" t="n">
        <v>46024</v>
      </c>
      <c r="F2848" s="21" t="s">
        <v>1175</v>
      </c>
      <c r="G2848" s="32"/>
      <c r="H2848" s="21"/>
      <c r="I2848" s="33"/>
      <c r="J2848" s="21" t="str">
        <f aca="false">INDEX(Students!$C$2:$C$601,MATCH(B2848,Students!$A$2:$A$601,0))</f>
        <v>Batch 2026</v>
      </c>
      <c r="K2848" s="21" t="str">
        <f aca="false">INDEX(Students!$D$2:$D$601,MATCH(B2848,Students!$A$2:$A$601,0))</f>
        <v>Data Analytics</v>
      </c>
      <c r="L2848" s="21" t="str">
        <f aca="false">INDEX(Companies!$C$2:$C$31,MATCH(C2848,Companies!$A$2:$A$31,0))</f>
        <v>IT Services</v>
      </c>
      <c r="M2848" s="21" t="str">
        <f aca="false">INDEX(Companies!$D$2:$D$31,MATCH(C2848,Companies!$A$2:$A$31,0))</f>
        <v>Tier 3</v>
      </c>
      <c r="N2848" s="34" t="n">
        <f aca="false">MATCH(F2848,Assumptions!$K$4:$K$8,0)</f>
        <v>1</v>
      </c>
      <c r="O2848" s="21" t="str">
        <f aca="false">IF(H2848="Yes",MONTH(I2848),"")</f>
        <v/>
      </c>
      <c r="P2848" s="21" t="str">
        <f aca="false">IF(H2848="Yes",B2848,"")</f>
        <v/>
      </c>
    </row>
    <row r="2849" customFormat="false" ht="15" hidden="false" customHeight="false" outlineLevel="0" collapsed="false">
      <c r="A2849" s="21" t="s">
        <v>4064</v>
      </c>
      <c r="B2849" s="21" t="s">
        <v>917</v>
      </c>
      <c r="C2849" s="21" t="s">
        <v>1205</v>
      </c>
      <c r="D2849" s="21" t="s">
        <v>1181</v>
      </c>
      <c r="E2849" s="33" t="n">
        <v>46024</v>
      </c>
      <c r="F2849" s="21" t="s">
        <v>1185</v>
      </c>
      <c r="G2849" s="32" t="n">
        <v>5.6</v>
      </c>
      <c r="H2849" s="21" t="s">
        <v>120</v>
      </c>
      <c r="I2849" s="33" t="n">
        <v>46068</v>
      </c>
      <c r="J2849" s="21" t="str">
        <f aca="false">INDEX(Students!$C$2:$C$601,MATCH(B2849,Students!$A$2:$A$601,0))</f>
        <v>Batch 2026</v>
      </c>
      <c r="K2849" s="21" t="str">
        <f aca="false">INDEX(Students!$D$2:$D$601,MATCH(B2849,Students!$A$2:$A$601,0))</f>
        <v>Full Stack Development</v>
      </c>
      <c r="L2849" s="21" t="str">
        <f aca="false">INDEX(Companies!$C$2:$C$31,MATCH(C2849,Companies!$A$2:$A$31,0))</f>
        <v>Healthtech</v>
      </c>
      <c r="M2849" s="21" t="str">
        <f aca="false">INDEX(Companies!$D$2:$D$31,MATCH(C2849,Companies!$A$2:$A$31,0))</f>
        <v>Tier 3</v>
      </c>
      <c r="N2849" s="34" t="n">
        <f aca="false">MATCH(F2849,Assumptions!$K$4:$K$8,0)</f>
        <v>5</v>
      </c>
      <c r="O2849" s="21" t="n">
        <f aca="false">IF(H2849="Yes",MONTH(I2849),"")</f>
        <v>2</v>
      </c>
      <c r="P2849" s="21" t="str">
        <f aca="false">IF(H2849="Yes",B2849,"")</f>
        <v>S0448</v>
      </c>
    </row>
    <row r="2850" customFormat="false" ht="15" hidden="false" customHeight="false" outlineLevel="0" collapsed="false">
      <c r="A2850" s="21" t="s">
        <v>4065</v>
      </c>
      <c r="B2850" s="21" t="s">
        <v>886</v>
      </c>
      <c r="C2850" s="21" t="s">
        <v>1255</v>
      </c>
      <c r="D2850" s="21" t="s">
        <v>1209</v>
      </c>
      <c r="E2850" s="33" t="n">
        <v>46024</v>
      </c>
      <c r="F2850" s="21" t="s">
        <v>1178</v>
      </c>
      <c r="G2850" s="32"/>
      <c r="H2850" s="21"/>
      <c r="I2850" s="33"/>
      <c r="J2850" s="21" t="str">
        <f aca="false">INDEX(Students!$C$2:$C$601,MATCH(B2850,Students!$A$2:$A$601,0))</f>
        <v>Batch 2026</v>
      </c>
      <c r="K2850" s="21" t="str">
        <f aca="false">INDEX(Students!$D$2:$D$601,MATCH(B2850,Students!$A$2:$A$601,0))</f>
        <v>Data Analytics</v>
      </c>
      <c r="L2850" s="21" t="str">
        <f aca="false">INDEX(Companies!$C$2:$C$31,MATCH(C2850,Companies!$A$2:$A$31,0))</f>
        <v>IT Services</v>
      </c>
      <c r="M2850" s="21" t="str">
        <f aca="false">INDEX(Companies!$D$2:$D$31,MATCH(C2850,Companies!$A$2:$A$31,0))</f>
        <v>Tier 3</v>
      </c>
      <c r="N2850" s="34" t="n">
        <f aca="false">MATCH(F2850,Assumptions!$K$4:$K$8,0)</f>
        <v>2</v>
      </c>
      <c r="O2850" s="21" t="str">
        <f aca="false">IF(H2850="Yes",MONTH(I2850),"")</f>
        <v/>
      </c>
      <c r="P2850" s="21" t="str">
        <f aca="false">IF(H2850="Yes",B2850,"")</f>
        <v/>
      </c>
    </row>
    <row r="2851" customFormat="false" ht="15" hidden="false" customHeight="false" outlineLevel="0" collapsed="false">
      <c r="A2851" s="21" t="s">
        <v>4066</v>
      </c>
      <c r="B2851" s="21" t="s">
        <v>864</v>
      </c>
      <c r="C2851" s="21" t="s">
        <v>1309</v>
      </c>
      <c r="D2851" s="21" t="s">
        <v>1209</v>
      </c>
      <c r="E2851" s="33" t="n">
        <v>46025</v>
      </c>
      <c r="F2851" s="21" t="s">
        <v>1178</v>
      </c>
      <c r="G2851" s="32"/>
      <c r="H2851" s="21"/>
      <c r="I2851" s="33"/>
      <c r="J2851" s="21" t="str">
        <f aca="false">INDEX(Students!$C$2:$C$601,MATCH(B2851,Students!$A$2:$A$601,0))</f>
        <v>Batch 2026</v>
      </c>
      <c r="K2851" s="21" t="str">
        <f aca="false">INDEX(Students!$D$2:$D$601,MATCH(B2851,Students!$A$2:$A$601,0))</f>
        <v>Data Analytics</v>
      </c>
      <c r="L2851" s="21" t="str">
        <f aca="false">INDEX(Companies!$C$2:$C$31,MATCH(C2851,Companies!$A$2:$A$31,0))</f>
        <v>EdTech</v>
      </c>
      <c r="M2851" s="21" t="str">
        <f aca="false">INDEX(Companies!$D$2:$D$31,MATCH(C2851,Companies!$A$2:$A$31,0))</f>
        <v>Tier 2</v>
      </c>
      <c r="N2851" s="34" t="n">
        <f aca="false">MATCH(F2851,Assumptions!$K$4:$K$8,0)</f>
        <v>2</v>
      </c>
      <c r="O2851" s="21" t="str">
        <f aca="false">IF(H2851="Yes",MONTH(I2851),"")</f>
        <v/>
      </c>
      <c r="P2851" s="21" t="str">
        <f aca="false">IF(H2851="Yes",B2851,"")</f>
        <v/>
      </c>
    </row>
    <row r="2852" customFormat="false" ht="15" hidden="false" customHeight="false" outlineLevel="0" collapsed="false">
      <c r="A2852" s="21" t="s">
        <v>4067</v>
      </c>
      <c r="B2852" s="21" t="s">
        <v>1078</v>
      </c>
      <c r="C2852" s="21" t="s">
        <v>1234</v>
      </c>
      <c r="D2852" s="21" t="s">
        <v>1184</v>
      </c>
      <c r="E2852" s="33" t="n">
        <v>46025</v>
      </c>
      <c r="F2852" s="21" t="s">
        <v>1185</v>
      </c>
      <c r="G2852" s="32" t="n">
        <v>7.8</v>
      </c>
      <c r="H2852" s="21" t="s">
        <v>113</v>
      </c>
      <c r="I2852" s="33" t="n">
        <v>46055</v>
      </c>
      <c r="J2852" s="21" t="str">
        <f aca="false">INDEX(Students!$C$2:$C$601,MATCH(B2852,Students!$A$2:$A$601,0))</f>
        <v>Batch 2026</v>
      </c>
      <c r="K2852" s="21" t="str">
        <f aca="false">INDEX(Students!$D$2:$D$601,MATCH(B2852,Students!$A$2:$A$601,0))</f>
        <v>DSA with Java</v>
      </c>
      <c r="L2852" s="21" t="str">
        <f aca="false">INDEX(Companies!$C$2:$C$31,MATCH(C2852,Companies!$A$2:$A$31,0))</f>
        <v>EdTech</v>
      </c>
      <c r="M2852" s="21" t="str">
        <f aca="false">INDEX(Companies!$D$2:$D$31,MATCH(C2852,Companies!$A$2:$A$31,0))</f>
        <v>Tier 3</v>
      </c>
      <c r="N2852" s="34" t="n">
        <f aca="false">MATCH(F2852,Assumptions!$K$4:$K$8,0)</f>
        <v>5</v>
      </c>
      <c r="O2852" s="21" t="str">
        <f aca="false">IF(H2852="Yes",MONTH(I2852),"")</f>
        <v/>
      </c>
      <c r="P2852" s="21" t="str">
        <f aca="false">IF(H2852="Yes",B2852,"")</f>
        <v/>
      </c>
    </row>
    <row r="2853" customFormat="false" ht="15" hidden="false" customHeight="false" outlineLevel="0" collapsed="false">
      <c r="A2853" s="21" t="s">
        <v>4068</v>
      </c>
      <c r="B2853" s="21" t="s">
        <v>829</v>
      </c>
      <c r="C2853" s="21" t="s">
        <v>1205</v>
      </c>
      <c r="D2853" s="21" t="s">
        <v>1191</v>
      </c>
      <c r="E2853" s="33" t="n">
        <v>46025</v>
      </c>
      <c r="F2853" s="21" t="s">
        <v>1185</v>
      </c>
      <c r="G2853" s="32" t="n">
        <v>7.8</v>
      </c>
      <c r="H2853" s="21" t="s">
        <v>113</v>
      </c>
      <c r="I2853" s="33" t="n">
        <v>46056</v>
      </c>
      <c r="J2853" s="21" t="str">
        <f aca="false">INDEX(Students!$C$2:$C$601,MATCH(B2853,Students!$A$2:$A$601,0))</f>
        <v>Batch 2026</v>
      </c>
      <c r="K2853" s="21" t="str">
        <f aca="false">INDEX(Students!$D$2:$D$601,MATCH(B2853,Students!$A$2:$A$601,0))</f>
        <v>DSA with Java</v>
      </c>
      <c r="L2853" s="21" t="str">
        <f aca="false">INDEX(Companies!$C$2:$C$31,MATCH(C2853,Companies!$A$2:$A$31,0))</f>
        <v>Healthtech</v>
      </c>
      <c r="M2853" s="21" t="str">
        <f aca="false">INDEX(Companies!$D$2:$D$31,MATCH(C2853,Companies!$A$2:$A$31,0))</f>
        <v>Tier 3</v>
      </c>
      <c r="N2853" s="34" t="n">
        <f aca="false">MATCH(F2853,Assumptions!$K$4:$K$8,0)</f>
        <v>5</v>
      </c>
      <c r="O2853" s="21" t="str">
        <f aca="false">IF(H2853="Yes",MONTH(I2853),"")</f>
        <v/>
      </c>
      <c r="P2853" s="21" t="str">
        <f aca="false">IF(H2853="Yes",B2853,"")</f>
        <v/>
      </c>
    </row>
    <row r="2854" customFormat="false" ht="15" hidden="false" customHeight="false" outlineLevel="0" collapsed="false">
      <c r="A2854" s="21" t="s">
        <v>4069</v>
      </c>
      <c r="B2854" s="21" t="s">
        <v>1004</v>
      </c>
      <c r="C2854" s="21" t="s">
        <v>1177</v>
      </c>
      <c r="D2854" s="21" t="s">
        <v>1181</v>
      </c>
      <c r="E2854" s="33" t="n">
        <v>46025</v>
      </c>
      <c r="F2854" s="21" t="s">
        <v>1175</v>
      </c>
      <c r="G2854" s="32"/>
      <c r="H2854" s="21"/>
      <c r="I2854" s="33"/>
      <c r="J2854" s="21" t="str">
        <f aca="false">INDEX(Students!$C$2:$C$601,MATCH(B2854,Students!$A$2:$A$601,0))</f>
        <v>Batch 2026</v>
      </c>
      <c r="K2854" s="21" t="str">
        <f aca="false">INDEX(Students!$D$2:$D$601,MATCH(B2854,Students!$A$2:$A$601,0))</f>
        <v>Full Stack Development</v>
      </c>
      <c r="L2854" s="21" t="str">
        <f aca="false">INDEX(Companies!$C$2:$C$31,MATCH(C2854,Companies!$A$2:$A$31,0))</f>
        <v>IT Services</v>
      </c>
      <c r="M2854" s="21" t="str">
        <f aca="false">INDEX(Companies!$D$2:$D$31,MATCH(C2854,Companies!$A$2:$A$31,0))</f>
        <v>Tier 3</v>
      </c>
      <c r="N2854" s="34" t="n">
        <f aca="false">MATCH(F2854,Assumptions!$K$4:$K$8,0)</f>
        <v>1</v>
      </c>
      <c r="O2854" s="21" t="str">
        <f aca="false">IF(H2854="Yes",MONTH(I2854),"")</f>
        <v/>
      </c>
      <c r="P2854" s="21" t="str">
        <f aca="false">IF(H2854="Yes",B2854,"")</f>
        <v/>
      </c>
    </row>
    <row r="2855" customFormat="false" ht="15" hidden="false" customHeight="false" outlineLevel="0" collapsed="false">
      <c r="A2855" s="21" t="s">
        <v>4070</v>
      </c>
      <c r="B2855" s="21" t="s">
        <v>935</v>
      </c>
      <c r="C2855" s="21" t="s">
        <v>1255</v>
      </c>
      <c r="D2855" s="21" t="s">
        <v>1209</v>
      </c>
      <c r="E2855" s="33" t="n">
        <v>46025</v>
      </c>
      <c r="F2855" s="21" t="s">
        <v>1178</v>
      </c>
      <c r="G2855" s="32"/>
      <c r="H2855" s="21"/>
      <c r="I2855" s="33"/>
      <c r="J2855" s="21" t="str">
        <f aca="false">INDEX(Students!$C$2:$C$601,MATCH(B2855,Students!$A$2:$A$601,0))</f>
        <v>Batch 2026</v>
      </c>
      <c r="K2855" s="21" t="str">
        <f aca="false">INDEX(Students!$D$2:$D$601,MATCH(B2855,Students!$A$2:$A$601,0))</f>
        <v>Data Analytics</v>
      </c>
      <c r="L2855" s="21" t="str">
        <f aca="false">INDEX(Companies!$C$2:$C$31,MATCH(C2855,Companies!$A$2:$A$31,0))</f>
        <v>IT Services</v>
      </c>
      <c r="M2855" s="21" t="str">
        <f aca="false">INDEX(Companies!$D$2:$D$31,MATCH(C2855,Companies!$A$2:$A$31,0))</f>
        <v>Tier 3</v>
      </c>
      <c r="N2855" s="34" t="n">
        <f aca="false">MATCH(F2855,Assumptions!$K$4:$K$8,0)</f>
        <v>2</v>
      </c>
      <c r="O2855" s="21" t="str">
        <f aca="false">IF(H2855="Yes",MONTH(I2855),"")</f>
        <v/>
      </c>
      <c r="P2855" s="21" t="str">
        <f aca="false">IF(H2855="Yes",B2855,"")</f>
        <v/>
      </c>
    </row>
    <row r="2856" customFormat="false" ht="15" hidden="false" customHeight="false" outlineLevel="0" collapsed="false">
      <c r="A2856" s="21" t="s">
        <v>4071</v>
      </c>
      <c r="B2856" s="21" t="s">
        <v>1040</v>
      </c>
      <c r="C2856" s="21" t="s">
        <v>1266</v>
      </c>
      <c r="D2856" s="21" t="s">
        <v>1191</v>
      </c>
      <c r="E2856" s="33" t="n">
        <v>46025</v>
      </c>
      <c r="F2856" s="21" t="s">
        <v>1175</v>
      </c>
      <c r="G2856" s="32"/>
      <c r="H2856" s="21"/>
      <c r="I2856" s="33"/>
      <c r="J2856" s="21" t="str">
        <f aca="false">INDEX(Students!$C$2:$C$601,MATCH(B2856,Students!$A$2:$A$601,0))</f>
        <v>Batch 2026</v>
      </c>
      <c r="K2856" s="21" t="str">
        <f aca="false">INDEX(Students!$D$2:$D$601,MATCH(B2856,Students!$A$2:$A$601,0))</f>
        <v>DSA with Java</v>
      </c>
      <c r="L2856" s="21" t="str">
        <f aca="false">INDEX(Companies!$C$2:$C$31,MATCH(C2856,Companies!$A$2:$A$31,0))</f>
        <v>IT Services</v>
      </c>
      <c r="M2856" s="21" t="str">
        <f aca="false">INDEX(Companies!$D$2:$D$31,MATCH(C2856,Companies!$A$2:$A$31,0))</f>
        <v>Tier 3</v>
      </c>
      <c r="N2856" s="34" t="n">
        <f aca="false">MATCH(F2856,Assumptions!$K$4:$K$8,0)</f>
        <v>1</v>
      </c>
      <c r="O2856" s="21" t="str">
        <f aca="false">IF(H2856="Yes",MONTH(I2856),"")</f>
        <v/>
      </c>
      <c r="P2856" s="21" t="str">
        <f aca="false">IF(H2856="Yes",B2856,"")</f>
        <v/>
      </c>
    </row>
    <row r="2857" customFormat="false" ht="15" hidden="false" customHeight="false" outlineLevel="0" collapsed="false">
      <c r="A2857" s="21" t="s">
        <v>4072</v>
      </c>
      <c r="B2857" s="21" t="s">
        <v>1098</v>
      </c>
      <c r="C2857" s="21" t="s">
        <v>1239</v>
      </c>
      <c r="D2857" s="21" t="s">
        <v>1191</v>
      </c>
      <c r="E2857" s="33" t="n">
        <v>46026</v>
      </c>
      <c r="F2857" s="21" t="s">
        <v>1218</v>
      </c>
      <c r="G2857" s="32"/>
      <c r="H2857" s="21"/>
      <c r="I2857" s="33"/>
      <c r="J2857" s="21" t="str">
        <f aca="false">INDEX(Students!$C$2:$C$601,MATCH(B2857,Students!$A$2:$A$601,0))</f>
        <v>Batch 2026</v>
      </c>
      <c r="K2857" s="21" t="str">
        <f aca="false">INDEX(Students!$D$2:$D$601,MATCH(B2857,Students!$A$2:$A$601,0))</f>
        <v>DSA with Java</v>
      </c>
      <c r="L2857" s="21" t="str">
        <f aca="false">INDEX(Companies!$C$2:$C$31,MATCH(C2857,Companies!$A$2:$A$31,0))</f>
        <v>E-commerce</v>
      </c>
      <c r="M2857" s="21" t="str">
        <f aca="false">INDEX(Companies!$D$2:$D$31,MATCH(C2857,Companies!$A$2:$A$31,0))</f>
        <v>Tier 3</v>
      </c>
      <c r="N2857" s="34" t="n">
        <f aca="false">MATCH(F2857,Assumptions!$K$4:$K$8,0)</f>
        <v>4</v>
      </c>
      <c r="O2857" s="21" t="str">
        <f aca="false">IF(H2857="Yes",MONTH(I2857),"")</f>
        <v/>
      </c>
      <c r="P2857" s="21" t="str">
        <f aca="false">IF(H2857="Yes",B2857,"")</f>
        <v/>
      </c>
    </row>
    <row r="2858" customFormat="false" ht="15" hidden="false" customHeight="false" outlineLevel="0" collapsed="false">
      <c r="A2858" s="21" t="s">
        <v>4073</v>
      </c>
      <c r="B2858" s="21" t="s">
        <v>1152</v>
      </c>
      <c r="C2858" s="21" t="s">
        <v>1208</v>
      </c>
      <c r="D2858" s="21" t="s">
        <v>1184</v>
      </c>
      <c r="E2858" s="33" t="n">
        <v>46026</v>
      </c>
      <c r="F2858" s="21" t="s">
        <v>1218</v>
      </c>
      <c r="G2858" s="32"/>
      <c r="H2858" s="21"/>
      <c r="I2858" s="33"/>
      <c r="J2858" s="21" t="str">
        <f aca="false">INDEX(Students!$C$2:$C$601,MATCH(B2858,Students!$A$2:$A$601,0))</f>
        <v>Batch 2026</v>
      </c>
      <c r="K2858" s="21" t="str">
        <f aca="false">INDEX(Students!$D$2:$D$601,MATCH(B2858,Students!$A$2:$A$601,0))</f>
        <v>DSA with Java</v>
      </c>
      <c r="L2858" s="21" t="str">
        <f aca="false">INDEX(Companies!$C$2:$C$31,MATCH(C2858,Companies!$A$2:$A$31,0))</f>
        <v>E-commerce</v>
      </c>
      <c r="M2858" s="21" t="str">
        <f aca="false">INDEX(Companies!$D$2:$D$31,MATCH(C2858,Companies!$A$2:$A$31,0))</f>
        <v>Tier 1</v>
      </c>
      <c r="N2858" s="34" t="n">
        <f aca="false">MATCH(F2858,Assumptions!$K$4:$K$8,0)</f>
        <v>4</v>
      </c>
      <c r="O2858" s="21" t="str">
        <f aca="false">IF(H2858="Yes",MONTH(I2858),"")</f>
        <v/>
      </c>
      <c r="P2858" s="21" t="str">
        <f aca="false">IF(H2858="Yes",B2858,"")</f>
        <v/>
      </c>
    </row>
    <row r="2859" customFormat="false" ht="15" hidden="false" customHeight="false" outlineLevel="0" collapsed="false">
      <c r="A2859" s="21" t="s">
        <v>4074</v>
      </c>
      <c r="B2859" s="21" t="s">
        <v>829</v>
      </c>
      <c r="C2859" s="21" t="s">
        <v>1230</v>
      </c>
      <c r="D2859" s="21" t="s">
        <v>1191</v>
      </c>
      <c r="E2859" s="33" t="n">
        <v>46026</v>
      </c>
      <c r="F2859" s="21" t="s">
        <v>1185</v>
      </c>
      <c r="G2859" s="32" t="n">
        <v>6.6</v>
      </c>
      <c r="H2859" s="21" t="s">
        <v>113</v>
      </c>
      <c r="I2859" s="33" t="n">
        <v>46078</v>
      </c>
      <c r="J2859" s="21" t="str">
        <f aca="false">INDEX(Students!$C$2:$C$601,MATCH(B2859,Students!$A$2:$A$601,0))</f>
        <v>Batch 2026</v>
      </c>
      <c r="K2859" s="21" t="str">
        <f aca="false">INDEX(Students!$D$2:$D$601,MATCH(B2859,Students!$A$2:$A$601,0))</f>
        <v>DSA with Java</v>
      </c>
      <c r="L2859" s="21" t="str">
        <f aca="false">INDEX(Companies!$C$2:$C$31,MATCH(C2859,Companies!$A$2:$A$31,0))</f>
        <v>IT Services</v>
      </c>
      <c r="M2859" s="21" t="str">
        <f aca="false">INDEX(Companies!$D$2:$D$31,MATCH(C2859,Companies!$A$2:$A$31,0))</f>
        <v>Tier 3</v>
      </c>
      <c r="N2859" s="34" t="n">
        <f aca="false">MATCH(F2859,Assumptions!$K$4:$K$8,0)</f>
        <v>5</v>
      </c>
      <c r="O2859" s="21" t="str">
        <f aca="false">IF(H2859="Yes",MONTH(I2859),"")</f>
        <v/>
      </c>
      <c r="P2859" s="21" t="str">
        <f aca="false">IF(H2859="Yes",B2859,"")</f>
        <v/>
      </c>
    </row>
    <row r="2860" customFormat="false" ht="15" hidden="false" customHeight="false" outlineLevel="0" collapsed="false">
      <c r="A2860" s="21" t="s">
        <v>4075</v>
      </c>
      <c r="B2860" s="21" t="s">
        <v>1061</v>
      </c>
      <c r="C2860" s="21" t="s">
        <v>1225</v>
      </c>
      <c r="D2860" s="21" t="s">
        <v>1174</v>
      </c>
      <c r="E2860" s="33" t="n">
        <v>46026</v>
      </c>
      <c r="F2860" s="21" t="s">
        <v>1185</v>
      </c>
      <c r="G2860" s="32" t="n">
        <v>12.7</v>
      </c>
      <c r="H2860" s="21" t="s">
        <v>113</v>
      </c>
      <c r="I2860" s="33" t="n">
        <v>46067</v>
      </c>
      <c r="J2860" s="21" t="str">
        <f aca="false">INDEX(Students!$C$2:$C$601,MATCH(B2860,Students!$A$2:$A$601,0))</f>
        <v>Batch 2026</v>
      </c>
      <c r="K2860" s="21" t="str">
        <f aca="false">INDEX(Students!$D$2:$D$601,MATCH(B2860,Students!$A$2:$A$601,0))</f>
        <v>Full Stack Development</v>
      </c>
      <c r="L2860" s="21" t="str">
        <f aca="false">INDEX(Companies!$C$2:$C$31,MATCH(C2860,Companies!$A$2:$A$31,0))</f>
        <v>EdTech</v>
      </c>
      <c r="M2860" s="21" t="str">
        <f aca="false">INDEX(Companies!$D$2:$D$31,MATCH(C2860,Companies!$A$2:$A$31,0))</f>
        <v>Tier 2</v>
      </c>
      <c r="N2860" s="34" t="n">
        <f aca="false">MATCH(F2860,Assumptions!$K$4:$K$8,0)</f>
        <v>5</v>
      </c>
      <c r="O2860" s="21" t="str">
        <f aca="false">IF(H2860="Yes",MONTH(I2860),"")</f>
        <v/>
      </c>
      <c r="P2860" s="21" t="str">
        <f aca="false">IF(H2860="Yes",B2860,"")</f>
        <v/>
      </c>
    </row>
    <row r="2861" customFormat="false" ht="15" hidden="false" customHeight="false" outlineLevel="0" collapsed="false">
      <c r="A2861" s="21" t="s">
        <v>4076</v>
      </c>
      <c r="B2861" s="21" t="s">
        <v>1007</v>
      </c>
      <c r="C2861" s="21" t="s">
        <v>1199</v>
      </c>
      <c r="D2861" s="21" t="s">
        <v>1174</v>
      </c>
      <c r="E2861" s="33" t="n">
        <v>46026</v>
      </c>
      <c r="F2861" s="21" t="s">
        <v>1178</v>
      </c>
      <c r="G2861" s="32"/>
      <c r="H2861" s="21"/>
      <c r="I2861" s="33"/>
      <c r="J2861" s="21" t="str">
        <f aca="false">INDEX(Students!$C$2:$C$601,MATCH(B2861,Students!$A$2:$A$601,0))</f>
        <v>Batch 2026</v>
      </c>
      <c r="K2861" s="21" t="str">
        <f aca="false">INDEX(Students!$D$2:$D$601,MATCH(B2861,Students!$A$2:$A$601,0))</f>
        <v>Full Stack Development</v>
      </c>
      <c r="L2861" s="21" t="str">
        <f aca="false">INDEX(Companies!$C$2:$C$31,MATCH(C2861,Companies!$A$2:$A$31,0))</f>
        <v>E-commerce</v>
      </c>
      <c r="M2861" s="21" t="str">
        <f aca="false">INDEX(Companies!$D$2:$D$31,MATCH(C2861,Companies!$A$2:$A$31,0))</f>
        <v>Tier 2</v>
      </c>
      <c r="N2861" s="34" t="n">
        <f aca="false">MATCH(F2861,Assumptions!$K$4:$K$8,0)</f>
        <v>2</v>
      </c>
      <c r="O2861" s="21" t="str">
        <f aca="false">IF(H2861="Yes",MONTH(I2861),"")</f>
        <v/>
      </c>
      <c r="P2861" s="21" t="str">
        <f aca="false">IF(H2861="Yes",B2861,"")</f>
        <v/>
      </c>
    </row>
    <row r="2862" customFormat="false" ht="15" hidden="false" customHeight="false" outlineLevel="0" collapsed="false">
      <c r="A2862" s="21" t="s">
        <v>4077</v>
      </c>
      <c r="B2862" s="21" t="s">
        <v>1097</v>
      </c>
      <c r="C2862" s="21" t="s">
        <v>1196</v>
      </c>
      <c r="D2862" s="21" t="s">
        <v>1184</v>
      </c>
      <c r="E2862" s="33" t="n">
        <v>46026</v>
      </c>
      <c r="F2862" s="21" t="s">
        <v>1185</v>
      </c>
      <c r="G2862" s="32" t="n">
        <v>6.8</v>
      </c>
      <c r="H2862" s="21" t="s">
        <v>120</v>
      </c>
      <c r="I2862" s="33" t="n">
        <v>46062</v>
      </c>
      <c r="J2862" s="21" t="str">
        <f aca="false">INDEX(Students!$C$2:$C$601,MATCH(B2862,Students!$A$2:$A$601,0))</f>
        <v>Batch 2026</v>
      </c>
      <c r="K2862" s="21" t="str">
        <f aca="false">INDEX(Students!$D$2:$D$601,MATCH(B2862,Students!$A$2:$A$601,0))</f>
        <v>DSA with Java</v>
      </c>
      <c r="L2862" s="21" t="str">
        <f aca="false">INDEX(Companies!$C$2:$C$31,MATCH(C2862,Companies!$A$2:$A$31,0))</f>
        <v>IT Services</v>
      </c>
      <c r="M2862" s="21" t="str">
        <f aca="false">INDEX(Companies!$D$2:$D$31,MATCH(C2862,Companies!$A$2:$A$31,0))</f>
        <v>Tier 3</v>
      </c>
      <c r="N2862" s="34" t="n">
        <f aca="false">MATCH(F2862,Assumptions!$K$4:$K$8,0)</f>
        <v>5</v>
      </c>
      <c r="O2862" s="21" t="n">
        <f aca="false">IF(H2862="Yes",MONTH(I2862),"")</f>
        <v>2</v>
      </c>
      <c r="P2862" s="21" t="str">
        <f aca="false">IF(H2862="Yes",B2862,"")</f>
        <v>S0560</v>
      </c>
    </row>
    <row r="2863" customFormat="false" ht="15" hidden="false" customHeight="false" outlineLevel="0" collapsed="false">
      <c r="A2863" s="21" t="s">
        <v>4078</v>
      </c>
      <c r="B2863" s="21" t="s">
        <v>1058</v>
      </c>
      <c r="C2863" s="21" t="s">
        <v>1196</v>
      </c>
      <c r="D2863" s="21" t="s">
        <v>1174</v>
      </c>
      <c r="E2863" s="33" t="n">
        <v>46027</v>
      </c>
      <c r="F2863" s="21" t="s">
        <v>1178</v>
      </c>
      <c r="G2863" s="32"/>
      <c r="H2863" s="21"/>
      <c r="I2863" s="33"/>
      <c r="J2863" s="21" t="str">
        <f aca="false">INDEX(Students!$C$2:$C$601,MATCH(B2863,Students!$A$2:$A$601,0))</f>
        <v>Batch 2026</v>
      </c>
      <c r="K2863" s="21" t="str">
        <f aca="false">INDEX(Students!$D$2:$D$601,MATCH(B2863,Students!$A$2:$A$601,0))</f>
        <v>Full Stack Development</v>
      </c>
      <c r="L2863" s="21" t="str">
        <f aca="false">INDEX(Companies!$C$2:$C$31,MATCH(C2863,Companies!$A$2:$A$31,0))</f>
        <v>IT Services</v>
      </c>
      <c r="M2863" s="21" t="str">
        <f aca="false">INDEX(Companies!$D$2:$D$31,MATCH(C2863,Companies!$A$2:$A$31,0))</f>
        <v>Tier 3</v>
      </c>
      <c r="N2863" s="34" t="n">
        <f aca="false">MATCH(F2863,Assumptions!$K$4:$K$8,0)</f>
        <v>2</v>
      </c>
      <c r="O2863" s="21" t="str">
        <f aca="false">IF(H2863="Yes",MONTH(I2863),"")</f>
        <v/>
      </c>
      <c r="P2863" s="21" t="str">
        <f aca="false">IF(H2863="Yes",B2863,"")</f>
        <v/>
      </c>
    </row>
    <row r="2864" customFormat="false" ht="15" hidden="false" customHeight="false" outlineLevel="0" collapsed="false">
      <c r="A2864" s="21" t="s">
        <v>4079</v>
      </c>
      <c r="B2864" s="21" t="s">
        <v>861</v>
      </c>
      <c r="C2864" s="21" t="s">
        <v>1193</v>
      </c>
      <c r="D2864" s="21" t="s">
        <v>1184</v>
      </c>
      <c r="E2864" s="33" t="n">
        <v>46027</v>
      </c>
      <c r="F2864" s="21" t="s">
        <v>1197</v>
      </c>
      <c r="G2864" s="32"/>
      <c r="H2864" s="21"/>
      <c r="I2864" s="33"/>
      <c r="J2864" s="21" t="str">
        <f aca="false">INDEX(Students!$C$2:$C$601,MATCH(B2864,Students!$A$2:$A$601,0))</f>
        <v>Batch 2026</v>
      </c>
      <c r="K2864" s="21" t="str">
        <f aca="false">INDEX(Students!$D$2:$D$601,MATCH(B2864,Students!$A$2:$A$601,0))</f>
        <v>DSA with Java</v>
      </c>
      <c r="L2864" s="21" t="str">
        <f aca="false">INDEX(Companies!$C$2:$C$31,MATCH(C2864,Companies!$A$2:$A$31,0))</f>
        <v>Analytics &amp; Consulting</v>
      </c>
      <c r="M2864" s="21" t="str">
        <f aca="false">INDEX(Companies!$D$2:$D$31,MATCH(C2864,Companies!$A$2:$A$31,0))</f>
        <v>Tier 2</v>
      </c>
      <c r="N2864" s="34" t="n">
        <f aca="false">MATCH(F2864,Assumptions!$K$4:$K$8,0)</f>
        <v>3</v>
      </c>
      <c r="O2864" s="21" t="str">
        <f aca="false">IF(H2864="Yes",MONTH(I2864),"")</f>
        <v/>
      </c>
      <c r="P2864" s="21" t="str">
        <f aca="false">IF(H2864="Yes",B2864,"")</f>
        <v/>
      </c>
    </row>
    <row r="2865" customFormat="false" ht="15" hidden="false" customHeight="false" outlineLevel="0" collapsed="false">
      <c r="A2865" s="21" t="s">
        <v>4080</v>
      </c>
      <c r="B2865" s="21" t="s">
        <v>866</v>
      </c>
      <c r="C2865" s="21" t="s">
        <v>1234</v>
      </c>
      <c r="D2865" s="21" t="s">
        <v>1174</v>
      </c>
      <c r="E2865" s="33" t="n">
        <v>46027</v>
      </c>
      <c r="F2865" s="21" t="s">
        <v>1175</v>
      </c>
      <c r="G2865" s="32"/>
      <c r="H2865" s="21"/>
      <c r="I2865" s="33"/>
      <c r="J2865" s="21" t="str">
        <f aca="false">INDEX(Students!$C$2:$C$601,MATCH(B2865,Students!$A$2:$A$601,0))</f>
        <v>Batch 2026</v>
      </c>
      <c r="K2865" s="21" t="str">
        <f aca="false">INDEX(Students!$D$2:$D$601,MATCH(B2865,Students!$A$2:$A$601,0))</f>
        <v>Full Stack Development</v>
      </c>
      <c r="L2865" s="21" t="str">
        <f aca="false">INDEX(Companies!$C$2:$C$31,MATCH(C2865,Companies!$A$2:$A$31,0))</f>
        <v>EdTech</v>
      </c>
      <c r="M2865" s="21" t="str">
        <f aca="false">INDEX(Companies!$D$2:$D$31,MATCH(C2865,Companies!$A$2:$A$31,0))</f>
        <v>Tier 3</v>
      </c>
      <c r="N2865" s="34" t="n">
        <f aca="false">MATCH(F2865,Assumptions!$K$4:$K$8,0)</f>
        <v>1</v>
      </c>
      <c r="O2865" s="21" t="str">
        <f aca="false">IF(H2865="Yes",MONTH(I2865),"")</f>
        <v/>
      </c>
      <c r="P2865" s="21" t="str">
        <f aca="false">IF(H2865="Yes",B2865,"")</f>
        <v/>
      </c>
    </row>
    <row r="2866" customFormat="false" ht="15" hidden="false" customHeight="false" outlineLevel="0" collapsed="false">
      <c r="A2866" s="21" t="s">
        <v>4081</v>
      </c>
      <c r="B2866" s="21" t="s">
        <v>1011</v>
      </c>
      <c r="C2866" s="21" t="s">
        <v>1199</v>
      </c>
      <c r="D2866" s="21" t="s">
        <v>1174</v>
      </c>
      <c r="E2866" s="33" t="n">
        <v>46027</v>
      </c>
      <c r="F2866" s="21" t="s">
        <v>1178</v>
      </c>
      <c r="G2866" s="32"/>
      <c r="H2866" s="21"/>
      <c r="I2866" s="33"/>
      <c r="J2866" s="21" t="str">
        <f aca="false">INDEX(Students!$C$2:$C$601,MATCH(B2866,Students!$A$2:$A$601,0))</f>
        <v>Batch 2026</v>
      </c>
      <c r="K2866" s="21" t="str">
        <f aca="false">INDEX(Students!$D$2:$D$601,MATCH(B2866,Students!$A$2:$A$601,0))</f>
        <v>Full Stack Development</v>
      </c>
      <c r="L2866" s="21" t="str">
        <f aca="false">INDEX(Companies!$C$2:$C$31,MATCH(C2866,Companies!$A$2:$A$31,0))</f>
        <v>E-commerce</v>
      </c>
      <c r="M2866" s="21" t="str">
        <f aca="false">INDEX(Companies!$D$2:$D$31,MATCH(C2866,Companies!$A$2:$A$31,0))</f>
        <v>Tier 2</v>
      </c>
      <c r="N2866" s="34" t="n">
        <f aca="false">MATCH(F2866,Assumptions!$K$4:$K$8,0)</f>
        <v>2</v>
      </c>
      <c r="O2866" s="21" t="str">
        <f aca="false">IF(H2866="Yes",MONTH(I2866),"")</f>
        <v/>
      </c>
      <c r="P2866" s="21" t="str">
        <f aca="false">IF(H2866="Yes",B2866,"")</f>
        <v/>
      </c>
    </row>
    <row r="2867" customFormat="false" ht="15" hidden="false" customHeight="false" outlineLevel="0" collapsed="false">
      <c r="A2867" s="21" t="s">
        <v>4082</v>
      </c>
      <c r="B2867" s="21" t="s">
        <v>1086</v>
      </c>
      <c r="C2867" s="21" t="s">
        <v>1234</v>
      </c>
      <c r="D2867" s="21" t="s">
        <v>1240</v>
      </c>
      <c r="E2867" s="33" t="n">
        <v>46028</v>
      </c>
      <c r="F2867" s="21" t="s">
        <v>1178</v>
      </c>
      <c r="G2867" s="32"/>
      <c r="H2867" s="21"/>
      <c r="I2867" s="33"/>
      <c r="J2867" s="21" t="str">
        <f aca="false">INDEX(Students!$C$2:$C$601,MATCH(B2867,Students!$A$2:$A$601,0))</f>
        <v>Batch 2026</v>
      </c>
      <c r="K2867" s="21" t="str">
        <f aca="false">INDEX(Students!$D$2:$D$601,MATCH(B2867,Students!$A$2:$A$601,0))</f>
        <v>Cybersecurity</v>
      </c>
      <c r="L2867" s="21" t="str">
        <f aca="false">INDEX(Companies!$C$2:$C$31,MATCH(C2867,Companies!$A$2:$A$31,0))</f>
        <v>EdTech</v>
      </c>
      <c r="M2867" s="21" t="str">
        <f aca="false">INDEX(Companies!$D$2:$D$31,MATCH(C2867,Companies!$A$2:$A$31,0))</f>
        <v>Tier 3</v>
      </c>
      <c r="N2867" s="34" t="n">
        <f aca="false">MATCH(F2867,Assumptions!$K$4:$K$8,0)</f>
        <v>2</v>
      </c>
      <c r="O2867" s="21" t="str">
        <f aca="false">IF(H2867="Yes",MONTH(I2867),"")</f>
        <v/>
      </c>
      <c r="P2867" s="21" t="str">
        <f aca="false">IF(H2867="Yes",B2867,"")</f>
        <v/>
      </c>
    </row>
    <row r="2868" customFormat="false" ht="15" hidden="false" customHeight="false" outlineLevel="0" collapsed="false">
      <c r="A2868" s="21" t="s">
        <v>4083</v>
      </c>
      <c r="B2868" s="21" t="s">
        <v>1028</v>
      </c>
      <c r="C2868" s="21" t="s">
        <v>1199</v>
      </c>
      <c r="D2868" s="21" t="s">
        <v>1240</v>
      </c>
      <c r="E2868" s="33" t="n">
        <v>46028</v>
      </c>
      <c r="F2868" s="21" t="s">
        <v>1175</v>
      </c>
      <c r="G2868" s="32"/>
      <c r="H2868" s="21"/>
      <c r="I2868" s="33"/>
      <c r="J2868" s="21" t="str">
        <f aca="false">INDEX(Students!$C$2:$C$601,MATCH(B2868,Students!$A$2:$A$601,0))</f>
        <v>Batch 2026</v>
      </c>
      <c r="K2868" s="21" t="str">
        <f aca="false">INDEX(Students!$D$2:$D$601,MATCH(B2868,Students!$A$2:$A$601,0))</f>
        <v>Cybersecurity</v>
      </c>
      <c r="L2868" s="21" t="str">
        <f aca="false">INDEX(Companies!$C$2:$C$31,MATCH(C2868,Companies!$A$2:$A$31,0))</f>
        <v>E-commerce</v>
      </c>
      <c r="M2868" s="21" t="str">
        <f aca="false">INDEX(Companies!$D$2:$D$31,MATCH(C2868,Companies!$A$2:$A$31,0))</f>
        <v>Tier 2</v>
      </c>
      <c r="N2868" s="34" t="n">
        <f aca="false">MATCH(F2868,Assumptions!$K$4:$K$8,0)</f>
        <v>1</v>
      </c>
      <c r="O2868" s="21" t="str">
        <f aca="false">IF(H2868="Yes",MONTH(I2868),"")</f>
        <v/>
      </c>
      <c r="P2868" s="21" t="str">
        <f aca="false">IF(H2868="Yes",B2868,"")</f>
        <v/>
      </c>
    </row>
    <row r="2869" customFormat="false" ht="15" hidden="false" customHeight="false" outlineLevel="0" collapsed="false">
      <c r="A2869" s="21" t="s">
        <v>4084</v>
      </c>
      <c r="B2869" s="21" t="s">
        <v>871</v>
      </c>
      <c r="C2869" s="21" t="s">
        <v>1177</v>
      </c>
      <c r="D2869" s="21" t="s">
        <v>1194</v>
      </c>
      <c r="E2869" s="33" t="n">
        <v>46028</v>
      </c>
      <c r="F2869" s="21" t="s">
        <v>1185</v>
      </c>
      <c r="G2869" s="32" t="n">
        <v>6.8</v>
      </c>
      <c r="H2869" s="21" t="s">
        <v>113</v>
      </c>
      <c r="I2869" s="33" t="n">
        <v>46079</v>
      </c>
      <c r="J2869" s="21" t="str">
        <f aca="false">INDEX(Students!$C$2:$C$601,MATCH(B2869,Students!$A$2:$A$601,0))</f>
        <v>Batch 2026</v>
      </c>
      <c r="K2869" s="21" t="str">
        <f aca="false">INDEX(Students!$D$2:$D$601,MATCH(B2869,Students!$A$2:$A$601,0))</f>
        <v>Data Science &amp; ML</v>
      </c>
      <c r="L2869" s="21" t="str">
        <f aca="false">INDEX(Companies!$C$2:$C$31,MATCH(C2869,Companies!$A$2:$A$31,0))</f>
        <v>IT Services</v>
      </c>
      <c r="M2869" s="21" t="str">
        <f aca="false">INDEX(Companies!$D$2:$D$31,MATCH(C2869,Companies!$A$2:$A$31,0))</f>
        <v>Tier 3</v>
      </c>
      <c r="N2869" s="34" t="n">
        <f aca="false">MATCH(F2869,Assumptions!$K$4:$K$8,0)</f>
        <v>5</v>
      </c>
      <c r="O2869" s="21" t="str">
        <f aca="false">IF(H2869="Yes",MONTH(I2869),"")</f>
        <v/>
      </c>
      <c r="P2869" s="21" t="str">
        <f aca="false">IF(H2869="Yes",B2869,"")</f>
        <v/>
      </c>
    </row>
    <row r="2870" customFormat="false" ht="15" hidden="false" customHeight="false" outlineLevel="0" collapsed="false">
      <c r="A2870" s="21" t="s">
        <v>4085</v>
      </c>
      <c r="B2870" s="21" t="s">
        <v>1112</v>
      </c>
      <c r="C2870" s="21" t="s">
        <v>1255</v>
      </c>
      <c r="D2870" s="21" t="s">
        <v>1226</v>
      </c>
      <c r="E2870" s="33" t="n">
        <v>46028</v>
      </c>
      <c r="F2870" s="21" t="s">
        <v>1178</v>
      </c>
      <c r="G2870" s="32"/>
      <c r="H2870" s="21"/>
      <c r="I2870" s="33"/>
      <c r="J2870" s="21" t="str">
        <f aca="false">INDEX(Students!$C$2:$C$601,MATCH(B2870,Students!$A$2:$A$601,0))</f>
        <v>Batch 2026</v>
      </c>
      <c r="K2870" s="21" t="str">
        <f aca="false">INDEX(Students!$D$2:$D$601,MATCH(B2870,Students!$A$2:$A$601,0))</f>
        <v>Cybersecurity</v>
      </c>
      <c r="L2870" s="21" t="str">
        <f aca="false">INDEX(Companies!$C$2:$C$31,MATCH(C2870,Companies!$A$2:$A$31,0))</f>
        <v>IT Services</v>
      </c>
      <c r="M2870" s="21" t="str">
        <f aca="false">INDEX(Companies!$D$2:$D$31,MATCH(C2870,Companies!$A$2:$A$31,0))</f>
        <v>Tier 3</v>
      </c>
      <c r="N2870" s="34" t="n">
        <f aca="false">MATCH(F2870,Assumptions!$K$4:$K$8,0)</f>
        <v>2</v>
      </c>
      <c r="O2870" s="21" t="str">
        <f aca="false">IF(H2870="Yes",MONTH(I2870),"")</f>
        <v/>
      </c>
      <c r="P2870" s="21" t="str">
        <f aca="false">IF(H2870="Yes",B2870,"")</f>
        <v/>
      </c>
    </row>
    <row r="2871" customFormat="false" ht="15" hidden="false" customHeight="false" outlineLevel="0" collapsed="false">
      <c r="A2871" s="21" t="s">
        <v>4086</v>
      </c>
      <c r="B2871" s="21" t="s">
        <v>836</v>
      </c>
      <c r="C2871" s="21" t="s">
        <v>1290</v>
      </c>
      <c r="D2871" s="21" t="s">
        <v>1194</v>
      </c>
      <c r="E2871" s="33" t="n">
        <v>46028</v>
      </c>
      <c r="F2871" s="21" t="s">
        <v>1178</v>
      </c>
      <c r="G2871" s="32"/>
      <c r="H2871" s="21"/>
      <c r="I2871" s="33"/>
      <c r="J2871" s="21" t="str">
        <f aca="false">INDEX(Students!$C$2:$C$601,MATCH(B2871,Students!$A$2:$A$601,0))</f>
        <v>Batch 2026</v>
      </c>
      <c r="K2871" s="21" t="str">
        <f aca="false">INDEX(Students!$D$2:$D$601,MATCH(B2871,Students!$A$2:$A$601,0))</f>
        <v>Data Science &amp; ML</v>
      </c>
      <c r="L2871" s="21" t="str">
        <f aca="false">INDEX(Companies!$C$2:$C$31,MATCH(C2871,Companies!$A$2:$A$31,0))</f>
        <v>Fintech</v>
      </c>
      <c r="M2871" s="21" t="str">
        <f aca="false">INDEX(Companies!$D$2:$D$31,MATCH(C2871,Companies!$A$2:$A$31,0))</f>
        <v>Tier 2</v>
      </c>
      <c r="N2871" s="34" t="n">
        <f aca="false">MATCH(F2871,Assumptions!$K$4:$K$8,0)</f>
        <v>2</v>
      </c>
      <c r="O2871" s="21" t="str">
        <f aca="false">IF(H2871="Yes",MONTH(I2871),"")</f>
        <v/>
      </c>
      <c r="P2871" s="21" t="str">
        <f aca="false">IF(H2871="Yes",B2871,"")</f>
        <v/>
      </c>
    </row>
    <row r="2872" customFormat="false" ht="15" hidden="false" customHeight="false" outlineLevel="0" collapsed="false">
      <c r="A2872" s="21" t="s">
        <v>4087</v>
      </c>
      <c r="B2872" s="21" t="s">
        <v>912</v>
      </c>
      <c r="C2872" s="21" t="s">
        <v>1193</v>
      </c>
      <c r="D2872" s="21" t="s">
        <v>1174</v>
      </c>
      <c r="E2872" s="33" t="n">
        <v>46029</v>
      </c>
      <c r="F2872" s="21" t="s">
        <v>1197</v>
      </c>
      <c r="G2872" s="32"/>
      <c r="H2872" s="21"/>
      <c r="I2872" s="33"/>
      <c r="J2872" s="21" t="str">
        <f aca="false">INDEX(Students!$C$2:$C$601,MATCH(B2872,Students!$A$2:$A$601,0))</f>
        <v>Batch 2026</v>
      </c>
      <c r="K2872" s="21" t="str">
        <f aca="false">INDEX(Students!$D$2:$D$601,MATCH(B2872,Students!$A$2:$A$601,0))</f>
        <v>Full Stack Development</v>
      </c>
      <c r="L2872" s="21" t="str">
        <f aca="false">INDEX(Companies!$C$2:$C$31,MATCH(C2872,Companies!$A$2:$A$31,0))</f>
        <v>Analytics &amp; Consulting</v>
      </c>
      <c r="M2872" s="21" t="str">
        <f aca="false">INDEX(Companies!$D$2:$D$31,MATCH(C2872,Companies!$A$2:$A$31,0))</f>
        <v>Tier 2</v>
      </c>
      <c r="N2872" s="34" t="n">
        <f aca="false">MATCH(F2872,Assumptions!$K$4:$K$8,0)</f>
        <v>3</v>
      </c>
      <c r="O2872" s="21" t="str">
        <f aca="false">IF(H2872="Yes",MONTH(I2872),"")</f>
        <v/>
      </c>
      <c r="P2872" s="21" t="str">
        <f aca="false">IF(H2872="Yes",B2872,"")</f>
        <v/>
      </c>
    </row>
    <row r="2873" customFormat="false" ht="15" hidden="false" customHeight="false" outlineLevel="0" collapsed="false">
      <c r="A2873" s="21" t="s">
        <v>4088</v>
      </c>
      <c r="B2873" s="21" t="s">
        <v>1098</v>
      </c>
      <c r="C2873" s="21" t="s">
        <v>1214</v>
      </c>
      <c r="D2873" s="21" t="s">
        <v>1191</v>
      </c>
      <c r="E2873" s="33" t="n">
        <v>46029</v>
      </c>
      <c r="F2873" s="21" t="s">
        <v>1197</v>
      </c>
      <c r="G2873" s="32"/>
      <c r="H2873" s="21"/>
      <c r="I2873" s="33"/>
      <c r="J2873" s="21" t="str">
        <f aca="false">INDEX(Students!$C$2:$C$601,MATCH(B2873,Students!$A$2:$A$601,0))</f>
        <v>Batch 2026</v>
      </c>
      <c r="K2873" s="21" t="str">
        <f aca="false">INDEX(Students!$D$2:$D$601,MATCH(B2873,Students!$A$2:$A$601,0))</f>
        <v>DSA with Java</v>
      </c>
      <c r="L2873" s="21" t="str">
        <f aca="false">INDEX(Companies!$C$2:$C$31,MATCH(C2873,Companies!$A$2:$A$31,0))</f>
        <v>Product</v>
      </c>
      <c r="M2873" s="21" t="str">
        <f aca="false">INDEX(Companies!$D$2:$D$31,MATCH(C2873,Companies!$A$2:$A$31,0))</f>
        <v>Tier 1</v>
      </c>
      <c r="N2873" s="34" t="n">
        <f aca="false">MATCH(F2873,Assumptions!$K$4:$K$8,0)</f>
        <v>3</v>
      </c>
      <c r="O2873" s="21" t="str">
        <f aca="false">IF(H2873="Yes",MONTH(I2873),"")</f>
        <v/>
      </c>
      <c r="P2873" s="21" t="str">
        <f aca="false">IF(H2873="Yes",B2873,"")</f>
        <v/>
      </c>
    </row>
    <row r="2874" customFormat="false" ht="15" hidden="false" customHeight="false" outlineLevel="0" collapsed="false">
      <c r="A2874" s="21" t="s">
        <v>4089</v>
      </c>
      <c r="B2874" s="21" t="s">
        <v>896</v>
      </c>
      <c r="C2874" s="21" t="s">
        <v>1234</v>
      </c>
      <c r="D2874" s="21" t="s">
        <v>1191</v>
      </c>
      <c r="E2874" s="33" t="n">
        <v>46029</v>
      </c>
      <c r="F2874" s="21" t="s">
        <v>1185</v>
      </c>
      <c r="G2874" s="32" t="n">
        <v>5.6</v>
      </c>
      <c r="H2874" s="21" t="s">
        <v>113</v>
      </c>
      <c r="I2874" s="33" t="n">
        <v>46082</v>
      </c>
      <c r="J2874" s="21" t="str">
        <f aca="false">INDEX(Students!$C$2:$C$601,MATCH(B2874,Students!$A$2:$A$601,0))</f>
        <v>Batch 2026</v>
      </c>
      <c r="K2874" s="21" t="str">
        <f aca="false">INDEX(Students!$D$2:$D$601,MATCH(B2874,Students!$A$2:$A$601,0))</f>
        <v>DSA with Java</v>
      </c>
      <c r="L2874" s="21" t="str">
        <f aca="false">INDEX(Companies!$C$2:$C$31,MATCH(C2874,Companies!$A$2:$A$31,0))</f>
        <v>EdTech</v>
      </c>
      <c r="M2874" s="21" t="str">
        <f aca="false">INDEX(Companies!$D$2:$D$31,MATCH(C2874,Companies!$A$2:$A$31,0))</f>
        <v>Tier 3</v>
      </c>
      <c r="N2874" s="34" t="n">
        <f aca="false">MATCH(F2874,Assumptions!$K$4:$K$8,0)</f>
        <v>5</v>
      </c>
      <c r="O2874" s="21" t="str">
        <f aca="false">IF(H2874="Yes",MONTH(I2874),"")</f>
        <v/>
      </c>
      <c r="P2874" s="21" t="str">
        <f aca="false">IF(H2874="Yes",B2874,"")</f>
        <v/>
      </c>
    </row>
    <row r="2875" customFormat="false" ht="15" hidden="false" customHeight="false" outlineLevel="0" collapsed="false">
      <c r="A2875" s="21" t="s">
        <v>4090</v>
      </c>
      <c r="B2875" s="21" t="s">
        <v>1116</v>
      </c>
      <c r="C2875" s="21" t="s">
        <v>1205</v>
      </c>
      <c r="D2875" s="21" t="s">
        <v>1243</v>
      </c>
      <c r="E2875" s="33" t="n">
        <v>46029</v>
      </c>
      <c r="F2875" s="21" t="s">
        <v>1218</v>
      </c>
      <c r="G2875" s="32"/>
      <c r="H2875" s="21"/>
      <c r="I2875" s="33"/>
      <c r="J2875" s="21" t="str">
        <f aca="false">INDEX(Students!$C$2:$C$601,MATCH(B2875,Students!$A$2:$A$601,0))</f>
        <v>Batch 2026</v>
      </c>
      <c r="K2875" s="21" t="str">
        <f aca="false">INDEX(Students!$D$2:$D$601,MATCH(B2875,Students!$A$2:$A$601,0))</f>
        <v>Data Science &amp; ML</v>
      </c>
      <c r="L2875" s="21" t="str">
        <f aca="false">INDEX(Companies!$C$2:$C$31,MATCH(C2875,Companies!$A$2:$A$31,0))</f>
        <v>Healthtech</v>
      </c>
      <c r="M2875" s="21" t="str">
        <f aca="false">INDEX(Companies!$D$2:$D$31,MATCH(C2875,Companies!$A$2:$A$31,0))</f>
        <v>Tier 3</v>
      </c>
      <c r="N2875" s="34" t="n">
        <f aca="false">MATCH(F2875,Assumptions!$K$4:$K$8,0)</f>
        <v>4</v>
      </c>
      <c r="O2875" s="21" t="str">
        <f aca="false">IF(H2875="Yes",MONTH(I2875),"")</f>
        <v/>
      </c>
      <c r="P2875" s="21" t="str">
        <f aca="false">IF(H2875="Yes",B2875,"")</f>
        <v/>
      </c>
    </row>
    <row r="2876" customFormat="false" ht="15" hidden="false" customHeight="false" outlineLevel="0" collapsed="false">
      <c r="A2876" s="21" t="s">
        <v>4091</v>
      </c>
      <c r="B2876" s="21" t="s">
        <v>938</v>
      </c>
      <c r="C2876" s="21" t="s">
        <v>1208</v>
      </c>
      <c r="D2876" s="21" t="s">
        <v>1240</v>
      </c>
      <c r="E2876" s="33" t="n">
        <v>46030</v>
      </c>
      <c r="F2876" s="21" t="s">
        <v>1175</v>
      </c>
      <c r="G2876" s="32"/>
      <c r="H2876" s="21"/>
      <c r="I2876" s="33"/>
      <c r="J2876" s="21" t="str">
        <f aca="false">INDEX(Students!$C$2:$C$601,MATCH(B2876,Students!$A$2:$A$601,0))</f>
        <v>Batch 2026</v>
      </c>
      <c r="K2876" s="21" t="str">
        <f aca="false">INDEX(Students!$D$2:$D$601,MATCH(B2876,Students!$A$2:$A$601,0))</f>
        <v>Cybersecurity</v>
      </c>
      <c r="L2876" s="21" t="str">
        <f aca="false">INDEX(Companies!$C$2:$C$31,MATCH(C2876,Companies!$A$2:$A$31,0))</f>
        <v>E-commerce</v>
      </c>
      <c r="M2876" s="21" t="str">
        <f aca="false">INDEX(Companies!$D$2:$D$31,MATCH(C2876,Companies!$A$2:$A$31,0))</f>
        <v>Tier 1</v>
      </c>
      <c r="N2876" s="34" t="n">
        <f aca="false">MATCH(F2876,Assumptions!$K$4:$K$8,0)</f>
        <v>1</v>
      </c>
      <c r="O2876" s="21" t="str">
        <f aca="false">IF(H2876="Yes",MONTH(I2876),"")</f>
        <v/>
      </c>
      <c r="P2876" s="21" t="str">
        <f aca="false">IF(H2876="Yes",B2876,"")</f>
        <v/>
      </c>
    </row>
    <row r="2877" customFormat="false" ht="15" hidden="false" customHeight="false" outlineLevel="0" collapsed="false">
      <c r="A2877" s="21" t="s">
        <v>4092</v>
      </c>
      <c r="B2877" s="21" t="s">
        <v>1034</v>
      </c>
      <c r="C2877" s="21" t="s">
        <v>1225</v>
      </c>
      <c r="D2877" s="21" t="s">
        <v>1191</v>
      </c>
      <c r="E2877" s="33" t="n">
        <v>46030</v>
      </c>
      <c r="F2877" s="21" t="s">
        <v>1185</v>
      </c>
      <c r="G2877" s="32" t="n">
        <v>13.4</v>
      </c>
      <c r="H2877" s="21" t="s">
        <v>113</v>
      </c>
      <c r="I2877" s="33" t="n">
        <v>46061</v>
      </c>
      <c r="J2877" s="21" t="str">
        <f aca="false">INDEX(Students!$C$2:$C$601,MATCH(B2877,Students!$A$2:$A$601,0))</f>
        <v>Batch 2026</v>
      </c>
      <c r="K2877" s="21" t="str">
        <f aca="false">INDEX(Students!$D$2:$D$601,MATCH(B2877,Students!$A$2:$A$601,0))</f>
        <v>DSA with Java</v>
      </c>
      <c r="L2877" s="21" t="str">
        <f aca="false">INDEX(Companies!$C$2:$C$31,MATCH(C2877,Companies!$A$2:$A$31,0))</f>
        <v>EdTech</v>
      </c>
      <c r="M2877" s="21" t="str">
        <f aca="false">INDEX(Companies!$D$2:$D$31,MATCH(C2877,Companies!$A$2:$A$31,0))</f>
        <v>Tier 2</v>
      </c>
      <c r="N2877" s="34" t="n">
        <f aca="false">MATCH(F2877,Assumptions!$K$4:$K$8,0)</f>
        <v>5</v>
      </c>
      <c r="O2877" s="21" t="str">
        <f aca="false">IF(H2877="Yes",MONTH(I2877),"")</f>
        <v/>
      </c>
      <c r="P2877" s="21" t="str">
        <f aca="false">IF(H2877="Yes",B2877,"")</f>
        <v/>
      </c>
    </row>
    <row r="2878" customFormat="false" ht="15" hidden="false" customHeight="false" outlineLevel="0" collapsed="false">
      <c r="A2878" s="21" t="s">
        <v>4093</v>
      </c>
      <c r="B2878" s="21" t="s">
        <v>821</v>
      </c>
      <c r="C2878" s="21" t="s">
        <v>1263</v>
      </c>
      <c r="D2878" s="21" t="s">
        <v>1184</v>
      </c>
      <c r="E2878" s="33" t="n">
        <v>46030</v>
      </c>
      <c r="F2878" s="21" t="s">
        <v>1175</v>
      </c>
      <c r="G2878" s="32"/>
      <c r="H2878" s="21"/>
      <c r="I2878" s="33"/>
      <c r="J2878" s="21" t="str">
        <f aca="false">INDEX(Students!$C$2:$C$601,MATCH(B2878,Students!$A$2:$A$601,0))</f>
        <v>Batch 2026</v>
      </c>
      <c r="K2878" s="21" t="str">
        <f aca="false">INDEX(Students!$D$2:$D$601,MATCH(B2878,Students!$A$2:$A$601,0))</f>
        <v>DSA with Java</v>
      </c>
      <c r="L2878" s="21" t="str">
        <f aca="false">INDEX(Companies!$C$2:$C$31,MATCH(C2878,Companies!$A$2:$A$31,0))</f>
        <v>Analytics &amp; Consulting</v>
      </c>
      <c r="M2878" s="21" t="str">
        <f aca="false">INDEX(Companies!$D$2:$D$31,MATCH(C2878,Companies!$A$2:$A$31,0))</f>
        <v>Tier 2</v>
      </c>
      <c r="N2878" s="34" t="n">
        <f aca="false">MATCH(F2878,Assumptions!$K$4:$K$8,0)</f>
        <v>1</v>
      </c>
      <c r="O2878" s="21" t="str">
        <f aca="false">IF(H2878="Yes",MONTH(I2878),"")</f>
        <v/>
      </c>
      <c r="P2878" s="21" t="str">
        <f aca="false">IF(H2878="Yes",B2878,"")</f>
        <v/>
      </c>
    </row>
    <row r="2879" customFormat="false" ht="15" hidden="false" customHeight="false" outlineLevel="0" collapsed="false">
      <c r="A2879" s="21" t="s">
        <v>4094</v>
      </c>
      <c r="B2879" s="21" t="s">
        <v>1145</v>
      </c>
      <c r="C2879" s="21" t="s">
        <v>1203</v>
      </c>
      <c r="D2879" s="21" t="s">
        <v>1194</v>
      </c>
      <c r="E2879" s="33" t="n">
        <v>46031</v>
      </c>
      <c r="F2879" s="21" t="s">
        <v>1175</v>
      </c>
      <c r="G2879" s="32"/>
      <c r="H2879" s="21"/>
      <c r="I2879" s="33"/>
      <c r="J2879" s="21" t="str">
        <f aca="false">INDEX(Students!$C$2:$C$601,MATCH(B2879,Students!$A$2:$A$601,0))</f>
        <v>Batch 2026</v>
      </c>
      <c r="K2879" s="21" t="str">
        <f aca="false">INDEX(Students!$D$2:$D$601,MATCH(B2879,Students!$A$2:$A$601,0))</f>
        <v>Data Science &amp; ML</v>
      </c>
      <c r="L2879" s="21" t="str">
        <f aca="false">INDEX(Companies!$C$2:$C$31,MATCH(C2879,Companies!$A$2:$A$31,0))</f>
        <v>Healthtech</v>
      </c>
      <c r="M2879" s="21" t="str">
        <f aca="false">INDEX(Companies!$D$2:$D$31,MATCH(C2879,Companies!$A$2:$A$31,0))</f>
        <v>Tier 2</v>
      </c>
      <c r="N2879" s="34" t="n">
        <f aca="false">MATCH(F2879,Assumptions!$K$4:$K$8,0)</f>
        <v>1</v>
      </c>
      <c r="O2879" s="21" t="str">
        <f aca="false">IF(H2879="Yes",MONTH(I2879),"")</f>
        <v/>
      </c>
      <c r="P2879" s="21" t="str">
        <f aca="false">IF(H2879="Yes",B2879,"")</f>
        <v/>
      </c>
    </row>
    <row r="2880" customFormat="false" ht="15" hidden="false" customHeight="false" outlineLevel="0" collapsed="false">
      <c r="A2880" s="21" t="s">
        <v>4095</v>
      </c>
      <c r="B2880" s="21" t="s">
        <v>894</v>
      </c>
      <c r="C2880" s="21" t="s">
        <v>1290</v>
      </c>
      <c r="D2880" s="21" t="s">
        <v>1181</v>
      </c>
      <c r="E2880" s="33" t="n">
        <v>46031</v>
      </c>
      <c r="F2880" s="21" t="s">
        <v>1185</v>
      </c>
      <c r="G2880" s="32" t="n">
        <v>11</v>
      </c>
      <c r="H2880" s="21" t="s">
        <v>120</v>
      </c>
      <c r="I2880" s="33" t="n">
        <v>46074</v>
      </c>
      <c r="J2880" s="21" t="str">
        <f aca="false">INDEX(Students!$C$2:$C$601,MATCH(B2880,Students!$A$2:$A$601,0))</f>
        <v>Batch 2026</v>
      </c>
      <c r="K2880" s="21" t="str">
        <f aca="false">INDEX(Students!$D$2:$D$601,MATCH(B2880,Students!$A$2:$A$601,0))</f>
        <v>Full Stack Development</v>
      </c>
      <c r="L2880" s="21" t="str">
        <f aca="false">INDEX(Companies!$C$2:$C$31,MATCH(C2880,Companies!$A$2:$A$31,0))</f>
        <v>Fintech</v>
      </c>
      <c r="M2880" s="21" t="str">
        <f aca="false">INDEX(Companies!$D$2:$D$31,MATCH(C2880,Companies!$A$2:$A$31,0))</f>
        <v>Tier 2</v>
      </c>
      <c r="N2880" s="34" t="n">
        <f aca="false">MATCH(F2880,Assumptions!$K$4:$K$8,0)</f>
        <v>5</v>
      </c>
      <c r="O2880" s="21" t="n">
        <f aca="false">IF(H2880="Yes",MONTH(I2880),"")</f>
        <v>2</v>
      </c>
      <c r="P2880" s="21" t="str">
        <f aca="false">IF(H2880="Yes",B2880,"")</f>
        <v>S0433</v>
      </c>
    </row>
    <row r="2881" customFormat="false" ht="15" hidden="false" customHeight="false" outlineLevel="0" collapsed="false">
      <c r="A2881" s="21" t="s">
        <v>4096</v>
      </c>
      <c r="B2881" s="21" t="s">
        <v>1107</v>
      </c>
      <c r="C2881" s="21" t="s">
        <v>1177</v>
      </c>
      <c r="D2881" s="21" t="s">
        <v>1240</v>
      </c>
      <c r="E2881" s="33" t="n">
        <v>46032</v>
      </c>
      <c r="F2881" s="21" t="s">
        <v>1175</v>
      </c>
      <c r="G2881" s="32"/>
      <c r="H2881" s="21"/>
      <c r="I2881" s="33"/>
      <c r="J2881" s="21" t="str">
        <f aca="false">INDEX(Students!$C$2:$C$601,MATCH(B2881,Students!$A$2:$A$601,0))</f>
        <v>Batch 2026</v>
      </c>
      <c r="K2881" s="21" t="str">
        <f aca="false">INDEX(Students!$D$2:$D$601,MATCH(B2881,Students!$A$2:$A$601,0))</f>
        <v>Cybersecurity</v>
      </c>
      <c r="L2881" s="21" t="str">
        <f aca="false">INDEX(Companies!$C$2:$C$31,MATCH(C2881,Companies!$A$2:$A$31,0))</f>
        <v>IT Services</v>
      </c>
      <c r="M2881" s="21" t="str">
        <f aca="false">INDEX(Companies!$D$2:$D$31,MATCH(C2881,Companies!$A$2:$A$31,0))</f>
        <v>Tier 3</v>
      </c>
      <c r="N2881" s="34" t="n">
        <f aca="false">MATCH(F2881,Assumptions!$K$4:$K$8,0)</f>
        <v>1</v>
      </c>
      <c r="O2881" s="21" t="str">
        <f aca="false">IF(H2881="Yes",MONTH(I2881),"")</f>
        <v/>
      </c>
      <c r="P2881" s="21" t="str">
        <f aca="false">IF(H2881="Yes",B2881,"")</f>
        <v/>
      </c>
    </row>
    <row r="2882" customFormat="false" ht="15" hidden="false" customHeight="false" outlineLevel="0" collapsed="false">
      <c r="A2882" s="21" t="s">
        <v>4097</v>
      </c>
      <c r="B2882" s="21" t="s">
        <v>912</v>
      </c>
      <c r="C2882" s="21" t="s">
        <v>1275</v>
      </c>
      <c r="D2882" s="21" t="s">
        <v>1181</v>
      </c>
      <c r="E2882" s="33" t="n">
        <v>46032</v>
      </c>
      <c r="F2882" s="21" t="s">
        <v>1178</v>
      </c>
      <c r="G2882" s="32"/>
      <c r="H2882" s="21"/>
      <c r="I2882" s="33"/>
      <c r="J2882" s="21" t="str">
        <f aca="false">INDEX(Students!$C$2:$C$601,MATCH(B2882,Students!$A$2:$A$601,0))</f>
        <v>Batch 2026</v>
      </c>
      <c r="K2882" s="21" t="str">
        <f aca="false">INDEX(Students!$D$2:$D$601,MATCH(B2882,Students!$A$2:$A$601,0))</f>
        <v>Full Stack Development</v>
      </c>
      <c r="L2882" s="21" t="str">
        <f aca="false">INDEX(Companies!$C$2:$C$31,MATCH(C2882,Companies!$A$2:$A$31,0))</f>
        <v>Cybersecurity</v>
      </c>
      <c r="M2882" s="21" t="str">
        <f aca="false">INDEX(Companies!$D$2:$D$31,MATCH(C2882,Companies!$A$2:$A$31,0))</f>
        <v>Tier 2</v>
      </c>
      <c r="N2882" s="34" t="n">
        <f aca="false">MATCH(F2882,Assumptions!$K$4:$K$8,0)</f>
        <v>2</v>
      </c>
      <c r="O2882" s="21" t="str">
        <f aca="false">IF(H2882="Yes",MONTH(I2882),"")</f>
        <v/>
      </c>
      <c r="P2882" s="21" t="str">
        <f aca="false">IF(H2882="Yes",B2882,"")</f>
        <v/>
      </c>
    </row>
    <row r="2883" customFormat="false" ht="15" hidden="false" customHeight="false" outlineLevel="0" collapsed="false">
      <c r="A2883" s="21" t="s">
        <v>4098</v>
      </c>
      <c r="B2883" s="21" t="s">
        <v>1139</v>
      </c>
      <c r="C2883" s="21" t="s">
        <v>1187</v>
      </c>
      <c r="D2883" s="21" t="s">
        <v>1240</v>
      </c>
      <c r="E2883" s="33" t="n">
        <v>46032</v>
      </c>
      <c r="F2883" s="21" t="s">
        <v>1175</v>
      </c>
      <c r="G2883" s="32"/>
      <c r="H2883" s="21"/>
      <c r="I2883" s="33"/>
      <c r="J2883" s="21" t="str">
        <f aca="false">INDEX(Students!$C$2:$C$601,MATCH(B2883,Students!$A$2:$A$601,0))</f>
        <v>Batch 2026</v>
      </c>
      <c r="K2883" s="21" t="str">
        <f aca="false">INDEX(Students!$D$2:$D$601,MATCH(B2883,Students!$A$2:$A$601,0))</f>
        <v>Cybersecurity</v>
      </c>
      <c r="L2883" s="21" t="str">
        <f aca="false">INDEX(Companies!$C$2:$C$31,MATCH(C2883,Companies!$A$2:$A$31,0))</f>
        <v>Product</v>
      </c>
      <c r="M2883" s="21" t="str">
        <f aca="false">INDEX(Companies!$D$2:$D$31,MATCH(C2883,Companies!$A$2:$A$31,0))</f>
        <v>Tier 1</v>
      </c>
      <c r="N2883" s="34" t="n">
        <f aca="false">MATCH(F2883,Assumptions!$K$4:$K$8,0)</f>
        <v>1</v>
      </c>
      <c r="O2883" s="21" t="str">
        <f aca="false">IF(H2883="Yes",MONTH(I2883),"")</f>
        <v/>
      </c>
      <c r="P2883" s="21" t="str">
        <f aca="false">IF(H2883="Yes",B2883,"")</f>
        <v/>
      </c>
    </row>
    <row r="2884" customFormat="false" ht="15" hidden="false" customHeight="false" outlineLevel="0" collapsed="false">
      <c r="A2884" s="21" t="s">
        <v>4099</v>
      </c>
      <c r="B2884" s="21" t="s">
        <v>1028</v>
      </c>
      <c r="C2884" s="21" t="s">
        <v>1177</v>
      </c>
      <c r="D2884" s="21" t="s">
        <v>1226</v>
      </c>
      <c r="E2884" s="33" t="n">
        <v>46032</v>
      </c>
      <c r="F2884" s="21" t="s">
        <v>1178</v>
      </c>
      <c r="G2884" s="32"/>
      <c r="H2884" s="21"/>
      <c r="I2884" s="33"/>
      <c r="J2884" s="21" t="str">
        <f aca="false">INDEX(Students!$C$2:$C$601,MATCH(B2884,Students!$A$2:$A$601,0))</f>
        <v>Batch 2026</v>
      </c>
      <c r="K2884" s="21" t="str">
        <f aca="false">INDEX(Students!$D$2:$D$601,MATCH(B2884,Students!$A$2:$A$601,0))</f>
        <v>Cybersecurity</v>
      </c>
      <c r="L2884" s="21" t="str">
        <f aca="false">INDEX(Companies!$C$2:$C$31,MATCH(C2884,Companies!$A$2:$A$31,0))</f>
        <v>IT Services</v>
      </c>
      <c r="M2884" s="21" t="str">
        <f aca="false">INDEX(Companies!$D$2:$D$31,MATCH(C2884,Companies!$A$2:$A$31,0))</f>
        <v>Tier 3</v>
      </c>
      <c r="N2884" s="34" t="n">
        <f aca="false">MATCH(F2884,Assumptions!$K$4:$K$8,0)</f>
        <v>2</v>
      </c>
      <c r="O2884" s="21" t="str">
        <f aca="false">IF(H2884="Yes",MONTH(I2884),"")</f>
        <v/>
      </c>
      <c r="P2884" s="21" t="str">
        <f aca="false">IF(H2884="Yes",B2884,"")</f>
        <v/>
      </c>
    </row>
    <row r="2885" customFormat="false" ht="15" hidden="false" customHeight="false" outlineLevel="0" collapsed="false">
      <c r="A2885" s="21" t="s">
        <v>4100</v>
      </c>
      <c r="B2885" s="21" t="s">
        <v>918</v>
      </c>
      <c r="C2885" s="21" t="s">
        <v>1187</v>
      </c>
      <c r="D2885" s="21" t="s">
        <v>1194</v>
      </c>
      <c r="E2885" s="33" t="n">
        <v>46032</v>
      </c>
      <c r="F2885" s="21" t="s">
        <v>1178</v>
      </c>
      <c r="G2885" s="32"/>
      <c r="H2885" s="21"/>
      <c r="I2885" s="33"/>
      <c r="J2885" s="21" t="str">
        <f aca="false">INDEX(Students!$C$2:$C$601,MATCH(B2885,Students!$A$2:$A$601,0))</f>
        <v>Batch 2026</v>
      </c>
      <c r="K2885" s="21" t="str">
        <f aca="false">INDEX(Students!$D$2:$D$601,MATCH(B2885,Students!$A$2:$A$601,0))</f>
        <v>Data Science &amp; ML</v>
      </c>
      <c r="L2885" s="21" t="str">
        <f aca="false">INDEX(Companies!$C$2:$C$31,MATCH(C2885,Companies!$A$2:$A$31,0))</f>
        <v>Product</v>
      </c>
      <c r="M2885" s="21" t="str">
        <f aca="false">INDEX(Companies!$D$2:$D$31,MATCH(C2885,Companies!$A$2:$A$31,0))</f>
        <v>Tier 1</v>
      </c>
      <c r="N2885" s="34" t="n">
        <f aca="false">MATCH(F2885,Assumptions!$K$4:$K$8,0)</f>
        <v>2</v>
      </c>
      <c r="O2885" s="21" t="str">
        <f aca="false">IF(H2885="Yes",MONTH(I2885),"")</f>
        <v/>
      </c>
      <c r="P2885" s="21" t="str">
        <f aca="false">IF(H2885="Yes",B2885,"")</f>
        <v/>
      </c>
    </row>
    <row r="2886" customFormat="false" ht="15" hidden="false" customHeight="false" outlineLevel="0" collapsed="false">
      <c r="A2886" s="21" t="s">
        <v>4101</v>
      </c>
      <c r="B2886" s="21" t="s">
        <v>936</v>
      </c>
      <c r="C2886" s="21" t="s">
        <v>1255</v>
      </c>
      <c r="D2886" s="21" t="s">
        <v>1174</v>
      </c>
      <c r="E2886" s="33" t="n">
        <v>46033</v>
      </c>
      <c r="F2886" s="21" t="s">
        <v>1185</v>
      </c>
      <c r="G2886" s="32" t="n">
        <v>8</v>
      </c>
      <c r="H2886" s="21" t="s">
        <v>113</v>
      </c>
      <c r="I2886" s="33" t="n">
        <v>46070</v>
      </c>
      <c r="J2886" s="21" t="str">
        <f aca="false">INDEX(Students!$C$2:$C$601,MATCH(B2886,Students!$A$2:$A$601,0))</f>
        <v>Batch 2026</v>
      </c>
      <c r="K2886" s="21" t="str">
        <f aca="false">INDEX(Students!$D$2:$D$601,MATCH(B2886,Students!$A$2:$A$601,0))</f>
        <v>Full Stack Development</v>
      </c>
      <c r="L2886" s="21" t="str">
        <f aca="false">INDEX(Companies!$C$2:$C$31,MATCH(C2886,Companies!$A$2:$A$31,0))</f>
        <v>IT Services</v>
      </c>
      <c r="M2886" s="21" t="str">
        <f aca="false">INDEX(Companies!$D$2:$D$31,MATCH(C2886,Companies!$A$2:$A$31,0))</f>
        <v>Tier 3</v>
      </c>
      <c r="N2886" s="34" t="n">
        <f aca="false">MATCH(F2886,Assumptions!$K$4:$K$8,0)</f>
        <v>5</v>
      </c>
      <c r="O2886" s="21" t="str">
        <f aca="false">IF(H2886="Yes",MONTH(I2886),"")</f>
        <v/>
      </c>
      <c r="P2886" s="21" t="str">
        <f aca="false">IF(H2886="Yes",B2886,"")</f>
        <v/>
      </c>
    </row>
    <row r="2887" customFormat="false" ht="15" hidden="false" customHeight="false" outlineLevel="0" collapsed="false">
      <c r="A2887" s="21" t="s">
        <v>4102</v>
      </c>
      <c r="B2887" s="21" t="s">
        <v>1021</v>
      </c>
      <c r="C2887" s="21" t="s">
        <v>1211</v>
      </c>
      <c r="D2887" s="21" t="s">
        <v>1226</v>
      </c>
      <c r="E2887" s="33" t="n">
        <v>46033</v>
      </c>
      <c r="F2887" s="21" t="s">
        <v>1178</v>
      </c>
      <c r="G2887" s="32"/>
      <c r="H2887" s="21"/>
      <c r="I2887" s="33"/>
      <c r="J2887" s="21" t="str">
        <f aca="false">INDEX(Students!$C$2:$C$601,MATCH(B2887,Students!$A$2:$A$601,0))</f>
        <v>Batch 2026</v>
      </c>
      <c r="K2887" s="21" t="str">
        <f aca="false">INDEX(Students!$D$2:$D$601,MATCH(B2887,Students!$A$2:$A$601,0))</f>
        <v>Cybersecurity</v>
      </c>
      <c r="L2887" s="21" t="str">
        <f aca="false">INDEX(Companies!$C$2:$C$31,MATCH(C2887,Companies!$A$2:$A$31,0))</f>
        <v>Analytics &amp; Consulting</v>
      </c>
      <c r="M2887" s="21" t="str">
        <f aca="false">INDEX(Companies!$D$2:$D$31,MATCH(C2887,Companies!$A$2:$A$31,0))</f>
        <v>Tier 3</v>
      </c>
      <c r="N2887" s="34" t="n">
        <f aca="false">MATCH(F2887,Assumptions!$K$4:$K$8,0)</f>
        <v>2</v>
      </c>
      <c r="O2887" s="21" t="str">
        <f aca="false">IF(H2887="Yes",MONTH(I2887),"")</f>
        <v/>
      </c>
      <c r="P2887" s="21" t="str">
        <f aca="false">IF(H2887="Yes",B2887,"")</f>
        <v/>
      </c>
    </row>
    <row r="2888" customFormat="false" ht="15" hidden="false" customHeight="false" outlineLevel="0" collapsed="false">
      <c r="A2888" s="21" t="s">
        <v>4103</v>
      </c>
      <c r="B2888" s="21" t="s">
        <v>902</v>
      </c>
      <c r="C2888" s="21" t="s">
        <v>1180</v>
      </c>
      <c r="D2888" s="21" t="s">
        <v>1188</v>
      </c>
      <c r="E2888" s="33" t="n">
        <v>46033</v>
      </c>
      <c r="F2888" s="21" t="s">
        <v>1185</v>
      </c>
      <c r="G2888" s="32" t="n">
        <v>6.1</v>
      </c>
      <c r="H2888" s="21" t="s">
        <v>120</v>
      </c>
      <c r="I2888" s="33" t="n">
        <v>46064</v>
      </c>
      <c r="J2888" s="21" t="str">
        <f aca="false">INDEX(Students!$C$2:$C$601,MATCH(B2888,Students!$A$2:$A$601,0))</f>
        <v>Batch 2026</v>
      </c>
      <c r="K2888" s="21" t="str">
        <f aca="false">INDEX(Students!$D$2:$D$601,MATCH(B2888,Students!$A$2:$A$601,0))</f>
        <v>Data Analytics</v>
      </c>
      <c r="L2888" s="21" t="str">
        <f aca="false">INDEX(Companies!$C$2:$C$31,MATCH(C2888,Companies!$A$2:$A$31,0))</f>
        <v>IT Services</v>
      </c>
      <c r="M2888" s="21" t="str">
        <f aca="false">INDEX(Companies!$D$2:$D$31,MATCH(C2888,Companies!$A$2:$A$31,0))</f>
        <v>Tier 3</v>
      </c>
      <c r="N2888" s="34" t="n">
        <f aca="false">MATCH(F2888,Assumptions!$K$4:$K$8,0)</f>
        <v>5</v>
      </c>
      <c r="O2888" s="21" t="n">
        <f aca="false">IF(H2888="Yes",MONTH(I2888),"")</f>
        <v>2</v>
      </c>
      <c r="P2888" s="21" t="str">
        <f aca="false">IF(H2888="Yes",B2888,"")</f>
        <v>S0438</v>
      </c>
    </row>
    <row r="2889" customFormat="false" ht="15" hidden="false" customHeight="false" outlineLevel="0" collapsed="false">
      <c r="A2889" s="21" t="s">
        <v>4104</v>
      </c>
      <c r="B2889" s="21" t="s">
        <v>1129</v>
      </c>
      <c r="C2889" s="21" t="s">
        <v>1225</v>
      </c>
      <c r="D2889" s="21" t="s">
        <v>1191</v>
      </c>
      <c r="E2889" s="33" t="n">
        <v>46033</v>
      </c>
      <c r="F2889" s="21" t="s">
        <v>1185</v>
      </c>
      <c r="G2889" s="32" t="n">
        <v>13.8</v>
      </c>
      <c r="H2889" s="21" t="s">
        <v>120</v>
      </c>
      <c r="I2889" s="33" t="n">
        <v>46086</v>
      </c>
      <c r="J2889" s="21" t="str">
        <f aca="false">INDEX(Students!$C$2:$C$601,MATCH(B2889,Students!$A$2:$A$601,0))</f>
        <v>Batch 2026</v>
      </c>
      <c r="K2889" s="21" t="str">
        <f aca="false">INDEX(Students!$D$2:$D$601,MATCH(B2889,Students!$A$2:$A$601,0))</f>
        <v>DSA with Java</v>
      </c>
      <c r="L2889" s="21" t="str">
        <f aca="false">INDEX(Companies!$C$2:$C$31,MATCH(C2889,Companies!$A$2:$A$31,0))</f>
        <v>EdTech</v>
      </c>
      <c r="M2889" s="21" t="str">
        <f aca="false">INDEX(Companies!$D$2:$D$31,MATCH(C2889,Companies!$A$2:$A$31,0))</f>
        <v>Tier 2</v>
      </c>
      <c r="N2889" s="34" t="n">
        <f aca="false">MATCH(F2889,Assumptions!$K$4:$K$8,0)</f>
        <v>5</v>
      </c>
      <c r="O2889" s="21" t="n">
        <f aca="false">IF(H2889="Yes",MONTH(I2889),"")</f>
        <v>3</v>
      </c>
      <c r="P2889" s="21" t="str">
        <f aca="false">IF(H2889="Yes",B2889,"")</f>
        <v>S0581</v>
      </c>
    </row>
    <row r="2890" customFormat="false" ht="15" hidden="false" customHeight="false" outlineLevel="0" collapsed="false">
      <c r="A2890" s="21" t="s">
        <v>4105</v>
      </c>
      <c r="B2890" s="21" t="s">
        <v>1143</v>
      </c>
      <c r="C2890" s="21" t="s">
        <v>1180</v>
      </c>
      <c r="D2890" s="21" t="s">
        <v>1243</v>
      </c>
      <c r="E2890" s="33" t="n">
        <v>46033</v>
      </c>
      <c r="F2890" s="21" t="s">
        <v>1185</v>
      </c>
      <c r="G2890" s="32" t="n">
        <v>7.9</v>
      </c>
      <c r="H2890" s="21" t="s">
        <v>113</v>
      </c>
      <c r="I2890" s="33" t="n">
        <v>46071</v>
      </c>
      <c r="J2890" s="21" t="str">
        <f aca="false">INDEX(Students!$C$2:$C$601,MATCH(B2890,Students!$A$2:$A$601,0))</f>
        <v>Batch 2026</v>
      </c>
      <c r="K2890" s="21" t="str">
        <f aca="false">INDEX(Students!$D$2:$D$601,MATCH(B2890,Students!$A$2:$A$601,0))</f>
        <v>Data Science &amp; ML</v>
      </c>
      <c r="L2890" s="21" t="str">
        <f aca="false">INDEX(Companies!$C$2:$C$31,MATCH(C2890,Companies!$A$2:$A$31,0))</f>
        <v>IT Services</v>
      </c>
      <c r="M2890" s="21" t="str">
        <f aca="false">INDEX(Companies!$D$2:$D$31,MATCH(C2890,Companies!$A$2:$A$31,0))</f>
        <v>Tier 3</v>
      </c>
      <c r="N2890" s="34" t="n">
        <f aca="false">MATCH(F2890,Assumptions!$K$4:$K$8,0)</f>
        <v>5</v>
      </c>
      <c r="O2890" s="21" t="str">
        <f aca="false">IF(H2890="Yes",MONTH(I2890),"")</f>
        <v/>
      </c>
      <c r="P2890" s="21" t="str">
        <f aca="false">IF(H2890="Yes",B2890,"")</f>
        <v/>
      </c>
    </row>
    <row r="2891" customFormat="false" ht="15" hidden="false" customHeight="false" outlineLevel="0" collapsed="false">
      <c r="A2891" s="21" t="s">
        <v>4106</v>
      </c>
      <c r="B2891" s="21" t="s">
        <v>981</v>
      </c>
      <c r="C2891" s="21" t="s">
        <v>1255</v>
      </c>
      <c r="D2891" s="21" t="s">
        <v>1174</v>
      </c>
      <c r="E2891" s="33" t="n">
        <v>46033</v>
      </c>
      <c r="F2891" s="21" t="s">
        <v>1185</v>
      </c>
      <c r="G2891" s="32" t="n">
        <v>5.7</v>
      </c>
      <c r="H2891" s="21" t="s">
        <v>113</v>
      </c>
      <c r="I2891" s="33" t="n">
        <v>46059</v>
      </c>
      <c r="J2891" s="21" t="str">
        <f aca="false">INDEX(Students!$C$2:$C$601,MATCH(B2891,Students!$A$2:$A$601,0))</f>
        <v>Batch 2026</v>
      </c>
      <c r="K2891" s="21" t="str">
        <f aca="false">INDEX(Students!$D$2:$D$601,MATCH(B2891,Students!$A$2:$A$601,0))</f>
        <v>Full Stack Development</v>
      </c>
      <c r="L2891" s="21" t="str">
        <f aca="false">INDEX(Companies!$C$2:$C$31,MATCH(C2891,Companies!$A$2:$A$31,0))</f>
        <v>IT Services</v>
      </c>
      <c r="M2891" s="21" t="str">
        <f aca="false">INDEX(Companies!$D$2:$D$31,MATCH(C2891,Companies!$A$2:$A$31,0))</f>
        <v>Tier 3</v>
      </c>
      <c r="N2891" s="34" t="n">
        <f aca="false">MATCH(F2891,Assumptions!$K$4:$K$8,0)</f>
        <v>5</v>
      </c>
      <c r="O2891" s="21" t="str">
        <f aca="false">IF(H2891="Yes",MONTH(I2891),"")</f>
        <v/>
      </c>
      <c r="P2891" s="21" t="str">
        <f aca="false">IF(H2891="Yes",B2891,"")</f>
        <v/>
      </c>
    </row>
    <row r="2892" customFormat="false" ht="15" hidden="false" customHeight="false" outlineLevel="0" collapsed="false">
      <c r="A2892" s="21" t="s">
        <v>4107</v>
      </c>
      <c r="B2892" s="21" t="s">
        <v>1053</v>
      </c>
      <c r="C2892" s="21" t="s">
        <v>1177</v>
      </c>
      <c r="D2892" s="21" t="s">
        <v>1184</v>
      </c>
      <c r="E2892" s="33" t="n">
        <v>46033</v>
      </c>
      <c r="F2892" s="21" t="s">
        <v>1175</v>
      </c>
      <c r="G2892" s="32"/>
      <c r="H2892" s="21"/>
      <c r="I2892" s="33"/>
      <c r="J2892" s="21" t="str">
        <f aca="false">INDEX(Students!$C$2:$C$601,MATCH(B2892,Students!$A$2:$A$601,0))</f>
        <v>Batch 2026</v>
      </c>
      <c r="K2892" s="21" t="str">
        <f aca="false">INDEX(Students!$D$2:$D$601,MATCH(B2892,Students!$A$2:$A$601,0))</f>
        <v>DSA with Java</v>
      </c>
      <c r="L2892" s="21" t="str">
        <f aca="false">INDEX(Companies!$C$2:$C$31,MATCH(C2892,Companies!$A$2:$A$31,0))</f>
        <v>IT Services</v>
      </c>
      <c r="M2892" s="21" t="str">
        <f aca="false">INDEX(Companies!$D$2:$D$31,MATCH(C2892,Companies!$A$2:$A$31,0))</f>
        <v>Tier 3</v>
      </c>
      <c r="N2892" s="34" t="n">
        <f aca="false">MATCH(F2892,Assumptions!$K$4:$K$8,0)</f>
        <v>1</v>
      </c>
      <c r="O2892" s="21" t="str">
        <f aca="false">IF(H2892="Yes",MONTH(I2892),"")</f>
        <v/>
      </c>
      <c r="P2892" s="21" t="str">
        <f aca="false">IF(H2892="Yes",B2892,"")</f>
        <v/>
      </c>
    </row>
    <row r="2893" customFormat="false" ht="15" hidden="false" customHeight="false" outlineLevel="0" collapsed="false">
      <c r="A2893" s="21" t="s">
        <v>4108</v>
      </c>
      <c r="B2893" s="21" t="s">
        <v>905</v>
      </c>
      <c r="C2893" s="21" t="s">
        <v>1173</v>
      </c>
      <c r="D2893" s="21" t="s">
        <v>1181</v>
      </c>
      <c r="E2893" s="33" t="n">
        <v>46033</v>
      </c>
      <c r="F2893" s="21" t="s">
        <v>1175</v>
      </c>
      <c r="G2893" s="32"/>
      <c r="H2893" s="21"/>
      <c r="I2893" s="33"/>
      <c r="J2893" s="21" t="str">
        <f aca="false">INDEX(Students!$C$2:$C$601,MATCH(B2893,Students!$A$2:$A$601,0))</f>
        <v>Batch 2026</v>
      </c>
      <c r="K2893" s="21" t="str">
        <f aca="false">INDEX(Students!$D$2:$D$601,MATCH(B2893,Students!$A$2:$A$601,0))</f>
        <v>Full Stack Development</v>
      </c>
      <c r="L2893" s="21" t="str">
        <f aca="false">INDEX(Companies!$C$2:$C$31,MATCH(C2893,Companies!$A$2:$A$31,0))</f>
        <v>Cybersecurity</v>
      </c>
      <c r="M2893" s="21" t="str">
        <f aca="false">INDEX(Companies!$D$2:$D$31,MATCH(C2893,Companies!$A$2:$A$31,0))</f>
        <v>Tier 1</v>
      </c>
      <c r="N2893" s="34" t="n">
        <f aca="false">MATCH(F2893,Assumptions!$K$4:$K$8,0)</f>
        <v>1</v>
      </c>
      <c r="O2893" s="21" t="str">
        <f aca="false">IF(H2893="Yes",MONTH(I2893),"")</f>
        <v/>
      </c>
      <c r="P2893" s="21" t="str">
        <f aca="false">IF(H2893="Yes",B2893,"")</f>
        <v/>
      </c>
    </row>
    <row r="2894" customFormat="false" ht="15" hidden="false" customHeight="false" outlineLevel="0" collapsed="false">
      <c r="A2894" s="21" t="s">
        <v>4109</v>
      </c>
      <c r="B2894" s="21" t="s">
        <v>1082</v>
      </c>
      <c r="C2894" s="21" t="s">
        <v>1239</v>
      </c>
      <c r="D2894" s="21" t="s">
        <v>1209</v>
      </c>
      <c r="E2894" s="33" t="n">
        <v>46034</v>
      </c>
      <c r="F2894" s="21" t="s">
        <v>1178</v>
      </c>
      <c r="G2894" s="32"/>
      <c r="H2894" s="21"/>
      <c r="I2894" s="33"/>
      <c r="J2894" s="21" t="str">
        <f aca="false">INDEX(Students!$C$2:$C$601,MATCH(B2894,Students!$A$2:$A$601,0))</f>
        <v>Batch 2026</v>
      </c>
      <c r="K2894" s="21" t="str">
        <f aca="false">INDEX(Students!$D$2:$D$601,MATCH(B2894,Students!$A$2:$A$601,0))</f>
        <v>Data Analytics</v>
      </c>
      <c r="L2894" s="21" t="str">
        <f aca="false">INDEX(Companies!$C$2:$C$31,MATCH(C2894,Companies!$A$2:$A$31,0))</f>
        <v>E-commerce</v>
      </c>
      <c r="M2894" s="21" t="str">
        <f aca="false">INDEX(Companies!$D$2:$D$31,MATCH(C2894,Companies!$A$2:$A$31,0))</f>
        <v>Tier 3</v>
      </c>
      <c r="N2894" s="34" t="n">
        <f aca="false">MATCH(F2894,Assumptions!$K$4:$K$8,0)</f>
        <v>2</v>
      </c>
      <c r="O2894" s="21" t="str">
        <f aca="false">IF(H2894="Yes",MONTH(I2894),"")</f>
        <v/>
      </c>
      <c r="P2894" s="21" t="str">
        <f aca="false">IF(H2894="Yes",B2894,"")</f>
        <v/>
      </c>
    </row>
    <row r="2895" customFormat="false" ht="15" hidden="false" customHeight="false" outlineLevel="0" collapsed="false">
      <c r="A2895" s="21" t="s">
        <v>4110</v>
      </c>
      <c r="B2895" s="21" t="s">
        <v>890</v>
      </c>
      <c r="C2895" s="21" t="s">
        <v>1228</v>
      </c>
      <c r="D2895" s="21" t="s">
        <v>1184</v>
      </c>
      <c r="E2895" s="33" t="n">
        <v>46035</v>
      </c>
      <c r="F2895" s="21" t="s">
        <v>1197</v>
      </c>
      <c r="G2895" s="32"/>
      <c r="H2895" s="21"/>
      <c r="I2895" s="33"/>
      <c r="J2895" s="21" t="str">
        <f aca="false">INDEX(Students!$C$2:$C$601,MATCH(B2895,Students!$A$2:$A$601,0))</f>
        <v>Batch 2026</v>
      </c>
      <c r="K2895" s="21" t="str">
        <f aca="false">INDEX(Students!$D$2:$D$601,MATCH(B2895,Students!$A$2:$A$601,0))</f>
        <v>DSA with Java</v>
      </c>
      <c r="L2895" s="21" t="str">
        <f aca="false">INDEX(Companies!$C$2:$C$31,MATCH(C2895,Companies!$A$2:$A$31,0))</f>
        <v>Fintech</v>
      </c>
      <c r="M2895" s="21" t="str">
        <f aca="false">INDEX(Companies!$D$2:$D$31,MATCH(C2895,Companies!$A$2:$A$31,0))</f>
        <v>Tier 1</v>
      </c>
      <c r="N2895" s="34" t="n">
        <f aca="false">MATCH(F2895,Assumptions!$K$4:$K$8,0)</f>
        <v>3</v>
      </c>
      <c r="O2895" s="21" t="str">
        <f aca="false">IF(H2895="Yes",MONTH(I2895),"")</f>
        <v/>
      </c>
      <c r="P2895" s="21" t="str">
        <f aca="false">IF(H2895="Yes",B2895,"")</f>
        <v/>
      </c>
    </row>
    <row r="2896" customFormat="false" ht="15" hidden="false" customHeight="false" outlineLevel="0" collapsed="false">
      <c r="A2896" s="21" t="s">
        <v>4111</v>
      </c>
      <c r="B2896" s="21" t="s">
        <v>1059</v>
      </c>
      <c r="C2896" s="21" t="s">
        <v>1230</v>
      </c>
      <c r="D2896" s="21" t="s">
        <v>1174</v>
      </c>
      <c r="E2896" s="33" t="n">
        <v>46035</v>
      </c>
      <c r="F2896" s="21" t="s">
        <v>1185</v>
      </c>
      <c r="G2896" s="32" t="n">
        <v>5.2</v>
      </c>
      <c r="H2896" s="21" t="s">
        <v>113</v>
      </c>
      <c r="I2896" s="33" t="n">
        <v>46070</v>
      </c>
      <c r="J2896" s="21" t="str">
        <f aca="false">INDEX(Students!$C$2:$C$601,MATCH(B2896,Students!$A$2:$A$601,0))</f>
        <v>Batch 2026</v>
      </c>
      <c r="K2896" s="21" t="str">
        <f aca="false">INDEX(Students!$D$2:$D$601,MATCH(B2896,Students!$A$2:$A$601,0))</f>
        <v>Full Stack Development</v>
      </c>
      <c r="L2896" s="21" t="str">
        <f aca="false">INDEX(Companies!$C$2:$C$31,MATCH(C2896,Companies!$A$2:$A$31,0))</f>
        <v>IT Services</v>
      </c>
      <c r="M2896" s="21" t="str">
        <f aca="false">INDEX(Companies!$D$2:$D$31,MATCH(C2896,Companies!$A$2:$A$31,0))</f>
        <v>Tier 3</v>
      </c>
      <c r="N2896" s="34" t="n">
        <f aca="false">MATCH(F2896,Assumptions!$K$4:$K$8,0)</f>
        <v>5</v>
      </c>
      <c r="O2896" s="21" t="str">
        <f aca="false">IF(H2896="Yes",MONTH(I2896),"")</f>
        <v/>
      </c>
      <c r="P2896" s="21" t="str">
        <f aca="false">IF(H2896="Yes",B2896,"")</f>
        <v/>
      </c>
    </row>
    <row r="2897" customFormat="false" ht="15" hidden="false" customHeight="false" outlineLevel="0" collapsed="false">
      <c r="A2897" s="21" t="s">
        <v>4112</v>
      </c>
      <c r="B2897" s="21" t="s">
        <v>1058</v>
      </c>
      <c r="C2897" s="21" t="s">
        <v>1180</v>
      </c>
      <c r="D2897" s="21" t="s">
        <v>1174</v>
      </c>
      <c r="E2897" s="33" t="n">
        <v>46035</v>
      </c>
      <c r="F2897" s="21" t="s">
        <v>1197</v>
      </c>
      <c r="G2897" s="32"/>
      <c r="H2897" s="21"/>
      <c r="I2897" s="33"/>
      <c r="J2897" s="21" t="str">
        <f aca="false">INDEX(Students!$C$2:$C$601,MATCH(B2897,Students!$A$2:$A$601,0))</f>
        <v>Batch 2026</v>
      </c>
      <c r="K2897" s="21" t="str">
        <f aca="false">INDEX(Students!$D$2:$D$601,MATCH(B2897,Students!$A$2:$A$601,0))</f>
        <v>Full Stack Development</v>
      </c>
      <c r="L2897" s="21" t="str">
        <f aca="false">INDEX(Companies!$C$2:$C$31,MATCH(C2897,Companies!$A$2:$A$31,0))</f>
        <v>IT Services</v>
      </c>
      <c r="M2897" s="21" t="str">
        <f aca="false">INDEX(Companies!$D$2:$D$31,MATCH(C2897,Companies!$A$2:$A$31,0))</f>
        <v>Tier 3</v>
      </c>
      <c r="N2897" s="34" t="n">
        <f aca="false">MATCH(F2897,Assumptions!$K$4:$K$8,0)</f>
        <v>3</v>
      </c>
      <c r="O2897" s="21" t="str">
        <f aca="false">IF(H2897="Yes",MONTH(I2897),"")</f>
        <v/>
      </c>
      <c r="P2897" s="21" t="str">
        <f aca="false">IF(H2897="Yes",B2897,"")</f>
        <v/>
      </c>
    </row>
    <row r="2898" customFormat="false" ht="15" hidden="false" customHeight="false" outlineLevel="0" collapsed="false">
      <c r="A2898" s="21" t="s">
        <v>4113</v>
      </c>
      <c r="B2898" s="21" t="s">
        <v>850</v>
      </c>
      <c r="C2898" s="21" t="s">
        <v>1266</v>
      </c>
      <c r="D2898" s="21" t="s">
        <v>1181</v>
      </c>
      <c r="E2898" s="33" t="n">
        <v>46035</v>
      </c>
      <c r="F2898" s="21" t="s">
        <v>1175</v>
      </c>
      <c r="G2898" s="32"/>
      <c r="H2898" s="21"/>
      <c r="I2898" s="33"/>
      <c r="J2898" s="21" t="str">
        <f aca="false">INDEX(Students!$C$2:$C$601,MATCH(B2898,Students!$A$2:$A$601,0))</f>
        <v>Batch 2026</v>
      </c>
      <c r="K2898" s="21" t="str">
        <f aca="false">INDEX(Students!$D$2:$D$601,MATCH(B2898,Students!$A$2:$A$601,0))</f>
        <v>Full Stack Development</v>
      </c>
      <c r="L2898" s="21" t="str">
        <f aca="false">INDEX(Companies!$C$2:$C$31,MATCH(C2898,Companies!$A$2:$A$31,0))</f>
        <v>IT Services</v>
      </c>
      <c r="M2898" s="21" t="str">
        <f aca="false">INDEX(Companies!$D$2:$D$31,MATCH(C2898,Companies!$A$2:$A$31,0))</f>
        <v>Tier 3</v>
      </c>
      <c r="N2898" s="34" t="n">
        <f aca="false">MATCH(F2898,Assumptions!$K$4:$K$8,0)</f>
        <v>1</v>
      </c>
      <c r="O2898" s="21" t="str">
        <f aca="false">IF(H2898="Yes",MONTH(I2898),"")</f>
        <v/>
      </c>
      <c r="P2898" s="21" t="str">
        <f aca="false">IF(H2898="Yes",B2898,"")</f>
        <v/>
      </c>
    </row>
    <row r="2899" customFormat="false" ht="15" hidden="false" customHeight="false" outlineLevel="0" collapsed="false">
      <c r="A2899" s="21" t="s">
        <v>4114</v>
      </c>
      <c r="B2899" s="21" t="s">
        <v>1124</v>
      </c>
      <c r="C2899" s="21" t="s">
        <v>1203</v>
      </c>
      <c r="D2899" s="21" t="s">
        <v>1209</v>
      </c>
      <c r="E2899" s="33" t="n">
        <v>46035</v>
      </c>
      <c r="F2899" s="21" t="s">
        <v>1175</v>
      </c>
      <c r="G2899" s="32"/>
      <c r="H2899" s="21"/>
      <c r="I2899" s="33"/>
      <c r="J2899" s="21" t="str">
        <f aca="false">INDEX(Students!$C$2:$C$601,MATCH(B2899,Students!$A$2:$A$601,0))</f>
        <v>Batch 2026</v>
      </c>
      <c r="K2899" s="21" t="str">
        <f aca="false">INDEX(Students!$D$2:$D$601,MATCH(B2899,Students!$A$2:$A$601,0))</f>
        <v>Data Analytics</v>
      </c>
      <c r="L2899" s="21" t="str">
        <f aca="false">INDEX(Companies!$C$2:$C$31,MATCH(C2899,Companies!$A$2:$A$31,0))</f>
        <v>Healthtech</v>
      </c>
      <c r="M2899" s="21" t="str">
        <f aca="false">INDEX(Companies!$D$2:$D$31,MATCH(C2899,Companies!$A$2:$A$31,0))</f>
        <v>Tier 2</v>
      </c>
      <c r="N2899" s="34" t="n">
        <f aca="false">MATCH(F2899,Assumptions!$K$4:$K$8,0)</f>
        <v>1</v>
      </c>
      <c r="O2899" s="21" t="str">
        <f aca="false">IF(H2899="Yes",MONTH(I2899),"")</f>
        <v/>
      </c>
      <c r="P2899" s="21" t="str">
        <f aca="false">IF(H2899="Yes",B2899,"")</f>
        <v/>
      </c>
    </row>
    <row r="2900" customFormat="false" ht="15" hidden="false" customHeight="false" outlineLevel="0" collapsed="false">
      <c r="A2900" s="21" t="s">
        <v>4115</v>
      </c>
      <c r="B2900" s="21" t="s">
        <v>1044</v>
      </c>
      <c r="C2900" s="21" t="s">
        <v>1183</v>
      </c>
      <c r="D2900" s="21" t="s">
        <v>1240</v>
      </c>
      <c r="E2900" s="33" t="n">
        <v>46035</v>
      </c>
      <c r="F2900" s="21" t="s">
        <v>1175</v>
      </c>
      <c r="G2900" s="32"/>
      <c r="H2900" s="21"/>
      <c r="I2900" s="33"/>
      <c r="J2900" s="21" t="str">
        <f aca="false">INDEX(Students!$C$2:$C$601,MATCH(B2900,Students!$A$2:$A$601,0))</f>
        <v>Batch 2026</v>
      </c>
      <c r="K2900" s="21" t="str">
        <f aca="false">INDEX(Students!$D$2:$D$601,MATCH(B2900,Students!$A$2:$A$601,0))</f>
        <v>Cybersecurity</v>
      </c>
      <c r="L2900" s="21" t="str">
        <f aca="false">INDEX(Companies!$C$2:$C$31,MATCH(C2900,Companies!$A$2:$A$31,0))</f>
        <v>E-commerce</v>
      </c>
      <c r="M2900" s="21" t="str">
        <f aca="false">INDEX(Companies!$D$2:$D$31,MATCH(C2900,Companies!$A$2:$A$31,0))</f>
        <v>Tier 2</v>
      </c>
      <c r="N2900" s="34" t="n">
        <f aca="false">MATCH(F2900,Assumptions!$K$4:$K$8,0)</f>
        <v>1</v>
      </c>
      <c r="O2900" s="21" t="str">
        <f aca="false">IF(H2900="Yes",MONTH(I2900),"")</f>
        <v/>
      </c>
      <c r="P2900" s="21" t="str">
        <f aca="false">IF(H2900="Yes",B2900,"")</f>
        <v/>
      </c>
    </row>
    <row r="2901" customFormat="false" ht="15" hidden="false" customHeight="false" outlineLevel="0" collapsed="false">
      <c r="A2901" s="21" t="s">
        <v>4116</v>
      </c>
      <c r="B2901" s="21" t="s">
        <v>1024</v>
      </c>
      <c r="C2901" s="21" t="s">
        <v>1196</v>
      </c>
      <c r="D2901" s="21" t="s">
        <v>1191</v>
      </c>
      <c r="E2901" s="33" t="n">
        <v>46035</v>
      </c>
      <c r="F2901" s="21" t="s">
        <v>1185</v>
      </c>
      <c r="G2901" s="32" t="n">
        <v>5.1</v>
      </c>
      <c r="H2901" s="21" t="s">
        <v>120</v>
      </c>
      <c r="I2901" s="33" t="n">
        <v>46066</v>
      </c>
      <c r="J2901" s="21" t="str">
        <f aca="false">INDEX(Students!$C$2:$C$601,MATCH(B2901,Students!$A$2:$A$601,0))</f>
        <v>Batch 2026</v>
      </c>
      <c r="K2901" s="21" t="str">
        <f aca="false">INDEX(Students!$D$2:$D$601,MATCH(B2901,Students!$A$2:$A$601,0))</f>
        <v>DSA with Java</v>
      </c>
      <c r="L2901" s="21" t="str">
        <f aca="false">INDEX(Companies!$C$2:$C$31,MATCH(C2901,Companies!$A$2:$A$31,0))</f>
        <v>IT Services</v>
      </c>
      <c r="M2901" s="21" t="str">
        <f aca="false">INDEX(Companies!$D$2:$D$31,MATCH(C2901,Companies!$A$2:$A$31,0))</f>
        <v>Tier 3</v>
      </c>
      <c r="N2901" s="34" t="n">
        <f aca="false">MATCH(F2901,Assumptions!$K$4:$K$8,0)</f>
        <v>5</v>
      </c>
      <c r="O2901" s="21" t="n">
        <f aca="false">IF(H2901="Yes",MONTH(I2901),"")</f>
        <v>2</v>
      </c>
      <c r="P2901" s="21" t="str">
        <f aca="false">IF(H2901="Yes",B2901,"")</f>
        <v>S0515</v>
      </c>
    </row>
    <row r="2902" customFormat="false" ht="15" hidden="false" customHeight="false" outlineLevel="0" collapsed="false">
      <c r="A2902" s="21" t="s">
        <v>4117</v>
      </c>
      <c r="B2902" s="21" t="s">
        <v>1003</v>
      </c>
      <c r="C2902" s="21" t="s">
        <v>1322</v>
      </c>
      <c r="D2902" s="21" t="s">
        <v>1243</v>
      </c>
      <c r="E2902" s="33" t="n">
        <v>46035</v>
      </c>
      <c r="F2902" s="21" t="s">
        <v>1175</v>
      </c>
      <c r="G2902" s="32"/>
      <c r="H2902" s="21"/>
      <c r="I2902" s="33"/>
      <c r="J2902" s="21" t="str">
        <f aca="false">INDEX(Students!$C$2:$C$601,MATCH(B2902,Students!$A$2:$A$601,0))</f>
        <v>Batch 2026</v>
      </c>
      <c r="K2902" s="21" t="str">
        <f aca="false">INDEX(Students!$D$2:$D$601,MATCH(B2902,Students!$A$2:$A$601,0))</f>
        <v>Data Science &amp; ML</v>
      </c>
      <c r="L2902" s="21" t="str">
        <f aca="false">INDEX(Companies!$C$2:$C$31,MATCH(C2902,Companies!$A$2:$A$31,0))</f>
        <v>Healthtech</v>
      </c>
      <c r="M2902" s="21" t="str">
        <f aca="false">INDEX(Companies!$D$2:$D$31,MATCH(C2902,Companies!$A$2:$A$31,0))</f>
        <v>Tier 2</v>
      </c>
      <c r="N2902" s="34" t="n">
        <f aca="false">MATCH(F2902,Assumptions!$K$4:$K$8,0)</f>
        <v>1</v>
      </c>
      <c r="O2902" s="21" t="str">
        <f aca="false">IF(H2902="Yes",MONTH(I2902),"")</f>
        <v/>
      </c>
      <c r="P2902" s="21" t="str">
        <f aca="false">IF(H2902="Yes",B2902,"")</f>
        <v/>
      </c>
    </row>
    <row r="2903" customFormat="false" ht="15" hidden="false" customHeight="false" outlineLevel="0" collapsed="false">
      <c r="A2903" s="21" t="s">
        <v>4118</v>
      </c>
      <c r="B2903" s="21" t="s">
        <v>813</v>
      </c>
      <c r="C2903" s="21" t="s">
        <v>1173</v>
      </c>
      <c r="D2903" s="21" t="s">
        <v>1184</v>
      </c>
      <c r="E2903" s="33" t="n">
        <v>46036</v>
      </c>
      <c r="F2903" s="21" t="s">
        <v>1197</v>
      </c>
      <c r="G2903" s="32"/>
      <c r="H2903" s="21"/>
      <c r="I2903" s="33"/>
      <c r="J2903" s="21" t="str">
        <f aca="false">INDEX(Students!$C$2:$C$601,MATCH(B2903,Students!$A$2:$A$601,0))</f>
        <v>Batch 2026</v>
      </c>
      <c r="K2903" s="21" t="str">
        <f aca="false">INDEX(Students!$D$2:$D$601,MATCH(B2903,Students!$A$2:$A$601,0))</f>
        <v>DSA with Java</v>
      </c>
      <c r="L2903" s="21" t="str">
        <f aca="false">INDEX(Companies!$C$2:$C$31,MATCH(C2903,Companies!$A$2:$A$31,0))</f>
        <v>Cybersecurity</v>
      </c>
      <c r="M2903" s="21" t="str">
        <f aca="false">INDEX(Companies!$D$2:$D$31,MATCH(C2903,Companies!$A$2:$A$31,0))</f>
        <v>Tier 1</v>
      </c>
      <c r="N2903" s="34" t="n">
        <f aca="false">MATCH(F2903,Assumptions!$K$4:$K$8,0)</f>
        <v>3</v>
      </c>
      <c r="O2903" s="21" t="str">
        <f aca="false">IF(H2903="Yes",MONTH(I2903),"")</f>
        <v/>
      </c>
      <c r="P2903" s="21" t="str">
        <f aca="false">IF(H2903="Yes",B2903,"")</f>
        <v/>
      </c>
    </row>
    <row r="2904" customFormat="false" ht="15" hidden="false" customHeight="false" outlineLevel="0" collapsed="false">
      <c r="A2904" s="21" t="s">
        <v>4119</v>
      </c>
      <c r="B2904" s="21" t="s">
        <v>870</v>
      </c>
      <c r="C2904" s="21" t="s">
        <v>1230</v>
      </c>
      <c r="D2904" s="21" t="s">
        <v>1174</v>
      </c>
      <c r="E2904" s="33" t="n">
        <v>46036</v>
      </c>
      <c r="F2904" s="21" t="s">
        <v>1175</v>
      </c>
      <c r="G2904" s="32"/>
      <c r="H2904" s="21"/>
      <c r="I2904" s="33"/>
      <c r="J2904" s="21" t="str">
        <f aca="false">INDEX(Students!$C$2:$C$601,MATCH(B2904,Students!$A$2:$A$601,0))</f>
        <v>Batch 2026</v>
      </c>
      <c r="K2904" s="21" t="str">
        <f aca="false">INDEX(Students!$D$2:$D$601,MATCH(B2904,Students!$A$2:$A$601,0))</f>
        <v>Full Stack Development</v>
      </c>
      <c r="L2904" s="21" t="str">
        <f aca="false">INDEX(Companies!$C$2:$C$31,MATCH(C2904,Companies!$A$2:$A$31,0))</f>
        <v>IT Services</v>
      </c>
      <c r="M2904" s="21" t="str">
        <f aca="false">INDEX(Companies!$D$2:$D$31,MATCH(C2904,Companies!$A$2:$A$31,0))</f>
        <v>Tier 3</v>
      </c>
      <c r="N2904" s="34" t="n">
        <f aca="false">MATCH(F2904,Assumptions!$K$4:$K$8,0)</f>
        <v>1</v>
      </c>
      <c r="O2904" s="21" t="str">
        <f aca="false">IF(H2904="Yes",MONTH(I2904),"")</f>
        <v/>
      </c>
      <c r="P2904" s="21" t="str">
        <f aca="false">IF(H2904="Yes",B2904,"")</f>
        <v/>
      </c>
    </row>
    <row r="2905" customFormat="false" ht="15" hidden="false" customHeight="false" outlineLevel="0" collapsed="false">
      <c r="A2905" s="21" t="s">
        <v>4120</v>
      </c>
      <c r="B2905" s="21" t="s">
        <v>1100</v>
      </c>
      <c r="C2905" s="21" t="s">
        <v>1177</v>
      </c>
      <c r="D2905" s="21" t="s">
        <v>1181</v>
      </c>
      <c r="E2905" s="33" t="n">
        <v>46036</v>
      </c>
      <c r="F2905" s="21" t="s">
        <v>1175</v>
      </c>
      <c r="G2905" s="32"/>
      <c r="H2905" s="21"/>
      <c r="I2905" s="33"/>
      <c r="J2905" s="21" t="str">
        <f aca="false">INDEX(Students!$C$2:$C$601,MATCH(B2905,Students!$A$2:$A$601,0))</f>
        <v>Batch 2026</v>
      </c>
      <c r="K2905" s="21" t="str">
        <f aca="false">INDEX(Students!$D$2:$D$601,MATCH(B2905,Students!$A$2:$A$601,0))</f>
        <v>Full Stack Development</v>
      </c>
      <c r="L2905" s="21" t="str">
        <f aca="false">INDEX(Companies!$C$2:$C$31,MATCH(C2905,Companies!$A$2:$A$31,0))</f>
        <v>IT Services</v>
      </c>
      <c r="M2905" s="21" t="str">
        <f aca="false">INDEX(Companies!$D$2:$D$31,MATCH(C2905,Companies!$A$2:$A$31,0))</f>
        <v>Tier 3</v>
      </c>
      <c r="N2905" s="34" t="n">
        <f aca="false">MATCH(F2905,Assumptions!$K$4:$K$8,0)</f>
        <v>1</v>
      </c>
      <c r="O2905" s="21" t="str">
        <f aca="false">IF(H2905="Yes",MONTH(I2905),"")</f>
        <v/>
      </c>
      <c r="P2905" s="21" t="str">
        <f aca="false">IF(H2905="Yes",B2905,"")</f>
        <v/>
      </c>
    </row>
    <row r="2906" customFormat="false" ht="15" hidden="false" customHeight="false" outlineLevel="0" collapsed="false">
      <c r="A2906" s="21" t="s">
        <v>4121</v>
      </c>
      <c r="B2906" s="21" t="s">
        <v>1003</v>
      </c>
      <c r="C2906" s="21" t="s">
        <v>1225</v>
      </c>
      <c r="D2906" s="21" t="s">
        <v>1243</v>
      </c>
      <c r="E2906" s="33" t="n">
        <v>46036</v>
      </c>
      <c r="F2906" s="21" t="s">
        <v>1185</v>
      </c>
      <c r="G2906" s="32" t="n">
        <v>8.7</v>
      </c>
      <c r="H2906" s="21" t="s">
        <v>120</v>
      </c>
      <c r="I2906" s="33" t="n">
        <v>46062</v>
      </c>
      <c r="J2906" s="21" t="str">
        <f aca="false">INDEX(Students!$C$2:$C$601,MATCH(B2906,Students!$A$2:$A$601,0))</f>
        <v>Batch 2026</v>
      </c>
      <c r="K2906" s="21" t="str">
        <f aca="false">INDEX(Students!$D$2:$D$601,MATCH(B2906,Students!$A$2:$A$601,0))</f>
        <v>Data Science &amp; ML</v>
      </c>
      <c r="L2906" s="21" t="str">
        <f aca="false">INDEX(Companies!$C$2:$C$31,MATCH(C2906,Companies!$A$2:$A$31,0))</f>
        <v>EdTech</v>
      </c>
      <c r="M2906" s="21" t="str">
        <f aca="false">INDEX(Companies!$D$2:$D$31,MATCH(C2906,Companies!$A$2:$A$31,0))</f>
        <v>Tier 2</v>
      </c>
      <c r="N2906" s="34" t="n">
        <f aca="false">MATCH(F2906,Assumptions!$K$4:$K$8,0)</f>
        <v>5</v>
      </c>
      <c r="O2906" s="21" t="n">
        <f aca="false">IF(H2906="Yes",MONTH(I2906),"")</f>
        <v>2</v>
      </c>
      <c r="P2906" s="21" t="str">
        <f aca="false">IF(H2906="Yes",B2906,"")</f>
        <v>S0501</v>
      </c>
    </row>
    <row r="2907" customFormat="false" ht="15" hidden="false" customHeight="false" outlineLevel="0" collapsed="false">
      <c r="A2907" s="21" t="s">
        <v>4122</v>
      </c>
      <c r="B2907" s="21" t="s">
        <v>892</v>
      </c>
      <c r="C2907" s="21" t="s">
        <v>1193</v>
      </c>
      <c r="D2907" s="21" t="s">
        <v>1191</v>
      </c>
      <c r="E2907" s="33" t="n">
        <v>46037</v>
      </c>
      <c r="F2907" s="21" t="s">
        <v>1175</v>
      </c>
      <c r="G2907" s="32"/>
      <c r="H2907" s="21"/>
      <c r="I2907" s="33"/>
      <c r="J2907" s="21" t="str">
        <f aca="false">INDEX(Students!$C$2:$C$601,MATCH(B2907,Students!$A$2:$A$601,0))</f>
        <v>Batch 2026</v>
      </c>
      <c r="K2907" s="21" t="str">
        <f aca="false">INDEX(Students!$D$2:$D$601,MATCH(B2907,Students!$A$2:$A$601,0))</f>
        <v>DSA with Java</v>
      </c>
      <c r="L2907" s="21" t="str">
        <f aca="false">INDEX(Companies!$C$2:$C$31,MATCH(C2907,Companies!$A$2:$A$31,0))</f>
        <v>Analytics &amp; Consulting</v>
      </c>
      <c r="M2907" s="21" t="str">
        <f aca="false">INDEX(Companies!$D$2:$D$31,MATCH(C2907,Companies!$A$2:$A$31,0))</f>
        <v>Tier 2</v>
      </c>
      <c r="N2907" s="34" t="n">
        <f aca="false">MATCH(F2907,Assumptions!$K$4:$K$8,0)</f>
        <v>1</v>
      </c>
      <c r="O2907" s="21" t="str">
        <f aca="false">IF(H2907="Yes",MONTH(I2907),"")</f>
        <v/>
      </c>
      <c r="P2907" s="21" t="str">
        <f aca="false">IF(H2907="Yes",B2907,"")</f>
        <v/>
      </c>
    </row>
    <row r="2908" customFormat="false" ht="15" hidden="false" customHeight="false" outlineLevel="0" collapsed="false">
      <c r="A2908" s="21" t="s">
        <v>4123</v>
      </c>
      <c r="B2908" s="21" t="s">
        <v>1073</v>
      </c>
      <c r="C2908" s="21" t="s">
        <v>1183</v>
      </c>
      <c r="D2908" s="21" t="s">
        <v>1174</v>
      </c>
      <c r="E2908" s="33" t="n">
        <v>46037</v>
      </c>
      <c r="F2908" s="21" t="s">
        <v>1197</v>
      </c>
      <c r="G2908" s="32"/>
      <c r="H2908" s="21"/>
      <c r="I2908" s="33"/>
      <c r="J2908" s="21" t="str">
        <f aca="false">INDEX(Students!$C$2:$C$601,MATCH(B2908,Students!$A$2:$A$601,0))</f>
        <v>Batch 2026</v>
      </c>
      <c r="K2908" s="21" t="str">
        <f aca="false">INDEX(Students!$D$2:$D$601,MATCH(B2908,Students!$A$2:$A$601,0))</f>
        <v>Full Stack Development</v>
      </c>
      <c r="L2908" s="21" t="str">
        <f aca="false">INDEX(Companies!$C$2:$C$31,MATCH(C2908,Companies!$A$2:$A$31,0))</f>
        <v>E-commerce</v>
      </c>
      <c r="M2908" s="21" t="str">
        <f aca="false">INDEX(Companies!$D$2:$D$31,MATCH(C2908,Companies!$A$2:$A$31,0))</f>
        <v>Tier 2</v>
      </c>
      <c r="N2908" s="34" t="n">
        <f aca="false">MATCH(F2908,Assumptions!$K$4:$K$8,0)</f>
        <v>3</v>
      </c>
      <c r="O2908" s="21" t="str">
        <f aca="false">IF(H2908="Yes",MONTH(I2908),"")</f>
        <v/>
      </c>
      <c r="P2908" s="21" t="str">
        <f aca="false">IF(H2908="Yes",B2908,"")</f>
        <v/>
      </c>
    </row>
    <row r="2909" customFormat="false" ht="15" hidden="false" customHeight="false" outlineLevel="0" collapsed="false">
      <c r="A2909" s="21" t="s">
        <v>4124</v>
      </c>
      <c r="B2909" s="21" t="s">
        <v>1059</v>
      </c>
      <c r="C2909" s="21" t="s">
        <v>1211</v>
      </c>
      <c r="D2909" s="21" t="s">
        <v>1181</v>
      </c>
      <c r="E2909" s="33" t="n">
        <v>46037</v>
      </c>
      <c r="F2909" s="21" t="s">
        <v>1185</v>
      </c>
      <c r="G2909" s="32" t="n">
        <v>5.1</v>
      </c>
      <c r="H2909" s="21" t="s">
        <v>113</v>
      </c>
      <c r="I2909" s="33" t="n">
        <v>46080</v>
      </c>
      <c r="J2909" s="21" t="str">
        <f aca="false">INDEX(Students!$C$2:$C$601,MATCH(B2909,Students!$A$2:$A$601,0))</f>
        <v>Batch 2026</v>
      </c>
      <c r="K2909" s="21" t="str">
        <f aca="false">INDEX(Students!$D$2:$D$601,MATCH(B2909,Students!$A$2:$A$601,0))</f>
        <v>Full Stack Development</v>
      </c>
      <c r="L2909" s="21" t="str">
        <f aca="false">INDEX(Companies!$C$2:$C$31,MATCH(C2909,Companies!$A$2:$A$31,0))</f>
        <v>Analytics &amp; Consulting</v>
      </c>
      <c r="M2909" s="21" t="str">
        <f aca="false">INDEX(Companies!$D$2:$D$31,MATCH(C2909,Companies!$A$2:$A$31,0))</f>
        <v>Tier 3</v>
      </c>
      <c r="N2909" s="34" t="n">
        <f aca="false">MATCH(F2909,Assumptions!$K$4:$K$8,0)</f>
        <v>5</v>
      </c>
      <c r="O2909" s="21" t="str">
        <f aca="false">IF(H2909="Yes",MONTH(I2909),"")</f>
        <v/>
      </c>
      <c r="P2909" s="21" t="str">
        <f aca="false">IF(H2909="Yes",B2909,"")</f>
        <v/>
      </c>
    </row>
    <row r="2910" customFormat="false" ht="15" hidden="false" customHeight="false" outlineLevel="0" collapsed="false">
      <c r="A2910" s="21" t="s">
        <v>4125</v>
      </c>
      <c r="B2910" s="21" t="s">
        <v>1133</v>
      </c>
      <c r="C2910" s="21" t="s">
        <v>1322</v>
      </c>
      <c r="D2910" s="21" t="s">
        <v>1209</v>
      </c>
      <c r="E2910" s="33" t="n">
        <v>46037</v>
      </c>
      <c r="F2910" s="21" t="s">
        <v>1175</v>
      </c>
      <c r="G2910" s="32"/>
      <c r="H2910" s="21"/>
      <c r="I2910" s="33"/>
      <c r="J2910" s="21" t="str">
        <f aca="false">INDEX(Students!$C$2:$C$601,MATCH(B2910,Students!$A$2:$A$601,0))</f>
        <v>Batch 2026</v>
      </c>
      <c r="K2910" s="21" t="str">
        <f aca="false">INDEX(Students!$D$2:$D$601,MATCH(B2910,Students!$A$2:$A$601,0))</f>
        <v>Data Analytics</v>
      </c>
      <c r="L2910" s="21" t="str">
        <f aca="false">INDEX(Companies!$C$2:$C$31,MATCH(C2910,Companies!$A$2:$A$31,0))</f>
        <v>Healthtech</v>
      </c>
      <c r="M2910" s="21" t="str">
        <f aca="false">INDEX(Companies!$D$2:$D$31,MATCH(C2910,Companies!$A$2:$A$31,0))</f>
        <v>Tier 2</v>
      </c>
      <c r="N2910" s="34" t="n">
        <f aca="false">MATCH(F2910,Assumptions!$K$4:$K$8,0)</f>
        <v>1</v>
      </c>
      <c r="O2910" s="21" t="str">
        <f aca="false">IF(H2910="Yes",MONTH(I2910),"")</f>
        <v/>
      </c>
      <c r="P2910" s="21" t="str">
        <f aca="false">IF(H2910="Yes",B2910,"")</f>
        <v/>
      </c>
    </row>
    <row r="2911" customFormat="false" ht="15" hidden="false" customHeight="false" outlineLevel="0" collapsed="false">
      <c r="A2911" s="21" t="s">
        <v>4126</v>
      </c>
      <c r="B2911" s="21" t="s">
        <v>919</v>
      </c>
      <c r="C2911" s="21" t="s">
        <v>1196</v>
      </c>
      <c r="D2911" s="21" t="s">
        <v>1209</v>
      </c>
      <c r="E2911" s="33" t="n">
        <v>46037</v>
      </c>
      <c r="F2911" s="21" t="s">
        <v>1185</v>
      </c>
      <c r="G2911" s="32" t="n">
        <v>5.8</v>
      </c>
      <c r="H2911" s="21" t="s">
        <v>113</v>
      </c>
      <c r="I2911" s="33" t="n">
        <v>46064</v>
      </c>
      <c r="J2911" s="21" t="str">
        <f aca="false">INDEX(Students!$C$2:$C$601,MATCH(B2911,Students!$A$2:$A$601,0))</f>
        <v>Batch 2026</v>
      </c>
      <c r="K2911" s="21" t="str">
        <f aca="false">INDEX(Students!$D$2:$D$601,MATCH(B2911,Students!$A$2:$A$601,0))</f>
        <v>Data Analytics</v>
      </c>
      <c r="L2911" s="21" t="str">
        <f aca="false">INDEX(Companies!$C$2:$C$31,MATCH(C2911,Companies!$A$2:$A$31,0))</f>
        <v>IT Services</v>
      </c>
      <c r="M2911" s="21" t="str">
        <f aca="false">INDEX(Companies!$D$2:$D$31,MATCH(C2911,Companies!$A$2:$A$31,0))</f>
        <v>Tier 3</v>
      </c>
      <c r="N2911" s="34" t="n">
        <f aca="false">MATCH(F2911,Assumptions!$K$4:$K$8,0)</f>
        <v>5</v>
      </c>
      <c r="O2911" s="21" t="str">
        <f aca="false">IF(H2911="Yes",MONTH(I2911),"")</f>
        <v/>
      </c>
      <c r="P2911" s="21" t="str">
        <f aca="false">IF(H2911="Yes",B2911,"")</f>
        <v/>
      </c>
    </row>
    <row r="2912" customFormat="false" ht="15" hidden="false" customHeight="false" outlineLevel="0" collapsed="false">
      <c r="A2912" s="21" t="s">
        <v>4127</v>
      </c>
      <c r="B2912" s="21" t="s">
        <v>1127</v>
      </c>
      <c r="C2912" s="21" t="s">
        <v>1222</v>
      </c>
      <c r="D2912" s="21" t="s">
        <v>1181</v>
      </c>
      <c r="E2912" s="33" t="n">
        <v>46038</v>
      </c>
      <c r="F2912" s="21" t="s">
        <v>1178</v>
      </c>
      <c r="G2912" s="32"/>
      <c r="H2912" s="21"/>
      <c r="I2912" s="33"/>
      <c r="J2912" s="21" t="str">
        <f aca="false">INDEX(Students!$C$2:$C$601,MATCH(B2912,Students!$A$2:$A$601,0))</f>
        <v>Batch 2026</v>
      </c>
      <c r="K2912" s="21" t="str">
        <f aca="false">INDEX(Students!$D$2:$D$601,MATCH(B2912,Students!$A$2:$A$601,0))</f>
        <v>Full Stack Development</v>
      </c>
      <c r="L2912" s="21" t="str">
        <f aca="false">INDEX(Companies!$C$2:$C$31,MATCH(C2912,Companies!$A$2:$A$31,0))</f>
        <v>Product</v>
      </c>
      <c r="M2912" s="21" t="str">
        <f aca="false">INDEX(Companies!$D$2:$D$31,MATCH(C2912,Companies!$A$2:$A$31,0))</f>
        <v>Tier 2</v>
      </c>
      <c r="N2912" s="34" t="n">
        <f aca="false">MATCH(F2912,Assumptions!$K$4:$K$8,0)</f>
        <v>2</v>
      </c>
      <c r="O2912" s="21" t="str">
        <f aca="false">IF(H2912="Yes",MONTH(I2912),"")</f>
        <v/>
      </c>
      <c r="P2912" s="21" t="str">
        <f aca="false">IF(H2912="Yes",B2912,"")</f>
        <v/>
      </c>
    </row>
    <row r="2913" customFormat="false" ht="15" hidden="false" customHeight="false" outlineLevel="0" collapsed="false">
      <c r="A2913" s="21" t="s">
        <v>4128</v>
      </c>
      <c r="B2913" s="21" t="s">
        <v>1150</v>
      </c>
      <c r="C2913" s="21" t="s">
        <v>1187</v>
      </c>
      <c r="D2913" s="21" t="s">
        <v>1209</v>
      </c>
      <c r="E2913" s="33" t="n">
        <v>46038</v>
      </c>
      <c r="F2913" s="21" t="s">
        <v>1178</v>
      </c>
      <c r="G2913" s="32"/>
      <c r="H2913" s="21"/>
      <c r="I2913" s="33"/>
      <c r="J2913" s="21" t="str">
        <f aca="false">INDEX(Students!$C$2:$C$601,MATCH(B2913,Students!$A$2:$A$601,0))</f>
        <v>Batch 2026</v>
      </c>
      <c r="K2913" s="21" t="str">
        <f aca="false">INDEX(Students!$D$2:$D$601,MATCH(B2913,Students!$A$2:$A$601,0))</f>
        <v>Data Analytics</v>
      </c>
      <c r="L2913" s="21" t="str">
        <f aca="false">INDEX(Companies!$C$2:$C$31,MATCH(C2913,Companies!$A$2:$A$31,0))</f>
        <v>Product</v>
      </c>
      <c r="M2913" s="21" t="str">
        <f aca="false">INDEX(Companies!$D$2:$D$31,MATCH(C2913,Companies!$A$2:$A$31,0))</f>
        <v>Tier 1</v>
      </c>
      <c r="N2913" s="34" t="n">
        <f aca="false">MATCH(F2913,Assumptions!$K$4:$K$8,0)</f>
        <v>2</v>
      </c>
      <c r="O2913" s="21" t="str">
        <f aca="false">IF(H2913="Yes",MONTH(I2913),"")</f>
        <v/>
      </c>
      <c r="P2913" s="21" t="str">
        <f aca="false">IF(H2913="Yes",B2913,"")</f>
        <v/>
      </c>
    </row>
    <row r="2914" customFormat="false" ht="15" hidden="false" customHeight="false" outlineLevel="0" collapsed="false">
      <c r="A2914" s="21" t="s">
        <v>4129</v>
      </c>
      <c r="B2914" s="21" t="s">
        <v>1138</v>
      </c>
      <c r="C2914" s="21" t="s">
        <v>1173</v>
      </c>
      <c r="D2914" s="21" t="s">
        <v>1191</v>
      </c>
      <c r="E2914" s="33" t="n">
        <v>46038</v>
      </c>
      <c r="F2914" s="21" t="s">
        <v>1197</v>
      </c>
      <c r="G2914" s="32"/>
      <c r="H2914" s="21"/>
      <c r="I2914" s="33"/>
      <c r="J2914" s="21" t="str">
        <f aca="false">INDEX(Students!$C$2:$C$601,MATCH(B2914,Students!$A$2:$A$601,0))</f>
        <v>Batch 2026</v>
      </c>
      <c r="K2914" s="21" t="str">
        <f aca="false">INDEX(Students!$D$2:$D$601,MATCH(B2914,Students!$A$2:$A$601,0))</f>
        <v>DSA with Java</v>
      </c>
      <c r="L2914" s="21" t="str">
        <f aca="false">INDEX(Companies!$C$2:$C$31,MATCH(C2914,Companies!$A$2:$A$31,0))</f>
        <v>Cybersecurity</v>
      </c>
      <c r="M2914" s="21" t="str">
        <f aca="false">INDEX(Companies!$D$2:$D$31,MATCH(C2914,Companies!$A$2:$A$31,0))</f>
        <v>Tier 1</v>
      </c>
      <c r="N2914" s="34" t="n">
        <f aca="false">MATCH(F2914,Assumptions!$K$4:$K$8,0)</f>
        <v>3</v>
      </c>
      <c r="O2914" s="21" t="str">
        <f aca="false">IF(H2914="Yes",MONTH(I2914),"")</f>
        <v/>
      </c>
      <c r="P2914" s="21" t="str">
        <f aca="false">IF(H2914="Yes",B2914,"")</f>
        <v/>
      </c>
    </row>
    <row r="2915" customFormat="false" ht="15" hidden="false" customHeight="false" outlineLevel="0" collapsed="false">
      <c r="A2915" s="21" t="s">
        <v>4130</v>
      </c>
      <c r="B2915" s="21" t="s">
        <v>856</v>
      </c>
      <c r="C2915" s="21" t="s">
        <v>1266</v>
      </c>
      <c r="D2915" s="21" t="s">
        <v>1226</v>
      </c>
      <c r="E2915" s="33" t="n">
        <v>46038</v>
      </c>
      <c r="F2915" s="21" t="s">
        <v>1175</v>
      </c>
      <c r="G2915" s="32"/>
      <c r="H2915" s="21"/>
      <c r="I2915" s="33"/>
      <c r="J2915" s="21" t="str">
        <f aca="false">INDEX(Students!$C$2:$C$601,MATCH(B2915,Students!$A$2:$A$601,0))</f>
        <v>Batch 2026</v>
      </c>
      <c r="K2915" s="21" t="str">
        <f aca="false">INDEX(Students!$D$2:$D$601,MATCH(B2915,Students!$A$2:$A$601,0))</f>
        <v>Cybersecurity</v>
      </c>
      <c r="L2915" s="21" t="str">
        <f aca="false">INDEX(Companies!$C$2:$C$31,MATCH(C2915,Companies!$A$2:$A$31,0))</f>
        <v>IT Services</v>
      </c>
      <c r="M2915" s="21" t="str">
        <f aca="false">INDEX(Companies!$D$2:$D$31,MATCH(C2915,Companies!$A$2:$A$31,0))</f>
        <v>Tier 3</v>
      </c>
      <c r="N2915" s="34" t="n">
        <f aca="false">MATCH(F2915,Assumptions!$K$4:$K$8,0)</f>
        <v>1</v>
      </c>
      <c r="O2915" s="21" t="str">
        <f aca="false">IF(H2915="Yes",MONTH(I2915),"")</f>
        <v/>
      </c>
      <c r="P2915" s="21" t="str">
        <f aca="false">IF(H2915="Yes",B2915,"")</f>
        <v/>
      </c>
    </row>
    <row r="2916" customFormat="false" ht="15" hidden="false" customHeight="false" outlineLevel="0" collapsed="false">
      <c r="A2916" s="21" t="s">
        <v>4131</v>
      </c>
      <c r="B2916" s="21" t="s">
        <v>1024</v>
      </c>
      <c r="C2916" s="21" t="s">
        <v>1214</v>
      </c>
      <c r="D2916" s="21" t="s">
        <v>1191</v>
      </c>
      <c r="E2916" s="33" t="n">
        <v>46038</v>
      </c>
      <c r="F2916" s="21" t="s">
        <v>1178</v>
      </c>
      <c r="G2916" s="32"/>
      <c r="H2916" s="21"/>
      <c r="I2916" s="33"/>
      <c r="J2916" s="21" t="str">
        <f aca="false">INDEX(Students!$C$2:$C$601,MATCH(B2916,Students!$A$2:$A$601,0))</f>
        <v>Batch 2026</v>
      </c>
      <c r="K2916" s="21" t="str">
        <f aca="false">INDEX(Students!$D$2:$D$601,MATCH(B2916,Students!$A$2:$A$601,0))</f>
        <v>DSA with Java</v>
      </c>
      <c r="L2916" s="21" t="str">
        <f aca="false">INDEX(Companies!$C$2:$C$31,MATCH(C2916,Companies!$A$2:$A$31,0))</f>
        <v>Product</v>
      </c>
      <c r="M2916" s="21" t="str">
        <f aca="false">INDEX(Companies!$D$2:$D$31,MATCH(C2916,Companies!$A$2:$A$31,0))</f>
        <v>Tier 1</v>
      </c>
      <c r="N2916" s="34" t="n">
        <f aca="false">MATCH(F2916,Assumptions!$K$4:$K$8,0)</f>
        <v>2</v>
      </c>
      <c r="O2916" s="21" t="str">
        <f aca="false">IF(H2916="Yes",MONTH(I2916),"")</f>
        <v/>
      </c>
      <c r="P2916" s="21" t="str">
        <f aca="false">IF(H2916="Yes",B2916,"")</f>
        <v/>
      </c>
    </row>
    <row r="2917" customFormat="false" ht="15" hidden="false" customHeight="false" outlineLevel="0" collapsed="false">
      <c r="A2917" s="21" t="s">
        <v>4132</v>
      </c>
      <c r="B2917" s="21" t="s">
        <v>1025</v>
      </c>
      <c r="C2917" s="21" t="s">
        <v>1255</v>
      </c>
      <c r="D2917" s="21" t="s">
        <v>1194</v>
      </c>
      <c r="E2917" s="33" t="n">
        <v>46038</v>
      </c>
      <c r="F2917" s="21" t="s">
        <v>1178</v>
      </c>
      <c r="G2917" s="32"/>
      <c r="H2917" s="21"/>
      <c r="I2917" s="33"/>
      <c r="J2917" s="21" t="str">
        <f aca="false">INDEX(Students!$C$2:$C$601,MATCH(B2917,Students!$A$2:$A$601,0))</f>
        <v>Batch 2026</v>
      </c>
      <c r="K2917" s="21" t="str">
        <f aca="false">INDEX(Students!$D$2:$D$601,MATCH(B2917,Students!$A$2:$A$601,0))</f>
        <v>Data Science &amp; ML</v>
      </c>
      <c r="L2917" s="21" t="str">
        <f aca="false">INDEX(Companies!$C$2:$C$31,MATCH(C2917,Companies!$A$2:$A$31,0))</f>
        <v>IT Services</v>
      </c>
      <c r="M2917" s="21" t="str">
        <f aca="false">INDEX(Companies!$D$2:$D$31,MATCH(C2917,Companies!$A$2:$A$31,0))</f>
        <v>Tier 3</v>
      </c>
      <c r="N2917" s="34" t="n">
        <f aca="false">MATCH(F2917,Assumptions!$K$4:$K$8,0)</f>
        <v>2</v>
      </c>
      <c r="O2917" s="21" t="str">
        <f aca="false">IF(H2917="Yes",MONTH(I2917),"")</f>
        <v/>
      </c>
      <c r="P2917" s="21" t="str">
        <f aca="false">IF(H2917="Yes",B2917,"")</f>
        <v/>
      </c>
    </row>
    <row r="2918" customFormat="false" ht="15" hidden="false" customHeight="false" outlineLevel="0" collapsed="false">
      <c r="A2918" s="21" t="s">
        <v>4133</v>
      </c>
      <c r="B2918" s="21" t="s">
        <v>937</v>
      </c>
      <c r="C2918" s="21" t="s">
        <v>1275</v>
      </c>
      <c r="D2918" s="21" t="s">
        <v>1191</v>
      </c>
      <c r="E2918" s="33" t="n">
        <v>46039</v>
      </c>
      <c r="F2918" s="21" t="s">
        <v>1197</v>
      </c>
      <c r="G2918" s="32"/>
      <c r="H2918" s="21"/>
      <c r="I2918" s="33"/>
      <c r="J2918" s="21" t="str">
        <f aca="false">INDEX(Students!$C$2:$C$601,MATCH(B2918,Students!$A$2:$A$601,0))</f>
        <v>Batch 2026</v>
      </c>
      <c r="K2918" s="21" t="str">
        <f aca="false">INDEX(Students!$D$2:$D$601,MATCH(B2918,Students!$A$2:$A$601,0))</f>
        <v>DSA with Java</v>
      </c>
      <c r="L2918" s="21" t="str">
        <f aca="false">INDEX(Companies!$C$2:$C$31,MATCH(C2918,Companies!$A$2:$A$31,0))</f>
        <v>Cybersecurity</v>
      </c>
      <c r="M2918" s="21" t="str">
        <f aca="false">INDEX(Companies!$D$2:$D$31,MATCH(C2918,Companies!$A$2:$A$31,0))</f>
        <v>Tier 2</v>
      </c>
      <c r="N2918" s="34" t="n">
        <f aca="false">MATCH(F2918,Assumptions!$K$4:$K$8,0)</f>
        <v>3</v>
      </c>
      <c r="O2918" s="21" t="str">
        <f aca="false">IF(H2918="Yes",MONTH(I2918),"")</f>
        <v/>
      </c>
      <c r="P2918" s="21" t="str">
        <f aca="false">IF(H2918="Yes",B2918,"")</f>
        <v/>
      </c>
    </row>
    <row r="2919" customFormat="false" ht="15" hidden="false" customHeight="false" outlineLevel="0" collapsed="false">
      <c r="A2919" s="21" t="s">
        <v>4134</v>
      </c>
      <c r="B2919" s="21" t="s">
        <v>893</v>
      </c>
      <c r="C2919" s="21" t="s">
        <v>1255</v>
      </c>
      <c r="D2919" s="21" t="s">
        <v>1184</v>
      </c>
      <c r="E2919" s="33" t="n">
        <v>46039</v>
      </c>
      <c r="F2919" s="21" t="s">
        <v>1185</v>
      </c>
      <c r="G2919" s="32" t="n">
        <v>6</v>
      </c>
      <c r="H2919" s="21" t="s">
        <v>113</v>
      </c>
      <c r="I2919" s="33" t="n">
        <v>46063</v>
      </c>
      <c r="J2919" s="21" t="str">
        <f aca="false">INDEX(Students!$C$2:$C$601,MATCH(B2919,Students!$A$2:$A$601,0))</f>
        <v>Batch 2026</v>
      </c>
      <c r="K2919" s="21" t="str">
        <f aca="false">INDEX(Students!$D$2:$D$601,MATCH(B2919,Students!$A$2:$A$601,0))</f>
        <v>DSA with Java</v>
      </c>
      <c r="L2919" s="21" t="str">
        <f aca="false">INDEX(Companies!$C$2:$C$31,MATCH(C2919,Companies!$A$2:$A$31,0))</f>
        <v>IT Services</v>
      </c>
      <c r="M2919" s="21" t="str">
        <f aca="false">INDEX(Companies!$D$2:$D$31,MATCH(C2919,Companies!$A$2:$A$31,0))</f>
        <v>Tier 3</v>
      </c>
      <c r="N2919" s="34" t="n">
        <f aca="false">MATCH(F2919,Assumptions!$K$4:$K$8,0)</f>
        <v>5</v>
      </c>
      <c r="O2919" s="21" t="str">
        <f aca="false">IF(H2919="Yes",MONTH(I2919),"")</f>
        <v/>
      </c>
      <c r="P2919" s="21" t="str">
        <f aca="false">IF(H2919="Yes",B2919,"")</f>
        <v/>
      </c>
    </row>
    <row r="2920" customFormat="false" ht="15" hidden="false" customHeight="false" outlineLevel="0" collapsed="false">
      <c r="A2920" s="21" t="s">
        <v>4135</v>
      </c>
      <c r="B2920" s="21" t="s">
        <v>989</v>
      </c>
      <c r="C2920" s="21" t="s">
        <v>1234</v>
      </c>
      <c r="D2920" s="21" t="s">
        <v>1174</v>
      </c>
      <c r="E2920" s="33" t="n">
        <v>46039</v>
      </c>
      <c r="F2920" s="21" t="s">
        <v>1175</v>
      </c>
      <c r="G2920" s="32"/>
      <c r="H2920" s="21"/>
      <c r="I2920" s="33"/>
      <c r="J2920" s="21" t="str">
        <f aca="false">INDEX(Students!$C$2:$C$601,MATCH(B2920,Students!$A$2:$A$601,0))</f>
        <v>Batch 2026</v>
      </c>
      <c r="K2920" s="21" t="str">
        <f aca="false">INDEX(Students!$D$2:$D$601,MATCH(B2920,Students!$A$2:$A$601,0))</f>
        <v>Full Stack Development</v>
      </c>
      <c r="L2920" s="21" t="str">
        <f aca="false">INDEX(Companies!$C$2:$C$31,MATCH(C2920,Companies!$A$2:$A$31,0))</f>
        <v>EdTech</v>
      </c>
      <c r="M2920" s="21" t="str">
        <f aca="false">INDEX(Companies!$D$2:$D$31,MATCH(C2920,Companies!$A$2:$A$31,0))</f>
        <v>Tier 3</v>
      </c>
      <c r="N2920" s="34" t="n">
        <f aca="false">MATCH(F2920,Assumptions!$K$4:$K$8,0)</f>
        <v>1</v>
      </c>
      <c r="O2920" s="21" t="str">
        <f aca="false">IF(H2920="Yes",MONTH(I2920),"")</f>
        <v/>
      </c>
      <c r="P2920" s="21" t="str">
        <f aca="false">IF(H2920="Yes",B2920,"")</f>
        <v/>
      </c>
    </row>
    <row r="2921" customFormat="false" ht="15" hidden="false" customHeight="false" outlineLevel="0" collapsed="false">
      <c r="A2921" s="21" t="s">
        <v>4136</v>
      </c>
      <c r="B2921" s="21" t="s">
        <v>1153</v>
      </c>
      <c r="C2921" s="21" t="s">
        <v>1230</v>
      </c>
      <c r="D2921" s="21" t="s">
        <v>1188</v>
      </c>
      <c r="E2921" s="33" t="n">
        <v>46039</v>
      </c>
      <c r="F2921" s="21" t="s">
        <v>1178</v>
      </c>
      <c r="G2921" s="32"/>
      <c r="H2921" s="21"/>
      <c r="I2921" s="33"/>
      <c r="J2921" s="21" t="str">
        <f aca="false">INDEX(Students!$C$2:$C$601,MATCH(B2921,Students!$A$2:$A$601,0))</f>
        <v>Batch 2026</v>
      </c>
      <c r="K2921" s="21" t="str">
        <f aca="false">INDEX(Students!$D$2:$D$601,MATCH(B2921,Students!$A$2:$A$601,0))</f>
        <v>Data Analytics</v>
      </c>
      <c r="L2921" s="21" t="str">
        <f aca="false">INDEX(Companies!$C$2:$C$31,MATCH(C2921,Companies!$A$2:$A$31,0))</f>
        <v>IT Services</v>
      </c>
      <c r="M2921" s="21" t="str">
        <f aca="false">INDEX(Companies!$D$2:$D$31,MATCH(C2921,Companies!$A$2:$A$31,0))</f>
        <v>Tier 3</v>
      </c>
      <c r="N2921" s="34" t="n">
        <f aca="false">MATCH(F2921,Assumptions!$K$4:$K$8,0)</f>
        <v>2</v>
      </c>
      <c r="O2921" s="21" t="str">
        <f aca="false">IF(H2921="Yes",MONTH(I2921),"")</f>
        <v/>
      </c>
      <c r="P2921" s="21" t="str">
        <f aca="false">IF(H2921="Yes",B2921,"")</f>
        <v/>
      </c>
    </row>
    <row r="2922" customFormat="false" ht="15" hidden="false" customHeight="false" outlineLevel="0" collapsed="false">
      <c r="A2922" s="21" t="s">
        <v>4137</v>
      </c>
      <c r="B2922" s="21" t="s">
        <v>814</v>
      </c>
      <c r="C2922" s="21" t="s">
        <v>1239</v>
      </c>
      <c r="D2922" s="21" t="s">
        <v>1209</v>
      </c>
      <c r="E2922" s="33" t="n">
        <v>46039</v>
      </c>
      <c r="F2922" s="21" t="s">
        <v>1175</v>
      </c>
      <c r="G2922" s="32"/>
      <c r="H2922" s="21"/>
      <c r="I2922" s="33"/>
      <c r="J2922" s="21" t="str">
        <f aca="false">INDEX(Students!$C$2:$C$601,MATCH(B2922,Students!$A$2:$A$601,0))</f>
        <v>Batch 2026</v>
      </c>
      <c r="K2922" s="21" t="str">
        <f aca="false">INDEX(Students!$D$2:$D$601,MATCH(B2922,Students!$A$2:$A$601,0))</f>
        <v>Data Analytics</v>
      </c>
      <c r="L2922" s="21" t="str">
        <f aca="false">INDEX(Companies!$C$2:$C$31,MATCH(C2922,Companies!$A$2:$A$31,0))</f>
        <v>E-commerce</v>
      </c>
      <c r="M2922" s="21" t="str">
        <f aca="false">INDEX(Companies!$D$2:$D$31,MATCH(C2922,Companies!$A$2:$A$31,0))</f>
        <v>Tier 3</v>
      </c>
      <c r="N2922" s="34" t="n">
        <f aca="false">MATCH(F2922,Assumptions!$K$4:$K$8,0)</f>
        <v>1</v>
      </c>
      <c r="O2922" s="21" t="str">
        <f aca="false">IF(H2922="Yes",MONTH(I2922),"")</f>
        <v/>
      </c>
      <c r="P2922" s="21" t="str">
        <f aca="false">IF(H2922="Yes",B2922,"")</f>
        <v/>
      </c>
    </row>
    <row r="2923" customFormat="false" ht="15" hidden="false" customHeight="false" outlineLevel="0" collapsed="false">
      <c r="A2923" s="21" t="s">
        <v>4138</v>
      </c>
      <c r="B2923" s="21" t="s">
        <v>1092</v>
      </c>
      <c r="C2923" s="21" t="s">
        <v>1228</v>
      </c>
      <c r="D2923" s="21" t="s">
        <v>1174</v>
      </c>
      <c r="E2923" s="33" t="n">
        <v>46039</v>
      </c>
      <c r="F2923" s="21" t="s">
        <v>1197</v>
      </c>
      <c r="G2923" s="32"/>
      <c r="H2923" s="21"/>
      <c r="I2923" s="33"/>
      <c r="J2923" s="21" t="str">
        <f aca="false">INDEX(Students!$C$2:$C$601,MATCH(B2923,Students!$A$2:$A$601,0))</f>
        <v>Batch 2026</v>
      </c>
      <c r="K2923" s="21" t="str">
        <f aca="false">INDEX(Students!$D$2:$D$601,MATCH(B2923,Students!$A$2:$A$601,0))</f>
        <v>Full Stack Development</v>
      </c>
      <c r="L2923" s="21" t="str">
        <f aca="false">INDEX(Companies!$C$2:$C$31,MATCH(C2923,Companies!$A$2:$A$31,0))</f>
        <v>Fintech</v>
      </c>
      <c r="M2923" s="21" t="str">
        <f aca="false">INDEX(Companies!$D$2:$D$31,MATCH(C2923,Companies!$A$2:$A$31,0))</f>
        <v>Tier 1</v>
      </c>
      <c r="N2923" s="34" t="n">
        <f aca="false">MATCH(F2923,Assumptions!$K$4:$K$8,0)</f>
        <v>3</v>
      </c>
      <c r="O2923" s="21" t="str">
        <f aca="false">IF(H2923="Yes",MONTH(I2923),"")</f>
        <v/>
      </c>
      <c r="P2923" s="21" t="str">
        <f aca="false">IF(H2923="Yes",B2923,"")</f>
        <v/>
      </c>
    </row>
    <row r="2924" customFormat="false" ht="15" hidden="false" customHeight="false" outlineLevel="0" collapsed="false">
      <c r="A2924" s="21" t="s">
        <v>4139</v>
      </c>
      <c r="B2924" s="21" t="s">
        <v>884</v>
      </c>
      <c r="C2924" s="21" t="s">
        <v>1266</v>
      </c>
      <c r="D2924" s="21" t="s">
        <v>1181</v>
      </c>
      <c r="E2924" s="33" t="n">
        <v>46039</v>
      </c>
      <c r="F2924" s="21" t="s">
        <v>1185</v>
      </c>
      <c r="G2924" s="32" t="n">
        <v>5.7</v>
      </c>
      <c r="H2924" s="21" t="s">
        <v>120</v>
      </c>
      <c r="I2924" s="33" t="n">
        <v>46071</v>
      </c>
      <c r="J2924" s="21" t="str">
        <f aca="false">INDEX(Students!$C$2:$C$601,MATCH(B2924,Students!$A$2:$A$601,0))</f>
        <v>Batch 2026</v>
      </c>
      <c r="K2924" s="21" t="str">
        <f aca="false">INDEX(Students!$D$2:$D$601,MATCH(B2924,Students!$A$2:$A$601,0))</f>
        <v>Full Stack Development</v>
      </c>
      <c r="L2924" s="21" t="str">
        <f aca="false">INDEX(Companies!$C$2:$C$31,MATCH(C2924,Companies!$A$2:$A$31,0))</f>
        <v>IT Services</v>
      </c>
      <c r="M2924" s="21" t="str">
        <f aca="false">INDEX(Companies!$D$2:$D$31,MATCH(C2924,Companies!$A$2:$A$31,0))</f>
        <v>Tier 3</v>
      </c>
      <c r="N2924" s="34" t="n">
        <f aca="false">MATCH(F2924,Assumptions!$K$4:$K$8,0)</f>
        <v>5</v>
      </c>
      <c r="O2924" s="21" t="n">
        <f aca="false">IF(H2924="Yes",MONTH(I2924),"")</f>
        <v>2</v>
      </c>
      <c r="P2924" s="21" t="str">
        <f aca="false">IF(H2924="Yes",B2924,"")</f>
        <v>S0427</v>
      </c>
    </row>
    <row r="2925" customFormat="false" ht="15" hidden="false" customHeight="false" outlineLevel="0" collapsed="false">
      <c r="A2925" s="21" t="s">
        <v>4140</v>
      </c>
      <c r="B2925" s="21" t="s">
        <v>1150</v>
      </c>
      <c r="C2925" s="21" t="s">
        <v>1193</v>
      </c>
      <c r="D2925" s="21" t="s">
        <v>1209</v>
      </c>
      <c r="E2925" s="33" t="n">
        <v>46040</v>
      </c>
      <c r="F2925" s="21" t="s">
        <v>1175</v>
      </c>
      <c r="G2925" s="32"/>
      <c r="H2925" s="21"/>
      <c r="I2925" s="33"/>
      <c r="J2925" s="21" t="str">
        <f aca="false">INDEX(Students!$C$2:$C$601,MATCH(B2925,Students!$A$2:$A$601,0))</f>
        <v>Batch 2026</v>
      </c>
      <c r="K2925" s="21" t="str">
        <f aca="false">INDEX(Students!$D$2:$D$601,MATCH(B2925,Students!$A$2:$A$601,0))</f>
        <v>Data Analytics</v>
      </c>
      <c r="L2925" s="21" t="str">
        <f aca="false">INDEX(Companies!$C$2:$C$31,MATCH(C2925,Companies!$A$2:$A$31,0))</f>
        <v>Analytics &amp; Consulting</v>
      </c>
      <c r="M2925" s="21" t="str">
        <f aca="false">INDEX(Companies!$D$2:$D$31,MATCH(C2925,Companies!$A$2:$A$31,0))</f>
        <v>Tier 2</v>
      </c>
      <c r="N2925" s="34" t="n">
        <f aca="false">MATCH(F2925,Assumptions!$K$4:$K$8,0)</f>
        <v>1</v>
      </c>
      <c r="O2925" s="21" t="str">
        <f aca="false">IF(H2925="Yes",MONTH(I2925),"")</f>
        <v/>
      </c>
      <c r="P2925" s="21" t="str">
        <f aca="false">IF(H2925="Yes",B2925,"")</f>
        <v/>
      </c>
    </row>
    <row r="2926" customFormat="false" ht="15" hidden="false" customHeight="false" outlineLevel="0" collapsed="false">
      <c r="A2926" s="21" t="s">
        <v>4141</v>
      </c>
      <c r="B2926" s="21" t="s">
        <v>945</v>
      </c>
      <c r="C2926" s="21" t="s">
        <v>1266</v>
      </c>
      <c r="D2926" s="21" t="s">
        <v>1191</v>
      </c>
      <c r="E2926" s="33" t="n">
        <v>46040</v>
      </c>
      <c r="F2926" s="21" t="s">
        <v>1175</v>
      </c>
      <c r="G2926" s="32"/>
      <c r="H2926" s="21"/>
      <c r="I2926" s="33"/>
      <c r="J2926" s="21" t="str">
        <f aca="false">INDEX(Students!$C$2:$C$601,MATCH(B2926,Students!$A$2:$A$601,0))</f>
        <v>Batch 2026</v>
      </c>
      <c r="K2926" s="21" t="str">
        <f aca="false">INDEX(Students!$D$2:$D$601,MATCH(B2926,Students!$A$2:$A$601,0))</f>
        <v>DSA with Java</v>
      </c>
      <c r="L2926" s="21" t="str">
        <f aca="false">INDEX(Companies!$C$2:$C$31,MATCH(C2926,Companies!$A$2:$A$31,0))</f>
        <v>IT Services</v>
      </c>
      <c r="M2926" s="21" t="str">
        <f aca="false">INDEX(Companies!$D$2:$D$31,MATCH(C2926,Companies!$A$2:$A$31,0))</f>
        <v>Tier 3</v>
      </c>
      <c r="N2926" s="34" t="n">
        <f aca="false">MATCH(F2926,Assumptions!$K$4:$K$8,0)</f>
        <v>1</v>
      </c>
      <c r="O2926" s="21" t="str">
        <f aca="false">IF(H2926="Yes",MONTH(I2926),"")</f>
        <v/>
      </c>
      <c r="P2926" s="21" t="str">
        <f aca="false">IF(H2926="Yes",B2926,"")</f>
        <v/>
      </c>
    </row>
    <row r="2927" customFormat="false" ht="15" hidden="false" customHeight="false" outlineLevel="0" collapsed="false">
      <c r="A2927" s="21" t="s">
        <v>4142</v>
      </c>
      <c r="B2927" s="21" t="s">
        <v>1114</v>
      </c>
      <c r="C2927" s="21" t="s">
        <v>1239</v>
      </c>
      <c r="D2927" s="21" t="s">
        <v>1243</v>
      </c>
      <c r="E2927" s="33" t="n">
        <v>46040</v>
      </c>
      <c r="F2927" s="21" t="s">
        <v>1185</v>
      </c>
      <c r="G2927" s="32" t="n">
        <v>6.5</v>
      </c>
      <c r="H2927" s="21" t="s">
        <v>120</v>
      </c>
      <c r="I2927" s="33" t="n">
        <v>46083</v>
      </c>
      <c r="J2927" s="21" t="str">
        <f aca="false">INDEX(Students!$C$2:$C$601,MATCH(B2927,Students!$A$2:$A$601,0))</f>
        <v>Batch 2026</v>
      </c>
      <c r="K2927" s="21" t="str">
        <f aca="false">INDEX(Students!$D$2:$D$601,MATCH(B2927,Students!$A$2:$A$601,0))</f>
        <v>Data Science &amp; ML</v>
      </c>
      <c r="L2927" s="21" t="str">
        <f aca="false">INDEX(Companies!$C$2:$C$31,MATCH(C2927,Companies!$A$2:$A$31,0))</f>
        <v>E-commerce</v>
      </c>
      <c r="M2927" s="21" t="str">
        <f aca="false">INDEX(Companies!$D$2:$D$31,MATCH(C2927,Companies!$A$2:$A$31,0))</f>
        <v>Tier 3</v>
      </c>
      <c r="N2927" s="34" t="n">
        <f aca="false">MATCH(F2927,Assumptions!$K$4:$K$8,0)</f>
        <v>5</v>
      </c>
      <c r="O2927" s="21" t="n">
        <f aca="false">IF(H2927="Yes",MONTH(I2927),"")</f>
        <v>3</v>
      </c>
      <c r="P2927" s="21" t="str">
        <f aca="false">IF(H2927="Yes",B2927,"")</f>
        <v>S0570</v>
      </c>
    </row>
    <row r="2928" customFormat="false" ht="15" hidden="false" customHeight="false" outlineLevel="0" collapsed="false">
      <c r="A2928" s="21" t="s">
        <v>4143</v>
      </c>
      <c r="B2928" s="21" t="s">
        <v>1085</v>
      </c>
      <c r="C2928" s="21" t="s">
        <v>1322</v>
      </c>
      <c r="D2928" s="21" t="s">
        <v>1240</v>
      </c>
      <c r="E2928" s="33" t="n">
        <v>46040</v>
      </c>
      <c r="F2928" s="21" t="s">
        <v>1175</v>
      </c>
      <c r="G2928" s="32"/>
      <c r="H2928" s="21"/>
      <c r="I2928" s="33"/>
      <c r="J2928" s="21" t="str">
        <f aca="false">INDEX(Students!$C$2:$C$601,MATCH(B2928,Students!$A$2:$A$601,0))</f>
        <v>Batch 2026</v>
      </c>
      <c r="K2928" s="21" t="str">
        <f aca="false">INDEX(Students!$D$2:$D$601,MATCH(B2928,Students!$A$2:$A$601,0))</f>
        <v>Cybersecurity</v>
      </c>
      <c r="L2928" s="21" t="str">
        <f aca="false">INDEX(Companies!$C$2:$C$31,MATCH(C2928,Companies!$A$2:$A$31,0))</f>
        <v>Healthtech</v>
      </c>
      <c r="M2928" s="21" t="str">
        <f aca="false">INDEX(Companies!$D$2:$D$31,MATCH(C2928,Companies!$A$2:$A$31,0))</f>
        <v>Tier 2</v>
      </c>
      <c r="N2928" s="34" t="n">
        <f aca="false">MATCH(F2928,Assumptions!$K$4:$K$8,0)</f>
        <v>1</v>
      </c>
      <c r="O2928" s="21" t="str">
        <f aca="false">IF(H2928="Yes",MONTH(I2928),"")</f>
        <v/>
      </c>
      <c r="P2928" s="21" t="str">
        <f aca="false">IF(H2928="Yes",B2928,"")</f>
        <v/>
      </c>
    </row>
    <row r="2929" customFormat="false" ht="15" hidden="false" customHeight="false" outlineLevel="0" collapsed="false">
      <c r="A2929" s="21" t="s">
        <v>4144</v>
      </c>
      <c r="B2929" s="21" t="s">
        <v>1044</v>
      </c>
      <c r="C2929" s="21" t="s">
        <v>1322</v>
      </c>
      <c r="D2929" s="21" t="s">
        <v>1240</v>
      </c>
      <c r="E2929" s="33" t="n">
        <v>46040</v>
      </c>
      <c r="F2929" s="21" t="s">
        <v>1178</v>
      </c>
      <c r="G2929" s="32"/>
      <c r="H2929" s="21"/>
      <c r="I2929" s="33"/>
      <c r="J2929" s="21" t="str">
        <f aca="false">INDEX(Students!$C$2:$C$601,MATCH(B2929,Students!$A$2:$A$601,0))</f>
        <v>Batch 2026</v>
      </c>
      <c r="K2929" s="21" t="str">
        <f aca="false">INDEX(Students!$D$2:$D$601,MATCH(B2929,Students!$A$2:$A$601,0))</f>
        <v>Cybersecurity</v>
      </c>
      <c r="L2929" s="21" t="str">
        <f aca="false">INDEX(Companies!$C$2:$C$31,MATCH(C2929,Companies!$A$2:$A$31,0))</f>
        <v>Healthtech</v>
      </c>
      <c r="M2929" s="21" t="str">
        <f aca="false">INDEX(Companies!$D$2:$D$31,MATCH(C2929,Companies!$A$2:$A$31,0))</f>
        <v>Tier 2</v>
      </c>
      <c r="N2929" s="34" t="n">
        <f aca="false">MATCH(F2929,Assumptions!$K$4:$K$8,0)</f>
        <v>2</v>
      </c>
      <c r="O2929" s="21" t="str">
        <f aca="false">IF(H2929="Yes",MONTH(I2929),"")</f>
        <v/>
      </c>
      <c r="P2929" s="21" t="str">
        <f aca="false">IF(H2929="Yes",B2929,"")</f>
        <v/>
      </c>
    </row>
    <row r="2930" customFormat="false" ht="15" hidden="false" customHeight="false" outlineLevel="0" collapsed="false">
      <c r="A2930" s="21" t="s">
        <v>4145</v>
      </c>
      <c r="B2930" s="21" t="s">
        <v>849</v>
      </c>
      <c r="C2930" s="21" t="s">
        <v>1205</v>
      </c>
      <c r="D2930" s="21" t="s">
        <v>1243</v>
      </c>
      <c r="E2930" s="33" t="n">
        <v>46041</v>
      </c>
      <c r="F2930" s="21" t="s">
        <v>1178</v>
      </c>
      <c r="G2930" s="32"/>
      <c r="H2930" s="21"/>
      <c r="I2930" s="33"/>
      <c r="J2930" s="21" t="str">
        <f aca="false">INDEX(Students!$C$2:$C$601,MATCH(B2930,Students!$A$2:$A$601,0))</f>
        <v>Batch 2026</v>
      </c>
      <c r="K2930" s="21" t="str">
        <f aca="false">INDEX(Students!$D$2:$D$601,MATCH(B2930,Students!$A$2:$A$601,0))</f>
        <v>Data Science &amp; ML</v>
      </c>
      <c r="L2930" s="21" t="str">
        <f aca="false">INDEX(Companies!$C$2:$C$31,MATCH(C2930,Companies!$A$2:$A$31,0))</f>
        <v>Healthtech</v>
      </c>
      <c r="M2930" s="21" t="str">
        <f aca="false">INDEX(Companies!$D$2:$D$31,MATCH(C2930,Companies!$A$2:$A$31,0))</f>
        <v>Tier 3</v>
      </c>
      <c r="N2930" s="34" t="n">
        <f aca="false">MATCH(F2930,Assumptions!$K$4:$K$8,0)</f>
        <v>2</v>
      </c>
      <c r="O2930" s="21" t="str">
        <f aca="false">IF(H2930="Yes",MONTH(I2930),"")</f>
        <v/>
      </c>
      <c r="P2930" s="21" t="str">
        <f aca="false">IF(H2930="Yes",B2930,"")</f>
        <v/>
      </c>
    </row>
    <row r="2931" customFormat="false" ht="15" hidden="false" customHeight="false" outlineLevel="0" collapsed="false">
      <c r="A2931" s="21" t="s">
        <v>4146</v>
      </c>
      <c r="B2931" s="21" t="s">
        <v>1153</v>
      </c>
      <c r="C2931" s="21" t="s">
        <v>1309</v>
      </c>
      <c r="D2931" s="21" t="s">
        <v>1209</v>
      </c>
      <c r="E2931" s="33" t="n">
        <v>46041</v>
      </c>
      <c r="F2931" s="21" t="s">
        <v>1178</v>
      </c>
      <c r="G2931" s="32"/>
      <c r="H2931" s="21"/>
      <c r="I2931" s="33"/>
      <c r="J2931" s="21" t="str">
        <f aca="false">INDEX(Students!$C$2:$C$601,MATCH(B2931,Students!$A$2:$A$601,0))</f>
        <v>Batch 2026</v>
      </c>
      <c r="K2931" s="21" t="str">
        <f aca="false">INDEX(Students!$D$2:$D$601,MATCH(B2931,Students!$A$2:$A$601,0))</f>
        <v>Data Analytics</v>
      </c>
      <c r="L2931" s="21" t="str">
        <f aca="false">INDEX(Companies!$C$2:$C$31,MATCH(C2931,Companies!$A$2:$A$31,0))</f>
        <v>EdTech</v>
      </c>
      <c r="M2931" s="21" t="str">
        <f aca="false">INDEX(Companies!$D$2:$D$31,MATCH(C2931,Companies!$A$2:$A$31,0))</f>
        <v>Tier 2</v>
      </c>
      <c r="N2931" s="34" t="n">
        <f aca="false">MATCH(F2931,Assumptions!$K$4:$K$8,0)</f>
        <v>2</v>
      </c>
      <c r="O2931" s="21" t="str">
        <f aca="false">IF(H2931="Yes",MONTH(I2931),"")</f>
        <v/>
      </c>
      <c r="P2931" s="21" t="str">
        <f aca="false">IF(H2931="Yes",B2931,"")</f>
        <v/>
      </c>
    </row>
    <row r="2932" customFormat="false" ht="15" hidden="false" customHeight="false" outlineLevel="0" collapsed="false">
      <c r="A2932" s="21" t="s">
        <v>4147</v>
      </c>
      <c r="B2932" s="21" t="s">
        <v>1117</v>
      </c>
      <c r="C2932" s="21" t="s">
        <v>1203</v>
      </c>
      <c r="D2932" s="21" t="s">
        <v>1188</v>
      </c>
      <c r="E2932" s="33" t="n">
        <v>46041</v>
      </c>
      <c r="F2932" s="21" t="s">
        <v>1178</v>
      </c>
      <c r="G2932" s="32"/>
      <c r="H2932" s="21"/>
      <c r="I2932" s="33"/>
      <c r="J2932" s="21" t="str">
        <f aca="false">INDEX(Students!$C$2:$C$601,MATCH(B2932,Students!$A$2:$A$601,0))</f>
        <v>Batch 2026</v>
      </c>
      <c r="K2932" s="21" t="str">
        <f aca="false">INDEX(Students!$D$2:$D$601,MATCH(B2932,Students!$A$2:$A$601,0))</f>
        <v>Data Analytics</v>
      </c>
      <c r="L2932" s="21" t="str">
        <f aca="false">INDEX(Companies!$C$2:$C$31,MATCH(C2932,Companies!$A$2:$A$31,0))</f>
        <v>Healthtech</v>
      </c>
      <c r="M2932" s="21" t="str">
        <f aca="false">INDEX(Companies!$D$2:$D$31,MATCH(C2932,Companies!$A$2:$A$31,0))</f>
        <v>Tier 2</v>
      </c>
      <c r="N2932" s="34" t="n">
        <f aca="false">MATCH(F2932,Assumptions!$K$4:$K$8,0)</f>
        <v>2</v>
      </c>
      <c r="O2932" s="21" t="str">
        <f aca="false">IF(H2932="Yes",MONTH(I2932),"")</f>
        <v/>
      </c>
      <c r="P2932" s="21" t="str">
        <f aca="false">IF(H2932="Yes",B2932,"")</f>
        <v/>
      </c>
    </row>
    <row r="2933" customFormat="false" ht="15" hidden="false" customHeight="false" outlineLevel="0" collapsed="false">
      <c r="A2933" s="21" t="s">
        <v>4148</v>
      </c>
      <c r="B2933" s="21" t="s">
        <v>928</v>
      </c>
      <c r="C2933" s="21" t="s">
        <v>1234</v>
      </c>
      <c r="D2933" s="21" t="s">
        <v>1181</v>
      </c>
      <c r="E2933" s="33" t="n">
        <v>46041</v>
      </c>
      <c r="F2933" s="21" t="s">
        <v>1185</v>
      </c>
      <c r="G2933" s="32" t="n">
        <v>6.6</v>
      </c>
      <c r="H2933" s="21" t="s">
        <v>113</v>
      </c>
      <c r="I2933" s="33" t="n">
        <v>46080</v>
      </c>
      <c r="J2933" s="21" t="str">
        <f aca="false">INDEX(Students!$C$2:$C$601,MATCH(B2933,Students!$A$2:$A$601,0))</f>
        <v>Batch 2026</v>
      </c>
      <c r="K2933" s="21" t="str">
        <f aca="false">INDEX(Students!$D$2:$D$601,MATCH(B2933,Students!$A$2:$A$601,0))</f>
        <v>Full Stack Development</v>
      </c>
      <c r="L2933" s="21" t="str">
        <f aca="false">INDEX(Companies!$C$2:$C$31,MATCH(C2933,Companies!$A$2:$A$31,0))</f>
        <v>EdTech</v>
      </c>
      <c r="M2933" s="21" t="str">
        <f aca="false">INDEX(Companies!$D$2:$D$31,MATCH(C2933,Companies!$A$2:$A$31,0))</f>
        <v>Tier 3</v>
      </c>
      <c r="N2933" s="34" t="n">
        <f aca="false">MATCH(F2933,Assumptions!$K$4:$K$8,0)</f>
        <v>5</v>
      </c>
      <c r="O2933" s="21" t="str">
        <f aca="false">IF(H2933="Yes",MONTH(I2933),"")</f>
        <v/>
      </c>
      <c r="P2933" s="21" t="str">
        <f aca="false">IF(H2933="Yes",B2933,"")</f>
        <v/>
      </c>
    </row>
    <row r="2934" customFormat="false" ht="15" hidden="false" customHeight="false" outlineLevel="0" collapsed="false">
      <c r="A2934" s="21" t="s">
        <v>4149</v>
      </c>
      <c r="B2934" s="21" t="s">
        <v>1095</v>
      </c>
      <c r="C2934" s="21" t="s">
        <v>1298</v>
      </c>
      <c r="D2934" s="21" t="s">
        <v>1184</v>
      </c>
      <c r="E2934" s="33" t="n">
        <v>46041</v>
      </c>
      <c r="F2934" s="21" t="s">
        <v>1197</v>
      </c>
      <c r="G2934" s="32"/>
      <c r="H2934" s="21"/>
      <c r="I2934" s="33"/>
      <c r="J2934" s="21" t="str">
        <f aca="false">INDEX(Students!$C$2:$C$601,MATCH(B2934,Students!$A$2:$A$601,0))</f>
        <v>Batch 2026</v>
      </c>
      <c r="K2934" s="21" t="str">
        <f aca="false">INDEX(Students!$D$2:$D$601,MATCH(B2934,Students!$A$2:$A$601,0))</f>
        <v>DSA with Java</v>
      </c>
      <c r="L2934" s="21" t="str">
        <f aca="false">INDEX(Companies!$C$2:$C$31,MATCH(C2934,Companies!$A$2:$A$31,0))</f>
        <v>Fintech</v>
      </c>
      <c r="M2934" s="21" t="str">
        <f aca="false">INDEX(Companies!$D$2:$D$31,MATCH(C2934,Companies!$A$2:$A$31,0))</f>
        <v>Tier 2</v>
      </c>
      <c r="N2934" s="34" t="n">
        <f aca="false">MATCH(F2934,Assumptions!$K$4:$K$8,0)</f>
        <v>3</v>
      </c>
      <c r="O2934" s="21" t="str">
        <f aca="false">IF(H2934="Yes",MONTH(I2934),"")</f>
        <v/>
      </c>
      <c r="P2934" s="21" t="str">
        <f aca="false">IF(H2934="Yes",B2934,"")</f>
        <v/>
      </c>
    </row>
    <row r="2935" customFormat="false" ht="15" hidden="false" customHeight="false" outlineLevel="0" collapsed="false">
      <c r="A2935" s="21" t="s">
        <v>4150</v>
      </c>
      <c r="B2935" s="21" t="s">
        <v>1049</v>
      </c>
      <c r="C2935" s="21" t="s">
        <v>1222</v>
      </c>
      <c r="D2935" s="21" t="s">
        <v>1181</v>
      </c>
      <c r="E2935" s="33" t="n">
        <v>46042</v>
      </c>
      <c r="F2935" s="21" t="s">
        <v>1185</v>
      </c>
      <c r="G2935" s="32" t="n">
        <v>9.2</v>
      </c>
      <c r="H2935" s="21" t="s">
        <v>120</v>
      </c>
      <c r="I2935" s="33" t="n">
        <v>46092</v>
      </c>
      <c r="J2935" s="21" t="str">
        <f aca="false">INDEX(Students!$C$2:$C$601,MATCH(B2935,Students!$A$2:$A$601,0))</f>
        <v>Batch 2026</v>
      </c>
      <c r="K2935" s="21" t="str">
        <f aca="false">INDEX(Students!$D$2:$D$601,MATCH(B2935,Students!$A$2:$A$601,0))</f>
        <v>Full Stack Development</v>
      </c>
      <c r="L2935" s="21" t="str">
        <f aca="false">INDEX(Companies!$C$2:$C$31,MATCH(C2935,Companies!$A$2:$A$31,0))</f>
        <v>Product</v>
      </c>
      <c r="M2935" s="21" t="str">
        <f aca="false">INDEX(Companies!$D$2:$D$31,MATCH(C2935,Companies!$A$2:$A$31,0))</f>
        <v>Tier 2</v>
      </c>
      <c r="N2935" s="34" t="n">
        <f aca="false">MATCH(F2935,Assumptions!$K$4:$K$8,0)</f>
        <v>5</v>
      </c>
      <c r="O2935" s="21" t="n">
        <f aca="false">IF(H2935="Yes",MONTH(I2935),"")</f>
        <v>3</v>
      </c>
      <c r="P2935" s="21" t="str">
        <f aca="false">IF(H2935="Yes",B2935,"")</f>
        <v>S0530</v>
      </c>
    </row>
    <row r="2936" customFormat="false" ht="15" hidden="false" customHeight="false" outlineLevel="0" collapsed="false">
      <c r="A2936" s="21" t="s">
        <v>4151</v>
      </c>
      <c r="B2936" s="21" t="s">
        <v>849</v>
      </c>
      <c r="C2936" s="21" t="s">
        <v>1275</v>
      </c>
      <c r="D2936" s="21" t="s">
        <v>1243</v>
      </c>
      <c r="E2936" s="33" t="n">
        <v>46042</v>
      </c>
      <c r="F2936" s="21" t="s">
        <v>1175</v>
      </c>
      <c r="G2936" s="32"/>
      <c r="H2936" s="21"/>
      <c r="I2936" s="33"/>
      <c r="J2936" s="21" t="str">
        <f aca="false">INDEX(Students!$C$2:$C$601,MATCH(B2936,Students!$A$2:$A$601,0))</f>
        <v>Batch 2026</v>
      </c>
      <c r="K2936" s="21" t="str">
        <f aca="false">INDEX(Students!$D$2:$D$601,MATCH(B2936,Students!$A$2:$A$601,0))</f>
        <v>Data Science &amp; ML</v>
      </c>
      <c r="L2936" s="21" t="str">
        <f aca="false">INDEX(Companies!$C$2:$C$31,MATCH(C2936,Companies!$A$2:$A$31,0))</f>
        <v>Cybersecurity</v>
      </c>
      <c r="M2936" s="21" t="str">
        <f aca="false">INDEX(Companies!$D$2:$D$31,MATCH(C2936,Companies!$A$2:$A$31,0))</f>
        <v>Tier 2</v>
      </c>
      <c r="N2936" s="34" t="n">
        <f aca="false">MATCH(F2936,Assumptions!$K$4:$K$8,0)</f>
        <v>1</v>
      </c>
      <c r="O2936" s="21" t="str">
        <f aca="false">IF(H2936="Yes",MONTH(I2936),"")</f>
        <v/>
      </c>
      <c r="P2936" s="21" t="str">
        <f aca="false">IF(H2936="Yes",B2936,"")</f>
        <v/>
      </c>
    </row>
    <row r="2937" customFormat="false" ht="15" hidden="false" customHeight="false" outlineLevel="0" collapsed="false">
      <c r="A2937" s="21" t="s">
        <v>4152</v>
      </c>
      <c r="B2937" s="21" t="s">
        <v>1083</v>
      </c>
      <c r="C2937" s="21" t="s">
        <v>1177</v>
      </c>
      <c r="D2937" s="21" t="s">
        <v>1174</v>
      </c>
      <c r="E2937" s="33" t="n">
        <v>46042</v>
      </c>
      <c r="F2937" s="21" t="s">
        <v>1185</v>
      </c>
      <c r="G2937" s="32" t="n">
        <v>5.3</v>
      </c>
      <c r="H2937" s="21" t="s">
        <v>113</v>
      </c>
      <c r="I2937" s="33" t="n">
        <v>46064</v>
      </c>
      <c r="J2937" s="21" t="str">
        <f aca="false">INDEX(Students!$C$2:$C$601,MATCH(B2937,Students!$A$2:$A$601,0))</f>
        <v>Batch 2026</v>
      </c>
      <c r="K2937" s="21" t="str">
        <f aca="false">INDEX(Students!$D$2:$D$601,MATCH(B2937,Students!$A$2:$A$601,0))</f>
        <v>Full Stack Development</v>
      </c>
      <c r="L2937" s="21" t="str">
        <f aca="false">INDEX(Companies!$C$2:$C$31,MATCH(C2937,Companies!$A$2:$A$31,0))</f>
        <v>IT Services</v>
      </c>
      <c r="M2937" s="21" t="str">
        <f aca="false">INDEX(Companies!$D$2:$D$31,MATCH(C2937,Companies!$A$2:$A$31,0))</f>
        <v>Tier 3</v>
      </c>
      <c r="N2937" s="34" t="n">
        <f aca="false">MATCH(F2937,Assumptions!$K$4:$K$8,0)</f>
        <v>5</v>
      </c>
      <c r="O2937" s="21" t="str">
        <f aca="false">IF(H2937="Yes",MONTH(I2937),"")</f>
        <v/>
      </c>
      <c r="P2937" s="21" t="str">
        <f aca="false">IF(H2937="Yes",B2937,"")</f>
        <v/>
      </c>
    </row>
    <row r="2938" customFormat="false" ht="15" hidden="false" customHeight="false" outlineLevel="0" collapsed="false">
      <c r="A2938" s="21" t="s">
        <v>4153</v>
      </c>
      <c r="B2938" s="21" t="s">
        <v>892</v>
      </c>
      <c r="C2938" s="21" t="s">
        <v>1309</v>
      </c>
      <c r="D2938" s="21" t="s">
        <v>1184</v>
      </c>
      <c r="E2938" s="33" t="n">
        <v>46042</v>
      </c>
      <c r="F2938" s="21" t="s">
        <v>1218</v>
      </c>
      <c r="G2938" s="32"/>
      <c r="H2938" s="21"/>
      <c r="I2938" s="33"/>
      <c r="J2938" s="21" t="str">
        <f aca="false">INDEX(Students!$C$2:$C$601,MATCH(B2938,Students!$A$2:$A$601,0))</f>
        <v>Batch 2026</v>
      </c>
      <c r="K2938" s="21" t="str">
        <f aca="false">INDEX(Students!$D$2:$D$601,MATCH(B2938,Students!$A$2:$A$601,0))</f>
        <v>DSA with Java</v>
      </c>
      <c r="L2938" s="21" t="str">
        <f aca="false">INDEX(Companies!$C$2:$C$31,MATCH(C2938,Companies!$A$2:$A$31,0))</f>
        <v>EdTech</v>
      </c>
      <c r="M2938" s="21" t="str">
        <f aca="false">INDEX(Companies!$D$2:$D$31,MATCH(C2938,Companies!$A$2:$A$31,0))</f>
        <v>Tier 2</v>
      </c>
      <c r="N2938" s="34" t="n">
        <f aca="false">MATCH(F2938,Assumptions!$K$4:$K$8,0)</f>
        <v>4</v>
      </c>
      <c r="O2938" s="21" t="str">
        <f aca="false">IF(H2938="Yes",MONTH(I2938),"")</f>
        <v/>
      </c>
      <c r="P2938" s="21" t="str">
        <f aca="false">IF(H2938="Yes",B2938,"")</f>
        <v/>
      </c>
    </row>
    <row r="2939" customFormat="false" ht="15" hidden="false" customHeight="false" outlineLevel="0" collapsed="false">
      <c r="A2939" s="21" t="s">
        <v>4154</v>
      </c>
      <c r="B2939" s="21" t="s">
        <v>866</v>
      </c>
      <c r="C2939" s="21" t="s">
        <v>1230</v>
      </c>
      <c r="D2939" s="21" t="s">
        <v>1174</v>
      </c>
      <c r="E2939" s="33" t="n">
        <v>46042</v>
      </c>
      <c r="F2939" s="21" t="s">
        <v>1175</v>
      </c>
      <c r="G2939" s="32"/>
      <c r="H2939" s="21"/>
      <c r="I2939" s="33"/>
      <c r="J2939" s="21" t="str">
        <f aca="false">INDEX(Students!$C$2:$C$601,MATCH(B2939,Students!$A$2:$A$601,0))</f>
        <v>Batch 2026</v>
      </c>
      <c r="K2939" s="21" t="str">
        <f aca="false">INDEX(Students!$D$2:$D$601,MATCH(B2939,Students!$A$2:$A$601,0))</f>
        <v>Full Stack Development</v>
      </c>
      <c r="L2939" s="21" t="str">
        <f aca="false">INDEX(Companies!$C$2:$C$31,MATCH(C2939,Companies!$A$2:$A$31,0))</f>
        <v>IT Services</v>
      </c>
      <c r="M2939" s="21" t="str">
        <f aca="false">INDEX(Companies!$D$2:$D$31,MATCH(C2939,Companies!$A$2:$A$31,0))</f>
        <v>Tier 3</v>
      </c>
      <c r="N2939" s="34" t="n">
        <f aca="false">MATCH(F2939,Assumptions!$K$4:$K$8,0)</f>
        <v>1</v>
      </c>
      <c r="O2939" s="21" t="str">
        <f aca="false">IF(H2939="Yes",MONTH(I2939),"")</f>
        <v/>
      </c>
      <c r="P2939" s="21" t="str">
        <f aca="false">IF(H2939="Yes",B2939,"")</f>
        <v/>
      </c>
    </row>
    <row r="2940" customFormat="false" ht="15" hidden="false" customHeight="false" outlineLevel="0" collapsed="false">
      <c r="A2940" s="21" t="s">
        <v>4155</v>
      </c>
      <c r="B2940" s="21" t="s">
        <v>1145</v>
      </c>
      <c r="C2940" s="21" t="s">
        <v>1309</v>
      </c>
      <c r="D2940" s="21" t="s">
        <v>1194</v>
      </c>
      <c r="E2940" s="33" t="n">
        <v>46043</v>
      </c>
      <c r="F2940" s="21" t="s">
        <v>1185</v>
      </c>
      <c r="G2940" s="32" t="n">
        <v>9.8</v>
      </c>
      <c r="H2940" s="21" t="s">
        <v>120</v>
      </c>
      <c r="I2940" s="33" t="n">
        <v>46076</v>
      </c>
      <c r="J2940" s="21" t="str">
        <f aca="false">INDEX(Students!$C$2:$C$601,MATCH(B2940,Students!$A$2:$A$601,0))</f>
        <v>Batch 2026</v>
      </c>
      <c r="K2940" s="21" t="str">
        <f aca="false">INDEX(Students!$D$2:$D$601,MATCH(B2940,Students!$A$2:$A$601,0))</f>
        <v>Data Science &amp; ML</v>
      </c>
      <c r="L2940" s="21" t="str">
        <f aca="false">INDEX(Companies!$C$2:$C$31,MATCH(C2940,Companies!$A$2:$A$31,0))</f>
        <v>EdTech</v>
      </c>
      <c r="M2940" s="21" t="str">
        <f aca="false">INDEX(Companies!$D$2:$D$31,MATCH(C2940,Companies!$A$2:$A$31,0))</f>
        <v>Tier 2</v>
      </c>
      <c r="N2940" s="34" t="n">
        <f aca="false">MATCH(F2940,Assumptions!$K$4:$K$8,0)</f>
        <v>5</v>
      </c>
      <c r="O2940" s="21" t="n">
        <f aca="false">IF(H2940="Yes",MONTH(I2940),"")</f>
        <v>2</v>
      </c>
      <c r="P2940" s="21" t="str">
        <f aca="false">IF(H2940="Yes",B2940,"")</f>
        <v>S0591</v>
      </c>
    </row>
    <row r="2941" customFormat="false" ht="15" hidden="false" customHeight="false" outlineLevel="0" collapsed="false">
      <c r="A2941" s="21" t="s">
        <v>4156</v>
      </c>
      <c r="B2941" s="21" t="s">
        <v>979</v>
      </c>
      <c r="C2941" s="21" t="s">
        <v>1239</v>
      </c>
      <c r="D2941" s="21" t="s">
        <v>1191</v>
      </c>
      <c r="E2941" s="33" t="n">
        <v>46043</v>
      </c>
      <c r="F2941" s="21" t="s">
        <v>1197</v>
      </c>
      <c r="G2941" s="32"/>
      <c r="H2941" s="21"/>
      <c r="I2941" s="33"/>
      <c r="J2941" s="21" t="str">
        <f aca="false">INDEX(Students!$C$2:$C$601,MATCH(B2941,Students!$A$2:$A$601,0))</f>
        <v>Batch 2026</v>
      </c>
      <c r="K2941" s="21" t="str">
        <f aca="false">INDEX(Students!$D$2:$D$601,MATCH(B2941,Students!$A$2:$A$601,0))</f>
        <v>DSA with Java</v>
      </c>
      <c r="L2941" s="21" t="str">
        <f aca="false">INDEX(Companies!$C$2:$C$31,MATCH(C2941,Companies!$A$2:$A$31,0))</f>
        <v>E-commerce</v>
      </c>
      <c r="M2941" s="21" t="str">
        <f aca="false">INDEX(Companies!$D$2:$D$31,MATCH(C2941,Companies!$A$2:$A$31,0))</f>
        <v>Tier 3</v>
      </c>
      <c r="N2941" s="34" t="n">
        <f aca="false">MATCH(F2941,Assumptions!$K$4:$K$8,0)</f>
        <v>3</v>
      </c>
      <c r="O2941" s="21" t="str">
        <f aca="false">IF(H2941="Yes",MONTH(I2941),"")</f>
        <v/>
      </c>
      <c r="P2941" s="21" t="str">
        <f aca="false">IF(H2941="Yes",B2941,"")</f>
        <v/>
      </c>
    </row>
    <row r="2942" customFormat="false" ht="15" hidden="false" customHeight="false" outlineLevel="0" collapsed="false">
      <c r="A2942" s="21" t="s">
        <v>4157</v>
      </c>
      <c r="B2942" s="21" t="s">
        <v>977</v>
      </c>
      <c r="C2942" s="21" t="s">
        <v>1230</v>
      </c>
      <c r="D2942" s="21" t="s">
        <v>1174</v>
      </c>
      <c r="E2942" s="33" t="n">
        <v>46043</v>
      </c>
      <c r="F2942" s="21" t="s">
        <v>1185</v>
      </c>
      <c r="G2942" s="32" t="n">
        <v>6.8</v>
      </c>
      <c r="H2942" s="21" t="s">
        <v>113</v>
      </c>
      <c r="I2942" s="33" t="n">
        <v>46076</v>
      </c>
      <c r="J2942" s="21" t="str">
        <f aca="false">INDEX(Students!$C$2:$C$601,MATCH(B2942,Students!$A$2:$A$601,0))</f>
        <v>Batch 2026</v>
      </c>
      <c r="K2942" s="21" t="str">
        <f aca="false">INDEX(Students!$D$2:$D$601,MATCH(B2942,Students!$A$2:$A$601,0))</f>
        <v>Full Stack Development</v>
      </c>
      <c r="L2942" s="21" t="str">
        <f aca="false">INDEX(Companies!$C$2:$C$31,MATCH(C2942,Companies!$A$2:$A$31,0))</f>
        <v>IT Services</v>
      </c>
      <c r="M2942" s="21" t="str">
        <f aca="false">INDEX(Companies!$D$2:$D$31,MATCH(C2942,Companies!$A$2:$A$31,0))</f>
        <v>Tier 3</v>
      </c>
      <c r="N2942" s="34" t="n">
        <f aca="false">MATCH(F2942,Assumptions!$K$4:$K$8,0)</f>
        <v>5</v>
      </c>
      <c r="O2942" s="21" t="str">
        <f aca="false">IF(H2942="Yes",MONTH(I2942),"")</f>
        <v/>
      </c>
      <c r="P2942" s="21" t="str">
        <f aca="false">IF(H2942="Yes",B2942,"")</f>
        <v/>
      </c>
    </row>
    <row r="2943" customFormat="false" ht="15" hidden="false" customHeight="false" outlineLevel="0" collapsed="false">
      <c r="A2943" s="21" t="s">
        <v>4158</v>
      </c>
      <c r="B2943" s="21" t="s">
        <v>817</v>
      </c>
      <c r="C2943" s="21" t="s">
        <v>1177</v>
      </c>
      <c r="D2943" s="21" t="s">
        <v>1191</v>
      </c>
      <c r="E2943" s="33" t="n">
        <v>46044</v>
      </c>
      <c r="F2943" s="21" t="s">
        <v>1218</v>
      </c>
      <c r="G2943" s="32"/>
      <c r="H2943" s="21"/>
      <c r="I2943" s="33"/>
      <c r="J2943" s="21" t="str">
        <f aca="false">INDEX(Students!$C$2:$C$601,MATCH(B2943,Students!$A$2:$A$601,0))</f>
        <v>Batch 2026</v>
      </c>
      <c r="K2943" s="21" t="str">
        <f aca="false">INDEX(Students!$D$2:$D$601,MATCH(B2943,Students!$A$2:$A$601,0))</f>
        <v>DSA with Java</v>
      </c>
      <c r="L2943" s="21" t="str">
        <f aca="false">INDEX(Companies!$C$2:$C$31,MATCH(C2943,Companies!$A$2:$A$31,0))</f>
        <v>IT Services</v>
      </c>
      <c r="M2943" s="21" t="str">
        <f aca="false">INDEX(Companies!$D$2:$D$31,MATCH(C2943,Companies!$A$2:$A$31,0))</f>
        <v>Tier 3</v>
      </c>
      <c r="N2943" s="34" t="n">
        <f aca="false">MATCH(F2943,Assumptions!$K$4:$K$8,0)</f>
        <v>4</v>
      </c>
      <c r="O2943" s="21" t="str">
        <f aca="false">IF(H2943="Yes",MONTH(I2943),"")</f>
        <v/>
      </c>
      <c r="P2943" s="21" t="str">
        <f aca="false">IF(H2943="Yes",B2943,"")</f>
        <v/>
      </c>
    </row>
    <row r="2944" customFormat="false" ht="15" hidden="false" customHeight="false" outlineLevel="0" collapsed="false">
      <c r="A2944" s="21" t="s">
        <v>4159</v>
      </c>
      <c r="B2944" s="21" t="s">
        <v>943</v>
      </c>
      <c r="C2944" s="21" t="s">
        <v>1290</v>
      </c>
      <c r="D2944" s="21" t="s">
        <v>1181</v>
      </c>
      <c r="E2944" s="33" t="n">
        <v>46044</v>
      </c>
      <c r="F2944" s="21" t="s">
        <v>1178</v>
      </c>
      <c r="G2944" s="32"/>
      <c r="H2944" s="21"/>
      <c r="I2944" s="33"/>
      <c r="J2944" s="21" t="str">
        <f aca="false">INDEX(Students!$C$2:$C$601,MATCH(B2944,Students!$A$2:$A$601,0))</f>
        <v>Batch 2026</v>
      </c>
      <c r="K2944" s="21" t="str">
        <f aca="false">INDEX(Students!$D$2:$D$601,MATCH(B2944,Students!$A$2:$A$601,0))</f>
        <v>Full Stack Development</v>
      </c>
      <c r="L2944" s="21" t="str">
        <f aca="false">INDEX(Companies!$C$2:$C$31,MATCH(C2944,Companies!$A$2:$A$31,0))</f>
        <v>Fintech</v>
      </c>
      <c r="M2944" s="21" t="str">
        <f aca="false">INDEX(Companies!$D$2:$D$31,MATCH(C2944,Companies!$A$2:$A$31,0))</f>
        <v>Tier 2</v>
      </c>
      <c r="N2944" s="34" t="n">
        <f aca="false">MATCH(F2944,Assumptions!$K$4:$K$8,0)</f>
        <v>2</v>
      </c>
      <c r="O2944" s="21" t="str">
        <f aca="false">IF(H2944="Yes",MONTH(I2944),"")</f>
        <v/>
      </c>
      <c r="P2944" s="21" t="str">
        <f aca="false">IF(H2944="Yes",B2944,"")</f>
        <v/>
      </c>
    </row>
    <row r="2945" customFormat="false" ht="15" hidden="false" customHeight="false" outlineLevel="0" collapsed="false">
      <c r="A2945" s="21" t="s">
        <v>4160</v>
      </c>
      <c r="B2945" s="21" t="s">
        <v>1136</v>
      </c>
      <c r="C2945" s="21" t="s">
        <v>1222</v>
      </c>
      <c r="D2945" s="21" t="s">
        <v>1188</v>
      </c>
      <c r="E2945" s="33" t="n">
        <v>46044</v>
      </c>
      <c r="F2945" s="21" t="s">
        <v>1178</v>
      </c>
      <c r="G2945" s="32"/>
      <c r="H2945" s="21"/>
      <c r="I2945" s="33"/>
      <c r="J2945" s="21" t="str">
        <f aca="false">INDEX(Students!$C$2:$C$601,MATCH(B2945,Students!$A$2:$A$601,0))</f>
        <v>Batch 2026</v>
      </c>
      <c r="K2945" s="21" t="str">
        <f aca="false">INDEX(Students!$D$2:$D$601,MATCH(B2945,Students!$A$2:$A$601,0))</f>
        <v>Data Analytics</v>
      </c>
      <c r="L2945" s="21" t="str">
        <f aca="false">INDEX(Companies!$C$2:$C$31,MATCH(C2945,Companies!$A$2:$A$31,0))</f>
        <v>Product</v>
      </c>
      <c r="M2945" s="21" t="str">
        <f aca="false">INDEX(Companies!$D$2:$D$31,MATCH(C2945,Companies!$A$2:$A$31,0))</f>
        <v>Tier 2</v>
      </c>
      <c r="N2945" s="34" t="n">
        <f aca="false">MATCH(F2945,Assumptions!$K$4:$K$8,0)</f>
        <v>2</v>
      </c>
      <c r="O2945" s="21" t="str">
        <f aca="false">IF(H2945="Yes",MONTH(I2945),"")</f>
        <v/>
      </c>
      <c r="P2945" s="21" t="str">
        <f aca="false">IF(H2945="Yes",B2945,"")</f>
        <v/>
      </c>
    </row>
    <row r="2946" customFormat="false" ht="15" hidden="false" customHeight="false" outlineLevel="0" collapsed="false">
      <c r="A2946" s="21" t="s">
        <v>4161</v>
      </c>
      <c r="B2946" s="21" t="s">
        <v>1065</v>
      </c>
      <c r="C2946" s="21" t="s">
        <v>1214</v>
      </c>
      <c r="D2946" s="21" t="s">
        <v>1209</v>
      </c>
      <c r="E2946" s="33" t="n">
        <v>46044</v>
      </c>
      <c r="F2946" s="21" t="s">
        <v>1197</v>
      </c>
      <c r="G2946" s="32"/>
      <c r="H2946" s="21"/>
      <c r="I2946" s="33"/>
      <c r="J2946" s="21" t="str">
        <f aca="false">INDEX(Students!$C$2:$C$601,MATCH(B2946,Students!$A$2:$A$601,0))</f>
        <v>Batch 2026</v>
      </c>
      <c r="K2946" s="21" t="str">
        <f aca="false">INDEX(Students!$D$2:$D$601,MATCH(B2946,Students!$A$2:$A$601,0))</f>
        <v>Data Analytics</v>
      </c>
      <c r="L2946" s="21" t="str">
        <f aca="false">INDEX(Companies!$C$2:$C$31,MATCH(C2946,Companies!$A$2:$A$31,0))</f>
        <v>Product</v>
      </c>
      <c r="M2946" s="21" t="str">
        <f aca="false">INDEX(Companies!$D$2:$D$31,MATCH(C2946,Companies!$A$2:$A$31,0))</f>
        <v>Tier 1</v>
      </c>
      <c r="N2946" s="34" t="n">
        <f aca="false">MATCH(F2946,Assumptions!$K$4:$K$8,0)</f>
        <v>3</v>
      </c>
      <c r="O2946" s="21" t="str">
        <f aca="false">IF(H2946="Yes",MONTH(I2946),"")</f>
        <v/>
      </c>
      <c r="P2946" s="21" t="str">
        <f aca="false">IF(H2946="Yes",B2946,"")</f>
        <v/>
      </c>
    </row>
    <row r="2947" customFormat="false" ht="15" hidden="false" customHeight="false" outlineLevel="0" collapsed="false">
      <c r="A2947" s="21" t="s">
        <v>4162</v>
      </c>
      <c r="B2947" s="21" t="s">
        <v>925</v>
      </c>
      <c r="C2947" s="21" t="s">
        <v>1180</v>
      </c>
      <c r="D2947" s="21" t="s">
        <v>1181</v>
      </c>
      <c r="E2947" s="33" t="n">
        <v>46044</v>
      </c>
      <c r="F2947" s="21" t="s">
        <v>1197</v>
      </c>
      <c r="G2947" s="32"/>
      <c r="H2947" s="21"/>
      <c r="I2947" s="33"/>
      <c r="J2947" s="21" t="str">
        <f aca="false">INDEX(Students!$C$2:$C$601,MATCH(B2947,Students!$A$2:$A$601,0))</f>
        <v>Batch 2026</v>
      </c>
      <c r="K2947" s="21" t="str">
        <f aca="false">INDEX(Students!$D$2:$D$601,MATCH(B2947,Students!$A$2:$A$601,0))</f>
        <v>Full Stack Development</v>
      </c>
      <c r="L2947" s="21" t="str">
        <f aca="false">INDEX(Companies!$C$2:$C$31,MATCH(C2947,Companies!$A$2:$A$31,0))</f>
        <v>IT Services</v>
      </c>
      <c r="M2947" s="21" t="str">
        <f aca="false">INDEX(Companies!$D$2:$D$31,MATCH(C2947,Companies!$A$2:$A$31,0))</f>
        <v>Tier 3</v>
      </c>
      <c r="N2947" s="34" t="n">
        <f aca="false">MATCH(F2947,Assumptions!$K$4:$K$8,0)</f>
        <v>3</v>
      </c>
      <c r="O2947" s="21" t="str">
        <f aca="false">IF(H2947="Yes",MONTH(I2947),"")</f>
        <v/>
      </c>
      <c r="P2947" s="21" t="str">
        <f aca="false">IF(H2947="Yes",B2947,"")</f>
        <v/>
      </c>
    </row>
    <row r="2948" customFormat="false" ht="15" hidden="false" customHeight="false" outlineLevel="0" collapsed="false">
      <c r="A2948" s="21" t="s">
        <v>4163</v>
      </c>
      <c r="B2948" s="21" t="s">
        <v>935</v>
      </c>
      <c r="C2948" s="21" t="s">
        <v>1266</v>
      </c>
      <c r="D2948" s="21" t="s">
        <v>1188</v>
      </c>
      <c r="E2948" s="33" t="n">
        <v>46045</v>
      </c>
      <c r="F2948" s="21" t="s">
        <v>1175</v>
      </c>
      <c r="G2948" s="32"/>
      <c r="H2948" s="21"/>
      <c r="I2948" s="33"/>
      <c r="J2948" s="21" t="str">
        <f aca="false">INDEX(Students!$C$2:$C$601,MATCH(B2948,Students!$A$2:$A$601,0))</f>
        <v>Batch 2026</v>
      </c>
      <c r="K2948" s="21" t="str">
        <f aca="false">INDEX(Students!$D$2:$D$601,MATCH(B2948,Students!$A$2:$A$601,0))</f>
        <v>Data Analytics</v>
      </c>
      <c r="L2948" s="21" t="str">
        <f aca="false">INDEX(Companies!$C$2:$C$31,MATCH(C2948,Companies!$A$2:$A$31,0))</f>
        <v>IT Services</v>
      </c>
      <c r="M2948" s="21" t="str">
        <f aca="false">INDEX(Companies!$D$2:$D$31,MATCH(C2948,Companies!$A$2:$A$31,0))</f>
        <v>Tier 3</v>
      </c>
      <c r="N2948" s="34" t="n">
        <f aca="false">MATCH(F2948,Assumptions!$K$4:$K$8,0)</f>
        <v>1</v>
      </c>
      <c r="O2948" s="21" t="str">
        <f aca="false">IF(H2948="Yes",MONTH(I2948),"")</f>
        <v/>
      </c>
      <c r="P2948" s="21" t="str">
        <f aca="false">IF(H2948="Yes",B2948,"")</f>
        <v/>
      </c>
    </row>
    <row r="2949" customFormat="false" ht="15" hidden="false" customHeight="false" outlineLevel="0" collapsed="false">
      <c r="A2949" s="21" t="s">
        <v>4164</v>
      </c>
      <c r="B2949" s="21" t="s">
        <v>829</v>
      </c>
      <c r="C2949" s="21" t="s">
        <v>1298</v>
      </c>
      <c r="D2949" s="21" t="s">
        <v>1184</v>
      </c>
      <c r="E2949" s="33" t="n">
        <v>46045</v>
      </c>
      <c r="F2949" s="21" t="s">
        <v>1178</v>
      </c>
      <c r="G2949" s="32"/>
      <c r="H2949" s="21"/>
      <c r="I2949" s="33"/>
      <c r="J2949" s="21" t="str">
        <f aca="false">INDEX(Students!$C$2:$C$601,MATCH(B2949,Students!$A$2:$A$601,0))</f>
        <v>Batch 2026</v>
      </c>
      <c r="K2949" s="21" t="str">
        <f aca="false">INDEX(Students!$D$2:$D$601,MATCH(B2949,Students!$A$2:$A$601,0))</f>
        <v>DSA with Java</v>
      </c>
      <c r="L2949" s="21" t="str">
        <f aca="false">INDEX(Companies!$C$2:$C$31,MATCH(C2949,Companies!$A$2:$A$31,0))</f>
        <v>Fintech</v>
      </c>
      <c r="M2949" s="21" t="str">
        <f aca="false">INDEX(Companies!$D$2:$D$31,MATCH(C2949,Companies!$A$2:$A$31,0))</f>
        <v>Tier 2</v>
      </c>
      <c r="N2949" s="34" t="n">
        <f aca="false">MATCH(F2949,Assumptions!$K$4:$K$8,0)</f>
        <v>2</v>
      </c>
      <c r="O2949" s="21" t="str">
        <f aca="false">IF(H2949="Yes",MONTH(I2949),"")</f>
        <v/>
      </c>
      <c r="P2949" s="21" t="str">
        <f aca="false">IF(H2949="Yes",B2949,"")</f>
        <v/>
      </c>
    </row>
    <row r="2950" customFormat="false" ht="15" hidden="false" customHeight="false" outlineLevel="0" collapsed="false">
      <c r="A2950" s="21" t="s">
        <v>4165</v>
      </c>
      <c r="B2950" s="21" t="s">
        <v>831</v>
      </c>
      <c r="C2950" s="21" t="s">
        <v>1255</v>
      </c>
      <c r="D2950" s="21" t="s">
        <v>1194</v>
      </c>
      <c r="E2950" s="33" t="n">
        <v>46045</v>
      </c>
      <c r="F2950" s="21" t="s">
        <v>1175</v>
      </c>
      <c r="G2950" s="32"/>
      <c r="H2950" s="21"/>
      <c r="I2950" s="33"/>
      <c r="J2950" s="21" t="str">
        <f aca="false">INDEX(Students!$C$2:$C$601,MATCH(B2950,Students!$A$2:$A$601,0))</f>
        <v>Batch 2026</v>
      </c>
      <c r="K2950" s="21" t="str">
        <f aca="false">INDEX(Students!$D$2:$D$601,MATCH(B2950,Students!$A$2:$A$601,0))</f>
        <v>Data Science &amp; ML</v>
      </c>
      <c r="L2950" s="21" t="str">
        <f aca="false">INDEX(Companies!$C$2:$C$31,MATCH(C2950,Companies!$A$2:$A$31,0))</f>
        <v>IT Services</v>
      </c>
      <c r="M2950" s="21" t="str">
        <f aca="false">INDEX(Companies!$D$2:$D$31,MATCH(C2950,Companies!$A$2:$A$31,0))</f>
        <v>Tier 3</v>
      </c>
      <c r="N2950" s="34" t="n">
        <f aca="false">MATCH(F2950,Assumptions!$K$4:$K$8,0)</f>
        <v>1</v>
      </c>
      <c r="O2950" s="21" t="str">
        <f aca="false">IF(H2950="Yes",MONTH(I2950),"")</f>
        <v/>
      </c>
      <c r="P2950" s="21" t="str">
        <f aca="false">IF(H2950="Yes",B2950,"")</f>
        <v/>
      </c>
    </row>
    <row r="2951" customFormat="false" ht="15" hidden="false" customHeight="false" outlineLevel="0" collapsed="false">
      <c r="A2951" s="21" t="s">
        <v>4166</v>
      </c>
      <c r="B2951" s="21" t="s">
        <v>870</v>
      </c>
      <c r="C2951" s="21" t="s">
        <v>1180</v>
      </c>
      <c r="D2951" s="21" t="s">
        <v>1174</v>
      </c>
      <c r="E2951" s="33" t="n">
        <v>46045</v>
      </c>
      <c r="F2951" s="21" t="s">
        <v>1175</v>
      </c>
      <c r="G2951" s="32"/>
      <c r="H2951" s="21"/>
      <c r="I2951" s="33"/>
      <c r="J2951" s="21" t="str">
        <f aca="false">INDEX(Students!$C$2:$C$601,MATCH(B2951,Students!$A$2:$A$601,0))</f>
        <v>Batch 2026</v>
      </c>
      <c r="K2951" s="21" t="str">
        <f aca="false">INDEX(Students!$D$2:$D$601,MATCH(B2951,Students!$A$2:$A$601,0))</f>
        <v>Full Stack Development</v>
      </c>
      <c r="L2951" s="21" t="str">
        <f aca="false">INDEX(Companies!$C$2:$C$31,MATCH(C2951,Companies!$A$2:$A$31,0))</f>
        <v>IT Services</v>
      </c>
      <c r="M2951" s="21" t="str">
        <f aca="false">INDEX(Companies!$D$2:$D$31,MATCH(C2951,Companies!$A$2:$A$31,0))</f>
        <v>Tier 3</v>
      </c>
      <c r="N2951" s="34" t="n">
        <f aca="false">MATCH(F2951,Assumptions!$K$4:$K$8,0)</f>
        <v>1</v>
      </c>
      <c r="O2951" s="21" t="str">
        <f aca="false">IF(H2951="Yes",MONTH(I2951),"")</f>
        <v/>
      </c>
      <c r="P2951" s="21" t="str">
        <f aca="false">IF(H2951="Yes",B2951,"")</f>
        <v/>
      </c>
    </row>
    <row r="2952" customFormat="false" ht="15" hidden="false" customHeight="false" outlineLevel="0" collapsed="false">
      <c r="A2952" s="21" t="s">
        <v>4167</v>
      </c>
      <c r="B2952" s="21" t="s">
        <v>1100</v>
      </c>
      <c r="C2952" s="21" t="s">
        <v>1199</v>
      </c>
      <c r="D2952" s="21" t="s">
        <v>1181</v>
      </c>
      <c r="E2952" s="33" t="n">
        <v>46045</v>
      </c>
      <c r="F2952" s="21" t="s">
        <v>1178</v>
      </c>
      <c r="G2952" s="32"/>
      <c r="H2952" s="21"/>
      <c r="I2952" s="33"/>
      <c r="J2952" s="21" t="str">
        <f aca="false">INDEX(Students!$C$2:$C$601,MATCH(B2952,Students!$A$2:$A$601,0))</f>
        <v>Batch 2026</v>
      </c>
      <c r="K2952" s="21" t="str">
        <f aca="false">INDEX(Students!$D$2:$D$601,MATCH(B2952,Students!$A$2:$A$601,0))</f>
        <v>Full Stack Development</v>
      </c>
      <c r="L2952" s="21" t="str">
        <f aca="false">INDEX(Companies!$C$2:$C$31,MATCH(C2952,Companies!$A$2:$A$31,0))</f>
        <v>E-commerce</v>
      </c>
      <c r="M2952" s="21" t="str">
        <f aca="false">INDEX(Companies!$D$2:$D$31,MATCH(C2952,Companies!$A$2:$A$31,0))</f>
        <v>Tier 2</v>
      </c>
      <c r="N2952" s="34" t="n">
        <f aca="false">MATCH(F2952,Assumptions!$K$4:$K$8,0)</f>
        <v>2</v>
      </c>
      <c r="O2952" s="21" t="str">
        <f aca="false">IF(H2952="Yes",MONTH(I2952),"")</f>
        <v/>
      </c>
      <c r="P2952" s="21" t="str">
        <f aca="false">IF(H2952="Yes",B2952,"")</f>
        <v/>
      </c>
    </row>
    <row r="2953" customFormat="false" ht="15" hidden="false" customHeight="false" outlineLevel="0" collapsed="false">
      <c r="A2953" s="21" t="s">
        <v>4168</v>
      </c>
      <c r="B2953" s="21" t="s">
        <v>819</v>
      </c>
      <c r="C2953" s="21" t="s">
        <v>1193</v>
      </c>
      <c r="D2953" s="21" t="s">
        <v>1184</v>
      </c>
      <c r="E2953" s="33" t="n">
        <v>46045</v>
      </c>
      <c r="F2953" s="21" t="s">
        <v>1197</v>
      </c>
      <c r="G2953" s="32"/>
      <c r="H2953" s="21"/>
      <c r="I2953" s="33"/>
      <c r="J2953" s="21" t="str">
        <f aca="false">INDEX(Students!$C$2:$C$601,MATCH(B2953,Students!$A$2:$A$601,0))</f>
        <v>Batch 2026</v>
      </c>
      <c r="K2953" s="21" t="str">
        <f aca="false">INDEX(Students!$D$2:$D$601,MATCH(B2953,Students!$A$2:$A$601,0))</f>
        <v>DSA with Java</v>
      </c>
      <c r="L2953" s="21" t="str">
        <f aca="false">INDEX(Companies!$C$2:$C$31,MATCH(C2953,Companies!$A$2:$A$31,0))</f>
        <v>Analytics &amp; Consulting</v>
      </c>
      <c r="M2953" s="21" t="str">
        <f aca="false">INDEX(Companies!$D$2:$D$31,MATCH(C2953,Companies!$A$2:$A$31,0))</f>
        <v>Tier 2</v>
      </c>
      <c r="N2953" s="34" t="n">
        <f aca="false">MATCH(F2953,Assumptions!$K$4:$K$8,0)</f>
        <v>3</v>
      </c>
      <c r="O2953" s="21" t="str">
        <f aca="false">IF(H2953="Yes",MONTH(I2953),"")</f>
        <v/>
      </c>
      <c r="P2953" s="21" t="str">
        <f aca="false">IF(H2953="Yes",B2953,"")</f>
        <v/>
      </c>
    </row>
    <row r="2954" customFormat="false" ht="15" hidden="false" customHeight="false" outlineLevel="0" collapsed="false">
      <c r="A2954" s="21" t="s">
        <v>4169</v>
      </c>
      <c r="B2954" s="21" t="s">
        <v>963</v>
      </c>
      <c r="C2954" s="21" t="s">
        <v>1205</v>
      </c>
      <c r="D2954" s="21" t="s">
        <v>1181</v>
      </c>
      <c r="E2954" s="33" t="n">
        <v>46045</v>
      </c>
      <c r="F2954" s="21" t="s">
        <v>1175</v>
      </c>
      <c r="G2954" s="32"/>
      <c r="H2954" s="21"/>
      <c r="I2954" s="33"/>
      <c r="J2954" s="21" t="str">
        <f aca="false">INDEX(Students!$C$2:$C$601,MATCH(B2954,Students!$A$2:$A$601,0))</f>
        <v>Batch 2026</v>
      </c>
      <c r="K2954" s="21" t="str">
        <f aca="false">INDEX(Students!$D$2:$D$601,MATCH(B2954,Students!$A$2:$A$601,0))</f>
        <v>Full Stack Development</v>
      </c>
      <c r="L2954" s="21" t="str">
        <f aca="false">INDEX(Companies!$C$2:$C$31,MATCH(C2954,Companies!$A$2:$A$31,0))</f>
        <v>Healthtech</v>
      </c>
      <c r="M2954" s="21" t="str">
        <f aca="false">INDEX(Companies!$D$2:$D$31,MATCH(C2954,Companies!$A$2:$A$31,0))</f>
        <v>Tier 3</v>
      </c>
      <c r="N2954" s="34" t="n">
        <f aca="false">MATCH(F2954,Assumptions!$K$4:$K$8,0)</f>
        <v>1</v>
      </c>
      <c r="O2954" s="21" t="str">
        <f aca="false">IF(H2954="Yes",MONTH(I2954),"")</f>
        <v/>
      </c>
      <c r="P2954" s="21" t="str">
        <f aca="false">IF(H2954="Yes",B2954,"")</f>
        <v/>
      </c>
    </row>
    <row r="2955" customFormat="false" ht="15" hidden="false" customHeight="false" outlineLevel="0" collapsed="false">
      <c r="A2955" s="21" t="s">
        <v>4170</v>
      </c>
      <c r="B2955" s="21" t="s">
        <v>1069</v>
      </c>
      <c r="C2955" s="21" t="s">
        <v>1201</v>
      </c>
      <c r="D2955" s="21" t="s">
        <v>1243</v>
      </c>
      <c r="E2955" s="33" t="n">
        <v>46046</v>
      </c>
      <c r="F2955" s="21" t="s">
        <v>1175</v>
      </c>
      <c r="G2955" s="32"/>
      <c r="H2955" s="21"/>
      <c r="I2955" s="33"/>
      <c r="J2955" s="21" t="str">
        <f aca="false">INDEX(Students!$C$2:$C$601,MATCH(B2955,Students!$A$2:$A$601,0))</f>
        <v>Batch 2026</v>
      </c>
      <c r="K2955" s="21" t="str">
        <f aca="false">INDEX(Students!$D$2:$D$601,MATCH(B2955,Students!$A$2:$A$601,0))</f>
        <v>Data Science &amp; ML</v>
      </c>
      <c r="L2955" s="21" t="str">
        <f aca="false">INDEX(Companies!$C$2:$C$31,MATCH(C2955,Companies!$A$2:$A$31,0))</f>
        <v>IT Services</v>
      </c>
      <c r="M2955" s="21" t="str">
        <f aca="false">INDEX(Companies!$D$2:$D$31,MATCH(C2955,Companies!$A$2:$A$31,0))</f>
        <v>Tier 3</v>
      </c>
      <c r="N2955" s="34" t="n">
        <f aca="false">MATCH(F2955,Assumptions!$K$4:$K$8,0)</f>
        <v>1</v>
      </c>
      <c r="O2955" s="21" t="str">
        <f aca="false">IF(H2955="Yes",MONTH(I2955),"")</f>
        <v/>
      </c>
      <c r="P2955" s="21" t="str">
        <f aca="false">IF(H2955="Yes",B2955,"")</f>
        <v/>
      </c>
    </row>
    <row r="2956" customFormat="false" ht="15" hidden="false" customHeight="false" outlineLevel="0" collapsed="false">
      <c r="A2956" s="21" t="s">
        <v>4171</v>
      </c>
      <c r="B2956" s="21" t="s">
        <v>1123</v>
      </c>
      <c r="C2956" s="21" t="s">
        <v>1309</v>
      </c>
      <c r="D2956" s="21" t="s">
        <v>1174</v>
      </c>
      <c r="E2956" s="33" t="n">
        <v>46046</v>
      </c>
      <c r="F2956" s="21" t="s">
        <v>1175</v>
      </c>
      <c r="G2956" s="32"/>
      <c r="H2956" s="21"/>
      <c r="I2956" s="33"/>
      <c r="J2956" s="21" t="str">
        <f aca="false">INDEX(Students!$C$2:$C$601,MATCH(B2956,Students!$A$2:$A$601,0))</f>
        <v>Batch 2026</v>
      </c>
      <c r="K2956" s="21" t="str">
        <f aca="false">INDEX(Students!$D$2:$D$601,MATCH(B2956,Students!$A$2:$A$601,0))</f>
        <v>Full Stack Development</v>
      </c>
      <c r="L2956" s="21" t="str">
        <f aca="false">INDEX(Companies!$C$2:$C$31,MATCH(C2956,Companies!$A$2:$A$31,0))</f>
        <v>EdTech</v>
      </c>
      <c r="M2956" s="21" t="str">
        <f aca="false">INDEX(Companies!$D$2:$D$31,MATCH(C2956,Companies!$A$2:$A$31,0))</f>
        <v>Tier 2</v>
      </c>
      <c r="N2956" s="34" t="n">
        <f aca="false">MATCH(F2956,Assumptions!$K$4:$K$8,0)</f>
        <v>1</v>
      </c>
      <c r="O2956" s="21" t="str">
        <f aca="false">IF(H2956="Yes",MONTH(I2956),"")</f>
        <v/>
      </c>
      <c r="P2956" s="21" t="str">
        <f aca="false">IF(H2956="Yes",B2956,"")</f>
        <v/>
      </c>
    </row>
    <row r="2957" customFormat="false" ht="15" hidden="false" customHeight="false" outlineLevel="0" collapsed="false">
      <c r="A2957" s="21" t="s">
        <v>4172</v>
      </c>
      <c r="B2957" s="21" t="s">
        <v>894</v>
      </c>
      <c r="C2957" s="21" t="s">
        <v>1230</v>
      </c>
      <c r="D2957" s="21" t="s">
        <v>1174</v>
      </c>
      <c r="E2957" s="33" t="n">
        <v>46046</v>
      </c>
      <c r="F2957" s="21" t="s">
        <v>1178</v>
      </c>
      <c r="G2957" s="32"/>
      <c r="H2957" s="21"/>
      <c r="I2957" s="33"/>
      <c r="J2957" s="21" t="str">
        <f aca="false">INDEX(Students!$C$2:$C$601,MATCH(B2957,Students!$A$2:$A$601,0))</f>
        <v>Batch 2026</v>
      </c>
      <c r="K2957" s="21" t="str">
        <f aca="false">INDEX(Students!$D$2:$D$601,MATCH(B2957,Students!$A$2:$A$601,0))</f>
        <v>Full Stack Development</v>
      </c>
      <c r="L2957" s="21" t="str">
        <f aca="false">INDEX(Companies!$C$2:$C$31,MATCH(C2957,Companies!$A$2:$A$31,0))</f>
        <v>IT Services</v>
      </c>
      <c r="M2957" s="21" t="str">
        <f aca="false">INDEX(Companies!$D$2:$D$31,MATCH(C2957,Companies!$A$2:$A$31,0))</f>
        <v>Tier 3</v>
      </c>
      <c r="N2957" s="34" t="n">
        <f aca="false">MATCH(F2957,Assumptions!$K$4:$K$8,0)</f>
        <v>2</v>
      </c>
      <c r="O2957" s="21" t="str">
        <f aca="false">IF(H2957="Yes",MONTH(I2957),"")</f>
        <v/>
      </c>
      <c r="P2957" s="21" t="str">
        <f aca="false">IF(H2957="Yes",B2957,"")</f>
        <v/>
      </c>
    </row>
    <row r="2958" customFormat="false" ht="15" hidden="false" customHeight="false" outlineLevel="0" collapsed="false">
      <c r="A2958" s="21" t="s">
        <v>4173</v>
      </c>
      <c r="B2958" s="21" t="s">
        <v>1122</v>
      </c>
      <c r="C2958" s="21" t="s">
        <v>1180</v>
      </c>
      <c r="D2958" s="21" t="s">
        <v>1243</v>
      </c>
      <c r="E2958" s="33" t="n">
        <v>46046</v>
      </c>
      <c r="F2958" s="21" t="s">
        <v>1178</v>
      </c>
      <c r="G2958" s="32"/>
      <c r="H2958" s="21"/>
      <c r="I2958" s="33"/>
      <c r="J2958" s="21" t="str">
        <f aca="false">INDEX(Students!$C$2:$C$601,MATCH(B2958,Students!$A$2:$A$601,0))</f>
        <v>Batch 2026</v>
      </c>
      <c r="K2958" s="21" t="str">
        <f aca="false">INDEX(Students!$D$2:$D$601,MATCH(B2958,Students!$A$2:$A$601,0))</f>
        <v>Data Science &amp; ML</v>
      </c>
      <c r="L2958" s="21" t="str">
        <f aca="false">INDEX(Companies!$C$2:$C$31,MATCH(C2958,Companies!$A$2:$A$31,0))</f>
        <v>IT Services</v>
      </c>
      <c r="M2958" s="21" t="str">
        <f aca="false">INDEX(Companies!$D$2:$D$31,MATCH(C2958,Companies!$A$2:$A$31,0))</f>
        <v>Tier 3</v>
      </c>
      <c r="N2958" s="34" t="n">
        <f aca="false">MATCH(F2958,Assumptions!$K$4:$K$8,0)</f>
        <v>2</v>
      </c>
      <c r="O2958" s="21" t="str">
        <f aca="false">IF(H2958="Yes",MONTH(I2958),"")</f>
        <v/>
      </c>
      <c r="P2958" s="21" t="str">
        <f aca="false">IF(H2958="Yes",B2958,"")</f>
        <v/>
      </c>
    </row>
    <row r="2959" customFormat="false" ht="15" hidden="false" customHeight="false" outlineLevel="0" collapsed="false">
      <c r="A2959" s="21" t="s">
        <v>4174</v>
      </c>
      <c r="B2959" s="21" t="s">
        <v>902</v>
      </c>
      <c r="C2959" s="21" t="s">
        <v>1298</v>
      </c>
      <c r="D2959" s="21" t="s">
        <v>1209</v>
      </c>
      <c r="E2959" s="33" t="n">
        <v>46046</v>
      </c>
      <c r="F2959" s="21" t="s">
        <v>1175</v>
      </c>
      <c r="G2959" s="32"/>
      <c r="H2959" s="21"/>
      <c r="I2959" s="33"/>
      <c r="J2959" s="21" t="str">
        <f aca="false">INDEX(Students!$C$2:$C$601,MATCH(B2959,Students!$A$2:$A$601,0))</f>
        <v>Batch 2026</v>
      </c>
      <c r="K2959" s="21" t="str">
        <f aca="false">INDEX(Students!$D$2:$D$601,MATCH(B2959,Students!$A$2:$A$601,0))</f>
        <v>Data Analytics</v>
      </c>
      <c r="L2959" s="21" t="str">
        <f aca="false">INDEX(Companies!$C$2:$C$31,MATCH(C2959,Companies!$A$2:$A$31,0))</f>
        <v>Fintech</v>
      </c>
      <c r="M2959" s="21" t="str">
        <f aca="false">INDEX(Companies!$D$2:$D$31,MATCH(C2959,Companies!$A$2:$A$31,0))</f>
        <v>Tier 2</v>
      </c>
      <c r="N2959" s="34" t="n">
        <f aca="false">MATCH(F2959,Assumptions!$K$4:$K$8,0)</f>
        <v>1</v>
      </c>
      <c r="O2959" s="21" t="str">
        <f aca="false">IF(H2959="Yes",MONTH(I2959),"")</f>
        <v/>
      </c>
      <c r="P2959" s="21" t="str">
        <f aca="false">IF(H2959="Yes",B2959,"")</f>
        <v/>
      </c>
    </row>
    <row r="2960" customFormat="false" ht="15" hidden="false" customHeight="false" outlineLevel="0" collapsed="false">
      <c r="A2960" s="21" t="s">
        <v>4175</v>
      </c>
      <c r="B2960" s="21" t="s">
        <v>981</v>
      </c>
      <c r="C2960" s="21" t="s">
        <v>1211</v>
      </c>
      <c r="D2960" s="21" t="s">
        <v>1174</v>
      </c>
      <c r="E2960" s="33" t="n">
        <v>46046</v>
      </c>
      <c r="F2960" s="21" t="s">
        <v>1185</v>
      </c>
      <c r="G2960" s="32" t="n">
        <v>5.5</v>
      </c>
      <c r="H2960" s="21" t="s">
        <v>113</v>
      </c>
      <c r="I2960" s="33" t="n">
        <v>46071</v>
      </c>
      <c r="J2960" s="21" t="str">
        <f aca="false">INDEX(Students!$C$2:$C$601,MATCH(B2960,Students!$A$2:$A$601,0))</f>
        <v>Batch 2026</v>
      </c>
      <c r="K2960" s="21" t="str">
        <f aca="false">INDEX(Students!$D$2:$D$601,MATCH(B2960,Students!$A$2:$A$601,0))</f>
        <v>Full Stack Development</v>
      </c>
      <c r="L2960" s="21" t="str">
        <f aca="false">INDEX(Companies!$C$2:$C$31,MATCH(C2960,Companies!$A$2:$A$31,0))</f>
        <v>Analytics &amp; Consulting</v>
      </c>
      <c r="M2960" s="21" t="str">
        <f aca="false">INDEX(Companies!$D$2:$D$31,MATCH(C2960,Companies!$A$2:$A$31,0))</f>
        <v>Tier 3</v>
      </c>
      <c r="N2960" s="34" t="n">
        <f aca="false">MATCH(F2960,Assumptions!$K$4:$K$8,0)</f>
        <v>5</v>
      </c>
      <c r="O2960" s="21" t="str">
        <f aca="false">IF(H2960="Yes",MONTH(I2960),"")</f>
        <v/>
      </c>
      <c r="P2960" s="21" t="str">
        <f aca="false">IF(H2960="Yes",B2960,"")</f>
        <v/>
      </c>
    </row>
    <row r="2961" customFormat="false" ht="15" hidden="false" customHeight="false" outlineLevel="0" collapsed="false">
      <c r="A2961" s="21" t="s">
        <v>4176</v>
      </c>
      <c r="B2961" s="21" t="s">
        <v>1018</v>
      </c>
      <c r="C2961" s="21" t="s">
        <v>1201</v>
      </c>
      <c r="D2961" s="21" t="s">
        <v>1184</v>
      </c>
      <c r="E2961" s="33" t="n">
        <v>46046</v>
      </c>
      <c r="F2961" s="21" t="s">
        <v>1185</v>
      </c>
      <c r="G2961" s="32" t="n">
        <v>5</v>
      </c>
      <c r="H2961" s="21" t="s">
        <v>113</v>
      </c>
      <c r="I2961" s="33" t="n">
        <v>46079</v>
      </c>
      <c r="J2961" s="21" t="str">
        <f aca="false">INDEX(Students!$C$2:$C$601,MATCH(B2961,Students!$A$2:$A$601,0))</f>
        <v>Batch 2026</v>
      </c>
      <c r="K2961" s="21" t="str">
        <f aca="false">INDEX(Students!$D$2:$D$601,MATCH(B2961,Students!$A$2:$A$601,0))</f>
        <v>DSA with Java</v>
      </c>
      <c r="L2961" s="21" t="str">
        <f aca="false">INDEX(Companies!$C$2:$C$31,MATCH(C2961,Companies!$A$2:$A$31,0))</f>
        <v>IT Services</v>
      </c>
      <c r="M2961" s="21" t="str">
        <f aca="false">INDEX(Companies!$D$2:$D$31,MATCH(C2961,Companies!$A$2:$A$31,0))</f>
        <v>Tier 3</v>
      </c>
      <c r="N2961" s="34" t="n">
        <f aca="false">MATCH(F2961,Assumptions!$K$4:$K$8,0)</f>
        <v>5</v>
      </c>
      <c r="O2961" s="21" t="str">
        <f aca="false">IF(H2961="Yes",MONTH(I2961),"")</f>
        <v/>
      </c>
      <c r="P2961" s="21" t="str">
        <f aca="false">IF(H2961="Yes",B2961,"")</f>
        <v/>
      </c>
    </row>
    <row r="2962" customFormat="false" ht="15" hidden="false" customHeight="false" outlineLevel="0" collapsed="false">
      <c r="A2962" s="21" t="s">
        <v>4177</v>
      </c>
      <c r="B2962" s="21" t="s">
        <v>1125</v>
      </c>
      <c r="C2962" s="21" t="s">
        <v>1228</v>
      </c>
      <c r="D2962" s="21" t="s">
        <v>1188</v>
      </c>
      <c r="E2962" s="33" t="n">
        <v>46047</v>
      </c>
      <c r="F2962" s="21" t="s">
        <v>1175</v>
      </c>
      <c r="G2962" s="32"/>
      <c r="H2962" s="21"/>
      <c r="I2962" s="33"/>
      <c r="J2962" s="21" t="str">
        <f aca="false">INDEX(Students!$C$2:$C$601,MATCH(B2962,Students!$A$2:$A$601,0))</f>
        <v>Batch 2026</v>
      </c>
      <c r="K2962" s="21" t="str">
        <f aca="false">INDEX(Students!$D$2:$D$601,MATCH(B2962,Students!$A$2:$A$601,0))</f>
        <v>Data Analytics</v>
      </c>
      <c r="L2962" s="21" t="str">
        <f aca="false">INDEX(Companies!$C$2:$C$31,MATCH(C2962,Companies!$A$2:$A$31,0))</f>
        <v>Fintech</v>
      </c>
      <c r="M2962" s="21" t="str">
        <f aca="false">INDEX(Companies!$D$2:$D$31,MATCH(C2962,Companies!$A$2:$A$31,0))</f>
        <v>Tier 1</v>
      </c>
      <c r="N2962" s="34" t="n">
        <f aca="false">MATCH(F2962,Assumptions!$K$4:$K$8,0)</f>
        <v>1</v>
      </c>
      <c r="O2962" s="21" t="str">
        <f aca="false">IF(H2962="Yes",MONTH(I2962),"")</f>
        <v/>
      </c>
      <c r="P2962" s="21" t="str">
        <f aca="false">IF(H2962="Yes",B2962,"")</f>
        <v/>
      </c>
    </row>
    <row r="2963" customFormat="false" ht="15" hidden="false" customHeight="false" outlineLevel="0" collapsed="false">
      <c r="A2963" s="21" t="s">
        <v>4178</v>
      </c>
      <c r="B2963" s="21" t="s">
        <v>819</v>
      </c>
      <c r="C2963" s="21" t="s">
        <v>1309</v>
      </c>
      <c r="D2963" s="21" t="s">
        <v>1191</v>
      </c>
      <c r="E2963" s="33" t="n">
        <v>46047</v>
      </c>
      <c r="F2963" s="21" t="s">
        <v>1218</v>
      </c>
      <c r="G2963" s="32"/>
      <c r="H2963" s="21"/>
      <c r="I2963" s="33"/>
      <c r="J2963" s="21" t="str">
        <f aca="false">INDEX(Students!$C$2:$C$601,MATCH(B2963,Students!$A$2:$A$601,0))</f>
        <v>Batch 2026</v>
      </c>
      <c r="K2963" s="21" t="str">
        <f aca="false">INDEX(Students!$D$2:$D$601,MATCH(B2963,Students!$A$2:$A$601,0))</f>
        <v>DSA with Java</v>
      </c>
      <c r="L2963" s="21" t="str">
        <f aca="false">INDEX(Companies!$C$2:$C$31,MATCH(C2963,Companies!$A$2:$A$31,0))</f>
        <v>EdTech</v>
      </c>
      <c r="M2963" s="21" t="str">
        <f aca="false">INDEX(Companies!$D$2:$D$31,MATCH(C2963,Companies!$A$2:$A$31,0))</f>
        <v>Tier 2</v>
      </c>
      <c r="N2963" s="34" t="n">
        <f aca="false">MATCH(F2963,Assumptions!$K$4:$K$8,0)</f>
        <v>4</v>
      </c>
      <c r="O2963" s="21" t="str">
        <f aca="false">IF(H2963="Yes",MONTH(I2963),"")</f>
        <v/>
      </c>
      <c r="P2963" s="21" t="str">
        <f aca="false">IF(H2963="Yes",B2963,"")</f>
        <v/>
      </c>
    </row>
    <row r="2964" customFormat="false" ht="15" hidden="false" customHeight="false" outlineLevel="0" collapsed="false">
      <c r="A2964" s="21" t="s">
        <v>4179</v>
      </c>
      <c r="B2964" s="21" t="s">
        <v>927</v>
      </c>
      <c r="C2964" s="21" t="s">
        <v>1309</v>
      </c>
      <c r="D2964" s="21" t="s">
        <v>1194</v>
      </c>
      <c r="E2964" s="33" t="n">
        <v>46047</v>
      </c>
      <c r="F2964" s="21" t="s">
        <v>1185</v>
      </c>
      <c r="G2964" s="32" t="n">
        <v>13.5</v>
      </c>
      <c r="H2964" s="21" t="s">
        <v>120</v>
      </c>
      <c r="I2964" s="33" t="n">
        <v>46082</v>
      </c>
      <c r="J2964" s="21" t="str">
        <f aca="false">INDEX(Students!$C$2:$C$601,MATCH(B2964,Students!$A$2:$A$601,0))</f>
        <v>Batch 2026</v>
      </c>
      <c r="K2964" s="21" t="str">
        <f aca="false">INDEX(Students!$D$2:$D$601,MATCH(B2964,Students!$A$2:$A$601,0))</f>
        <v>Data Science &amp; ML</v>
      </c>
      <c r="L2964" s="21" t="str">
        <f aca="false">INDEX(Companies!$C$2:$C$31,MATCH(C2964,Companies!$A$2:$A$31,0))</f>
        <v>EdTech</v>
      </c>
      <c r="M2964" s="21" t="str">
        <f aca="false">INDEX(Companies!$D$2:$D$31,MATCH(C2964,Companies!$A$2:$A$31,0))</f>
        <v>Tier 2</v>
      </c>
      <c r="N2964" s="34" t="n">
        <f aca="false">MATCH(F2964,Assumptions!$K$4:$K$8,0)</f>
        <v>5</v>
      </c>
      <c r="O2964" s="21" t="n">
        <f aca="false">IF(H2964="Yes",MONTH(I2964),"")</f>
        <v>3</v>
      </c>
      <c r="P2964" s="21" t="str">
        <f aca="false">IF(H2964="Yes",B2964,"")</f>
        <v>S0455</v>
      </c>
    </row>
    <row r="2965" customFormat="false" ht="15" hidden="false" customHeight="false" outlineLevel="0" collapsed="false">
      <c r="A2965" s="21" t="s">
        <v>4180</v>
      </c>
      <c r="B2965" s="21" t="s">
        <v>1086</v>
      </c>
      <c r="C2965" s="21" t="s">
        <v>1275</v>
      </c>
      <c r="D2965" s="21" t="s">
        <v>1226</v>
      </c>
      <c r="E2965" s="33" t="n">
        <v>46047</v>
      </c>
      <c r="F2965" s="21" t="s">
        <v>1175</v>
      </c>
      <c r="G2965" s="32"/>
      <c r="H2965" s="21"/>
      <c r="I2965" s="33"/>
      <c r="J2965" s="21" t="str">
        <f aca="false">INDEX(Students!$C$2:$C$601,MATCH(B2965,Students!$A$2:$A$601,0))</f>
        <v>Batch 2026</v>
      </c>
      <c r="K2965" s="21" t="str">
        <f aca="false">INDEX(Students!$D$2:$D$601,MATCH(B2965,Students!$A$2:$A$601,0))</f>
        <v>Cybersecurity</v>
      </c>
      <c r="L2965" s="21" t="str">
        <f aca="false">INDEX(Companies!$C$2:$C$31,MATCH(C2965,Companies!$A$2:$A$31,0))</f>
        <v>Cybersecurity</v>
      </c>
      <c r="M2965" s="21" t="str">
        <f aca="false">INDEX(Companies!$D$2:$D$31,MATCH(C2965,Companies!$A$2:$A$31,0))</f>
        <v>Tier 2</v>
      </c>
      <c r="N2965" s="34" t="n">
        <f aca="false">MATCH(F2965,Assumptions!$K$4:$K$8,0)</f>
        <v>1</v>
      </c>
      <c r="O2965" s="21" t="str">
        <f aca="false">IF(H2965="Yes",MONTH(I2965),"")</f>
        <v/>
      </c>
      <c r="P2965" s="21" t="str">
        <f aca="false">IF(H2965="Yes",B2965,"")</f>
        <v/>
      </c>
    </row>
    <row r="2966" customFormat="false" ht="15" hidden="false" customHeight="false" outlineLevel="0" collapsed="false">
      <c r="A2966" s="21" t="s">
        <v>4181</v>
      </c>
      <c r="B2966" s="21" t="s">
        <v>920</v>
      </c>
      <c r="C2966" s="21" t="s">
        <v>1180</v>
      </c>
      <c r="D2966" s="21" t="s">
        <v>1240</v>
      </c>
      <c r="E2966" s="33" t="n">
        <v>46047</v>
      </c>
      <c r="F2966" s="21" t="s">
        <v>1175</v>
      </c>
      <c r="G2966" s="32"/>
      <c r="H2966" s="21"/>
      <c r="I2966" s="33"/>
      <c r="J2966" s="21" t="str">
        <f aca="false">INDEX(Students!$C$2:$C$601,MATCH(B2966,Students!$A$2:$A$601,0))</f>
        <v>Batch 2026</v>
      </c>
      <c r="K2966" s="21" t="str">
        <f aca="false">INDEX(Students!$D$2:$D$601,MATCH(B2966,Students!$A$2:$A$601,0))</f>
        <v>Cybersecurity</v>
      </c>
      <c r="L2966" s="21" t="str">
        <f aca="false">INDEX(Companies!$C$2:$C$31,MATCH(C2966,Companies!$A$2:$A$31,0))</f>
        <v>IT Services</v>
      </c>
      <c r="M2966" s="21" t="str">
        <f aca="false">INDEX(Companies!$D$2:$D$31,MATCH(C2966,Companies!$A$2:$A$31,0))</f>
        <v>Tier 3</v>
      </c>
      <c r="N2966" s="34" t="n">
        <f aca="false">MATCH(F2966,Assumptions!$K$4:$K$8,0)</f>
        <v>1</v>
      </c>
      <c r="O2966" s="21" t="str">
        <f aca="false">IF(H2966="Yes",MONTH(I2966),"")</f>
        <v/>
      </c>
      <c r="P2966" s="21" t="str">
        <f aca="false">IF(H2966="Yes",B2966,"")</f>
        <v/>
      </c>
    </row>
    <row r="2967" customFormat="false" ht="15" hidden="false" customHeight="false" outlineLevel="0" collapsed="false">
      <c r="A2967" s="21" t="s">
        <v>4182</v>
      </c>
      <c r="B2967" s="21" t="s">
        <v>919</v>
      </c>
      <c r="C2967" s="21" t="s">
        <v>1275</v>
      </c>
      <c r="D2967" s="21" t="s">
        <v>1209</v>
      </c>
      <c r="E2967" s="33" t="n">
        <v>46047</v>
      </c>
      <c r="F2967" s="21" t="s">
        <v>1197</v>
      </c>
      <c r="G2967" s="32"/>
      <c r="H2967" s="21"/>
      <c r="I2967" s="33"/>
      <c r="J2967" s="21" t="str">
        <f aca="false">INDEX(Students!$C$2:$C$601,MATCH(B2967,Students!$A$2:$A$601,0))</f>
        <v>Batch 2026</v>
      </c>
      <c r="K2967" s="21" t="str">
        <f aca="false">INDEX(Students!$D$2:$D$601,MATCH(B2967,Students!$A$2:$A$601,0))</f>
        <v>Data Analytics</v>
      </c>
      <c r="L2967" s="21" t="str">
        <f aca="false">INDEX(Companies!$C$2:$C$31,MATCH(C2967,Companies!$A$2:$A$31,0))</f>
        <v>Cybersecurity</v>
      </c>
      <c r="M2967" s="21" t="str">
        <f aca="false">INDEX(Companies!$D$2:$D$31,MATCH(C2967,Companies!$A$2:$A$31,0))</f>
        <v>Tier 2</v>
      </c>
      <c r="N2967" s="34" t="n">
        <f aca="false">MATCH(F2967,Assumptions!$K$4:$K$8,0)</f>
        <v>3</v>
      </c>
      <c r="O2967" s="21" t="str">
        <f aca="false">IF(H2967="Yes",MONTH(I2967),"")</f>
        <v/>
      </c>
      <c r="P2967" s="21" t="str">
        <f aca="false">IF(H2967="Yes",B2967,"")</f>
        <v/>
      </c>
    </row>
    <row r="2968" customFormat="false" ht="15" hidden="false" customHeight="false" outlineLevel="0" collapsed="false">
      <c r="A2968" s="21" t="s">
        <v>4183</v>
      </c>
      <c r="B2968" s="21" t="s">
        <v>1117</v>
      </c>
      <c r="C2968" s="21" t="s">
        <v>1230</v>
      </c>
      <c r="D2968" s="21" t="s">
        <v>1209</v>
      </c>
      <c r="E2968" s="33" t="n">
        <v>46048</v>
      </c>
      <c r="F2968" s="21" t="s">
        <v>1218</v>
      </c>
      <c r="G2968" s="32"/>
      <c r="H2968" s="21"/>
      <c r="I2968" s="33"/>
      <c r="J2968" s="21" t="str">
        <f aca="false">INDEX(Students!$C$2:$C$601,MATCH(B2968,Students!$A$2:$A$601,0))</f>
        <v>Batch 2026</v>
      </c>
      <c r="K2968" s="21" t="str">
        <f aca="false">INDEX(Students!$D$2:$D$601,MATCH(B2968,Students!$A$2:$A$601,0))</f>
        <v>Data Analytics</v>
      </c>
      <c r="L2968" s="21" t="str">
        <f aca="false">INDEX(Companies!$C$2:$C$31,MATCH(C2968,Companies!$A$2:$A$31,0))</f>
        <v>IT Services</v>
      </c>
      <c r="M2968" s="21" t="str">
        <f aca="false">INDEX(Companies!$D$2:$D$31,MATCH(C2968,Companies!$A$2:$A$31,0))</f>
        <v>Tier 3</v>
      </c>
      <c r="N2968" s="34" t="n">
        <f aca="false">MATCH(F2968,Assumptions!$K$4:$K$8,0)</f>
        <v>4</v>
      </c>
      <c r="O2968" s="21" t="str">
        <f aca="false">IF(H2968="Yes",MONTH(I2968),"")</f>
        <v/>
      </c>
      <c r="P2968" s="21" t="str">
        <f aca="false">IF(H2968="Yes",B2968,"")</f>
        <v/>
      </c>
    </row>
    <row r="2969" customFormat="false" ht="15" hidden="false" customHeight="false" outlineLevel="0" collapsed="false">
      <c r="A2969" s="21" t="s">
        <v>4184</v>
      </c>
      <c r="B2969" s="21" t="s">
        <v>1108</v>
      </c>
      <c r="C2969" s="21" t="s">
        <v>1180</v>
      </c>
      <c r="D2969" s="21" t="s">
        <v>1174</v>
      </c>
      <c r="E2969" s="33" t="n">
        <v>46048</v>
      </c>
      <c r="F2969" s="21" t="s">
        <v>1175</v>
      </c>
      <c r="G2969" s="32"/>
      <c r="H2969" s="21"/>
      <c r="I2969" s="33"/>
      <c r="J2969" s="21" t="str">
        <f aca="false">INDEX(Students!$C$2:$C$601,MATCH(B2969,Students!$A$2:$A$601,0))</f>
        <v>Batch 2026</v>
      </c>
      <c r="K2969" s="21" t="str">
        <f aca="false">INDEX(Students!$D$2:$D$601,MATCH(B2969,Students!$A$2:$A$601,0))</f>
        <v>Full Stack Development</v>
      </c>
      <c r="L2969" s="21" t="str">
        <f aca="false">INDEX(Companies!$C$2:$C$31,MATCH(C2969,Companies!$A$2:$A$31,0))</f>
        <v>IT Services</v>
      </c>
      <c r="M2969" s="21" t="str">
        <f aca="false">INDEX(Companies!$D$2:$D$31,MATCH(C2969,Companies!$A$2:$A$31,0))</f>
        <v>Tier 3</v>
      </c>
      <c r="N2969" s="34" t="n">
        <f aca="false">MATCH(F2969,Assumptions!$K$4:$K$8,0)</f>
        <v>1</v>
      </c>
      <c r="O2969" s="21" t="str">
        <f aca="false">IF(H2969="Yes",MONTH(I2969),"")</f>
        <v/>
      </c>
      <c r="P2969" s="21" t="str">
        <f aca="false">IF(H2969="Yes",B2969,"")</f>
        <v/>
      </c>
    </row>
    <row r="2970" customFormat="false" ht="15" hidden="false" customHeight="false" outlineLevel="0" collapsed="false">
      <c r="A2970" s="21" t="s">
        <v>4185</v>
      </c>
      <c r="B2970" s="21" t="s">
        <v>895</v>
      </c>
      <c r="C2970" s="21" t="s">
        <v>1180</v>
      </c>
      <c r="D2970" s="21" t="s">
        <v>1181</v>
      </c>
      <c r="E2970" s="33" t="n">
        <v>46048</v>
      </c>
      <c r="F2970" s="21" t="s">
        <v>1185</v>
      </c>
      <c r="G2970" s="32" t="n">
        <v>4.4</v>
      </c>
      <c r="H2970" s="21" t="s">
        <v>120</v>
      </c>
      <c r="I2970" s="33" t="n">
        <v>46076</v>
      </c>
      <c r="J2970" s="21" t="str">
        <f aca="false">INDEX(Students!$C$2:$C$601,MATCH(B2970,Students!$A$2:$A$601,0))</f>
        <v>Batch 2026</v>
      </c>
      <c r="K2970" s="21" t="str">
        <f aca="false">INDEX(Students!$D$2:$D$601,MATCH(B2970,Students!$A$2:$A$601,0))</f>
        <v>Full Stack Development</v>
      </c>
      <c r="L2970" s="21" t="str">
        <f aca="false">INDEX(Companies!$C$2:$C$31,MATCH(C2970,Companies!$A$2:$A$31,0))</f>
        <v>IT Services</v>
      </c>
      <c r="M2970" s="21" t="str">
        <f aca="false">INDEX(Companies!$D$2:$D$31,MATCH(C2970,Companies!$A$2:$A$31,0))</f>
        <v>Tier 3</v>
      </c>
      <c r="N2970" s="34" t="n">
        <f aca="false">MATCH(F2970,Assumptions!$K$4:$K$8,0)</f>
        <v>5</v>
      </c>
      <c r="O2970" s="21" t="n">
        <f aca="false">IF(H2970="Yes",MONTH(I2970),"")</f>
        <v>2</v>
      </c>
      <c r="P2970" s="21" t="str">
        <f aca="false">IF(H2970="Yes",B2970,"")</f>
        <v>S0434</v>
      </c>
    </row>
    <row r="2971" customFormat="false" ht="15" hidden="false" customHeight="false" outlineLevel="0" collapsed="false">
      <c r="A2971" s="21" t="s">
        <v>4186</v>
      </c>
      <c r="B2971" s="21" t="s">
        <v>956</v>
      </c>
      <c r="C2971" s="21" t="s">
        <v>1275</v>
      </c>
      <c r="D2971" s="21" t="s">
        <v>1188</v>
      </c>
      <c r="E2971" s="33" t="n">
        <v>46048</v>
      </c>
      <c r="F2971" s="21" t="s">
        <v>1178</v>
      </c>
      <c r="G2971" s="32"/>
      <c r="H2971" s="21"/>
      <c r="I2971" s="33"/>
      <c r="J2971" s="21" t="str">
        <f aca="false">INDEX(Students!$C$2:$C$601,MATCH(B2971,Students!$A$2:$A$601,0))</f>
        <v>Batch 2026</v>
      </c>
      <c r="K2971" s="21" t="str">
        <f aca="false">INDEX(Students!$D$2:$D$601,MATCH(B2971,Students!$A$2:$A$601,0))</f>
        <v>Data Analytics</v>
      </c>
      <c r="L2971" s="21" t="str">
        <f aca="false">INDEX(Companies!$C$2:$C$31,MATCH(C2971,Companies!$A$2:$A$31,0))</f>
        <v>Cybersecurity</v>
      </c>
      <c r="M2971" s="21" t="str">
        <f aca="false">INDEX(Companies!$D$2:$D$31,MATCH(C2971,Companies!$A$2:$A$31,0))</f>
        <v>Tier 2</v>
      </c>
      <c r="N2971" s="34" t="n">
        <f aca="false">MATCH(F2971,Assumptions!$K$4:$K$8,0)</f>
        <v>2</v>
      </c>
      <c r="O2971" s="21" t="str">
        <f aca="false">IF(H2971="Yes",MONTH(I2971),"")</f>
        <v/>
      </c>
      <c r="P2971" s="21" t="str">
        <f aca="false">IF(H2971="Yes",B2971,"")</f>
        <v/>
      </c>
    </row>
    <row r="2972" customFormat="false" ht="15" hidden="false" customHeight="false" outlineLevel="0" collapsed="false">
      <c r="A2972" s="21" t="s">
        <v>4187</v>
      </c>
      <c r="B2972" s="21" t="s">
        <v>1123</v>
      </c>
      <c r="C2972" s="21" t="s">
        <v>1203</v>
      </c>
      <c r="D2972" s="21" t="s">
        <v>1181</v>
      </c>
      <c r="E2972" s="33" t="n">
        <v>46048</v>
      </c>
      <c r="F2972" s="21" t="s">
        <v>1175</v>
      </c>
      <c r="G2972" s="32"/>
      <c r="H2972" s="21"/>
      <c r="I2972" s="33"/>
      <c r="J2972" s="21" t="str">
        <f aca="false">INDEX(Students!$C$2:$C$601,MATCH(B2972,Students!$A$2:$A$601,0))</f>
        <v>Batch 2026</v>
      </c>
      <c r="K2972" s="21" t="str">
        <f aca="false">INDEX(Students!$D$2:$D$601,MATCH(B2972,Students!$A$2:$A$601,0))</f>
        <v>Full Stack Development</v>
      </c>
      <c r="L2972" s="21" t="str">
        <f aca="false">INDEX(Companies!$C$2:$C$31,MATCH(C2972,Companies!$A$2:$A$31,0))</f>
        <v>Healthtech</v>
      </c>
      <c r="M2972" s="21" t="str">
        <f aca="false">INDEX(Companies!$D$2:$D$31,MATCH(C2972,Companies!$A$2:$A$31,0))</f>
        <v>Tier 2</v>
      </c>
      <c r="N2972" s="34" t="n">
        <f aca="false">MATCH(F2972,Assumptions!$K$4:$K$8,0)</f>
        <v>1</v>
      </c>
      <c r="O2972" s="21" t="str">
        <f aca="false">IF(H2972="Yes",MONTH(I2972),"")</f>
        <v/>
      </c>
      <c r="P2972" s="21" t="str">
        <f aca="false">IF(H2972="Yes",B2972,"")</f>
        <v/>
      </c>
    </row>
    <row r="2973" customFormat="false" ht="15" hidden="false" customHeight="false" outlineLevel="0" collapsed="false">
      <c r="A2973" s="21" t="s">
        <v>4188</v>
      </c>
      <c r="B2973" s="21" t="s">
        <v>863</v>
      </c>
      <c r="C2973" s="21" t="s">
        <v>1309</v>
      </c>
      <c r="D2973" s="21" t="s">
        <v>1174</v>
      </c>
      <c r="E2973" s="33" t="n">
        <v>46049</v>
      </c>
      <c r="F2973" s="21" t="s">
        <v>1175</v>
      </c>
      <c r="G2973" s="32"/>
      <c r="H2973" s="21"/>
      <c r="I2973" s="33"/>
      <c r="J2973" s="21" t="str">
        <f aca="false">INDEX(Students!$C$2:$C$601,MATCH(B2973,Students!$A$2:$A$601,0))</f>
        <v>Batch 2026</v>
      </c>
      <c r="K2973" s="21" t="str">
        <f aca="false">INDEX(Students!$D$2:$D$601,MATCH(B2973,Students!$A$2:$A$601,0))</f>
        <v>Full Stack Development</v>
      </c>
      <c r="L2973" s="21" t="str">
        <f aca="false">INDEX(Companies!$C$2:$C$31,MATCH(C2973,Companies!$A$2:$A$31,0))</f>
        <v>EdTech</v>
      </c>
      <c r="M2973" s="21" t="str">
        <f aca="false">INDEX(Companies!$D$2:$D$31,MATCH(C2973,Companies!$A$2:$A$31,0))</f>
        <v>Tier 2</v>
      </c>
      <c r="N2973" s="34" t="n">
        <f aca="false">MATCH(F2973,Assumptions!$K$4:$K$8,0)</f>
        <v>1</v>
      </c>
      <c r="O2973" s="21" t="str">
        <f aca="false">IF(H2973="Yes",MONTH(I2973),"")</f>
        <v/>
      </c>
      <c r="P2973" s="21" t="str">
        <f aca="false">IF(H2973="Yes",B2973,"")</f>
        <v/>
      </c>
    </row>
    <row r="2974" customFormat="false" ht="15" hidden="false" customHeight="false" outlineLevel="0" collapsed="false">
      <c r="A2974" s="21" t="s">
        <v>4189</v>
      </c>
      <c r="B2974" s="21" t="s">
        <v>872</v>
      </c>
      <c r="C2974" s="21" t="s">
        <v>1255</v>
      </c>
      <c r="D2974" s="21" t="s">
        <v>1194</v>
      </c>
      <c r="E2974" s="33" t="n">
        <v>46049</v>
      </c>
      <c r="F2974" s="21" t="s">
        <v>1185</v>
      </c>
      <c r="G2974" s="32" t="n">
        <v>6.2</v>
      </c>
      <c r="H2974" s="21" t="s">
        <v>113</v>
      </c>
      <c r="I2974" s="33" t="n">
        <v>46100</v>
      </c>
      <c r="J2974" s="21" t="str">
        <f aca="false">INDEX(Students!$C$2:$C$601,MATCH(B2974,Students!$A$2:$A$601,0))</f>
        <v>Batch 2026</v>
      </c>
      <c r="K2974" s="21" t="str">
        <f aca="false">INDEX(Students!$D$2:$D$601,MATCH(B2974,Students!$A$2:$A$601,0))</f>
        <v>Data Science &amp; ML</v>
      </c>
      <c r="L2974" s="21" t="str">
        <f aca="false">INDEX(Companies!$C$2:$C$31,MATCH(C2974,Companies!$A$2:$A$31,0))</f>
        <v>IT Services</v>
      </c>
      <c r="M2974" s="21" t="str">
        <f aca="false">INDEX(Companies!$D$2:$D$31,MATCH(C2974,Companies!$A$2:$A$31,0))</f>
        <v>Tier 3</v>
      </c>
      <c r="N2974" s="34" t="n">
        <f aca="false">MATCH(F2974,Assumptions!$K$4:$K$8,0)</f>
        <v>5</v>
      </c>
      <c r="O2974" s="21" t="str">
        <f aca="false">IF(H2974="Yes",MONTH(I2974),"")</f>
        <v/>
      </c>
      <c r="P2974" s="21" t="str">
        <f aca="false">IF(H2974="Yes",B2974,"")</f>
        <v/>
      </c>
    </row>
    <row r="2975" customFormat="false" ht="15" hidden="false" customHeight="false" outlineLevel="0" collapsed="false">
      <c r="A2975" s="21" t="s">
        <v>4190</v>
      </c>
      <c r="B2975" s="21" t="s">
        <v>1098</v>
      </c>
      <c r="C2975" s="21" t="s">
        <v>1173</v>
      </c>
      <c r="D2975" s="21" t="s">
        <v>1191</v>
      </c>
      <c r="E2975" s="33" t="n">
        <v>46049</v>
      </c>
      <c r="F2975" s="21" t="s">
        <v>1175</v>
      </c>
      <c r="G2975" s="32"/>
      <c r="H2975" s="21"/>
      <c r="I2975" s="33"/>
      <c r="J2975" s="21" t="str">
        <f aca="false">INDEX(Students!$C$2:$C$601,MATCH(B2975,Students!$A$2:$A$601,0))</f>
        <v>Batch 2026</v>
      </c>
      <c r="K2975" s="21" t="str">
        <f aca="false">INDEX(Students!$D$2:$D$601,MATCH(B2975,Students!$A$2:$A$601,0))</f>
        <v>DSA with Java</v>
      </c>
      <c r="L2975" s="21" t="str">
        <f aca="false">INDEX(Companies!$C$2:$C$31,MATCH(C2975,Companies!$A$2:$A$31,0))</f>
        <v>Cybersecurity</v>
      </c>
      <c r="M2975" s="21" t="str">
        <f aca="false">INDEX(Companies!$D$2:$D$31,MATCH(C2975,Companies!$A$2:$A$31,0))</f>
        <v>Tier 1</v>
      </c>
      <c r="N2975" s="34" t="n">
        <f aca="false">MATCH(F2975,Assumptions!$K$4:$K$8,0)</f>
        <v>1</v>
      </c>
      <c r="O2975" s="21" t="str">
        <f aca="false">IF(H2975="Yes",MONTH(I2975),"")</f>
        <v/>
      </c>
      <c r="P2975" s="21" t="str">
        <f aca="false">IF(H2975="Yes",B2975,"")</f>
        <v/>
      </c>
    </row>
    <row r="2976" customFormat="false" ht="15" hidden="false" customHeight="false" outlineLevel="0" collapsed="false">
      <c r="A2976" s="21" t="s">
        <v>4191</v>
      </c>
      <c r="B2976" s="21" t="s">
        <v>1125</v>
      </c>
      <c r="C2976" s="21" t="s">
        <v>1222</v>
      </c>
      <c r="D2976" s="21" t="s">
        <v>1188</v>
      </c>
      <c r="E2976" s="33" t="n">
        <v>46049</v>
      </c>
      <c r="F2976" s="21" t="s">
        <v>1175</v>
      </c>
      <c r="G2976" s="32"/>
      <c r="H2976" s="21"/>
      <c r="I2976" s="33"/>
      <c r="J2976" s="21" t="str">
        <f aca="false">INDEX(Students!$C$2:$C$601,MATCH(B2976,Students!$A$2:$A$601,0))</f>
        <v>Batch 2026</v>
      </c>
      <c r="K2976" s="21" t="str">
        <f aca="false">INDEX(Students!$D$2:$D$601,MATCH(B2976,Students!$A$2:$A$601,0))</f>
        <v>Data Analytics</v>
      </c>
      <c r="L2976" s="21" t="str">
        <f aca="false">INDEX(Companies!$C$2:$C$31,MATCH(C2976,Companies!$A$2:$A$31,0))</f>
        <v>Product</v>
      </c>
      <c r="M2976" s="21" t="str">
        <f aca="false">INDEX(Companies!$D$2:$D$31,MATCH(C2976,Companies!$A$2:$A$31,0))</f>
        <v>Tier 2</v>
      </c>
      <c r="N2976" s="34" t="n">
        <f aca="false">MATCH(F2976,Assumptions!$K$4:$K$8,0)</f>
        <v>1</v>
      </c>
      <c r="O2976" s="21" t="str">
        <f aca="false">IF(H2976="Yes",MONTH(I2976),"")</f>
        <v/>
      </c>
      <c r="P2976" s="21" t="str">
        <f aca="false">IF(H2976="Yes",B2976,"")</f>
        <v/>
      </c>
    </row>
    <row r="2977" customFormat="false" ht="15" hidden="false" customHeight="false" outlineLevel="0" collapsed="false">
      <c r="A2977" s="21" t="s">
        <v>4192</v>
      </c>
      <c r="B2977" s="21" t="s">
        <v>1147</v>
      </c>
      <c r="C2977" s="21" t="s">
        <v>1205</v>
      </c>
      <c r="D2977" s="21" t="s">
        <v>1191</v>
      </c>
      <c r="E2977" s="33" t="n">
        <v>46050</v>
      </c>
      <c r="F2977" s="21" t="s">
        <v>1178</v>
      </c>
      <c r="G2977" s="32"/>
      <c r="H2977" s="21"/>
      <c r="I2977" s="33"/>
      <c r="J2977" s="21" t="str">
        <f aca="false">INDEX(Students!$C$2:$C$601,MATCH(B2977,Students!$A$2:$A$601,0))</f>
        <v>Batch 2026</v>
      </c>
      <c r="K2977" s="21" t="str">
        <f aca="false">INDEX(Students!$D$2:$D$601,MATCH(B2977,Students!$A$2:$A$601,0))</f>
        <v>DSA with Java</v>
      </c>
      <c r="L2977" s="21" t="str">
        <f aca="false">INDEX(Companies!$C$2:$C$31,MATCH(C2977,Companies!$A$2:$A$31,0))</f>
        <v>Healthtech</v>
      </c>
      <c r="M2977" s="21" t="str">
        <f aca="false">INDEX(Companies!$D$2:$D$31,MATCH(C2977,Companies!$A$2:$A$31,0))</f>
        <v>Tier 3</v>
      </c>
      <c r="N2977" s="34" t="n">
        <f aca="false">MATCH(F2977,Assumptions!$K$4:$K$8,0)</f>
        <v>2</v>
      </c>
      <c r="O2977" s="21" t="str">
        <f aca="false">IF(H2977="Yes",MONTH(I2977),"")</f>
        <v/>
      </c>
      <c r="P2977" s="21" t="str">
        <f aca="false">IF(H2977="Yes",B2977,"")</f>
        <v/>
      </c>
    </row>
    <row r="2978" customFormat="false" ht="15" hidden="false" customHeight="false" outlineLevel="0" collapsed="false">
      <c r="A2978" s="21" t="s">
        <v>4193</v>
      </c>
      <c r="B2978" s="21" t="s">
        <v>1097</v>
      </c>
      <c r="C2978" s="21" t="s">
        <v>1211</v>
      </c>
      <c r="D2978" s="21" t="s">
        <v>1184</v>
      </c>
      <c r="E2978" s="33" t="n">
        <v>46050</v>
      </c>
      <c r="F2978" s="21" t="s">
        <v>1175</v>
      </c>
      <c r="G2978" s="32"/>
      <c r="H2978" s="21"/>
      <c r="I2978" s="33"/>
      <c r="J2978" s="21" t="str">
        <f aca="false">INDEX(Students!$C$2:$C$601,MATCH(B2978,Students!$A$2:$A$601,0))</f>
        <v>Batch 2026</v>
      </c>
      <c r="K2978" s="21" t="str">
        <f aca="false">INDEX(Students!$D$2:$D$601,MATCH(B2978,Students!$A$2:$A$601,0))</f>
        <v>DSA with Java</v>
      </c>
      <c r="L2978" s="21" t="str">
        <f aca="false">INDEX(Companies!$C$2:$C$31,MATCH(C2978,Companies!$A$2:$A$31,0))</f>
        <v>Analytics &amp; Consulting</v>
      </c>
      <c r="M2978" s="21" t="str">
        <f aca="false">INDEX(Companies!$D$2:$D$31,MATCH(C2978,Companies!$A$2:$A$31,0))</f>
        <v>Tier 3</v>
      </c>
      <c r="N2978" s="34" t="n">
        <f aca="false">MATCH(F2978,Assumptions!$K$4:$K$8,0)</f>
        <v>1</v>
      </c>
      <c r="O2978" s="21" t="str">
        <f aca="false">IF(H2978="Yes",MONTH(I2978),"")</f>
        <v/>
      </c>
      <c r="P2978" s="21" t="str">
        <f aca="false">IF(H2978="Yes",B2978,"")</f>
        <v/>
      </c>
    </row>
    <row r="2979" customFormat="false" ht="15" hidden="false" customHeight="false" outlineLevel="0" collapsed="false">
      <c r="A2979" s="21" t="s">
        <v>4194</v>
      </c>
      <c r="B2979" s="21" t="s">
        <v>1126</v>
      </c>
      <c r="C2979" s="21" t="s">
        <v>1290</v>
      </c>
      <c r="D2979" s="21" t="s">
        <v>1191</v>
      </c>
      <c r="E2979" s="33" t="n">
        <v>46050</v>
      </c>
      <c r="F2979" s="21" t="s">
        <v>1175</v>
      </c>
      <c r="G2979" s="32"/>
      <c r="H2979" s="21"/>
      <c r="I2979" s="33"/>
      <c r="J2979" s="21" t="str">
        <f aca="false">INDEX(Students!$C$2:$C$601,MATCH(B2979,Students!$A$2:$A$601,0))</f>
        <v>Batch 2026</v>
      </c>
      <c r="K2979" s="21" t="str">
        <f aca="false">INDEX(Students!$D$2:$D$601,MATCH(B2979,Students!$A$2:$A$601,0))</f>
        <v>DSA with Java</v>
      </c>
      <c r="L2979" s="21" t="str">
        <f aca="false">INDEX(Companies!$C$2:$C$31,MATCH(C2979,Companies!$A$2:$A$31,0))</f>
        <v>Fintech</v>
      </c>
      <c r="M2979" s="21" t="str">
        <f aca="false">INDEX(Companies!$D$2:$D$31,MATCH(C2979,Companies!$A$2:$A$31,0))</f>
        <v>Tier 2</v>
      </c>
      <c r="N2979" s="34" t="n">
        <f aca="false">MATCH(F2979,Assumptions!$K$4:$K$8,0)</f>
        <v>1</v>
      </c>
      <c r="O2979" s="21" t="str">
        <f aca="false">IF(H2979="Yes",MONTH(I2979),"")</f>
        <v/>
      </c>
      <c r="P2979" s="21" t="str">
        <f aca="false">IF(H2979="Yes",B2979,"")</f>
        <v/>
      </c>
    </row>
    <row r="2980" customFormat="false" ht="15" hidden="false" customHeight="false" outlineLevel="0" collapsed="false">
      <c r="A2980" s="21" t="s">
        <v>4195</v>
      </c>
      <c r="B2980" s="21" t="s">
        <v>1101</v>
      </c>
      <c r="C2980" s="21" t="s">
        <v>1196</v>
      </c>
      <c r="D2980" s="21" t="s">
        <v>1209</v>
      </c>
      <c r="E2980" s="33" t="n">
        <v>46050</v>
      </c>
      <c r="F2980" s="21" t="s">
        <v>1175</v>
      </c>
      <c r="G2980" s="32"/>
      <c r="H2980" s="21"/>
      <c r="I2980" s="33"/>
      <c r="J2980" s="21" t="str">
        <f aca="false">INDEX(Students!$C$2:$C$601,MATCH(B2980,Students!$A$2:$A$601,0))</f>
        <v>Batch 2026</v>
      </c>
      <c r="K2980" s="21" t="str">
        <f aca="false">INDEX(Students!$D$2:$D$601,MATCH(B2980,Students!$A$2:$A$601,0))</f>
        <v>Data Analytics</v>
      </c>
      <c r="L2980" s="21" t="str">
        <f aca="false">INDEX(Companies!$C$2:$C$31,MATCH(C2980,Companies!$A$2:$A$31,0))</f>
        <v>IT Services</v>
      </c>
      <c r="M2980" s="21" t="str">
        <f aca="false">INDEX(Companies!$D$2:$D$31,MATCH(C2980,Companies!$A$2:$A$31,0))</f>
        <v>Tier 3</v>
      </c>
      <c r="N2980" s="34" t="n">
        <f aca="false">MATCH(F2980,Assumptions!$K$4:$K$8,0)</f>
        <v>1</v>
      </c>
      <c r="O2980" s="21" t="str">
        <f aca="false">IF(H2980="Yes",MONTH(I2980),"")</f>
        <v/>
      </c>
      <c r="P2980" s="21" t="str">
        <f aca="false">IF(H2980="Yes",B2980,"")</f>
        <v/>
      </c>
    </row>
    <row r="2981" customFormat="false" ht="15" hidden="false" customHeight="false" outlineLevel="0" collapsed="false">
      <c r="A2981" s="21" t="s">
        <v>4196</v>
      </c>
      <c r="B2981" s="21" t="s">
        <v>1157</v>
      </c>
      <c r="C2981" s="21" t="s">
        <v>1205</v>
      </c>
      <c r="D2981" s="21" t="s">
        <v>1226</v>
      </c>
      <c r="E2981" s="33" t="n">
        <v>46050</v>
      </c>
      <c r="F2981" s="21" t="s">
        <v>1175</v>
      </c>
      <c r="G2981" s="32"/>
      <c r="H2981" s="21"/>
      <c r="I2981" s="33"/>
      <c r="J2981" s="21" t="str">
        <f aca="false">INDEX(Students!$C$2:$C$601,MATCH(B2981,Students!$A$2:$A$601,0))</f>
        <v>Batch 2026</v>
      </c>
      <c r="K2981" s="21" t="str">
        <f aca="false">INDEX(Students!$D$2:$D$601,MATCH(B2981,Students!$A$2:$A$601,0))</f>
        <v>Cybersecurity</v>
      </c>
      <c r="L2981" s="21" t="str">
        <f aca="false">INDEX(Companies!$C$2:$C$31,MATCH(C2981,Companies!$A$2:$A$31,0))</f>
        <v>Healthtech</v>
      </c>
      <c r="M2981" s="21" t="str">
        <f aca="false">INDEX(Companies!$D$2:$D$31,MATCH(C2981,Companies!$A$2:$A$31,0))</f>
        <v>Tier 3</v>
      </c>
      <c r="N2981" s="34" t="n">
        <f aca="false">MATCH(F2981,Assumptions!$K$4:$K$8,0)</f>
        <v>1</v>
      </c>
      <c r="O2981" s="21" t="str">
        <f aca="false">IF(H2981="Yes",MONTH(I2981),"")</f>
        <v/>
      </c>
      <c r="P2981" s="21" t="str">
        <f aca="false">IF(H2981="Yes",B2981,"")</f>
        <v/>
      </c>
    </row>
    <row r="2982" customFormat="false" ht="15" hidden="false" customHeight="false" outlineLevel="0" collapsed="false">
      <c r="A2982" s="21" t="s">
        <v>4197</v>
      </c>
      <c r="B2982" s="21" t="s">
        <v>1098</v>
      </c>
      <c r="C2982" s="21" t="s">
        <v>1230</v>
      </c>
      <c r="D2982" s="21" t="s">
        <v>1184</v>
      </c>
      <c r="E2982" s="33" t="n">
        <v>46050</v>
      </c>
      <c r="F2982" s="21" t="s">
        <v>1178</v>
      </c>
      <c r="G2982" s="32"/>
      <c r="H2982" s="21"/>
      <c r="I2982" s="33"/>
      <c r="J2982" s="21" t="str">
        <f aca="false">INDEX(Students!$C$2:$C$601,MATCH(B2982,Students!$A$2:$A$601,0))</f>
        <v>Batch 2026</v>
      </c>
      <c r="K2982" s="21" t="str">
        <f aca="false">INDEX(Students!$D$2:$D$601,MATCH(B2982,Students!$A$2:$A$601,0))</f>
        <v>DSA with Java</v>
      </c>
      <c r="L2982" s="21" t="str">
        <f aca="false">INDEX(Companies!$C$2:$C$31,MATCH(C2982,Companies!$A$2:$A$31,0))</f>
        <v>IT Services</v>
      </c>
      <c r="M2982" s="21" t="str">
        <f aca="false">INDEX(Companies!$D$2:$D$31,MATCH(C2982,Companies!$A$2:$A$31,0))</f>
        <v>Tier 3</v>
      </c>
      <c r="N2982" s="34" t="n">
        <f aca="false">MATCH(F2982,Assumptions!$K$4:$K$8,0)</f>
        <v>2</v>
      </c>
      <c r="O2982" s="21" t="str">
        <f aca="false">IF(H2982="Yes",MONTH(I2982),"")</f>
        <v/>
      </c>
      <c r="P2982" s="21" t="str">
        <f aca="false">IF(H2982="Yes",B2982,"")</f>
        <v/>
      </c>
    </row>
    <row r="2983" customFormat="false" ht="15" hidden="false" customHeight="false" outlineLevel="0" collapsed="false">
      <c r="A2983" s="21" t="s">
        <v>4198</v>
      </c>
      <c r="B2983" s="21" t="s">
        <v>1044</v>
      </c>
      <c r="C2983" s="21" t="s">
        <v>1196</v>
      </c>
      <c r="D2983" s="21" t="s">
        <v>1240</v>
      </c>
      <c r="E2983" s="33" t="n">
        <v>46050</v>
      </c>
      <c r="F2983" s="21" t="s">
        <v>1175</v>
      </c>
      <c r="G2983" s="32"/>
      <c r="H2983" s="21"/>
      <c r="I2983" s="33"/>
      <c r="J2983" s="21" t="str">
        <f aca="false">INDEX(Students!$C$2:$C$601,MATCH(B2983,Students!$A$2:$A$601,0))</f>
        <v>Batch 2026</v>
      </c>
      <c r="K2983" s="21" t="str">
        <f aca="false">INDEX(Students!$D$2:$D$601,MATCH(B2983,Students!$A$2:$A$601,0))</f>
        <v>Cybersecurity</v>
      </c>
      <c r="L2983" s="21" t="str">
        <f aca="false">INDEX(Companies!$C$2:$C$31,MATCH(C2983,Companies!$A$2:$A$31,0))</f>
        <v>IT Services</v>
      </c>
      <c r="M2983" s="21" t="str">
        <f aca="false">INDEX(Companies!$D$2:$D$31,MATCH(C2983,Companies!$A$2:$A$31,0))</f>
        <v>Tier 3</v>
      </c>
      <c r="N2983" s="34" t="n">
        <f aca="false">MATCH(F2983,Assumptions!$K$4:$K$8,0)</f>
        <v>1</v>
      </c>
      <c r="O2983" s="21" t="str">
        <f aca="false">IF(H2983="Yes",MONTH(I2983),"")</f>
        <v/>
      </c>
      <c r="P2983" s="21" t="str">
        <f aca="false">IF(H2983="Yes",B2983,"")</f>
        <v/>
      </c>
    </row>
    <row r="2984" customFormat="false" ht="15" hidden="false" customHeight="false" outlineLevel="0" collapsed="false">
      <c r="A2984" s="21" t="s">
        <v>4199</v>
      </c>
      <c r="B2984" s="21" t="s">
        <v>1046</v>
      </c>
      <c r="C2984" s="21" t="s">
        <v>1201</v>
      </c>
      <c r="D2984" s="21" t="s">
        <v>1181</v>
      </c>
      <c r="E2984" s="33" t="n">
        <v>46050</v>
      </c>
      <c r="F2984" s="21" t="s">
        <v>1175</v>
      </c>
      <c r="G2984" s="32"/>
      <c r="H2984" s="21"/>
      <c r="I2984" s="33"/>
      <c r="J2984" s="21" t="str">
        <f aca="false">INDEX(Students!$C$2:$C$601,MATCH(B2984,Students!$A$2:$A$601,0))</f>
        <v>Batch 2026</v>
      </c>
      <c r="K2984" s="21" t="str">
        <f aca="false">INDEX(Students!$D$2:$D$601,MATCH(B2984,Students!$A$2:$A$601,0))</f>
        <v>Full Stack Development</v>
      </c>
      <c r="L2984" s="21" t="str">
        <f aca="false">INDEX(Companies!$C$2:$C$31,MATCH(C2984,Companies!$A$2:$A$31,0))</f>
        <v>IT Services</v>
      </c>
      <c r="M2984" s="21" t="str">
        <f aca="false">INDEX(Companies!$D$2:$D$31,MATCH(C2984,Companies!$A$2:$A$31,0))</f>
        <v>Tier 3</v>
      </c>
      <c r="N2984" s="34" t="n">
        <f aca="false">MATCH(F2984,Assumptions!$K$4:$K$8,0)</f>
        <v>1</v>
      </c>
      <c r="O2984" s="21" t="str">
        <f aca="false">IF(H2984="Yes",MONTH(I2984),"")</f>
        <v/>
      </c>
      <c r="P2984" s="21" t="str">
        <f aca="false">IF(H2984="Yes",B2984,"")</f>
        <v/>
      </c>
    </row>
    <row r="2985" customFormat="false" ht="15" hidden="false" customHeight="false" outlineLevel="0" collapsed="false">
      <c r="A2985" s="21" t="s">
        <v>4200</v>
      </c>
      <c r="B2985" s="21" t="s">
        <v>1065</v>
      </c>
      <c r="C2985" s="21" t="s">
        <v>1205</v>
      </c>
      <c r="D2985" s="21" t="s">
        <v>1209</v>
      </c>
      <c r="E2985" s="33" t="n">
        <v>46050</v>
      </c>
      <c r="F2985" s="21" t="s">
        <v>1197</v>
      </c>
      <c r="G2985" s="32"/>
      <c r="H2985" s="21"/>
      <c r="I2985" s="33"/>
      <c r="J2985" s="21" t="str">
        <f aca="false">INDEX(Students!$C$2:$C$601,MATCH(B2985,Students!$A$2:$A$601,0))</f>
        <v>Batch 2026</v>
      </c>
      <c r="K2985" s="21" t="str">
        <f aca="false">INDEX(Students!$D$2:$D$601,MATCH(B2985,Students!$A$2:$A$601,0))</f>
        <v>Data Analytics</v>
      </c>
      <c r="L2985" s="21" t="str">
        <f aca="false">INDEX(Companies!$C$2:$C$31,MATCH(C2985,Companies!$A$2:$A$31,0))</f>
        <v>Healthtech</v>
      </c>
      <c r="M2985" s="21" t="str">
        <f aca="false">INDEX(Companies!$D$2:$D$31,MATCH(C2985,Companies!$A$2:$A$31,0))</f>
        <v>Tier 3</v>
      </c>
      <c r="N2985" s="34" t="n">
        <f aca="false">MATCH(F2985,Assumptions!$K$4:$K$8,0)</f>
        <v>3</v>
      </c>
      <c r="O2985" s="21" t="str">
        <f aca="false">IF(H2985="Yes",MONTH(I2985),"")</f>
        <v/>
      </c>
      <c r="P2985" s="21" t="str">
        <f aca="false">IF(H2985="Yes",B2985,"")</f>
        <v/>
      </c>
    </row>
    <row r="2986" customFormat="false" ht="15" hidden="false" customHeight="false" outlineLevel="0" collapsed="false">
      <c r="A2986" s="21" t="s">
        <v>4201</v>
      </c>
      <c r="B2986" s="21" t="s">
        <v>1114</v>
      </c>
      <c r="C2986" s="21" t="s">
        <v>1255</v>
      </c>
      <c r="D2986" s="21" t="s">
        <v>1243</v>
      </c>
      <c r="E2986" s="33" t="n">
        <v>46051</v>
      </c>
      <c r="F2986" s="21" t="s">
        <v>1178</v>
      </c>
      <c r="G2986" s="32"/>
      <c r="H2986" s="21"/>
      <c r="I2986" s="33"/>
      <c r="J2986" s="21" t="str">
        <f aca="false">INDEX(Students!$C$2:$C$601,MATCH(B2986,Students!$A$2:$A$601,0))</f>
        <v>Batch 2026</v>
      </c>
      <c r="K2986" s="21" t="str">
        <f aca="false">INDEX(Students!$D$2:$D$601,MATCH(B2986,Students!$A$2:$A$601,0))</f>
        <v>Data Science &amp; ML</v>
      </c>
      <c r="L2986" s="21" t="str">
        <f aca="false">INDEX(Companies!$C$2:$C$31,MATCH(C2986,Companies!$A$2:$A$31,0))</f>
        <v>IT Services</v>
      </c>
      <c r="M2986" s="21" t="str">
        <f aca="false">INDEX(Companies!$D$2:$D$31,MATCH(C2986,Companies!$A$2:$A$31,0))</f>
        <v>Tier 3</v>
      </c>
      <c r="N2986" s="34" t="n">
        <f aca="false">MATCH(F2986,Assumptions!$K$4:$K$8,0)</f>
        <v>2</v>
      </c>
      <c r="O2986" s="21" t="str">
        <f aca="false">IF(H2986="Yes",MONTH(I2986),"")</f>
        <v/>
      </c>
      <c r="P2986" s="21" t="str">
        <f aca="false">IF(H2986="Yes",B2986,"")</f>
        <v/>
      </c>
    </row>
    <row r="2987" customFormat="false" ht="15" hidden="false" customHeight="false" outlineLevel="0" collapsed="false">
      <c r="A2987" s="21" t="s">
        <v>4202</v>
      </c>
      <c r="B2987" s="21" t="s">
        <v>995</v>
      </c>
      <c r="C2987" s="21" t="s">
        <v>1225</v>
      </c>
      <c r="D2987" s="21" t="s">
        <v>1181</v>
      </c>
      <c r="E2987" s="33" t="n">
        <v>46051</v>
      </c>
      <c r="F2987" s="21" t="s">
        <v>1197</v>
      </c>
      <c r="G2987" s="32"/>
      <c r="H2987" s="21"/>
      <c r="I2987" s="33"/>
      <c r="J2987" s="21" t="str">
        <f aca="false">INDEX(Students!$C$2:$C$601,MATCH(B2987,Students!$A$2:$A$601,0))</f>
        <v>Batch 2026</v>
      </c>
      <c r="K2987" s="21" t="str">
        <f aca="false">INDEX(Students!$D$2:$D$601,MATCH(B2987,Students!$A$2:$A$601,0))</f>
        <v>Full Stack Development</v>
      </c>
      <c r="L2987" s="21" t="str">
        <f aca="false">INDEX(Companies!$C$2:$C$31,MATCH(C2987,Companies!$A$2:$A$31,0))</f>
        <v>EdTech</v>
      </c>
      <c r="M2987" s="21" t="str">
        <f aca="false">INDEX(Companies!$D$2:$D$31,MATCH(C2987,Companies!$A$2:$A$31,0))</f>
        <v>Tier 2</v>
      </c>
      <c r="N2987" s="34" t="n">
        <f aca="false">MATCH(F2987,Assumptions!$K$4:$K$8,0)</f>
        <v>3</v>
      </c>
      <c r="O2987" s="21" t="str">
        <f aca="false">IF(H2987="Yes",MONTH(I2987),"")</f>
        <v/>
      </c>
      <c r="P2987" s="21" t="str">
        <f aca="false">IF(H2987="Yes",B2987,"")</f>
        <v/>
      </c>
    </row>
    <row r="2988" customFormat="false" ht="15" hidden="false" customHeight="false" outlineLevel="0" collapsed="false">
      <c r="A2988" s="21" t="s">
        <v>4203</v>
      </c>
      <c r="B2988" s="21" t="s">
        <v>997</v>
      </c>
      <c r="C2988" s="21" t="s">
        <v>1222</v>
      </c>
      <c r="D2988" s="21" t="s">
        <v>1243</v>
      </c>
      <c r="E2988" s="33" t="n">
        <v>46051</v>
      </c>
      <c r="F2988" s="21" t="s">
        <v>1175</v>
      </c>
      <c r="G2988" s="32"/>
      <c r="H2988" s="21"/>
      <c r="I2988" s="33"/>
      <c r="J2988" s="21" t="str">
        <f aca="false">INDEX(Students!$C$2:$C$601,MATCH(B2988,Students!$A$2:$A$601,0))</f>
        <v>Batch 2026</v>
      </c>
      <c r="K2988" s="21" t="str">
        <f aca="false">INDEX(Students!$D$2:$D$601,MATCH(B2988,Students!$A$2:$A$601,0))</f>
        <v>Data Science &amp; ML</v>
      </c>
      <c r="L2988" s="21" t="str">
        <f aca="false">INDEX(Companies!$C$2:$C$31,MATCH(C2988,Companies!$A$2:$A$31,0))</f>
        <v>Product</v>
      </c>
      <c r="M2988" s="21" t="str">
        <f aca="false">INDEX(Companies!$D$2:$D$31,MATCH(C2988,Companies!$A$2:$A$31,0))</f>
        <v>Tier 2</v>
      </c>
      <c r="N2988" s="34" t="n">
        <f aca="false">MATCH(F2988,Assumptions!$K$4:$K$8,0)</f>
        <v>1</v>
      </c>
      <c r="O2988" s="21" t="str">
        <f aca="false">IF(H2988="Yes",MONTH(I2988),"")</f>
        <v/>
      </c>
      <c r="P2988" s="21" t="str">
        <f aca="false">IF(H2988="Yes",B2988,"")</f>
        <v/>
      </c>
    </row>
    <row r="2989" customFormat="false" ht="15" hidden="false" customHeight="false" outlineLevel="0" collapsed="false">
      <c r="A2989" s="21" t="s">
        <v>4204</v>
      </c>
      <c r="B2989" s="21" t="s">
        <v>1023</v>
      </c>
      <c r="C2989" s="21" t="s">
        <v>1196</v>
      </c>
      <c r="D2989" s="21" t="s">
        <v>1184</v>
      </c>
      <c r="E2989" s="33" t="n">
        <v>46051</v>
      </c>
      <c r="F2989" s="21" t="s">
        <v>1185</v>
      </c>
      <c r="G2989" s="32" t="n">
        <v>5.5</v>
      </c>
      <c r="H2989" s="21" t="s">
        <v>113</v>
      </c>
      <c r="I2989" s="33" t="n">
        <v>46074</v>
      </c>
      <c r="J2989" s="21" t="str">
        <f aca="false">INDEX(Students!$C$2:$C$601,MATCH(B2989,Students!$A$2:$A$601,0))</f>
        <v>Batch 2026</v>
      </c>
      <c r="K2989" s="21" t="str">
        <f aca="false">INDEX(Students!$D$2:$D$601,MATCH(B2989,Students!$A$2:$A$601,0))</f>
        <v>DSA with Java</v>
      </c>
      <c r="L2989" s="21" t="str">
        <f aca="false">INDEX(Companies!$C$2:$C$31,MATCH(C2989,Companies!$A$2:$A$31,0))</f>
        <v>IT Services</v>
      </c>
      <c r="M2989" s="21" t="str">
        <f aca="false">INDEX(Companies!$D$2:$D$31,MATCH(C2989,Companies!$A$2:$A$31,0))</f>
        <v>Tier 3</v>
      </c>
      <c r="N2989" s="34" t="n">
        <f aca="false">MATCH(F2989,Assumptions!$K$4:$K$8,0)</f>
        <v>5</v>
      </c>
      <c r="O2989" s="21" t="str">
        <f aca="false">IF(H2989="Yes",MONTH(I2989),"")</f>
        <v/>
      </c>
      <c r="P2989" s="21" t="str">
        <f aca="false">IF(H2989="Yes",B2989,"")</f>
        <v/>
      </c>
    </row>
    <row r="2990" customFormat="false" ht="15" hidden="false" customHeight="false" outlineLevel="0" collapsed="false">
      <c r="A2990" s="21" t="s">
        <v>4205</v>
      </c>
      <c r="B2990" s="21" t="s">
        <v>1089</v>
      </c>
      <c r="C2990" s="21" t="s">
        <v>1203</v>
      </c>
      <c r="D2990" s="21" t="s">
        <v>1184</v>
      </c>
      <c r="E2990" s="33" t="n">
        <v>46052</v>
      </c>
      <c r="F2990" s="21" t="s">
        <v>1175</v>
      </c>
      <c r="G2990" s="32"/>
      <c r="H2990" s="21"/>
      <c r="I2990" s="33"/>
      <c r="J2990" s="21" t="str">
        <f aca="false">INDEX(Students!$C$2:$C$601,MATCH(B2990,Students!$A$2:$A$601,0))</f>
        <v>Batch 2026</v>
      </c>
      <c r="K2990" s="21" t="str">
        <f aca="false">INDEX(Students!$D$2:$D$601,MATCH(B2990,Students!$A$2:$A$601,0))</f>
        <v>DSA with Java</v>
      </c>
      <c r="L2990" s="21" t="str">
        <f aca="false">INDEX(Companies!$C$2:$C$31,MATCH(C2990,Companies!$A$2:$A$31,0))</f>
        <v>Healthtech</v>
      </c>
      <c r="M2990" s="21" t="str">
        <f aca="false">INDEX(Companies!$D$2:$D$31,MATCH(C2990,Companies!$A$2:$A$31,0))</f>
        <v>Tier 2</v>
      </c>
      <c r="N2990" s="34" t="n">
        <f aca="false">MATCH(F2990,Assumptions!$K$4:$K$8,0)</f>
        <v>1</v>
      </c>
      <c r="O2990" s="21" t="str">
        <f aca="false">IF(H2990="Yes",MONTH(I2990),"")</f>
        <v/>
      </c>
      <c r="P2990" s="21" t="str">
        <f aca="false">IF(H2990="Yes",B2990,"")</f>
        <v/>
      </c>
    </row>
    <row r="2991" customFormat="false" ht="15" hidden="false" customHeight="false" outlineLevel="0" collapsed="false">
      <c r="A2991" s="21" t="s">
        <v>4206</v>
      </c>
      <c r="B2991" s="21" t="s">
        <v>1051</v>
      </c>
      <c r="C2991" s="21" t="s">
        <v>1173</v>
      </c>
      <c r="D2991" s="21" t="s">
        <v>1191</v>
      </c>
      <c r="E2991" s="33" t="n">
        <v>46052</v>
      </c>
      <c r="F2991" s="21" t="s">
        <v>1178</v>
      </c>
      <c r="G2991" s="32"/>
      <c r="H2991" s="21"/>
      <c r="I2991" s="33"/>
      <c r="J2991" s="21" t="str">
        <f aca="false">INDEX(Students!$C$2:$C$601,MATCH(B2991,Students!$A$2:$A$601,0))</f>
        <v>Batch 2026</v>
      </c>
      <c r="K2991" s="21" t="str">
        <f aca="false">INDEX(Students!$D$2:$D$601,MATCH(B2991,Students!$A$2:$A$601,0))</f>
        <v>DSA with Java</v>
      </c>
      <c r="L2991" s="21" t="str">
        <f aca="false">INDEX(Companies!$C$2:$C$31,MATCH(C2991,Companies!$A$2:$A$31,0))</f>
        <v>Cybersecurity</v>
      </c>
      <c r="M2991" s="21" t="str">
        <f aca="false">INDEX(Companies!$D$2:$D$31,MATCH(C2991,Companies!$A$2:$A$31,0))</f>
        <v>Tier 1</v>
      </c>
      <c r="N2991" s="34" t="n">
        <f aca="false">MATCH(F2991,Assumptions!$K$4:$K$8,0)</f>
        <v>2</v>
      </c>
      <c r="O2991" s="21" t="str">
        <f aca="false">IF(H2991="Yes",MONTH(I2991),"")</f>
        <v/>
      </c>
      <c r="P2991" s="21" t="str">
        <f aca="false">IF(H2991="Yes",B2991,"")</f>
        <v/>
      </c>
    </row>
    <row r="2992" customFormat="false" ht="15" hidden="false" customHeight="false" outlineLevel="0" collapsed="false">
      <c r="A2992" s="21" t="s">
        <v>4207</v>
      </c>
      <c r="B2992" s="21" t="s">
        <v>997</v>
      </c>
      <c r="C2992" s="21" t="s">
        <v>1173</v>
      </c>
      <c r="D2992" s="21" t="s">
        <v>1243</v>
      </c>
      <c r="E2992" s="33" t="n">
        <v>46052</v>
      </c>
      <c r="F2992" s="21" t="s">
        <v>1175</v>
      </c>
      <c r="G2992" s="32"/>
      <c r="H2992" s="21"/>
      <c r="I2992" s="33"/>
      <c r="J2992" s="21" t="str">
        <f aca="false">INDEX(Students!$C$2:$C$601,MATCH(B2992,Students!$A$2:$A$601,0))</f>
        <v>Batch 2026</v>
      </c>
      <c r="K2992" s="21" t="str">
        <f aca="false">INDEX(Students!$D$2:$D$601,MATCH(B2992,Students!$A$2:$A$601,0))</f>
        <v>Data Science &amp; ML</v>
      </c>
      <c r="L2992" s="21" t="str">
        <f aca="false">INDEX(Companies!$C$2:$C$31,MATCH(C2992,Companies!$A$2:$A$31,0))</f>
        <v>Cybersecurity</v>
      </c>
      <c r="M2992" s="21" t="str">
        <f aca="false">INDEX(Companies!$D$2:$D$31,MATCH(C2992,Companies!$A$2:$A$31,0))</f>
        <v>Tier 1</v>
      </c>
      <c r="N2992" s="34" t="n">
        <f aca="false">MATCH(F2992,Assumptions!$K$4:$K$8,0)</f>
        <v>1</v>
      </c>
      <c r="O2992" s="21" t="str">
        <f aca="false">IF(H2992="Yes",MONTH(I2992),"")</f>
        <v/>
      </c>
      <c r="P2992" s="21" t="str">
        <f aca="false">IF(H2992="Yes",B2992,"")</f>
        <v/>
      </c>
    </row>
    <row r="2993" customFormat="false" ht="15" hidden="false" customHeight="false" outlineLevel="0" collapsed="false">
      <c r="A2993" s="21" t="s">
        <v>4208</v>
      </c>
      <c r="B2993" s="21" t="s">
        <v>1080</v>
      </c>
      <c r="C2993" s="21" t="s">
        <v>1199</v>
      </c>
      <c r="D2993" s="21" t="s">
        <v>1184</v>
      </c>
      <c r="E2993" s="33" t="n">
        <v>46052</v>
      </c>
      <c r="F2993" s="21" t="s">
        <v>1175</v>
      </c>
      <c r="G2993" s="32"/>
      <c r="H2993" s="21"/>
      <c r="I2993" s="33"/>
      <c r="J2993" s="21" t="str">
        <f aca="false">INDEX(Students!$C$2:$C$601,MATCH(B2993,Students!$A$2:$A$601,0))</f>
        <v>Batch 2026</v>
      </c>
      <c r="K2993" s="21" t="str">
        <f aca="false">INDEX(Students!$D$2:$D$601,MATCH(B2993,Students!$A$2:$A$601,0))</f>
        <v>DSA with Java</v>
      </c>
      <c r="L2993" s="21" t="str">
        <f aca="false">INDEX(Companies!$C$2:$C$31,MATCH(C2993,Companies!$A$2:$A$31,0))</f>
        <v>E-commerce</v>
      </c>
      <c r="M2993" s="21" t="str">
        <f aca="false">INDEX(Companies!$D$2:$D$31,MATCH(C2993,Companies!$A$2:$A$31,0))</f>
        <v>Tier 2</v>
      </c>
      <c r="N2993" s="34" t="n">
        <f aca="false">MATCH(F2993,Assumptions!$K$4:$K$8,0)</f>
        <v>1</v>
      </c>
      <c r="O2993" s="21" t="str">
        <f aca="false">IF(H2993="Yes",MONTH(I2993),"")</f>
        <v/>
      </c>
      <c r="P2993" s="21" t="str">
        <f aca="false">IF(H2993="Yes",B2993,"")</f>
        <v/>
      </c>
    </row>
    <row r="2994" customFormat="false" ht="15" hidden="false" customHeight="false" outlineLevel="0" collapsed="false">
      <c r="A2994" s="21" t="s">
        <v>4209</v>
      </c>
      <c r="B2994" s="21" t="s">
        <v>997</v>
      </c>
      <c r="C2994" s="21" t="s">
        <v>1290</v>
      </c>
      <c r="D2994" s="21" t="s">
        <v>1194</v>
      </c>
      <c r="E2994" s="33" t="n">
        <v>46052</v>
      </c>
      <c r="F2994" s="21" t="s">
        <v>1218</v>
      </c>
      <c r="G2994" s="32"/>
      <c r="H2994" s="21"/>
      <c r="I2994" s="33"/>
      <c r="J2994" s="21" t="str">
        <f aca="false">INDEX(Students!$C$2:$C$601,MATCH(B2994,Students!$A$2:$A$601,0))</f>
        <v>Batch 2026</v>
      </c>
      <c r="K2994" s="21" t="str">
        <f aca="false">INDEX(Students!$D$2:$D$601,MATCH(B2994,Students!$A$2:$A$601,0))</f>
        <v>Data Science &amp; ML</v>
      </c>
      <c r="L2994" s="21" t="str">
        <f aca="false">INDEX(Companies!$C$2:$C$31,MATCH(C2994,Companies!$A$2:$A$31,0))</f>
        <v>Fintech</v>
      </c>
      <c r="M2994" s="21" t="str">
        <f aca="false">INDEX(Companies!$D$2:$D$31,MATCH(C2994,Companies!$A$2:$A$31,0))</f>
        <v>Tier 2</v>
      </c>
      <c r="N2994" s="34" t="n">
        <f aca="false">MATCH(F2994,Assumptions!$K$4:$K$8,0)</f>
        <v>4</v>
      </c>
      <c r="O2994" s="21" t="str">
        <f aca="false">IF(H2994="Yes",MONTH(I2994),"")</f>
        <v/>
      </c>
      <c r="P2994" s="21" t="str">
        <f aca="false">IF(H2994="Yes",B2994,"")</f>
        <v/>
      </c>
    </row>
    <row r="2995" customFormat="false" ht="15" hidden="false" customHeight="false" outlineLevel="0" collapsed="false">
      <c r="A2995" s="21" t="s">
        <v>4210</v>
      </c>
      <c r="B2995" s="21" t="s">
        <v>876</v>
      </c>
      <c r="C2995" s="21" t="s">
        <v>1216</v>
      </c>
      <c r="D2995" s="21" t="s">
        <v>1184</v>
      </c>
      <c r="E2995" s="33" t="n">
        <v>46052</v>
      </c>
      <c r="F2995" s="21" t="s">
        <v>1185</v>
      </c>
      <c r="G2995" s="32" t="n">
        <v>6.8</v>
      </c>
      <c r="H2995" s="21" t="s">
        <v>113</v>
      </c>
      <c r="I2995" s="33" t="n">
        <v>46094</v>
      </c>
      <c r="J2995" s="21" t="str">
        <f aca="false">INDEX(Students!$C$2:$C$601,MATCH(B2995,Students!$A$2:$A$601,0))</f>
        <v>Batch 2026</v>
      </c>
      <c r="K2995" s="21" t="str">
        <f aca="false">INDEX(Students!$D$2:$D$601,MATCH(B2995,Students!$A$2:$A$601,0))</f>
        <v>DSA with Java</v>
      </c>
      <c r="L2995" s="21" t="str">
        <f aca="false">INDEX(Companies!$C$2:$C$31,MATCH(C2995,Companies!$A$2:$A$31,0))</f>
        <v>IT Services</v>
      </c>
      <c r="M2995" s="21" t="str">
        <f aca="false">INDEX(Companies!$D$2:$D$31,MATCH(C2995,Companies!$A$2:$A$31,0))</f>
        <v>Tier 3</v>
      </c>
      <c r="N2995" s="34" t="n">
        <f aca="false">MATCH(F2995,Assumptions!$K$4:$K$8,0)</f>
        <v>5</v>
      </c>
      <c r="O2995" s="21" t="str">
        <f aca="false">IF(H2995="Yes",MONTH(I2995),"")</f>
        <v/>
      </c>
      <c r="P2995" s="21" t="str">
        <f aca="false">IF(H2995="Yes",B2995,"")</f>
        <v/>
      </c>
    </row>
    <row r="2996" customFormat="false" ht="15" hidden="false" customHeight="false" outlineLevel="0" collapsed="false">
      <c r="A2996" s="21" t="s">
        <v>4211</v>
      </c>
      <c r="B2996" s="21" t="s">
        <v>919</v>
      </c>
      <c r="C2996" s="21" t="s">
        <v>1199</v>
      </c>
      <c r="D2996" s="21" t="s">
        <v>1188</v>
      </c>
      <c r="E2996" s="33" t="n">
        <v>46052</v>
      </c>
      <c r="F2996" s="21" t="s">
        <v>1185</v>
      </c>
      <c r="G2996" s="32" t="n">
        <v>16.4</v>
      </c>
      <c r="H2996" s="21" t="s">
        <v>120</v>
      </c>
      <c r="I2996" s="33" t="n">
        <v>46098</v>
      </c>
      <c r="J2996" s="21" t="str">
        <f aca="false">INDEX(Students!$C$2:$C$601,MATCH(B2996,Students!$A$2:$A$601,0))</f>
        <v>Batch 2026</v>
      </c>
      <c r="K2996" s="21" t="str">
        <f aca="false">INDEX(Students!$D$2:$D$601,MATCH(B2996,Students!$A$2:$A$601,0))</f>
        <v>Data Analytics</v>
      </c>
      <c r="L2996" s="21" t="str">
        <f aca="false">INDEX(Companies!$C$2:$C$31,MATCH(C2996,Companies!$A$2:$A$31,0))</f>
        <v>E-commerce</v>
      </c>
      <c r="M2996" s="21" t="str">
        <f aca="false">INDEX(Companies!$D$2:$D$31,MATCH(C2996,Companies!$A$2:$A$31,0))</f>
        <v>Tier 2</v>
      </c>
      <c r="N2996" s="34" t="n">
        <f aca="false">MATCH(F2996,Assumptions!$K$4:$K$8,0)</f>
        <v>5</v>
      </c>
      <c r="O2996" s="21" t="n">
        <f aca="false">IF(H2996="Yes",MONTH(I2996),"")</f>
        <v>3</v>
      </c>
      <c r="P2996" s="21" t="str">
        <f aca="false">IF(H2996="Yes",B2996,"")</f>
        <v>S0450</v>
      </c>
    </row>
    <row r="2997" customFormat="false" ht="15" hidden="false" customHeight="false" outlineLevel="0" collapsed="false">
      <c r="A2997" s="21" t="s">
        <v>4212</v>
      </c>
      <c r="B2997" s="21" t="s">
        <v>945</v>
      </c>
      <c r="C2997" s="21" t="s">
        <v>1263</v>
      </c>
      <c r="D2997" s="21" t="s">
        <v>1191</v>
      </c>
      <c r="E2997" s="33" t="n">
        <v>46052</v>
      </c>
      <c r="F2997" s="21" t="s">
        <v>1175</v>
      </c>
      <c r="G2997" s="32"/>
      <c r="H2997" s="21"/>
      <c r="I2997" s="33"/>
      <c r="J2997" s="21" t="str">
        <f aca="false">INDEX(Students!$C$2:$C$601,MATCH(B2997,Students!$A$2:$A$601,0))</f>
        <v>Batch 2026</v>
      </c>
      <c r="K2997" s="21" t="str">
        <f aca="false">INDEX(Students!$D$2:$D$601,MATCH(B2997,Students!$A$2:$A$601,0))</f>
        <v>DSA with Java</v>
      </c>
      <c r="L2997" s="21" t="str">
        <f aca="false">INDEX(Companies!$C$2:$C$31,MATCH(C2997,Companies!$A$2:$A$31,0))</f>
        <v>Analytics &amp; Consulting</v>
      </c>
      <c r="M2997" s="21" t="str">
        <f aca="false">INDEX(Companies!$D$2:$D$31,MATCH(C2997,Companies!$A$2:$A$31,0))</f>
        <v>Tier 2</v>
      </c>
      <c r="N2997" s="34" t="n">
        <f aca="false">MATCH(F2997,Assumptions!$K$4:$K$8,0)</f>
        <v>1</v>
      </c>
      <c r="O2997" s="21" t="str">
        <f aca="false">IF(H2997="Yes",MONTH(I2997),"")</f>
        <v/>
      </c>
      <c r="P2997" s="21" t="str">
        <f aca="false">IF(H2997="Yes",B2997,"")</f>
        <v/>
      </c>
    </row>
    <row r="2998" customFormat="false" ht="15" hidden="false" customHeight="false" outlineLevel="0" collapsed="false">
      <c r="A2998" s="21" t="s">
        <v>4213</v>
      </c>
      <c r="B2998" s="21" t="s">
        <v>1030</v>
      </c>
      <c r="C2998" s="21" t="s">
        <v>1216</v>
      </c>
      <c r="D2998" s="21" t="s">
        <v>1194</v>
      </c>
      <c r="E2998" s="33" t="n">
        <v>46053</v>
      </c>
      <c r="F2998" s="21" t="s">
        <v>1178</v>
      </c>
      <c r="G2998" s="32"/>
      <c r="H2998" s="21"/>
      <c r="I2998" s="33"/>
      <c r="J2998" s="21" t="str">
        <f aca="false">INDEX(Students!$C$2:$C$601,MATCH(B2998,Students!$A$2:$A$601,0))</f>
        <v>Batch 2026</v>
      </c>
      <c r="K2998" s="21" t="str">
        <f aca="false">INDEX(Students!$D$2:$D$601,MATCH(B2998,Students!$A$2:$A$601,0))</f>
        <v>Data Science &amp; ML</v>
      </c>
      <c r="L2998" s="21" t="str">
        <f aca="false">INDEX(Companies!$C$2:$C$31,MATCH(C2998,Companies!$A$2:$A$31,0))</f>
        <v>IT Services</v>
      </c>
      <c r="M2998" s="21" t="str">
        <f aca="false">INDEX(Companies!$D$2:$D$31,MATCH(C2998,Companies!$A$2:$A$31,0))</f>
        <v>Tier 3</v>
      </c>
      <c r="N2998" s="34" t="n">
        <f aca="false">MATCH(F2998,Assumptions!$K$4:$K$8,0)</f>
        <v>2</v>
      </c>
      <c r="O2998" s="21" t="str">
        <f aca="false">IF(H2998="Yes",MONTH(I2998),"")</f>
        <v/>
      </c>
      <c r="P2998" s="21" t="str">
        <f aca="false">IF(H2998="Yes",B2998,"")</f>
        <v/>
      </c>
    </row>
    <row r="2999" customFormat="false" ht="15" hidden="false" customHeight="false" outlineLevel="0" collapsed="false">
      <c r="A2999" s="21" t="s">
        <v>4214</v>
      </c>
      <c r="B2999" s="21" t="s">
        <v>1103</v>
      </c>
      <c r="C2999" s="21" t="s">
        <v>1199</v>
      </c>
      <c r="D2999" s="21" t="s">
        <v>1174</v>
      </c>
      <c r="E2999" s="33" t="n">
        <v>46053</v>
      </c>
      <c r="F2999" s="21" t="s">
        <v>1175</v>
      </c>
      <c r="G2999" s="32"/>
      <c r="H2999" s="21"/>
      <c r="I2999" s="33"/>
      <c r="J2999" s="21" t="str">
        <f aca="false">INDEX(Students!$C$2:$C$601,MATCH(B2999,Students!$A$2:$A$601,0))</f>
        <v>Batch 2026</v>
      </c>
      <c r="K2999" s="21" t="str">
        <f aca="false">INDEX(Students!$D$2:$D$601,MATCH(B2999,Students!$A$2:$A$601,0))</f>
        <v>Full Stack Development</v>
      </c>
      <c r="L2999" s="21" t="str">
        <f aca="false">INDEX(Companies!$C$2:$C$31,MATCH(C2999,Companies!$A$2:$A$31,0))</f>
        <v>E-commerce</v>
      </c>
      <c r="M2999" s="21" t="str">
        <f aca="false">INDEX(Companies!$D$2:$D$31,MATCH(C2999,Companies!$A$2:$A$31,0))</f>
        <v>Tier 2</v>
      </c>
      <c r="N2999" s="34" t="n">
        <f aca="false">MATCH(F2999,Assumptions!$K$4:$K$8,0)</f>
        <v>1</v>
      </c>
      <c r="O2999" s="21" t="str">
        <f aca="false">IF(H2999="Yes",MONTH(I2999),"")</f>
        <v/>
      </c>
      <c r="P2999" s="21" t="str">
        <f aca="false">IF(H2999="Yes",B2999,"")</f>
        <v/>
      </c>
    </row>
    <row r="3000" customFormat="false" ht="15" hidden="false" customHeight="false" outlineLevel="0" collapsed="false">
      <c r="A3000" s="21" t="s">
        <v>4215</v>
      </c>
      <c r="B3000" s="21" t="s">
        <v>847</v>
      </c>
      <c r="C3000" s="21" t="s">
        <v>1180</v>
      </c>
      <c r="D3000" s="21" t="s">
        <v>1209</v>
      </c>
      <c r="E3000" s="33" t="n">
        <v>46053</v>
      </c>
      <c r="F3000" s="21" t="s">
        <v>1178</v>
      </c>
      <c r="G3000" s="32"/>
      <c r="H3000" s="21"/>
      <c r="I3000" s="33"/>
      <c r="J3000" s="21" t="str">
        <f aca="false">INDEX(Students!$C$2:$C$601,MATCH(B3000,Students!$A$2:$A$601,0))</f>
        <v>Batch 2026</v>
      </c>
      <c r="K3000" s="21" t="str">
        <f aca="false">INDEX(Students!$D$2:$D$601,MATCH(B3000,Students!$A$2:$A$601,0))</f>
        <v>Data Analytics</v>
      </c>
      <c r="L3000" s="21" t="str">
        <f aca="false">INDEX(Companies!$C$2:$C$31,MATCH(C3000,Companies!$A$2:$A$31,0))</f>
        <v>IT Services</v>
      </c>
      <c r="M3000" s="21" t="str">
        <f aca="false">INDEX(Companies!$D$2:$D$31,MATCH(C3000,Companies!$A$2:$A$31,0))</f>
        <v>Tier 3</v>
      </c>
      <c r="N3000" s="34" t="n">
        <f aca="false">MATCH(F3000,Assumptions!$K$4:$K$8,0)</f>
        <v>2</v>
      </c>
      <c r="O3000" s="21" t="str">
        <f aca="false">IF(H3000="Yes",MONTH(I3000),"")</f>
        <v/>
      </c>
      <c r="P3000" s="21" t="str">
        <f aca="false">IF(H3000="Yes",B3000,"")</f>
        <v/>
      </c>
    </row>
    <row r="3001" customFormat="false" ht="15" hidden="false" customHeight="false" outlineLevel="0" collapsed="false">
      <c r="A3001" s="21" t="s">
        <v>4216</v>
      </c>
      <c r="B3001" s="21" t="s">
        <v>1048</v>
      </c>
      <c r="C3001" s="21" t="s">
        <v>1322</v>
      </c>
      <c r="D3001" s="21" t="s">
        <v>1194</v>
      </c>
      <c r="E3001" s="33" t="n">
        <v>46053</v>
      </c>
      <c r="F3001" s="21" t="s">
        <v>1175</v>
      </c>
      <c r="G3001" s="32"/>
      <c r="H3001" s="21"/>
      <c r="I3001" s="33"/>
      <c r="J3001" s="21" t="str">
        <f aca="false">INDEX(Students!$C$2:$C$601,MATCH(B3001,Students!$A$2:$A$601,0))</f>
        <v>Batch 2026</v>
      </c>
      <c r="K3001" s="21" t="str">
        <f aca="false">INDEX(Students!$D$2:$D$601,MATCH(B3001,Students!$A$2:$A$601,0))</f>
        <v>Data Science &amp; ML</v>
      </c>
      <c r="L3001" s="21" t="str">
        <f aca="false">INDEX(Companies!$C$2:$C$31,MATCH(C3001,Companies!$A$2:$A$31,0))</f>
        <v>Healthtech</v>
      </c>
      <c r="M3001" s="21" t="str">
        <f aca="false">INDEX(Companies!$D$2:$D$31,MATCH(C3001,Companies!$A$2:$A$31,0))</f>
        <v>Tier 2</v>
      </c>
      <c r="N3001" s="34" t="n">
        <f aca="false">MATCH(F3001,Assumptions!$K$4:$K$8,0)</f>
        <v>1</v>
      </c>
      <c r="O3001" s="21" t="str">
        <f aca="false">IF(H3001="Yes",MONTH(I3001),"")</f>
        <v/>
      </c>
      <c r="P3001" s="21" t="str">
        <f aca="false">IF(H3001="Yes",B3001,"")</f>
        <v/>
      </c>
    </row>
    <row r="3002" customFormat="false" ht="15" hidden="false" customHeight="false" outlineLevel="0" collapsed="false">
      <c r="A3002" s="21" t="s">
        <v>4217</v>
      </c>
      <c r="B3002" s="21" t="s">
        <v>896</v>
      </c>
      <c r="C3002" s="21" t="s">
        <v>1266</v>
      </c>
      <c r="D3002" s="21" t="s">
        <v>1191</v>
      </c>
      <c r="E3002" s="33" t="n">
        <v>46053</v>
      </c>
      <c r="F3002" s="21" t="s">
        <v>1197</v>
      </c>
      <c r="G3002" s="32"/>
      <c r="H3002" s="21"/>
      <c r="I3002" s="33"/>
      <c r="J3002" s="21" t="str">
        <f aca="false">INDEX(Students!$C$2:$C$601,MATCH(B3002,Students!$A$2:$A$601,0))</f>
        <v>Batch 2026</v>
      </c>
      <c r="K3002" s="21" t="str">
        <f aca="false">INDEX(Students!$D$2:$D$601,MATCH(B3002,Students!$A$2:$A$601,0))</f>
        <v>DSA with Java</v>
      </c>
      <c r="L3002" s="21" t="str">
        <f aca="false">INDEX(Companies!$C$2:$C$31,MATCH(C3002,Companies!$A$2:$A$31,0))</f>
        <v>IT Services</v>
      </c>
      <c r="M3002" s="21" t="str">
        <f aca="false">INDEX(Companies!$D$2:$D$31,MATCH(C3002,Companies!$A$2:$A$31,0))</f>
        <v>Tier 3</v>
      </c>
      <c r="N3002" s="34" t="n">
        <f aca="false">MATCH(F3002,Assumptions!$K$4:$K$8,0)</f>
        <v>3</v>
      </c>
      <c r="O3002" s="21" t="str">
        <f aca="false">IF(H3002="Yes",MONTH(I3002),"")</f>
        <v/>
      </c>
      <c r="P3002" s="21" t="str">
        <f aca="false">IF(H3002="Yes",B3002,"")</f>
        <v/>
      </c>
    </row>
    <row r="3003" customFormat="false" ht="15" hidden="false" customHeight="false" outlineLevel="0" collapsed="false">
      <c r="A3003" s="21" t="s">
        <v>4218</v>
      </c>
      <c r="B3003" s="21" t="s">
        <v>898</v>
      </c>
      <c r="C3003" s="21" t="s">
        <v>1322</v>
      </c>
      <c r="D3003" s="21" t="s">
        <v>1174</v>
      </c>
      <c r="E3003" s="33" t="n">
        <v>46053</v>
      </c>
      <c r="F3003" s="21" t="s">
        <v>1197</v>
      </c>
      <c r="G3003" s="32"/>
      <c r="H3003" s="21"/>
      <c r="I3003" s="33"/>
      <c r="J3003" s="21" t="str">
        <f aca="false">INDEX(Students!$C$2:$C$601,MATCH(B3003,Students!$A$2:$A$601,0))</f>
        <v>Batch 2026</v>
      </c>
      <c r="K3003" s="21" t="str">
        <f aca="false">INDEX(Students!$D$2:$D$601,MATCH(B3003,Students!$A$2:$A$601,0))</f>
        <v>Full Stack Development</v>
      </c>
      <c r="L3003" s="21" t="str">
        <f aca="false">INDEX(Companies!$C$2:$C$31,MATCH(C3003,Companies!$A$2:$A$31,0))</f>
        <v>Healthtech</v>
      </c>
      <c r="M3003" s="21" t="str">
        <f aca="false">INDEX(Companies!$D$2:$D$31,MATCH(C3003,Companies!$A$2:$A$31,0))</f>
        <v>Tier 2</v>
      </c>
      <c r="N3003" s="34" t="n">
        <f aca="false">MATCH(F3003,Assumptions!$K$4:$K$8,0)</f>
        <v>3</v>
      </c>
      <c r="O3003" s="21" t="str">
        <f aca="false">IF(H3003="Yes",MONTH(I3003),"")</f>
        <v/>
      </c>
      <c r="P3003" s="21" t="str">
        <f aca="false">IF(H3003="Yes",B3003,"")</f>
        <v/>
      </c>
    </row>
    <row r="3004" customFormat="false" ht="15" hidden="false" customHeight="false" outlineLevel="0" collapsed="false">
      <c r="A3004" s="21" t="s">
        <v>4219</v>
      </c>
      <c r="B3004" s="21" t="s">
        <v>1095</v>
      </c>
      <c r="C3004" s="21" t="s">
        <v>1239</v>
      </c>
      <c r="D3004" s="21" t="s">
        <v>1184</v>
      </c>
      <c r="E3004" s="33" t="n">
        <v>46054</v>
      </c>
      <c r="F3004" s="21" t="s">
        <v>1185</v>
      </c>
      <c r="G3004" s="32" t="n">
        <v>5.6</v>
      </c>
      <c r="H3004" s="21" t="s">
        <v>113</v>
      </c>
      <c r="I3004" s="33" t="n">
        <v>46087</v>
      </c>
      <c r="J3004" s="21" t="str">
        <f aca="false">INDEX(Students!$C$2:$C$601,MATCH(B3004,Students!$A$2:$A$601,0))</f>
        <v>Batch 2026</v>
      </c>
      <c r="K3004" s="21" t="str">
        <f aca="false">INDEX(Students!$D$2:$D$601,MATCH(B3004,Students!$A$2:$A$601,0))</f>
        <v>DSA with Java</v>
      </c>
      <c r="L3004" s="21" t="str">
        <f aca="false">INDEX(Companies!$C$2:$C$31,MATCH(C3004,Companies!$A$2:$A$31,0))</f>
        <v>E-commerce</v>
      </c>
      <c r="M3004" s="21" t="str">
        <f aca="false">INDEX(Companies!$D$2:$D$31,MATCH(C3004,Companies!$A$2:$A$31,0))</f>
        <v>Tier 3</v>
      </c>
      <c r="N3004" s="34" t="n">
        <f aca="false">MATCH(F3004,Assumptions!$K$4:$K$8,0)</f>
        <v>5</v>
      </c>
      <c r="O3004" s="21" t="str">
        <f aca="false">IF(H3004="Yes",MONTH(I3004),"")</f>
        <v/>
      </c>
      <c r="P3004" s="21" t="str">
        <f aca="false">IF(H3004="Yes",B3004,"")</f>
        <v/>
      </c>
    </row>
    <row r="3005" customFormat="false" ht="15" hidden="false" customHeight="false" outlineLevel="0" collapsed="false">
      <c r="A3005" s="21" t="s">
        <v>4220</v>
      </c>
      <c r="B3005" s="21" t="s">
        <v>1089</v>
      </c>
      <c r="C3005" s="21" t="s">
        <v>1205</v>
      </c>
      <c r="D3005" s="21" t="s">
        <v>1191</v>
      </c>
      <c r="E3005" s="33" t="n">
        <v>46054</v>
      </c>
      <c r="F3005" s="21" t="s">
        <v>1178</v>
      </c>
      <c r="G3005" s="32"/>
      <c r="H3005" s="21"/>
      <c r="I3005" s="33"/>
      <c r="J3005" s="21" t="str">
        <f aca="false">INDEX(Students!$C$2:$C$601,MATCH(B3005,Students!$A$2:$A$601,0))</f>
        <v>Batch 2026</v>
      </c>
      <c r="K3005" s="21" t="str">
        <f aca="false">INDEX(Students!$D$2:$D$601,MATCH(B3005,Students!$A$2:$A$601,0))</f>
        <v>DSA with Java</v>
      </c>
      <c r="L3005" s="21" t="str">
        <f aca="false">INDEX(Companies!$C$2:$C$31,MATCH(C3005,Companies!$A$2:$A$31,0))</f>
        <v>Healthtech</v>
      </c>
      <c r="M3005" s="21" t="str">
        <f aca="false">INDEX(Companies!$D$2:$D$31,MATCH(C3005,Companies!$A$2:$A$31,0))</f>
        <v>Tier 3</v>
      </c>
      <c r="N3005" s="34" t="n">
        <f aca="false">MATCH(F3005,Assumptions!$K$4:$K$8,0)</f>
        <v>2</v>
      </c>
      <c r="O3005" s="21" t="str">
        <f aca="false">IF(H3005="Yes",MONTH(I3005),"")</f>
        <v/>
      </c>
      <c r="P3005" s="21" t="str">
        <f aca="false">IF(H3005="Yes",B3005,"")</f>
        <v/>
      </c>
    </row>
    <row r="3006" customFormat="false" ht="15" hidden="false" customHeight="false" outlineLevel="0" collapsed="false">
      <c r="A3006" s="21" t="s">
        <v>4221</v>
      </c>
      <c r="B3006" s="21" t="s">
        <v>1004</v>
      </c>
      <c r="C3006" s="21" t="s">
        <v>1255</v>
      </c>
      <c r="D3006" s="21" t="s">
        <v>1174</v>
      </c>
      <c r="E3006" s="33" t="n">
        <v>46054</v>
      </c>
      <c r="F3006" s="21" t="s">
        <v>1175</v>
      </c>
      <c r="G3006" s="32"/>
      <c r="H3006" s="21"/>
      <c r="I3006" s="33"/>
      <c r="J3006" s="21" t="str">
        <f aca="false">INDEX(Students!$C$2:$C$601,MATCH(B3006,Students!$A$2:$A$601,0))</f>
        <v>Batch 2026</v>
      </c>
      <c r="K3006" s="21" t="str">
        <f aca="false">INDEX(Students!$D$2:$D$601,MATCH(B3006,Students!$A$2:$A$601,0))</f>
        <v>Full Stack Development</v>
      </c>
      <c r="L3006" s="21" t="str">
        <f aca="false">INDEX(Companies!$C$2:$C$31,MATCH(C3006,Companies!$A$2:$A$31,0))</f>
        <v>IT Services</v>
      </c>
      <c r="M3006" s="21" t="str">
        <f aca="false">INDEX(Companies!$D$2:$D$31,MATCH(C3006,Companies!$A$2:$A$31,0))</f>
        <v>Tier 3</v>
      </c>
      <c r="N3006" s="34" t="n">
        <f aca="false">MATCH(F3006,Assumptions!$K$4:$K$8,0)</f>
        <v>1</v>
      </c>
      <c r="O3006" s="21" t="str">
        <f aca="false">IF(H3006="Yes",MONTH(I3006),"")</f>
        <v/>
      </c>
      <c r="P3006" s="21" t="str">
        <f aca="false">IF(H3006="Yes",B3006,"")</f>
        <v/>
      </c>
    </row>
    <row r="3007" customFormat="false" ht="15" hidden="false" customHeight="false" outlineLevel="0" collapsed="false">
      <c r="A3007" s="21" t="s">
        <v>4222</v>
      </c>
      <c r="B3007" s="21" t="s">
        <v>821</v>
      </c>
      <c r="C3007" s="21" t="s">
        <v>1255</v>
      </c>
      <c r="D3007" s="21" t="s">
        <v>1191</v>
      </c>
      <c r="E3007" s="33" t="n">
        <v>46054</v>
      </c>
      <c r="F3007" s="21" t="s">
        <v>1178</v>
      </c>
      <c r="G3007" s="32"/>
      <c r="H3007" s="21"/>
      <c r="I3007" s="33"/>
      <c r="J3007" s="21" t="str">
        <f aca="false">INDEX(Students!$C$2:$C$601,MATCH(B3007,Students!$A$2:$A$601,0))</f>
        <v>Batch 2026</v>
      </c>
      <c r="K3007" s="21" t="str">
        <f aca="false">INDEX(Students!$D$2:$D$601,MATCH(B3007,Students!$A$2:$A$601,0))</f>
        <v>DSA with Java</v>
      </c>
      <c r="L3007" s="21" t="str">
        <f aca="false">INDEX(Companies!$C$2:$C$31,MATCH(C3007,Companies!$A$2:$A$31,0))</f>
        <v>IT Services</v>
      </c>
      <c r="M3007" s="21" t="str">
        <f aca="false">INDEX(Companies!$D$2:$D$31,MATCH(C3007,Companies!$A$2:$A$31,0))</f>
        <v>Tier 3</v>
      </c>
      <c r="N3007" s="34" t="n">
        <f aca="false">MATCH(F3007,Assumptions!$K$4:$K$8,0)</f>
        <v>2</v>
      </c>
      <c r="O3007" s="21" t="str">
        <f aca="false">IF(H3007="Yes",MONTH(I3007),"")</f>
        <v/>
      </c>
      <c r="P3007" s="21" t="str">
        <f aca="false">IF(H3007="Yes",B3007,"")</f>
        <v/>
      </c>
    </row>
    <row r="3008" customFormat="false" ht="15" hidden="false" customHeight="false" outlineLevel="0" collapsed="false">
      <c r="A3008" s="21" t="s">
        <v>4223</v>
      </c>
      <c r="B3008" s="21" t="s">
        <v>813</v>
      </c>
      <c r="C3008" s="21" t="s">
        <v>1211</v>
      </c>
      <c r="D3008" s="21" t="s">
        <v>1184</v>
      </c>
      <c r="E3008" s="33" t="n">
        <v>46054</v>
      </c>
      <c r="F3008" s="21" t="s">
        <v>1185</v>
      </c>
      <c r="G3008" s="32" t="n">
        <v>6.3</v>
      </c>
      <c r="H3008" s="21" t="s">
        <v>113</v>
      </c>
      <c r="I3008" s="33" t="n">
        <v>46105</v>
      </c>
      <c r="J3008" s="21" t="str">
        <f aca="false">INDEX(Students!$C$2:$C$601,MATCH(B3008,Students!$A$2:$A$601,0))</f>
        <v>Batch 2026</v>
      </c>
      <c r="K3008" s="21" t="str">
        <f aca="false">INDEX(Students!$D$2:$D$601,MATCH(B3008,Students!$A$2:$A$601,0))</f>
        <v>DSA with Java</v>
      </c>
      <c r="L3008" s="21" t="str">
        <f aca="false">INDEX(Companies!$C$2:$C$31,MATCH(C3008,Companies!$A$2:$A$31,0))</f>
        <v>Analytics &amp; Consulting</v>
      </c>
      <c r="M3008" s="21" t="str">
        <f aca="false">INDEX(Companies!$D$2:$D$31,MATCH(C3008,Companies!$A$2:$A$31,0))</f>
        <v>Tier 3</v>
      </c>
      <c r="N3008" s="34" t="n">
        <f aca="false">MATCH(F3008,Assumptions!$K$4:$K$8,0)</f>
        <v>5</v>
      </c>
      <c r="O3008" s="21" t="str">
        <f aca="false">IF(H3008="Yes",MONTH(I3008),"")</f>
        <v/>
      </c>
      <c r="P3008" s="21" t="str">
        <f aca="false">IF(H3008="Yes",B3008,"")</f>
        <v/>
      </c>
    </row>
    <row r="3009" customFormat="false" ht="15" hidden="false" customHeight="false" outlineLevel="0" collapsed="false">
      <c r="A3009" s="21" t="s">
        <v>4224</v>
      </c>
      <c r="B3009" s="21" t="s">
        <v>1138</v>
      </c>
      <c r="C3009" s="21" t="s">
        <v>1177</v>
      </c>
      <c r="D3009" s="21" t="s">
        <v>1184</v>
      </c>
      <c r="E3009" s="33" t="n">
        <v>46054</v>
      </c>
      <c r="F3009" s="21" t="s">
        <v>1185</v>
      </c>
      <c r="G3009" s="32" t="n">
        <v>5.1</v>
      </c>
      <c r="H3009" s="21" t="s">
        <v>113</v>
      </c>
      <c r="I3009" s="33" t="n">
        <v>46088</v>
      </c>
      <c r="J3009" s="21" t="str">
        <f aca="false">INDEX(Students!$C$2:$C$601,MATCH(B3009,Students!$A$2:$A$601,0))</f>
        <v>Batch 2026</v>
      </c>
      <c r="K3009" s="21" t="str">
        <f aca="false">INDEX(Students!$D$2:$D$601,MATCH(B3009,Students!$A$2:$A$601,0))</f>
        <v>DSA with Java</v>
      </c>
      <c r="L3009" s="21" t="str">
        <f aca="false">INDEX(Companies!$C$2:$C$31,MATCH(C3009,Companies!$A$2:$A$31,0))</f>
        <v>IT Services</v>
      </c>
      <c r="M3009" s="21" t="str">
        <f aca="false">INDEX(Companies!$D$2:$D$31,MATCH(C3009,Companies!$A$2:$A$31,0))</f>
        <v>Tier 3</v>
      </c>
      <c r="N3009" s="34" t="n">
        <f aca="false">MATCH(F3009,Assumptions!$K$4:$K$8,0)</f>
        <v>5</v>
      </c>
      <c r="O3009" s="21" t="str">
        <f aca="false">IF(H3009="Yes",MONTH(I3009),"")</f>
        <v/>
      </c>
      <c r="P3009" s="21" t="str">
        <f aca="false">IF(H3009="Yes",B3009,"")</f>
        <v/>
      </c>
    </row>
    <row r="3010" customFormat="false" ht="15" hidden="false" customHeight="false" outlineLevel="0" collapsed="false">
      <c r="A3010" s="21" t="s">
        <v>4225</v>
      </c>
      <c r="B3010" s="21" t="s">
        <v>1037</v>
      </c>
      <c r="C3010" s="21" t="s">
        <v>1187</v>
      </c>
      <c r="D3010" s="21" t="s">
        <v>1181</v>
      </c>
      <c r="E3010" s="33" t="n">
        <v>46054</v>
      </c>
      <c r="F3010" s="21" t="s">
        <v>1178</v>
      </c>
      <c r="G3010" s="32"/>
      <c r="H3010" s="21"/>
      <c r="I3010" s="33"/>
      <c r="J3010" s="21" t="str">
        <f aca="false">INDEX(Students!$C$2:$C$601,MATCH(B3010,Students!$A$2:$A$601,0))</f>
        <v>Batch 2026</v>
      </c>
      <c r="K3010" s="21" t="str">
        <f aca="false">INDEX(Students!$D$2:$D$601,MATCH(B3010,Students!$A$2:$A$601,0))</f>
        <v>Full Stack Development</v>
      </c>
      <c r="L3010" s="21" t="str">
        <f aca="false">INDEX(Companies!$C$2:$C$31,MATCH(C3010,Companies!$A$2:$A$31,0))</f>
        <v>Product</v>
      </c>
      <c r="M3010" s="21" t="str">
        <f aca="false">INDEX(Companies!$D$2:$D$31,MATCH(C3010,Companies!$A$2:$A$31,0))</f>
        <v>Tier 1</v>
      </c>
      <c r="N3010" s="34" t="n">
        <f aca="false">MATCH(F3010,Assumptions!$K$4:$K$8,0)</f>
        <v>2</v>
      </c>
      <c r="O3010" s="21" t="str">
        <f aca="false">IF(H3010="Yes",MONTH(I3010),"")</f>
        <v/>
      </c>
      <c r="P3010" s="21" t="str">
        <f aca="false">IF(H3010="Yes",B3010,"")</f>
        <v/>
      </c>
    </row>
    <row r="3011" customFormat="false" ht="15" hidden="false" customHeight="false" outlineLevel="0" collapsed="false">
      <c r="A3011" s="21" t="s">
        <v>4226</v>
      </c>
      <c r="B3011" s="21" t="s">
        <v>981</v>
      </c>
      <c r="C3011" s="21" t="s">
        <v>1187</v>
      </c>
      <c r="D3011" s="21" t="s">
        <v>1174</v>
      </c>
      <c r="E3011" s="33" t="n">
        <v>46054</v>
      </c>
      <c r="F3011" s="21" t="s">
        <v>1178</v>
      </c>
      <c r="G3011" s="32"/>
      <c r="H3011" s="21"/>
      <c r="I3011" s="33"/>
      <c r="J3011" s="21" t="str">
        <f aca="false">INDEX(Students!$C$2:$C$601,MATCH(B3011,Students!$A$2:$A$601,0))</f>
        <v>Batch 2026</v>
      </c>
      <c r="K3011" s="21" t="str">
        <f aca="false">INDEX(Students!$D$2:$D$601,MATCH(B3011,Students!$A$2:$A$601,0))</f>
        <v>Full Stack Development</v>
      </c>
      <c r="L3011" s="21" t="str">
        <f aca="false">INDEX(Companies!$C$2:$C$31,MATCH(C3011,Companies!$A$2:$A$31,0))</f>
        <v>Product</v>
      </c>
      <c r="M3011" s="21" t="str">
        <f aca="false">INDEX(Companies!$D$2:$D$31,MATCH(C3011,Companies!$A$2:$A$31,0))</f>
        <v>Tier 1</v>
      </c>
      <c r="N3011" s="34" t="n">
        <f aca="false">MATCH(F3011,Assumptions!$K$4:$K$8,0)</f>
        <v>2</v>
      </c>
      <c r="O3011" s="21" t="str">
        <f aca="false">IF(H3011="Yes",MONTH(I3011),"")</f>
        <v/>
      </c>
      <c r="P3011" s="21" t="str">
        <f aca="false">IF(H3011="Yes",B3011,"")</f>
        <v/>
      </c>
    </row>
    <row r="3012" customFormat="false" ht="15" hidden="false" customHeight="false" outlineLevel="0" collapsed="false">
      <c r="A3012" s="21" t="s">
        <v>4227</v>
      </c>
      <c r="B3012" s="21" t="s">
        <v>1058</v>
      </c>
      <c r="C3012" s="21" t="s">
        <v>1187</v>
      </c>
      <c r="D3012" s="21" t="s">
        <v>1181</v>
      </c>
      <c r="E3012" s="33" t="n">
        <v>46054</v>
      </c>
      <c r="F3012" s="21" t="s">
        <v>1197</v>
      </c>
      <c r="G3012" s="32"/>
      <c r="H3012" s="21"/>
      <c r="I3012" s="33"/>
      <c r="J3012" s="21" t="str">
        <f aca="false">INDEX(Students!$C$2:$C$601,MATCH(B3012,Students!$A$2:$A$601,0))</f>
        <v>Batch 2026</v>
      </c>
      <c r="K3012" s="21" t="str">
        <f aca="false">INDEX(Students!$D$2:$D$601,MATCH(B3012,Students!$A$2:$A$601,0))</f>
        <v>Full Stack Development</v>
      </c>
      <c r="L3012" s="21" t="str">
        <f aca="false">INDEX(Companies!$C$2:$C$31,MATCH(C3012,Companies!$A$2:$A$31,0))</f>
        <v>Product</v>
      </c>
      <c r="M3012" s="21" t="str">
        <f aca="false">INDEX(Companies!$D$2:$D$31,MATCH(C3012,Companies!$A$2:$A$31,0))</f>
        <v>Tier 1</v>
      </c>
      <c r="N3012" s="34" t="n">
        <f aca="false">MATCH(F3012,Assumptions!$K$4:$K$8,0)</f>
        <v>3</v>
      </c>
      <c r="O3012" s="21" t="str">
        <f aca="false">IF(H3012="Yes",MONTH(I3012),"")</f>
        <v/>
      </c>
      <c r="P3012" s="21" t="str">
        <f aca="false">IF(H3012="Yes",B3012,"")</f>
        <v/>
      </c>
    </row>
    <row r="3013" customFormat="false" ht="15" hidden="false" customHeight="false" outlineLevel="0" collapsed="false">
      <c r="A3013" s="21" t="s">
        <v>4228</v>
      </c>
      <c r="B3013" s="21" t="s">
        <v>956</v>
      </c>
      <c r="C3013" s="21" t="s">
        <v>1199</v>
      </c>
      <c r="D3013" s="21" t="s">
        <v>1209</v>
      </c>
      <c r="E3013" s="33" t="n">
        <v>46054</v>
      </c>
      <c r="F3013" s="21" t="s">
        <v>1178</v>
      </c>
      <c r="G3013" s="32"/>
      <c r="H3013" s="21"/>
      <c r="I3013" s="33"/>
      <c r="J3013" s="21" t="str">
        <f aca="false">INDEX(Students!$C$2:$C$601,MATCH(B3013,Students!$A$2:$A$601,0))</f>
        <v>Batch 2026</v>
      </c>
      <c r="K3013" s="21" t="str">
        <f aca="false">INDEX(Students!$D$2:$D$601,MATCH(B3013,Students!$A$2:$A$601,0))</f>
        <v>Data Analytics</v>
      </c>
      <c r="L3013" s="21" t="str">
        <f aca="false">INDEX(Companies!$C$2:$C$31,MATCH(C3013,Companies!$A$2:$A$31,0))</f>
        <v>E-commerce</v>
      </c>
      <c r="M3013" s="21" t="str">
        <f aca="false">INDEX(Companies!$D$2:$D$31,MATCH(C3013,Companies!$A$2:$A$31,0))</f>
        <v>Tier 2</v>
      </c>
      <c r="N3013" s="34" t="n">
        <f aca="false">MATCH(F3013,Assumptions!$K$4:$K$8,0)</f>
        <v>2</v>
      </c>
      <c r="O3013" s="21" t="str">
        <f aca="false">IF(H3013="Yes",MONTH(I3013),"")</f>
        <v/>
      </c>
      <c r="P3013" s="21" t="str">
        <f aca="false">IF(H3013="Yes",B3013,"")</f>
        <v/>
      </c>
    </row>
    <row r="3014" customFormat="false" ht="15" hidden="false" customHeight="false" outlineLevel="0" collapsed="false">
      <c r="A3014" s="21" t="s">
        <v>4229</v>
      </c>
      <c r="B3014" s="21" t="s">
        <v>1159</v>
      </c>
      <c r="C3014" s="21" t="s">
        <v>1205</v>
      </c>
      <c r="D3014" s="21" t="s">
        <v>1243</v>
      </c>
      <c r="E3014" s="33" t="n">
        <v>46054</v>
      </c>
      <c r="F3014" s="21" t="s">
        <v>1185</v>
      </c>
      <c r="G3014" s="32" t="n">
        <v>5.1</v>
      </c>
      <c r="H3014" s="21" t="s">
        <v>120</v>
      </c>
      <c r="I3014" s="33" t="n">
        <v>46106</v>
      </c>
      <c r="J3014" s="21" t="str">
        <f aca="false">INDEX(Students!$C$2:$C$601,MATCH(B3014,Students!$A$2:$A$601,0))</f>
        <v>Batch 2026</v>
      </c>
      <c r="K3014" s="21" t="str">
        <f aca="false">INDEX(Students!$D$2:$D$601,MATCH(B3014,Students!$A$2:$A$601,0))</f>
        <v>Data Science &amp; ML</v>
      </c>
      <c r="L3014" s="21" t="str">
        <f aca="false">INDEX(Companies!$C$2:$C$31,MATCH(C3014,Companies!$A$2:$A$31,0))</f>
        <v>Healthtech</v>
      </c>
      <c r="M3014" s="21" t="str">
        <f aca="false">INDEX(Companies!$D$2:$D$31,MATCH(C3014,Companies!$A$2:$A$31,0))</f>
        <v>Tier 3</v>
      </c>
      <c r="N3014" s="34" t="n">
        <f aca="false">MATCH(F3014,Assumptions!$K$4:$K$8,0)</f>
        <v>5</v>
      </c>
      <c r="O3014" s="21" t="n">
        <f aca="false">IF(H3014="Yes",MONTH(I3014),"")</f>
        <v>3</v>
      </c>
      <c r="P3014" s="21" t="str">
        <f aca="false">IF(H3014="Yes",B3014,"")</f>
        <v>S0600</v>
      </c>
    </row>
    <row r="3015" customFormat="false" ht="15" hidden="false" customHeight="false" outlineLevel="0" collapsed="false">
      <c r="A3015" s="21" t="s">
        <v>4230</v>
      </c>
      <c r="B3015" s="21" t="s">
        <v>903</v>
      </c>
      <c r="C3015" s="21" t="s">
        <v>1214</v>
      </c>
      <c r="D3015" s="21" t="s">
        <v>1174</v>
      </c>
      <c r="E3015" s="33" t="n">
        <v>46055</v>
      </c>
      <c r="F3015" s="21" t="s">
        <v>1175</v>
      </c>
      <c r="G3015" s="32"/>
      <c r="H3015" s="21"/>
      <c r="I3015" s="33"/>
      <c r="J3015" s="21" t="str">
        <f aca="false">INDEX(Students!$C$2:$C$601,MATCH(B3015,Students!$A$2:$A$601,0))</f>
        <v>Batch 2026</v>
      </c>
      <c r="K3015" s="21" t="str">
        <f aca="false">INDEX(Students!$D$2:$D$601,MATCH(B3015,Students!$A$2:$A$601,0))</f>
        <v>Full Stack Development</v>
      </c>
      <c r="L3015" s="21" t="str">
        <f aca="false">INDEX(Companies!$C$2:$C$31,MATCH(C3015,Companies!$A$2:$A$31,0))</f>
        <v>Product</v>
      </c>
      <c r="M3015" s="21" t="str">
        <f aca="false">INDEX(Companies!$D$2:$D$31,MATCH(C3015,Companies!$A$2:$A$31,0))</f>
        <v>Tier 1</v>
      </c>
      <c r="N3015" s="34" t="n">
        <f aca="false">MATCH(F3015,Assumptions!$K$4:$K$8,0)</f>
        <v>1</v>
      </c>
      <c r="O3015" s="21" t="str">
        <f aca="false">IF(H3015="Yes",MONTH(I3015),"")</f>
        <v/>
      </c>
      <c r="P3015" s="21" t="str">
        <f aca="false">IF(H3015="Yes",B3015,"")</f>
        <v/>
      </c>
    </row>
    <row r="3016" customFormat="false" ht="15" hidden="false" customHeight="false" outlineLevel="0" collapsed="false">
      <c r="A3016" s="21" t="s">
        <v>4231</v>
      </c>
      <c r="B3016" s="21" t="s">
        <v>1129</v>
      </c>
      <c r="C3016" s="21" t="s">
        <v>1196</v>
      </c>
      <c r="D3016" s="21" t="s">
        <v>1191</v>
      </c>
      <c r="E3016" s="33" t="n">
        <v>46055</v>
      </c>
      <c r="F3016" s="21" t="s">
        <v>1185</v>
      </c>
      <c r="G3016" s="32" t="n">
        <v>7.3</v>
      </c>
      <c r="H3016" s="21" t="s">
        <v>113</v>
      </c>
      <c r="I3016" s="33" t="n">
        <v>46110</v>
      </c>
      <c r="J3016" s="21" t="str">
        <f aca="false">INDEX(Students!$C$2:$C$601,MATCH(B3016,Students!$A$2:$A$601,0))</f>
        <v>Batch 2026</v>
      </c>
      <c r="K3016" s="21" t="str">
        <f aca="false">INDEX(Students!$D$2:$D$601,MATCH(B3016,Students!$A$2:$A$601,0))</f>
        <v>DSA with Java</v>
      </c>
      <c r="L3016" s="21" t="str">
        <f aca="false">INDEX(Companies!$C$2:$C$31,MATCH(C3016,Companies!$A$2:$A$31,0))</f>
        <v>IT Services</v>
      </c>
      <c r="M3016" s="21" t="str">
        <f aca="false">INDEX(Companies!$D$2:$D$31,MATCH(C3016,Companies!$A$2:$A$31,0))</f>
        <v>Tier 3</v>
      </c>
      <c r="N3016" s="34" t="n">
        <f aca="false">MATCH(F3016,Assumptions!$K$4:$K$8,0)</f>
        <v>5</v>
      </c>
      <c r="O3016" s="21" t="str">
        <f aca="false">IF(H3016="Yes",MONTH(I3016),"")</f>
        <v/>
      </c>
      <c r="P3016" s="21" t="str">
        <f aca="false">IF(H3016="Yes",B3016,"")</f>
        <v/>
      </c>
    </row>
    <row r="3017" customFormat="false" ht="15" hidden="false" customHeight="false" outlineLevel="0" collapsed="false">
      <c r="A3017" s="21" t="s">
        <v>4232</v>
      </c>
      <c r="B3017" s="21" t="s">
        <v>1136</v>
      </c>
      <c r="C3017" s="21" t="s">
        <v>1193</v>
      </c>
      <c r="D3017" s="21" t="s">
        <v>1188</v>
      </c>
      <c r="E3017" s="33" t="n">
        <v>46055</v>
      </c>
      <c r="F3017" s="21" t="s">
        <v>1175</v>
      </c>
      <c r="G3017" s="32"/>
      <c r="H3017" s="21"/>
      <c r="I3017" s="33"/>
      <c r="J3017" s="21" t="str">
        <f aca="false">INDEX(Students!$C$2:$C$601,MATCH(B3017,Students!$A$2:$A$601,0))</f>
        <v>Batch 2026</v>
      </c>
      <c r="K3017" s="21" t="str">
        <f aca="false">INDEX(Students!$D$2:$D$601,MATCH(B3017,Students!$A$2:$A$601,0))</f>
        <v>Data Analytics</v>
      </c>
      <c r="L3017" s="21" t="str">
        <f aca="false">INDEX(Companies!$C$2:$C$31,MATCH(C3017,Companies!$A$2:$A$31,0))</f>
        <v>Analytics &amp; Consulting</v>
      </c>
      <c r="M3017" s="21" t="str">
        <f aca="false">INDEX(Companies!$D$2:$D$31,MATCH(C3017,Companies!$A$2:$A$31,0))</f>
        <v>Tier 2</v>
      </c>
      <c r="N3017" s="34" t="n">
        <f aca="false">MATCH(F3017,Assumptions!$K$4:$K$8,0)</f>
        <v>1</v>
      </c>
      <c r="O3017" s="21" t="str">
        <f aca="false">IF(H3017="Yes",MONTH(I3017),"")</f>
        <v/>
      </c>
      <c r="P3017" s="21" t="str">
        <f aca="false">IF(H3017="Yes",B3017,"")</f>
        <v/>
      </c>
    </row>
    <row r="3018" customFormat="false" ht="15" hidden="false" customHeight="false" outlineLevel="0" collapsed="false">
      <c r="A3018" s="21" t="s">
        <v>4233</v>
      </c>
      <c r="B3018" s="21" t="s">
        <v>920</v>
      </c>
      <c r="C3018" s="21" t="s">
        <v>1239</v>
      </c>
      <c r="D3018" s="21" t="s">
        <v>1226</v>
      </c>
      <c r="E3018" s="33" t="n">
        <v>46055</v>
      </c>
      <c r="F3018" s="21" t="s">
        <v>1175</v>
      </c>
      <c r="G3018" s="32"/>
      <c r="H3018" s="21"/>
      <c r="I3018" s="33"/>
      <c r="J3018" s="21" t="str">
        <f aca="false">INDEX(Students!$C$2:$C$601,MATCH(B3018,Students!$A$2:$A$601,0))</f>
        <v>Batch 2026</v>
      </c>
      <c r="K3018" s="21" t="str">
        <f aca="false">INDEX(Students!$D$2:$D$601,MATCH(B3018,Students!$A$2:$A$601,0))</f>
        <v>Cybersecurity</v>
      </c>
      <c r="L3018" s="21" t="str">
        <f aca="false">INDEX(Companies!$C$2:$C$31,MATCH(C3018,Companies!$A$2:$A$31,0))</f>
        <v>E-commerce</v>
      </c>
      <c r="M3018" s="21" t="str">
        <f aca="false">INDEX(Companies!$D$2:$D$31,MATCH(C3018,Companies!$A$2:$A$31,0))</f>
        <v>Tier 3</v>
      </c>
      <c r="N3018" s="34" t="n">
        <f aca="false">MATCH(F3018,Assumptions!$K$4:$K$8,0)</f>
        <v>1</v>
      </c>
      <c r="O3018" s="21" t="str">
        <f aca="false">IF(H3018="Yes",MONTH(I3018),"")</f>
        <v/>
      </c>
      <c r="P3018" s="21" t="str">
        <f aca="false">IF(H3018="Yes",B3018,"")</f>
        <v/>
      </c>
    </row>
    <row r="3019" customFormat="false" ht="15" hidden="false" customHeight="false" outlineLevel="0" collapsed="false">
      <c r="A3019" s="21" t="s">
        <v>4234</v>
      </c>
      <c r="B3019" s="21" t="s">
        <v>1152</v>
      </c>
      <c r="C3019" s="21" t="s">
        <v>1180</v>
      </c>
      <c r="D3019" s="21" t="s">
        <v>1191</v>
      </c>
      <c r="E3019" s="33" t="n">
        <v>46055</v>
      </c>
      <c r="F3019" s="21" t="s">
        <v>1175</v>
      </c>
      <c r="G3019" s="32"/>
      <c r="H3019" s="21"/>
      <c r="I3019" s="33"/>
      <c r="J3019" s="21" t="str">
        <f aca="false">INDEX(Students!$C$2:$C$601,MATCH(B3019,Students!$A$2:$A$601,0))</f>
        <v>Batch 2026</v>
      </c>
      <c r="K3019" s="21" t="str">
        <f aca="false">INDEX(Students!$D$2:$D$601,MATCH(B3019,Students!$A$2:$A$601,0))</f>
        <v>DSA with Java</v>
      </c>
      <c r="L3019" s="21" t="str">
        <f aca="false">INDEX(Companies!$C$2:$C$31,MATCH(C3019,Companies!$A$2:$A$31,0))</f>
        <v>IT Services</v>
      </c>
      <c r="M3019" s="21" t="str">
        <f aca="false">INDEX(Companies!$D$2:$D$31,MATCH(C3019,Companies!$A$2:$A$31,0))</f>
        <v>Tier 3</v>
      </c>
      <c r="N3019" s="34" t="n">
        <f aca="false">MATCH(F3019,Assumptions!$K$4:$K$8,0)</f>
        <v>1</v>
      </c>
      <c r="O3019" s="21" t="str">
        <f aca="false">IF(H3019="Yes",MONTH(I3019),"")</f>
        <v/>
      </c>
      <c r="P3019" s="21" t="str">
        <f aca="false">IF(H3019="Yes",B3019,"")</f>
        <v/>
      </c>
    </row>
    <row r="3020" customFormat="false" ht="15" hidden="false" customHeight="false" outlineLevel="0" collapsed="false">
      <c r="A3020" s="21" t="s">
        <v>4235</v>
      </c>
      <c r="B3020" s="21" t="s">
        <v>1127</v>
      </c>
      <c r="C3020" s="21" t="s">
        <v>1234</v>
      </c>
      <c r="D3020" s="21" t="s">
        <v>1174</v>
      </c>
      <c r="E3020" s="33" t="n">
        <v>46055</v>
      </c>
      <c r="F3020" s="21" t="s">
        <v>1178</v>
      </c>
      <c r="G3020" s="32"/>
      <c r="H3020" s="21"/>
      <c r="I3020" s="33"/>
      <c r="J3020" s="21" t="str">
        <f aca="false">INDEX(Students!$C$2:$C$601,MATCH(B3020,Students!$A$2:$A$601,0))</f>
        <v>Batch 2026</v>
      </c>
      <c r="K3020" s="21" t="str">
        <f aca="false">INDEX(Students!$D$2:$D$601,MATCH(B3020,Students!$A$2:$A$601,0))</f>
        <v>Full Stack Development</v>
      </c>
      <c r="L3020" s="21" t="str">
        <f aca="false">INDEX(Companies!$C$2:$C$31,MATCH(C3020,Companies!$A$2:$A$31,0))</f>
        <v>EdTech</v>
      </c>
      <c r="M3020" s="21" t="str">
        <f aca="false">INDEX(Companies!$D$2:$D$31,MATCH(C3020,Companies!$A$2:$A$31,0))</f>
        <v>Tier 3</v>
      </c>
      <c r="N3020" s="34" t="n">
        <f aca="false">MATCH(F3020,Assumptions!$K$4:$K$8,0)</f>
        <v>2</v>
      </c>
      <c r="O3020" s="21" t="str">
        <f aca="false">IF(H3020="Yes",MONTH(I3020),"")</f>
        <v/>
      </c>
      <c r="P3020" s="21" t="str">
        <f aca="false">IF(H3020="Yes",B3020,"")</f>
        <v/>
      </c>
    </row>
    <row r="3021" customFormat="false" ht="15" hidden="false" customHeight="false" outlineLevel="0" collapsed="false">
      <c r="A3021" s="21" t="s">
        <v>4236</v>
      </c>
      <c r="B3021" s="21" t="s">
        <v>1064</v>
      </c>
      <c r="C3021" s="21" t="s">
        <v>1183</v>
      </c>
      <c r="D3021" s="21" t="s">
        <v>1191</v>
      </c>
      <c r="E3021" s="33" t="n">
        <v>46055</v>
      </c>
      <c r="F3021" s="21" t="s">
        <v>1185</v>
      </c>
      <c r="G3021" s="32" t="n">
        <v>9.4</v>
      </c>
      <c r="H3021" s="21" t="s">
        <v>113</v>
      </c>
      <c r="I3021" s="33" t="n">
        <v>46087</v>
      </c>
      <c r="J3021" s="21" t="str">
        <f aca="false">INDEX(Students!$C$2:$C$601,MATCH(B3021,Students!$A$2:$A$601,0))</f>
        <v>Batch 2026</v>
      </c>
      <c r="K3021" s="21" t="str">
        <f aca="false">INDEX(Students!$D$2:$D$601,MATCH(B3021,Students!$A$2:$A$601,0))</f>
        <v>DSA with Java</v>
      </c>
      <c r="L3021" s="21" t="str">
        <f aca="false">INDEX(Companies!$C$2:$C$31,MATCH(C3021,Companies!$A$2:$A$31,0))</f>
        <v>E-commerce</v>
      </c>
      <c r="M3021" s="21" t="str">
        <f aca="false">INDEX(Companies!$D$2:$D$31,MATCH(C3021,Companies!$A$2:$A$31,0))</f>
        <v>Tier 2</v>
      </c>
      <c r="N3021" s="34" t="n">
        <f aca="false">MATCH(F3021,Assumptions!$K$4:$K$8,0)</f>
        <v>5</v>
      </c>
      <c r="O3021" s="21" t="str">
        <f aca="false">IF(H3021="Yes",MONTH(I3021),"")</f>
        <v/>
      </c>
      <c r="P3021" s="21" t="str">
        <f aca="false">IF(H3021="Yes",B3021,"")</f>
        <v/>
      </c>
    </row>
    <row r="3022" customFormat="false" ht="15" hidden="false" customHeight="false" outlineLevel="0" collapsed="false">
      <c r="A3022" s="21" t="s">
        <v>4237</v>
      </c>
      <c r="B3022" s="21" t="s">
        <v>1005</v>
      </c>
      <c r="C3022" s="21" t="s">
        <v>1298</v>
      </c>
      <c r="D3022" s="21" t="s">
        <v>1243</v>
      </c>
      <c r="E3022" s="33" t="n">
        <v>46056</v>
      </c>
      <c r="F3022" s="21" t="s">
        <v>1178</v>
      </c>
      <c r="G3022" s="32"/>
      <c r="H3022" s="21"/>
      <c r="I3022" s="33"/>
      <c r="J3022" s="21" t="str">
        <f aca="false">INDEX(Students!$C$2:$C$601,MATCH(B3022,Students!$A$2:$A$601,0))</f>
        <v>Batch 2026</v>
      </c>
      <c r="K3022" s="21" t="str">
        <f aca="false">INDEX(Students!$D$2:$D$601,MATCH(B3022,Students!$A$2:$A$601,0))</f>
        <v>Data Science &amp; ML</v>
      </c>
      <c r="L3022" s="21" t="str">
        <f aca="false">INDEX(Companies!$C$2:$C$31,MATCH(C3022,Companies!$A$2:$A$31,0))</f>
        <v>Fintech</v>
      </c>
      <c r="M3022" s="21" t="str">
        <f aca="false">INDEX(Companies!$D$2:$D$31,MATCH(C3022,Companies!$A$2:$A$31,0))</f>
        <v>Tier 2</v>
      </c>
      <c r="N3022" s="34" t="n">
        <f aca="false">MATCH(F3022,Assumptions!$K$4:$K$8,0)</f>
        <v>2</v>
      </c>
      <c r="O3022" s="21" t="str">
        <f aca="false">IF(H3022="Yes",MONTH(I3022),"")</f>
        <v/>
      </c>
      <c r="P3022" s="21" t="str">
        <f aca="false">IF(H3022="Yes",B3022,"")</f>
        <v/>
      </c>
    </row>
    <row r="3023" customFormat="false" ht="15" hidden="false" customHeight="false" outlineLevel="0" collapsed="false">
      <c r="A3023" s="21" t="s">
        <v>4238</v>
      </c>
      <c r="B3023" s="21" t="s">
        <v>920</v>
      </c>
      <c r="C3023" s="21" t="s">
        <v>1196</v>
      </c>
      <c r="D3023" s="21" t="s">
        <v>1226</v>
      </c>
      <c r="E3023" s="33" t="n">
        <v>46056</v>
      </c>
      <c r="F3023" s="21" t="s">
        <v>1178</v>
      </c>
      <c r="G3023" s="32"/>
      <c r="H3023" s="21"/>
      <c r="I3023" s="33"/>
      <c r="J3023" s="21" t="str">
        <f aca="false">INDEX(Students!$C$2:$C$601,MATCH(B3023,Students!$A$2:$A$601,0))</f>
        <v>Batch 2026</v>
      </c>
      <c r="K3023" s="21" t="str">
        <f aca="false">INDEX(Students!$D$2:$D$601,MATCH(B3023,Students!$A$2:$A$601,0))</f>
        <v>Cybersecurity</v>
      </c>
      <c r="L3023" s="21" t="str">
        <f aca="false">INDEX(Companies!$C$2:$C$31,MATCH(C3023,Companies!$A$2:$A$31,0))</f>
        <v>IT Services</v>
      </c>
      <c r="M3023" s="21" t="str">
        <f aca="false">INDEX(Companies!$D$2:$D$31,MATCH(C3023,Companies!$A$2:$A$31,0))</f>
        <v>Tier 3</v>
      </c>
      <c r="N3023" s="34" t="n">
        <f aca="false">MATCH(F3023,Assumptions!$K$4:$K$8,0)</f>
        <v>2</v>
      </c>
      <c r="O3023" s="21" t="str">
        <f aca="false">IF(H3023="Yes",MONTH(I3023),"")</f>
        <v/>
      </c>
      <c r="P3023" s="21" t="str">
        <f aca="false">IF(H3023="Yes",B3023,"")</f>
        <v/>
      </c>
    </row>
    <row r="3024" customFormat="false" ht="15" hidden="false" customHeight="false" outlineLevel="0" collapsed="false">
      <c r="A3024" s="21" t="s">
        <v>4239</v>
      </c>
      <c r="B3024" s="21" t="s">
        <v>861</v>
      </c>
      <c r="C3024" s="21" t="s">
        <v>1234</v>
      </c>
      <c r="D3024" s="21" t="s">
        <v>1191</v>
      </c>
      <c r="E3024" s="33" t="n">
        <v>46056</v>
      </c>
      <c r="F3024" s="21" t="s">
        <v>1197</v>
      </c>
      <c r="G3024" s="32"/>
      <c r="H3024" s="21"/>
      <c r="I3024" s="33"/>
      <c r="J3024" s="21" t="str">
        <f aca="false">INDEX(Students!$C$2:$C$601,MATCH(B3024,Students!$A$2:$A$601,0))</f>
        <v>Batch 2026</v>
      </c>
      <c r="K3024" s="21" t="str">
        <f aca="false">INDEX(Students!$D$2:$D$601,MATCH(B3024,Students!$A$2:$A$601,0))</f>
        <v>DSA with Java</v>
      </c>
      <c r="L3024" s="21" t="str">
        <f aca="false">INDEX(Companies!$C$2:$C$31,MATCH(C3024,Companies!$A$2:$A$31,0))</f>
        <v>EdTech</v>
      </c>
      <c r="M3024" s="21" t="str">
        <f aca="false">INDEX(Companies!$D$2:$D$31,MATCH(C3024,Companies!$A$2:$A$31,0))</f>
        <v>Tier 3</v>
      </c>
      <c r="N3024" s="34" t="n">
        <f aca="false">MATCH(F3024,Assumptions!$K$4:$K$8,0)</f>
        <v>3</v>
      </c>
      <c r="O3024" s="21" t="str">
        <f aca="false">IF(H3024="Yes",MONTH(I3024),"")</f>
        <v/>
      </c>
      <c r="P3024" s="21" t="str">
        <f aca="false">IF(H3024="Yes",B3024,"")</f>
        <v/>
      </c>
    </row>
    <row r="3025" customFormat="false" ht="15" hidden="false" customHeight="false" outlineLevel="0" collapsed="false">
      <c r="A3025" s="21" t="s">
        <v>4240</v>
      </c>
      <c r="B3025" s="21" t="s">
        <v>824</v>
      </c>
      <c r="C3025" s="21" t="s">
        <v>1298</v>
      </c>
      <c r="D3025" s="21" t="s">
        <v>1184</v>
      </c>
      <c r="E3025" s="33" t="n">
        <v>46056</v>
      </c>
      <c r="F3025" s="21" t="s">
        <v>1185</v>
      </c>
      <c r="G3025" s="32" t="n">
        <v>15.2</v>
      </c>
      <c r="H3025" s="21" t="s">
        <v>113</v>
      </c>
      <c r="I3025" s="33" t="n">
        <v>46094</v>
      </c>
      <c r="J3025" s="21" t="str">
        <f aca="false">INDEX(Students!$C$2:$C$601,MATCH(B3025,Students!$A$2:$A$601,0))</f>
        <v>Batch 2026</v>
      </c>
      <c r="K3025" s="21" t="str">
        <f aca="false">INDEX(Students!$D$2:$D$601,MATCH(B3025,Students!$A$2:$A$601,0))</f>
        <v>DSA with Java</v>
      </c>
      <c r="L3025" s="21" t="str">
        <f aca="false">INDEX(Companies!$C$2:$C$31,MATCH(C3025,Companies!$A$2:$A$31,0))</f>
        <v>Fintech</v>
      </c>
      <c r="M3025" s="21" t="str">
        <f aca="false">INDEX(Companies!$D$2:$D$31,MATCH(C3025,Companies!$A$2:$A$31,0))</f>
        <v>Tier 2</v>
      </c>
      <c r="N3025" s="34" t="n">
        <f aca="false">MATCH(F3025,Assumptions!$K$4:$K$8,0)</f>
        <v>5</v>
      </c>
      <c r="O3025" s="21" t="str">
        <f aca="false">IF(H3025="Yes",MONTH(I3025),"")</f>
        <v/>
      </c>
      <c r="P3025" s="21" t="str">
        <f aca="false">IF(H3025="Yes",B3025,"")</f>
        <v/>
      </c>
    </row>
    <row r="3026" customFormat="false" ht="15" hidden="false" customHeight="false" outlineLevel="0" collapsed="false">
      <c r="A3026" s="21" t="s">
        <v>4241</v>
      </c>
      <c r="B3026" s="21" t="s">
        <v>939</v>
      </c>
      <c r="C3026" s="21" t="s">
        <v>1205</v>
      </c>
      <c r="D3026" s="21" t="s">
        <v>1240</v>
      </c>
      <c r="E3026" s="33" t="n">
        <v>46056</v>
      </c>
      <c r="F3026" s="21" t="s">
        <v>1178</v>
      </c>
      <c r="G3026" s="32"/>
      <c r="H3026" s="21"/>
      <c r="I3026" s="33"/>
      <c r="J3026" s="21" t="str">
        <f aca="false">INDEX(Students!$C$2:$C$601,MATCH(B3026,Students!$A$2:$A$601,0))</f>
        <v>Batch 2026</v>
      </c>
      <c r="K3026" s="21" t="str">
        <f aca="false">INDEX(Students!$D$2:$D$601,MATCH(B3026,Students!$A$2:$A$601,0))</f>
        <v>Cybersecurity</v>
      </c>
      <c r="L3026" s="21" t="str">
        <f aca="false">INDEX(Companies!$C$2:$C$31,MATCH(C3026,Companies!$A$2:$A$31,0))</f>
        <v>Healthtech</v>
      </c>
      <c r="M3026" s="21" t="str">
        <f aca="false">INDEX(Companies!$D$2:$D$31,MATCH(C3026,Companies!$A$2:$A$31,0))</f>
        <v>Tier 3</v>
      </c>
      <c r="N3026" s="34" t="n">
        <f aca="false">MATCH(F3026,Assumptions!$K$4:$K$8,0)</f>
        <v>2</v>
      </c>
      <c r="O3026" s="21" t="str">
        <f aca="false">IF(H3026="Yes",MONTH(I3026),"")</f>
        <v/>
      </c>
      <c r="P3026" s="21" t="str">
        <f aca="false">IF(H3026="Yes",B3026,"")</f>
        <v/>
      </c>
    </row>
    <row r="3027" customFormat="false" ht="15" hidden="false" customHeight="false" outlineLevel="0" collapsed="false">
      <c r="A3027" s="21" t="s">
        <v>4242</v>
      </c>
      <c r="B3027" s="21" t="s">
        <v>981</v>
      </c>
      <c r="C3027" s="21" t="s">
        <v>1177</v>
      </c>
      <c r="D3027" s="21" t="s">
        <v>1181</v>
      </c>
      <c r="E3027" s="33" t="n">
        <v>46056</v>
      </c>
      <c r="F3027" s="21" t="s">
        <v>1185</v>
      </c>
      <c r="G3027" s="32" t="n">
        <v>7.8</v>
      </c>
      <c r="H3027" s="21" t="s">
        <v>113</v>
      </c>
      <c r="I3027" s="33" t="n">
        <v>46093</v>
      </c>
      <c r="J3027" s="21" t="str">
        <f aca="false">INDEX(Students!$C$2:$C$601,MATCH(B3027,Students!$A$2:$A$601,0))</f>
        <v>Batch 2026</v>
      </c>
      <c r="K3027" s="21" t="str">
        <f aca="false">INDEX(Students!$D$2:$D$601,MATCH(B3027,Students!$A$2:$A$601,0))</f>
        <v>Full Stack Development</v>
      </c>
      <c r="L3027" s="21" t="str">
        <f aca="false">INDEX(Companies!$C$2:$C$31,MATCH(C3027,Companies!$A$2:$A$31,0))</f>
        <v>IT Services</v>
      </c>
      <c r="M3027" s="21" t="str">
        <f aca="false">INDEX(Companies!$D$2:$D$31,MATCH(C3027,Companies!$A$2:$A$31,0))</f>
        <v>Tier 3</v>
      </c>
      <c r="N3027" s="34" t="n">
        <f aca="false">MATCH(F3027,Assumptions!$K$4:$K$8,0)</f>
        <v>5</v>
      </c>
      <c r="O3027" s="21" t="str">
        <f aca="false">IF(H3027="Yes",MONTH(I3027),"")</f>
        <v/>
      </c>
      <c r="P3027" s="21" t="str">
        <f aca="false">IF(H3027="Yes",B3027,"")</f>
        <v/>
      </c>
    </row>
    <row r="3028" customFormat="false" ht="15" hidden="false" customHeight="false" outlineLevel="0" collapsed="false">
      <c r="A3028" s="21" t="s">
        <v>4243</v>
      </c>
      <c r="B3028" s="21" t="s">
        <v>1073</v>
      </c>
      <c r="C3028" s="21" t="s">
        <v>1222</v>
      </c>
      <c r="D3028" s="21" t="s">
        <v>1181</v>
      </c>
      <c r="E3028" s="33" t="n">
        <v>46057</v>
      </c>
      <c r="F3028" s="21" t="s">
        <v>1175</v>
      </c>
      <c r="G3028" s="32"/>
      <c r="H3028" s="21"/>
      <c r="I3028" s="33"/>
      <c r="J3028" s="21" t="str">
        <f aca="false">INDEX(Students!$C$2:$C$601,MATCH(B3028,Students!$A$2:$A$601,0))</f>
        <v>Batch 2026</v>
      </c>
      <c r="K3028" s="21" t="str">
        <f aca="false">INDEX(Students!$D$2:$D$601,MATCH(B3028,Students!$A$2:$A$601,0))</f>
        <v>Full Stack Development</v>
      </c>
      <c r="L3028" s="21" t="str">
        <f aca="false">INDEX(Companies!$C$2:$C$31,MATCH(C3028,Companies!$A$2:$A$31,0))</f>
        <v>Product</v>
      </c>
      <c r="M3028" s="21" t="str">
        <f aca="false">INDEX(Companies!$D$2:$D$31,MATCH(C3028,Companies!$A$2:$A$31,0))</f>
        <v>Tier 2</v>
      </c>
      <c r="N3028" s="34" t="n">
        <f aca="false">MATCH(F3028,Assumptions!$K$4:$K$8,0)</f>
        <v>1</v>
      </c>
      <c r="O3028" s="21" t="str">
        <f aca="false">IF(H3028="Yes",MONTH(I3028),"")</f>
        <v/>
      </c>
      <c r="P3028" s="21" t="str">
        <f aca="false">IF(H3028="Yes",B3028,"")</f>
        <v/>
      </c>
    </row>
    <row r="3029" customFormat="false" ht="15" hidden="false" customHeight="false" outlineLevel="0" collapsed="false">
      <c r="A3029" s="21" t="s">
        <v>4244</v>
      </c>
      <c r="B3029" s="21" t="s">
        <v>952</v>
      </c>
      <c r="C3029" s="21" t="s">
        <v>1228</v>
      </c>
      <c r="D3029" s="21" t="s">
        <v>1184</v>
      </c>
      <c r="E3029" s="33" t="n">
        <v>46057</v>
      </c>
      <c r="F3029" s="21" t="s">
        <v>1175</v>
      </c>
      <c r="G3029" s="32"/>
      <c r="H3029" s="21"/>
      <c r="I3029" s="33"/>
      <c r="J3029" s="21" t="str">
        <f aca="false">INDEX(Students!$C$2:$C$601,MATCH(B3029,Students!$A$2:$A$601,0))</f>
        <v>Batch 2026</v>
      </c>
      <c r="K3029" s="21" t="str">
        <f aca="false">INDEX(Students!$D$2:$D$601,MATCH(B3029,Students!$A$2:$A$601,0))</f>
        <v>DSA with Java</v>
      </c>
      <c r="L3029" s="21" t="str">
        <f aca="false">INDEX(Companies!$C$2:$C$31,MATCH(C3029,Companies!$A$2:$A$31,0))</f>
        <v>Fintech</v>
      </c>
      <c r="M3029" s="21" t="str">
        <f aca="false">INDEX(Companies!$D$2:$D$31,MATCH(C3029,Companies!$A$2:$A$31,0))</f>
        <v>Tier 1</v>
      </c>
      <c r="N3029" s="34" t="n">
        <f aca="false">MATCH(F3029,Assumptions!$K$4:$K$8,0)</f>
        <v>1</v>
      </c>
      <c r="O3029" s="21" t="str">
        <f aca="false">IF(H3029="Yes",MONTH(I3029),"")</f>
        <v/>
      </c>
      <c r="P3029" s="21" t="str">
        <f aca="false">IF(H3029="Yes",B3029,"")</f>
        <v/>
      </c>
    </row>
    <row r="3030" customFormat="false" ht="15" hidden="false" customHeight="false" outlineLevel="0" collapsed="false">
      <c r="A3030" s="21" t="s">
        <v>4245</v>
      </c>
      <c r="B3030" s="21" t="s">
        <v>866</v>
      </c>
      <c r="C3030" s="21" t="s">
        <v>1255</v>
      </c>
      <c r="D3030" s="21" t="s">
        <v>1181</v>
      </c>
      <c r="E3030" s="33" t="n">
        <v>46058</v>
      </c>
      <c r="F3030" s="21" t="s">
        <v>1185</v>
      </c>
      <c r="G3030" s="32" t="n">
        <v>4.4</v>
      </c>
      <c r="H3030" s="21" t="s">
        <v>120</v>
      </c>
      <c r="I3030" s="33" t="n">
        <v>46109</v>
      </c>
      <c r="J3030" s="21" t="str">
        <f aca="false">INDEX(Students!$C$2:$C$601,MATCH(B3030,Students!$A$2:$A$601,0))</f>
        <v>Batch 2026</v>
      </c>
      <c r="K3030" s="21" t="str">
        <f aca="false">INDEX(Students!$D$2:$D$601,MATCH(B3030,Students!$A$2:$A$601,0))</f>
        <v>Full Stack Development</v>
      </c>
      <c r="L3030" s="21" t="str">
        <f aca="false">INDEX(Companies!$C$2:$C$31,MATCH(C3030,Companies!$A$2:$A$31,0))</f>
        <v>IT Services</v>
      </c>
      <c r="M3030" s="21" t="str">
        <f aca="false">INDEX(Companies!$D$2:$D$31,MATCH(C3030,Companies!$A$2:$A$31,0))</f>
        <v>Tier 3</v>
      </c>
      <c r="N3030" s="34" t="n">
        <f aca="false">MATCH(F3030,Assumptions!$K$4:$K$8,0)</f>
        <v>5</v>
      </c>
      <c r="O3030" s="21" t="n">
        <f aca="false">IF(H3030="Yes",MONTH(I3030),"")</f>
        <v>3</v>
      </c>
      <c r="P3030" s="21" t="str">
        <f aca="false">IF(H3030="Yes",B3030,"")</f>
        <v>S0417</v>
      </c>
    </row>
    <row r="3031" customFormat="false" ht="15" hidden="false" customHeight="false" outlineLevel="0" collapsed="false">
      <c r="A3031" s="21" t="s">
        <v>4246</v>
      </c>
      <c r="B3031" s="21" t="s">
        <v>850</v>
      </c>
      <c r="C3031" s="21" t="s">
        <v>1239</v>
      </c>
      <c r="D3031" s="21" t="s">
        <v>1181</v>
      </c>
      <c r="E3031" s="33" t="n">
        <v>46058</v>
      </c>
      <c r="F3031" s="21" t="s">
        <v>1197</v>
      </c>
      <c r="G3031" s="32"/>
      <c r="H3031" s="21"/>
      <c r="I3031" s="33"/>
      <c r="J3031" s="21" t="str">
        <f aca="false">INDEX(Students!$C$2:$C$601,MATCH(B3031,Students!$A$2:$A$601,0))</f>
        <v>Batch 2026</v>
      </c>
      <c r="K3031" s="21" t="str">
        <f aca="false">INDEX(Students!$D$2:$D$601,MATCH(B3031,Students!$A$2:$A$601,0))</f>
        <v>Full Stack Development</v>
      </c>
      <c r="L3031" s="21" t="str">
        <f aca="false">INDEX(Companies!$C$2:$C$31,MATCH(C3031,Companies!$A$2:$A$31,0))</f>
        <v>E-commerce</v>
      </c>
      <c r="M3031" s="21" t="str">
        <f aca="false">INDEX(Companies!$D$2:$D$31,MATCH(C3031,Companies!$A$2:$A$31,0))</f>
        <v>Tier 3</v>
      </c>
      <c r="N3031" s="34" t="n">
        <f aca="false">MATCH(F3031,Assumptions!$K$4:$K$8,0)</f>
        <v>3</v>
      </c>
      <c r="O3031" s="21" t="str">
        <f aca="false">IF(H3031="Yes",MONTH(I3031),"")</f>
        <v/>
      </c>
      <c r="P3031" s="21" t="str">
        <f aca="false">IF(H3031="Yes",B3031,"")</f>
        <v/>
      </c>
    </row>
    <row r="3032" customFormat="false" ht="15" hidden="false" customHeight="false" outlineLevel="0" collapsed="false">
      <c r="A3032" s="21" t="s">
        <v>4247</v>
      </c>
      <c r="B3032" s="21" t="s">
        <v>1008</v>
      </c>
      <c r="C3032" s="21" t="s">
        <v>1263</v>
      </c>
      <c r="D3032" s="21" t="s">
        <v>1191</v>
      </c>
      <c r="E3032" s="33" t="n">
        <v>46058</v>
      </c>
      <c r="F3032" s="21" t="s">
        <v>1175</v>
      </c>
      <c r="G3032" s="32"/>
      <c r="H3032" s="21"/>
      <c r="I3032" s="33"/>
      <c r="J3032" s="21" t="str">
        <f aca="false">INDEX(Students!$C$2:$C$601,MATCH(B3032,Students!$A$2:$A$601,0))</f>
        <v>Batch 2026</v>
      </c>
      <c r="K3032" s="21" t="str">
        <f aca="false">INDEX(Students!$D$2:$D$601,MATCH(B3032,Students!$A$2:$A$601,0))</f>
        <v>DSA with Java</v>
      </c>
      <c r="L3032" s="21" t="str">
        <f aca="false">INDEX(Companies!$C$2:$C$31,MATCH(C3032,Companies!$A$2:$A$31,0))</f>
        <v>Analytics &amp; Consulting</v>
      </c>
      <c r="M3032" s="21" t="str">
        <f aca="false">INDEX(Companies!$D$2:$D$31,MATCH(C3032,Companies!$A$2:$A$31,0))</f>
        <v>Tier 2</v>
      </c>
      <c r="N3032" s="34" t="n">
        <f aca="false">MATCH(F3032,Assumptions!$K$4:$K$8,0)</f>
        <v>1</v>
      </c>
      <c r="O3032" s="21" t="str">
        <f aca="false">IF(H3032="Yes",MONTH(I3032),"")</f>
        <v/>
      </c>
      <c r="P3032" s="21" t="str">
        <f aca="false">IF(H3032="Yes",B3032,"")</f>
        <v/>
      </c>
    </row>
    <row r="3033" customFormat="false" ht="15" hidden="false" customHeight="false" outlineLevel="0" collapsed="false">
      <c r="A3033" s="21" t="s">
        <v>4248</v>
      </c>
      <c r="B3033" s="21" t="s">
        <v>1051</v>
      </c>
      <c r="C3033" s="21" t="s">
        <v>1239</v>
      </c>
      <c r="D3033" s="21" t="s">
        <v>1191</v>
      </c>
      <c r="E3033" s="33" t="n">
        <v>46058</v>
      </c>
      <c r="F3033" s="21" t="s">
        <v>1197</v>
      </c>
      <c r="G3033" s="32"/>
      <c r="H3033" s="21"/>
      <c r="I3033" s="33"/>
      <c r="J3033" s="21" t="str">
        <f aca="false">INDEX(Students!$C$2:$C$601,MATCH(B3033,Students!$A$2:$A$601,0))</f>
        <v>Batch 2026</v>
      </c>
      <c r="K3033" s="21" t="str">
        <f aca="false">INDEX(Students!$D$2:$D$601,MATCH(B3033,Students!$A$2:$A$601,0))</f>
        <v>DSA with Java</v>
      </c>
      <c r="L3033" s="21" t="str">
        <f aca="false">INDEX(Companies!$C$2:$C$31,MATCH(C3033,Companies!$A$2:$A$31,0))</f>
        <v>E-commerce</v>
      </c>
      <c r="M3033" s="21" t="str">
        <f aca="false">INDEX(Companies!$D$2:$D$31,MATCH(C3033,Companies!$A$2:$A$31,0))</f>
        <v>Tier 3</v>
      </c>
      <c r="N3033" s="34" t="n">
        <f aca="false">MATCH(F3033,Assumptions!$K$4:$K$8,0)</f>
        <v>3</v>
      </c>
      <c r="O3033" s="21" t="str">
        <f aca="false">IF(H3033="Yes",MONTH(I3033),"")</f>
        <v/>
      </c>
      <c r="P3033" s="21" t="str">
        <f aca="false">IF(H3033="Yes",B3033,"")</f>
        <v/>
      </c>
    </row>
    <row r="3034" customFormat="false" ht="15" hidden="false" customHeight="false" outlineLevel="0" collapsed="false">
      <c r="A3034" s="21" t="s">
        <v>4249</v>
      </c>
      <c r="B3034" s="21" t="s">
        <v>813</v>
      </c>
      <c r="C3034" s="21" t="s">
        <v>1177</v>
      </c>
      <c r="D3034" s="21" t="s">
        <v>1184</v>
      </c>
      <c r="E3034" s="33" t="n">
        <v>46058</v>
      </c>
      <c r="F3034" s="21" t="s">
        <v>1185</v>
      </c>
      <c r="G3034" s="32" t="n">
        <v>6.4</v>
      </c>
      <c r="H3034" s="21" t="s">
        <v>113</v>
      </c>
      <c r="I3034" s="33" t="n">
        <v>46088</v>
      </c>
      <c r="J3034" s="21" t="str">
        <f aca="false">INDEX(Students!$C$2:$C$601,MATCH(B3034,Students!$A$2:$A$601,0))</f>
        <v>Batch 2026</v>
      </c>
      <c r="K3034" s="21" t="str">
        <f aca="false">INDEX(Students!$D$2:$D$601,MATCH(B3034,Students!$A$2:$A$601,0))</f>
        <v>DSA with Java</v>
      </c>
      <c r="L3034" s="21" t="str">
        <f aca="false">INDEX(Companies!$C$2:$C$31,MATCH(C3034,Companies!$A$2:$A$31,0))</f>
        <v>IT Services</v>
      </c>
      <c r="M3034" s="21" t="str">
        <f aca="false">INDEX(Companies!$D$2:$D$31,MATCH(C3034,Companies!$A$2:$A$31,0))</f>
        <v>Tier 3</v>
      </c>
      <c r="N3034" s="34" t="n">
        <f aca="false">MATCH(F3034,Assumptions!$K$4:$K$8,0)</f>
        <v>5</v>
      </c>
      <c r="O3034" s="21" t="str">
        <f aca="false">IF(H3034="Yes",MONTH(I3034),"")</f>
        <v/>
      </c>
      <c r="P3034" s="21" t="str">
        <f aca="false">IF(H3034="Yes",B3034,"")</f>
        <v/>
      </c>
    </row>
    <row r="3035" customFormat="false" ht="15" hidden="false" customHeight="false" outlineLevel="0" collapsed="false">
      <c r="A3035" s="21" t="s">
        <v>4250</v>
      </c>
      <c r="B3035" s="21" t="s">
        <v>1025</v>
      </c>
      <c r="C3035" s="21" t="s">
        <v>1199</v>
      </c>
      <c r="D3035" s="21" t="s">
        <v>1243</v>
      </c>
      <c r="E3035" s="33" t="n">
        <v>46058</v>
      </c>
      <c r="F3035" s="21" t="s">
        <v>1197</v>
      </c>
      <c r="G3035" s="32"/>
      <c r="H3035" s="21"/>
      <c r="I3035" s="33"/>
      <c r="J3035" s="21" t="str">
        <f aca="false">INDEX(Students!$C$2:$C$601,MATCH(B3035,Students!$A$2:$A$601,0))</f>
        <v>Batch 2026</v>
      </c>
      <c r="K3035" s="21" t="str">
        <f aca="false">INDEX(Students!$D$2:$D$601,MATCH(B3035,Students!$A$2:$A$601,0))</f>
        <v>Data Science &amp; ML</v>
      </c>
      <c r="L3035" s="21" t="str">
        <f aca="false">INDEX(Companies!$C$2:$C$31,MATCH(C3035,Companies!$A$2:$A$31,0))</f>
        <v>E-commerce</v>
      </c>
      <c r="M3035" s="21" t="str">
        <f aca="false">INDEX(Companies!$D$2:$D$31,MATCH(C3035,Companies!$A$2:$A$31,0))</f>
        <v>Tier 2</v>
      </c>
      <c r="N3035" s="34" t="n">
        <f aca="false">MATCH(F3035,Assumptions!$K$4:$K$8,0)</f>
        <v>3</v>
      </c>
      <c r="O3035" s="21" t="str">
        <f aca="false">IF(H3035="Yes",MONTH(I3035),"")</f>
        <v/>
      </c>
      <c r="P3035" s="21" t="str">
        <f aca="false">IF(H3035="Yes",B3035,"")</f>
        <v/>
      </c>
    </row>
    <row r="3036" customFormat="false" ht="15" hidden="false" customHeight="false" outlineLevel="0" collapsed="false">
      <c r="A3036" s="21" t="s">
        <v>4251</v>
      </c>
      <c r="B3036" s="21" t="s">
        <v>1024</v>
      </c>
      <c r="C3036" s="21" t="s">
        <v>1180</v>
      </c>
      <c r="D3036" s="21" t="s">
        <v>1191</v>
      </c>
      <c r="E3036" s="33" t="n">
        <v>46058</v>
      </c>
      <c r="F3036" s="21" t="s">
        <v>1175</v>
      </c>
      <c r="G3036" s="32"/>
      <c r="H3036" s="21"/>
      <c r="I3036" s="33"/>
      <c r="J3036" s="21" t="str">
        <f aca="false">INDEX(Students!$C$2:$C$601,MATCH(B3036,Students!$A$2:$A$601,0))</f>
        <v>Batch 2026</v>
      </c>
      <c r="K3036" s="21" t="str">
        <f aca="false">INDEX(Students!$D$2:$D$601,MATCH(B3036,Students!$A$2:$A$601,0))</f>
        <v>DSA with Java</v>
      </c>
      <c r="L3036" s="21" t="str">
        <f aca="false">INDEX(Companies!$C$2:$C$31,MATCH(C3036,Companies!$A$2:$A$31,0))</f>
        <v>IT Services</v>
      </c>
      <c r="M3036" s="21" t="str">
        <f aca="false">INDEX(Companies!$D$2:$D$31,MATCH(C3036,Companies!$A$2:$A$31,0))</f>
        <v>Tier 3</v>
      </c>
      <c r="N3036" s="34" t="n">
        <f aca="false">MATCH(F3036,Assumptions!$K$4:$K$8,0)</f>
        <v>1</v>
      </c>
      <c r="O3036" s="21" t="str">
        <f aca="false">IF(H3036="Yes",MONTH(I3036),"")</f>
        <v/>
      </c>
      <c r="P3036" s="21" t="str">
        <f aca="false">IF(H3036="Yes",B3036,"")</f>
        <v/>
      </c>
    </row>
    <row r="3037" customFormat="false" ht="15" hidden="false" customHeight="false" outlineLevel="0" collapsed="false">
      <c r="A3037" s="21" t="s">
        <v>4252</v>
      </c>
      <c r="B3037" s="21" t="s">
        <v>892</v>
      </c>
      <c r="C3037" s="21" t="s">
        <v>1216</v>
      </c>
      <c r="D3037" s="21" t="s">
        <v>1191</v>
      </c>
      <c r="E3037" s="33" t="n">
        <v>46058</v>
      </c>
      <c r="F3037" s="21" t="s">
        <v>1185</v>
      </c>
      <c r="G3037" s="32" t="n">
        <v>6.2</v>
      </c>
      <c r="H3037" s="21" t="s">
        <v>113</v>
      </c>
      <c r="I3037" s="33" t="n">
        <v>46096</v>
      </c>
      <c r="J3037" s="21" t="str">
        <f aca="false">INDEX(Students!$C$2:$C$601,MATCH(B3037,Students!$A$2:$A$601,0))</f>
        <v>Batch 2026</v>
      </c>
      <c r="K3037" s="21" t="str">
        <f aca="false">INDEX(Students!$D$2:$D$601,MATCH(B3037,Students!$A$2:$A$601,0))</f>
        <v>DSA with Java</v>
      </c>
      <c r="L3037" s="21" t="str">
        <f aca="false">INDEX(Companies!$C$2:$C$31,MATCH(C3037,Companies!$A$2:$A$31,0))</f>
        <v>IT Services</v>
      </c>
      <c r="M3037" s="21" t="str">
        <f aca="false">INDEX(Companies!$D$2:$D$31,MATCH(C3037,Companies!$A$2:$A$31,0))</f>
        <v>Tier 3</v>
      </c>
      <c r="N3037" s="34" t="n">
        <f aca="false">MATCH(F3037,Assumptions!$K$4:$K$8,0)</f>
        <v>5</v>
      </c>
      <c r="O3037" s="21" t="str">
        <f aca="false">IF(H3037="Yes",MONTH(I3037),"")</f>
        <v/>
      </c>
      <c r="P3037" s="21" t="str">
        <f aca="false">IF(H3037="Yes",B3037,"")</f>
        <v/>
      </c>
    </row>
    <row r="3038" customFormat="false" ht="15" hidden="false" customHeight="false" outlineLevel="0" collapsed="false">
      <c r="A3038" s="21" t="s">
        <v>4253</v>
      </c>
      <c r="B3038" s="21" t="s">
        <v>870</v>
      </c>
      <c r="C3038" s="21" t="s">
        <v>1203</v>
      </c>
      <c r="D3038" s="21" t="s">
        <v>1181</v>
      </c>
      <c r="E3038" s="33" t="n">
        <v>46059</v>
      </c>
      <c r="F3038" s="21" t="s">
        <v>1178</v>
      </c>
      <c r="G3038" s="32"/>
      <c r="H3038" s="21"/>
      <c r="I3038" s="33"/>
      <c r="J3038" s="21" t="str">
        <f aca="false">INDEX(Students!$C$2:$C$601,MATCH(B3038,Students!$A$2:$A$601,0))</f>
        <v>Batch 2026</v>
      </c>
      <c r="K3038" s="21" t="str">
        <f aca="false">INDEX(Students!$D$2:$D$601,MATCH(B3038,Students!$A$2:$A$601,0))</f>
        <v>Full Stack Development</v>
      </c>
      <c r="L3038" s="21" t="str">
        <f aca="false">INDEX(Companies!$C$2:$C$31,MATCH(C3038,Companies!$A$2:$A$31,0))</f>
        <v>Healthtech</v>
      </c>
      <c r="M3038" s="21" t="str">
        <f aca="false">INDEX(Companies!$D$2:$D$31,MATCH(C3038,Companies!$A$2:$A$31,0))</f>
        <v>Tier 2</v>
      </c>
      <c r="N3038" s="34" t="n">
        <f aca="false">MATCH(F3038,Assumptions!$K$4:$K$8,0)</f>
        <v>2</v>
      </c>
      <c r="O3038" s="21" t="str">
        <f aca="false">IF(H3038="Yes",MONTH(I3038),"")</f>
        <v/>
      </c>
      <c r="P3038" s="21" t="str">
        <f aca="false">IF(H3038="Yes",B3038,"")</f>
        <v/>
      </c>
    </row>
    <row r="3039" customFormat="false" ht="15" hidden="false" customHeight="false" outlineLevel="0" collapsed="false">
      <c r="A3039" s="21" t="s">
        <v>4254</v>
      </c>
      <c r="B3039" s="21" t="s">
        <v>916</v>
      </c>
      <c r="C3039" s="21" t="s">
        <v>1255</v>
      </c>
      <c r="D3039" s="21" t="s">
        <v>1184</v>
      </c>
      <c r="E3039" s="33" t="n">
        <v>46059</v>
      </c>
      <c r="F3039" s="21" t="s">
        <v>1175</v>
      </c>
      <c r="G3039" s="32"/>
      <c r="H3039" s="21"/>
      <c r="I3039" s="33"/>
      <c r="J3039" s="21" t="str">
        <f aca="false">INDEX(Students!$C$2:$C$601,MATCH(B3039,Students!$A$2:$A$601,0))</f>
        <v>Batch 2026</v>
      </c>
      <c r="K3039" s="21" t="str">
        <f aca="false">INDEX(Students!$D$2:$D$601,MATCH(B3039,Students!$A$2:$A$601,0))</f>
        <v>DSA with Java</v>
      </c>
      <c r="L3039" s="21" t="str">
        <f aca="false">INDEX(Companies!$C$2:$C$31,MATCH(C3039,Companies!$A$2:$A$31,0))</f>
        <v>IT Services</v>
      </c>
      <c r="M3039" s="21" t="str">
        <f aca="false">INDEX(Companies!$D$2:$D$31,MATCH(C3039,Companies!$A$2:$A$31,0))</f>
        <v>Tier 3</v>
      </c>
      <c r="N3039" s="34" t="n">
        <f aca="false">MATCH(F3039,Assumptions!$K$4:$K$8,0)</f>
        <v>1</v>
      </c>
      <c r="O3039" s="21" t="str">
        <f aca="false">IF(H3039="Yes",MONTH(I3039),"")</f>
        <v/>
      </c>
      <c r="P3039" s="21" t="str">
        <f aca="false">IF(H3039="Yes",B3039,"")</f>
        <v/>
      </c>
    </row>
    <row r="3040" customFormat="false" ht="15" hidden="false" customHeight="false" outlineLevel="0" collapsed="false">
      <c r="A3040" s="21" t="s">
        <v>4255</v>
      </c>
      <c r="B3040" s="21" t="s">
        <v>912</v>
      </c>
      <c r="C3040" s="21" t="s">
        <v>1255</v>
      </c>
      <c r="D3040" s="21" t="s">
        <v>1181</v>
      </c>
      <c r="E3040" s="33" t="n">
        <v>46059</v>
      </c>
      <c r="F3040" s="21" t="s">
        <v>1178</v>
      </c>
      <c r="G3040" s="32"/>
      <c r="H3040" s="21"/>
      <c r="I3040" s="33"/>
      <c r="J3040" s="21" t="str">
        <f aca="false">INDEX(Students!$C$2:$C$601,MATCH(B3040,Students!$A$2:$A$601,0))</f>
        <v>Batch 2026</v>
      </c>
      <c r="K3040" s="21" t="str">
        <f aca="false">INDEX(Students!$D$2:$D$601,MATCH(B3040,Students!$A$2:$A$601,0))</f>
        <v>Full Stack Development</v>
      </c>
      <c r="L3040" s="21" t="str">
        <f aca="false">INDEX(Companies!$C$2:$C$31,MATCH(C3040,Companies!$A$2:$A$31,0))</f>
        <v>IT Services</v>
      </c>
      <c r="M3040" s="21" t="str">
        <f aca="false">INDEX(Companies!$D$2:$D$31,MATCH(C3040,Companies!$A$2:$A$31,0))</f>
        <v>Tier 3</v>
      </c>
      <c r="N3040" s="34" t="n">
        <f aca="false">MATCH(F3040,Assumptions!$K$4:$K$8,0)</f>
        <v>2</v>
      </c>
      <c r="O3040" s="21" t="str">
        <f aca="false">IF(H3040="Yes",MONTH(I3040),"")</f>
        <v/>
      </c>
      <c r="P3040" s="21" t="str">
        <f aca="false">IF(H3040="Yes",B3040,"")</f>
        <v/>
      </c>
    </row>
    <row r="3041" customFormat="false" ht="15" hidden="false" customHeight="false" outlineLevel="0" collapsed="false">
      <c r="A3041" s="21" t="s">
        <v>4256</v>
      </c>
      <c r="B3041" s="21" t="s">
        <v>1086</v>
      </c>
      <c r="C3041" s="21" t="s">
        <v>1177</v>
      </c>
      <c r="D3041" s="21" t="s">
        <v>1226</v>
      </c>
      <c r="E3041" s="33" t="n">
        <v>46059</v>
      </c>
      <c r="F3041" s="21" t="s">
        <v>1175</v>
      </c>
      <c r="G3041" s="32"/>
      <c r="H3041" s="21"/>
      <c r="I3041" s="33"/>
      <c r="J3041" s="21" t="str">
        <f aca="false">INDEX(Students!$C$2:$C$601,MATCH(B3041,Students!$A$2:$A$601,0))</f>
        <v>Batch 2026</v>
      </c>
      <c r="K3041" s="21" t="str">
        <f aca="false">INDEX(Students!$D$2:$D$601,MATCH(B3041,Students!$A$2:$A$601,0))</f>
        <v>Cybersecurity</v>
      </c>
      <c r="L3041" s="21" t="str">
        <f aca="false">INDEX(Companies!$C$2:$C$31,MATCH(C3041,Companies!$A$2:$A$31,0))</f>
        <v>IT Services</v>
      </c>
      <c r="M3041" s="21" t="str">
        <f aca="false">INDEX(Companies!$D$2:$D$31,MATCH(C3041,Companies!$A$2:$A$31,0))</f>
        <v>Tier 3</v>
      </c>
      <c r="N3041" s="34" t="n">
        <f aca="false">MATCH(F3041,Assumptions!$K$4:$K$8,0)</f>
        <v>1</v>
      </c>
      <c r="O3041" s="21" t="str">
        <f aca="false">IF(H3041="Yes",MONTH(I3041),"")</f>
        <v/>
      </c>
      <c r="P3041" s="21" t="str">
        <f aca="false">IF(H3041="Yes",B3041,"")</f>
        <v/>
      </c>
    </row>
    <row r="3042" customFormat="false" ht="15" hidden="false" customHeight="false" outlineLevel="0" collapsed="false">
      <c r="A3042" s="21" t="s">
        <v>4257</v>
      </c>
      <c r="B3042" s="21" t="s">
        <v>1028</v>
      </c>
      <c r="C3042" s="21" t="s">
        <v>1275</v>
      </c>
      <c r="D3042" s="21" t="s">
        <v>1226</v>
      </c>
      <c r="E3042" s="33" t="n">
        <v>46059</v>
      </c>
      <c r="F3042" s="21" t="s">
        <v>1178</v>
      </c>
      <c r="G3042" s="32"/>
      <c r="H3042" s="21"/>
      <c r="I3042" s="33"/>
      <c r="J3042" s="21" t="str">
        <f aca="false">INDEX(Students!$C$2:$C$601,MATCH(B3042,Students!$A$2:$A$601,0))</f>
        <v>Batch 2026</v>
      </c>
      <c r="K3042" s="21" t="str">
        <f aca="false">INDEX(Students!$D$2:$D$601,MATCH(B3042,Students!$A$2:$A$601,0))</f>
        <v>Cybersecurity</v>
      </c>
      <c r="L3042" s="21" t="str">
        <f aca="false">INDEX(Companies!$C$2:$C$31,MATCH(C3042,Companies!$A$2:$A$31,0))</f>
        <v>Cybersecurity</v>
      </c>
      <c r="M3042" s="21" t="str">
        <f aca="false">INDEX(Companies!$D$2:$D$31,MATCH(C3042,Companies!$A$2:$A$31,0))</f>
        <v>Tier 2</v>
      </c>
      <c r="N3042" s="34" t="n">
        <f aca="false">MATCH(F3042,Assumptions!$K$4:$K$8,0)</f>
        <v>2</v>
      </c>
      <c r="O3042" s="21" t="str">
        <f aca="false">IF(H3042="Yes",MONTH(I3042),"")</f>
        <v/>
      </c>
      <c r="P3042" s="21" t="str">
        <f aca="false">IF(H3042="Yes",B3042,"")</f>
        <v/>
      </c>
    </row>
    <row r="3043" customFormat="false" ht="15" hidden="false" customHeight="false" outlineLevel="0" collapsed="false">
      <c r="A3043" s="21" t="s">
        <v>4258</v>
      </c>
      <c r="B3043" s="21" t="s">
        <v>919</v>
      </c>
      <c r="C3043" s="21" t="s">
        <v>1211</v>
      </c>
      <c r="D3043" s="21" t="s">
        <v>1188</v>
      </c>
      <c r="E3043" s="33" t="n">
        <v>46059</v>
      </c>
      <c r="F3043" s="21" t="s">
        <v>1185</v>
      </c>
      <c r="G3043" s="32" t="n">
        <v>6.4</v>
      </c>
      <c r="H3043" s="21" t="s">
        <v>113</v>
      </c>
      <c r="I3043" s="33" t="n">
        <v>46087</v>
      </c>
      <c r="J3043" s="21" t="str">
        <f aca="false">INDEX(Students!$C$2:$C$601,MATCH(B3043,Students!$A$2:$A$601,0))</f>
        <v>Batch 2026</v>
      </c>
      <c r="K3043" s="21" t="str">
        <f aca="false">INDEX(Students!$D$2:$D$601,MATCH(B3043,Students!$A$2:$A$601,0))</f>
        <v>Data Analytics</v>
      </c>
      <c r="L3043" s="21" t="str">
        <f aca="false">INDEX(Companies!$C$2:$C$31,MATCH(C3043,Companies!$A$2:$A$31,0))</f>
        <v>Analytics &amp; Consulting</v>
      </c>
      <c r="M3043" s="21" t="str">
        <f aca="false">INDEX(Companies!$D$2:$D$31,MATCH(C3043,Companies!$A$2:$A$31,0))</f>
        <v>Tier 3</v>
      </c>
      <c r="N3043" s="34" t="n">
        <f aca="false">MATCH(F3043,Assumptions!$K$4:$K$8,0)</f>
        <v>5</v>
      </c>
      <c r="O3043" s="21" t="str">
        <f aca="false">IF(H3043="Yes",MONTH(I3043),"")</f>
        <v/>
      </c>
      <c r="P3043" s="21" t="str">
        <f aca="false">IF(H3043="Yes",B3043,"")</f>
        <v/>
      </c>
    </row>
    <row r="3044" customFormat="false" ht="15" hidden="false" customHeight="false" outlineLevel="0" collapsed="false">
      <c r="A3044" s="21" t="s">
        <v>4259</v>
      </c>
      <c r="B3044" s="21" t="s">
        <v>1074</v>
      </c>
      <c r="C3044" s="21" t="s">
        <v>1214</v>
      </c>
      <c r="D3044" s="21" t="s">
        <v>1184</v>
      </c>
      <c r="E3044" s="33" t="n">
        <v>46059</v>
      </c>
      <c r="F3044" s="21" t="s">
        <v>1197</v>
      </c>
      <c r="G3044" s="32"/>
      <c r="H3044" s="21"/>
      <c r="I3044" s="33"/>
      <c r="J3044" s="21" t="str">
        <f aca="false">INDEX(Students!$C$2:$C$601,MATCH(B3044,Students!$A$2:$A$601,0))</f>
        <v>Batch 2026</v>
      </c>
      <c r="K3044" s="21" t="str">
        <f aca="false">INDEX(Students!$D$2:$D$601,MATCH(B3044,Students!$A$2:$A$601,0))</f>
        <v>DSA with Java</v>
      </c>
      <c r="L3044" s="21" t="str">
        <f aca="false">INDEX(Companies!$C$2:$C$31,MATCH(C3044,Companies!$A$2:$A$31,0))</f>
        <v>Product</v>
      </c>
      <c r="M3044" s="21" t="str">
        <f aca="false">INDEX(Companies!$D$2:$D$31,MATCH(C3044,Companies!$A$2:$A$31,0))</f>
        <v>Tier 1</v>
      </c>
      <c r="N3044" s="34" t="n">
        <f aca="false">MATCH(F3044,Assumptions!$K$4:$K$8,0)</f>
        <v>3</v>
      </c>
      <c r="O3044" s="21" t="str">
        <f aca="false">IF(H3044="Yes",MONTH(I3044),"")</f>
        <v/>
      </c>
      <c r="P3044" s="21" t="str">
        <f aca="false">IF(H3044="Yes",B3044,"")</f>
        <v/>
      </c>
    </row>
    <row r="3045" customFormat="false" ht="15" hidden="false" customHeight="false" outlineLevel="0" collapsed="false">
      <c r="A3045" s="21" t="s">
        <v>4260</v>
      </c>
      <c r="B3045" s="21" t="s">
        <v>1064</v>
      </c>
      <c r="C3045" s="21" t="s">
        <v>1275</v>
      </c>
      <c r="D3045" s="21" t="s">
        <v>1191</v>
      </c>
      <c r="E3045" s="33" t="n">
        <v>46060</v>
      </c>
      <c r="F3045" s="21" t="s">
        <v>1185</v>
      </c>
      <c r="G3045" s="32" t="n">
        <v>11.1</v>
      </c>
      <c r="H3045" s="21" t="s">
        <v>120</v>
      </c>
      <c r="I3045" s="33" t="n">
        <v>46086</v>
      </c>
      <c r="J3045" s="21" t="str">
        <f aca="false">INDEX(Students!$C$2:$C$601,MATCH(B3045,Students!$A$2:$A$601,0))</f>
        <v>Batch 2026</v>
      </c>
      <c r="K3045" s="21" t="str">
        <f aca="false">INDEX(Students!$D$2:$D$601,MATCH(B3045,Students!$A$2:$A$601,0))</f>
        <v>DSA with Java</v>
      </c>
      <c r="L3045" s="21" t="str">
        <f aca="false">INDEX(Companies!$C$2:$C$31,MATCH(C3045,Companies!$A$2:$A$31,0))</f>
        <v>Cybersecurity</v>
      </c>
      <c r="M3045" s="21" t="str">
        <f aca="false">INDEX(Companies!$D$2:$D$31,MATCH(C3045,Companies!$A$2:$A$31,0))</f>
        <v>Tier 2</v>
      </c>
      <c r="N3045" s="34" t="n">
        <f aca="false">MATCH(F3045,Assumptions!$K$4:$K$8,0)</f>
        <v>5</v>
      </c>
      <c r="O3045" s="21" t="n">
        <f aca="false">IF(H3045="Yes",MONTH(I3045),"")</f>
        <v>3</v>
      </c>
      <c r="P3045" s="21" t="str">
        <f aca="false">IF(H3045="Yes",B3045,"")</f>
        <v>S0539</v>
      </c>
    </row>
    <row r="3046" customFormat="false" ht="15" hidden="false" customHeight="false" outlineLevel="0" collapsed="false">
      <c r="A3046" s="21" t="s">
        <v>4261</v>
      </c>
      <c r="B3046" s="21" t="s">
        <v>991</v>
      </c>
      <c r="C3046" s="21" t="s">
        <v>1211</v>
      </c>
      <c r="D3046" s="21" t="s">
        <v>1181</v>
      </c>
      <c r="E3046" s="33" t="n">
        <v>46060</v>
      </c>
      <c r="F3046" s="21" t="s">
        <v>1175</v>
      </c>
      <c r="G3046" s="32"/>
      <c r="H3046" s="21"/>
      <c r="I3046" s="33"/>
      <c r="J3046" s="21" t="str">
        <f aca="false">INDEX(Students!$C$2:$C$601,MATCH(B3046,Students!$A$2:$A$601,0))</f>
        <v>Batch 2026</v>
      </c>
      <c r="K3046" s="21" t="str">
        <f aca="false">INDEX(Students!$D$2:$D$601,MATCH(B3046,Students!$A$2:$A$601,0))</f>
        <v>Full Stack Development</v>
      </c>
      <c r="L3046" s="21" t="str">
        <f aca="false">INDEX(Companies!$C$2:$C$31,MATCH(C3046,Companies!$A$2:$A$31,0))</f>
        <v>Analytics &amp; Consulting</v>
      </c>
      <c r="M3046" s="21" t="str">
        <f aca="false">INDEX(Companies!$D$2:$D$31,MATCH(C3046,Companies!$A$2:$A$31,0))</f>
        <v>Tier 3</v>
      </c>
      <c r="N3046" s="34" t="n">
        <f aca="false">MATCH(F3046,Assumptions!$K$4:$K$8,0)</f>
        <v>1</v>
      </c>
      <c r="O3046" s="21" t="str">
        <f aca="false">IF(H3046="Yes",MONTH(I3046),"")</f>
        <v/>
      </c>
      <c r="P3046" s="21" t="str">
        <f aca="false">IF(H3046="Yes",B3046,"")</f>
        <v/>
      </c>
    </row>
    <row r="3047" customFormat="false" ht="15" hidden="false" customHeight="false" outlineLevel="0" collapsed="false">
      <c r="A3047" s="21" t="s">
        <v>4262</v>
      </c>
      <c r="B3047" s="21" t="s">
        <v>961</v>
      </c>
      <c r="C3047" s="21" t="s">
        <v>1173</v>
      </c>
      <c r="D3047" s="21" t="s">
        <v>1209</v>
      </c>
      <c r="E3047" s="33" t="n">
        <v>46060</v>
      </c>
      <c r="F3047" s="21" t="s">
        <v>1175</v>
      </c>
      <c r="G3047" s="32"/>
      <c r="H3047" s="21"/>
      <c r="I3047" s="33"/>
      <c r="J3047" s="21" t="str">
        <f aca="false">INDEX(Students!$C$2:$C$601,MATCH(B3047,Students!$A$2:$A$601,0))</f>
        <v>Batch 2026</v>
      </c>
      <c r="K3047" s="21" t="str">
        <f aca="false">INDEX(Students!$D$2:$D$601,MATCH(B3047,Students!$A$2:$A$601,0))</f>
        <v>Data Analytics</v>
      </c>
      <c r="L3047" s="21" t="str">
        <f aca="false">INDEX(Companies!$C$2:$C$31,MATCH(C3047,Companies!$A$2:$A$31,0))</f>
        <v>Cybersecurity</v>
      </c>
      <c r="M3047" s="21" t="str">
        <f aca="false">INDEX(Companies!$D$2:$D$31,MATCH(C3047,Companies!$A$2:$A$31,0))</f>
        <v>Tier 1</v>
      </c>
      <c r="N3047" s="34" t="n">
        <f aca="false">MATCH(F3047,Assumptions!$K$4:$K$8,0)</f>
        <v>1</v>
      </c>
      <c r="O3047" s="21" t="str">
        <f aca="false">IF(H3047="Yes",MONTH(I3047),"")</f>
        <v/>
      </c>
      <c r="P3047" s="21" t="str">
        <f aca="false">IF(H3047="Yes",B3047,"")</f>
        <v/>
      </c>
    </row>
    <row r="3048" customFormat="false" ht="15" hidden="false" customHeight="false" outlineLevel="0" collapsed="false">
      <c r="A3048" s="21" t="s">
        <v>4263</v>
      </c>
      <c r="B3048" s="21" t="s">
        <v>1076</v>
      </c>
      <c r="C3048" s="21" t="s">
        <v>1230</v>
      </c>
      <c r="D3048" s="21" t="s">
        <v>1194</v>
      </c>
      <c r="E3048" s="33" t="n">
        <v>46060</v>
      </c>
      <c r="F3048" s="21" t="s">
        <v>1218</v>
      </c>
      <c r="G3048" s="32"/>
      <c r="H3048" s="21"/>
      <c r="I3048" s="33"/>
      <c r="J3048" s="21" t="str">
        <f aca="false">INDEX(Students!$C$2:$C$601,MATCH(B3048,Students!$A$2:$A$601,0))</f>
        <v>Batch 2026</v>
      </c>
      <c r="K3048" s="21" t="str">
        <f aca="false">INDEX(Students!$D$2:$D$601,MATCH(B3048,Students!$A$2:$A$601,0))</f>
        <v>Data Science &amp; ML</v>
      </c>
      <c r="L3048" s="21" t="str">
        <f aca="false">INDEX(Companies!$C$2:$C$31,MATCH(C3048,Companies!$A$2:$A$31,0))</f>
        <v>IT Services</v>
      </c>
      <c r="M3048" s="21" t="str">
        <f aca="false">INDEX(Companies!$D$2:$D$31,MATCH(C3048,Companies!$A$2:$A$31,0))</f>
        <v>Tier 3</v>
      </c>
      <c r="N3048" s="34" t="n">
        <f aca="false">MATCH(F3048,Assumptions!$K$4:$K$8,0)</f>
        <v>4</v>
      </c>
      <c r="O3048" s="21" t="str">
        <f aca="false">IF(H3048="Yes",MONTH(I3048),"")</f>
        <v/>
      </c>
      <c r="P3048" s="21" t="str">
        <f aca="false">IF(H3048="Yes",B3048,"")</f>
        <v/>
      </c>
    </row>
    <row r="3049" customFormat="false" ht="15" hidden="false" customHeight="false" outlineLevel="0" collapsed="false">
      <c r="A3049" s="21" t="s">
        <v>4264</v>
      </c>
      <c r="B3049" s="21" t="s">
        <v>894</v>
      </c>
      <c r="C3049" s="21" t="s">
        <v>1203</v>
      </c>
      <c r="D3049" s="21" t="s">
        <v>1181</v>
      </c>
      <c r="E3049" s="33" t="n">
        <v>46060</v>
      </c>
      <c r="F3049" s="21" t="s">
        <v>1178</v>
      </c>
      <c r="G3049" s="32"/>
      <c r="H3049" s="21"/>
      <c r="I3049" s="33"/>
      <c r="J3049" s="21" t="str">
        <f aca="false">INDEX(Students!$C$2:$C$601,MATCH(B3049,Students!$A$2:$A$601,0))</f>
        <v>Batch 2026</v>
      </c>
      <c r="K3049" s="21" t="str">
        <f aca="false">INDEX(Students!$D$2:$D$601,MATCH(B3049,Students!$A$2:$A$601,0))</f>
        <v>Full Stack Development</v>
      </c>
      <c r="L3049" s="21" t="str">
        <f aca="false">INDEX(Companies!$C$2:$C$31,MATCH(C3049,Companies!$A$2:$A$31,0))</f>
        <v>Healthtech</v>
      </c>
      <c r="M3049" s="21" t="str">
        <f aca="false">INDEX(Companies!$D$2:$D$31,MATCH(C3049,Companies!$A$2:$A$31,0))</f>
        <v>Tier 2</v>
      </c>
      <c r="N3049" s="34" t="n">
        <f aca="false">MATCH(F3049,Assumptions!$K$4:$K$8,0)</f>
        <v>2</v>
      </c>
      <c r="O3049" s="21" t="str">
        <f aca="false">IF(H3049="Yes",MONTH(I3049),"")</f>
        <v/>
      </c>
      <c r="P3049" s="21" t="str">
        <f aca="false">IF(H3049="Yes",B3049,"")</f>
        <v/>
      </c>
    </row>
    <row r="3050" customFormat="false" ht="15" hidden="false" customHeight="false" outlineLevel="0" collapsed="false">
      <c r="A3050" s="21" t="s">
        <v>4265</v>
      </c>
      <c r="B3050" s="21" t="s">
        <v>1049</v>
      </c>
      <c r="C3050" s="21" t="s">
        <v>1183</v>
      </c>
      <c r="D3050" s="21" t="s">
        <v>1174</v>
      </c>
      <c r="E3050" s="33" t="n">
        <v>46060</v>
      </c>
      <c r="F3050" s="21" t="s">
        <v>1197</v>
      </c>
      <c r="G3050" s="32"/>
      <c r="H3050" s="21"/>
      <c r="I3050" s="33"/>
      <c r="J3050" s="21" t="str">
        <f aca="false">INDEX(Students!$C$2:$C$601,MATCH(B3050,Students!$A$2:$A$601,0))</f>
        <v>Batch 2026</v>
      </c>
      <c r="K3050" s="21" t="str">
        <f aca="false">INDEX(Students!$D$2:$D$601,MATCH(B3050,Students!$A$2:$A$601,0))</f>
        <v>Full Stack Development</v>
      </c>
      <c r="L3050" s="21" t="str">
        <f aca="false">INDEX(Companies!$C$2:$C$31,MATCH(C3050,Companies!$A$2:$A$31,0))</f>
        <v>E-commerce</v>
      </c>
      <c r="M3050" s="21" t="str">
        <f aca="false">INDEX(Companies!$D$2:$D$31,MATCH(C3050,Companies!$A$2:$A$31,0))</f>
        <v>Tier 2</v>
      </c>
      <c r="N3050" s="34" t="n">
        <f aca="false">MATCH(F3050,Assumptions!$K$4:$K$8,0)</f>
        <v>3</v>
      </c>
      <c r="O3050" s="21" t="str">
        <f aca="false">IF(H3050="Yes",MONTH(I3050),"")</f>
        <v/>
      </c>
      <c r="P3050" s="21" t="str">
        <f aca="false">IF(H3050="Yes",B3050,"")</f>
        <v/>
      </c>
    </row>
    <row r="3051" customFormat="false" ht="15" hidden="false" customHeight="false" outlineLevel="0" collapsed="false">
      <c r="A3051" s="21" t="s">
        <v>4266</v>
      </c>
      <c r="B3051" s="21" t="s">
        <v>1001</v>
      </c>
      <c r="C3051" s="21" t="s">
        <v>1193</v>
      </c>
      <c r="D3051" s="21" t="s">
        <v>1243</v>
      </c>
      <c r="E3051" s="33" t="n">
        <v>46061</v>
      </c>
      <c r="F3051" s="21" t="s">
        <v>1178</v>
      </c>
      <c r="G3051" s="32"/>
      <c r="H3051" s="21"/>
      <c r="I3051" s="33"/>
      <c r="J3051" s="21" t="str">
        <f aca="false">INDEX(Students!$C$2:$C$601,MATCH(B3051,Students!$A$2:$A$601,0))</f>
        <v>Batch 2026</v>
      </c>
      <c r="K3051" s="21" t="str">
        <f aca="false">INDEX(Students!$D$2:$D$601,MATCH(B3051,Students!$A$2:$A$601,0))</f>
        <v>Data Science &amp; ML</v>
      </c>
      <c r="L3051" s="21" t="str">
        <f aca="false">INDEX(Companies!$C$2:$C$31,MATCH(C3051,Companies!$A$2:$A$31,0))</f>
        <v>Analytics &amp; Consulting</v>
      </c>
      <c r="M3051" s="21" t="str">
        <f aca="false">INDEX(Companies!$D$2:$D$31,MATCH(C3051,Companies!$A$2:$A$31,0))</f>
        <v>Tier 2</v>
      </c>
      <c r="N3051" s="34" t="n">
        <f aca="false">MATCH(F3051,Assumptions!$K$4:$K$8,0)</f>
        <v>2</v>
      </c>
      <c r="O3051" s="21" t="str">
        <f aca="false">IF(H3051="Yes",MONTH(I3051),"")</f>
        <v/>
      </c>
      <c r="P3051" s="21" t="str">
        <f aca="false">IF(H3051="Yes",B3051,"")</f>
        <v/>
      </c>
    </row>
    <row r="3052" customFormat="false" ht="15" hidden="false" customHeight="false" outlineLevel="0" collapsed="false">
      <c r="A3052" s="21" t="s">
        <v>4267</v>
      </c>
      <c r="B3052" s="21" t="s">
        <v>1008</v>
      </c>
      <c r="C3052" s="21" t="s">
        <v>1208</v>
      </c>
      <c r="D3052" s="21" t="s">
        <v>1184</v>
      </c>
      <c r="E3052" s="33" t="n">
        <v>46061</v>
      </c>
      <c r="F3052" s="21" t="s">
        <v>1175</v>
      </c>
      <c r="G3052" s="32"/>
      <c r="H3052" s="21"/>
      <c r="I3052" s="33"/>
      <c r="J3052" s="21" t="str">
        <f aca="false">INDEX(Students!$C$2:$C$601,MATCH(B3052,Students!$A$2:$A$601,0))</f>
        <v>Batch 2026</v>
      </c>
      <c r="K3052" s="21" t="str">
        <f aca="false">INDEX(Students!$D$2:$D$601,MATCH(B3052,Students!$A$2:$A$601,0))</f>
        <v>DSA with Java</v>
      </c>
      <c r="L3052" s="21" t="str">
        <f aca="false">INDEX(Companies!$C$2:$C$31,MATCH(C3052,Companies!$A$2:$A$31,0))</f>
        <v>E-commerce</v>
      </c>
      <c r="M3052" s="21" t="str">
        <f aca="false">INDEX(Companies!$D$2:$D$31,MATCH(C3052,Companies!$A$2:$A$31,0))</f>
        <v>Tier 1</v>
      </c>
      <c r="N3052" s="34" t="n">
        <f aca="false">MATCH(F3052,Assumptions!$K$4:$K$8,0)</f>
        <v>1</v>
      </c>
      <c r="O3052" s="21" t="str">
        <f aca="false">IF(H3052="Yes",MONTH(I3052),"")</f>
        <v/>
      </c>
      <c r="P3052" s="21" t="str">
        <f aca="false">IF(H3052="Yes",B3052,"")</f>
        <v/>
      </c>
    </row>
    <row r="3053" customFormat="false" ht="15" hidden="false" customHeight="false" outlineLevel="0" collapsed="false">
      <c r="A3053" s="21" t="s">
        <v>4268</v>
      </c>
      <c r="B3053" s="21" t="s">
        <v>1085</v>
      </c>
      <c r="C3053" s="21" t="s">
        <v>1255</v>
      </c>
      <c r="D3053" s="21" t="s">
        <v>1226</v>
      </c>
      <c r="E3053" s="33" t="n">
        <v>46061</v>
      </c>
      <c r="F3053" s="21" t="s">
        <v>1178</v>
      </c>
      <c r="G3053" s="32"/>
      <c r="H3053" s="21"/>
      <c r="I3053" s="33"/>
      <c r="J3053" s="21" t="str">
        <f aca="false">INDEX(Students!$C$2:$C$601,MATCH(B3053,Students!$A$2:$A$601,0))</f>
        <v>Batch 2026</v>
      </c>
      <c r="K3053" s="21" t="str">
        <f aca="false">INDEX(Students!$D$2:$D$601,MATCH(B3053,Students!$A$2:$A$601,0))</f>
        <v>Cybersecurity</v>
      </c>
      <c r="L3053" s="21" t="str">
        <f aca="false">INDEX(Companies!$C$2:$C$31,MATCH(C3053,Companies!$A$2:$A$31,0))</f>
        <v>IT Services</v>
      </c>
      <c r="M3053" s="21" t="str">
        <f aca="false">INDEX(Companies!$D$2:$D$31,MATCH(C3053,Companies!$A$2:$A$31,0))</f>
        <v>Tier 3</v>
      </c>
      <c r="N3053" s="34" t="n">
        <f aca="false">MATCH(F3053,Assumptions!$K$4:$K$8,0)</f>
        <v>2</v>
      </c>
      <c r="O3053" s="21" t="str">
        <f aca="false">IF(H3053="Yes",MONTH(I3053),"")</f>
        <v/>
      </c>
      <c r="P3053" s="21" t="str">
        <f aca="false">IF(H3053="Yes",B3053,"")</f>
        <v/>
      </c>
    </row>
    <row r="3054" customFormat="false" ht="15" hidden="false" customHeight="false" outlineLevel="0" collapsed="false">
      <c r="A3054" s="21" t="s">
        <v>4269</v>
      </c>
      <c r="B3054" s="21" t="s">
        <v>1074</v>
      </c>
      <c r="C3054" s="21" t="s">
        <v>1230</v>
      </c>
      <c r="D3054" s="21" t="s">
        <v>1191</v>
      </c>
      <c r="E3054" s="33" t="n">
        <v>46061</v>
      </c>
      <c r="F3054" s="21" t="s">
        <v>1175</v>
      </c>
      <c r="G3054" s="32"/>
      <c r="H3054" s="21"/>
      <c r="I3054" s="33"/>
      <c r="J3054" s="21" t="str">
        <f aca="false">INDEX(Students!$C$2:$C$601,MATCH(B3054,Students!$A$2:$A$601,0))</f>
        <v>Batch 2026</v>
      </c>
      <c r="K3054" s="21" t="str">
        <f aca="false">INDEX(Students!$D$2:$D$601,MATCH(B3054,Students!$A$2:$A$601,0))</f>
        <v>DSA with Java</v>
      </c>
      <c r="L3054" s="21" t="str">
        <f aca="false">INDEX(Companies!$C$2:$C$31,MATCH(C3054,Companies!$A$2:$A$31,0))</f>
        <v>IT Services</v>
      </c>
      <c r="M3054" s="21" t="str">
        <f aca="false">INDEX(Companies!$D$2:$D$31,MATCH(C3054,Companies!$A$2:$A$31,0))</f>
        <v>Tier 3</v>
      </c>
      <c r="N3054" s="34" t="n">
        <f aca="false">MATCH(F3054,Assumptions!$K$4:$K$8,0)</f>
        <v>1</v>
      </c>
      <c r="O3054" s="21" t="str">
        <f aca="false">IF(H3054="Yes",MONTH(I3054),"")</f>
        <v/>
      </c>
      <c r="P3054" s="21" t="str">
        <f aca="false">IF(H3054="Yes",B3054,"")</f>
        <v/>
      </c>
    </row>
    <row r="3055" customFormat="false" ht="15" hidden="false" customHeight="false" outlineLevel="0" collapsed="false">
      <c r="A3055" s="21" t="s">
        <v>4270</v>
      </c>
      <c r="B3055" s="21" t="s">
        <v>1100</v>
      </c>
      <c r="C3055" s="21" t="s">
        <v>1234</v>
      </c>
      <c r="D3055" s="21" t="s">
        <v>1181</v>
      </c>
      <c r="E3055" s="33" t="n">
        <v>46061</v>
      </c>
      <c r="F3055" s="21" t="s">
        <v>1185</v>
      </c>
      <c r="G3055" s="32" t="n">
        <v>4.2</v>
      </c>
      <c r="H3055" s="21" t="s">
        <v>113</v>
      </c>
      <c r="I3055" s="33" t="n">
        <v>46100</v>
      </c>
      <c r="J3055" s="21" t="str">
        <f aca="false">INDEX(Students!$C$2:$C$601,MATCH(B3055,Students!$A$2:$A$601,0))</f>
        <v>Batch 2026</v>
      </c>
      <c r="K3055" s="21" t="str">
        <f aca="false">INDEX(Students!$D$2:$D$601,MATCH(B3055,Students!$A$2:$A$601,0))</f>
        <v>Full Stack Development</v>
      </c>
      <c r="L3055" s="21" t="str">
        <f aca="false">INDEX(Companies!$C$2:$C$31,MATCH(C3055,Companies!$A$2:$A$31,0))</f>
        <v>EdTech</v>
      </c>
      <c r="M3055" s="21" t="str">
        <f aca="false">INDEX(Companies!$D$2:$D$31,MATCH(C3055,Companies!$A$2:$A$31,0))</f>
        <v>Tier 3</v>
      </c>
      <c r="N3055" s="34" t="n">
        <f aca="false">MATCH(F3055,Assumptions!$K$4:$K$8,0)</f>
        <v>5</v>
      </c>
      <c r="O3055" s="21" t="str">
        <f aca="false">IF(H3055="Yes",MONTH(I3055),"")</f>
        <v/>
      </c>
      <c r="P3055" s="21" t="str">
        <f aca="false">IF(H3055="Yes",B3055,"")</f>
        <v/>
      </c>
    </row>
    <row r="3056" customFormat="false" ht="15" hidden="false" customHeight="false" outlineLevel="0" collapsed="false">
      <c r="A3056" s="21" t="s">
        <v>4271</v>
      </c>
      <c r="B3056" s="21" t="s">
        <v>1040</v>
      </c>
      <c r="C3056" s="21" t="s">
        <v>1173</v>
      </c>
      <c r="D3056" s="21" t="s">
        <v>1191</v>
      </c>
      <c r="E3056" s="33" t="n">
        <v>46061</v>
      </c>
      <c r="F3056" s="21" t="s">
        <v>1175</v>
      </c>
      <c r="G3056" s="32"/>
      <c r="H3056" s="21"/>
      <c r="I3056" s="33"/>
      <c r="J3056" s="21" t="str">
        <f aca="false">INDEX(Students!$C$2:$C$601,MATCH(B3056,Students!$A$2:$A$601,0))</f>
        <v>Batch 2026</v>
      </c>
      <c r="K3056" s="21" t="str">
        <f aca="false">INDEX(Students!$D$2:$D$601,MATCH(B3056,Students!$A$2:$A$601,0))</f>
        <v>DSA with Java</v>
      </c>
      <c r="L3056" s="21" t="str">
        <f aca="false">INDEX(Companies!$C$2:$C$31,MATCH(C3056,Companies!$A$2:$A$31,0))</f>
        <v>Cybersecurity</v>
      </c>
      <c r="M3056" s="21" t="str">
        <f aca="false">INDEX(Companies!$D$2:$D$31,MATCH(C3056,Companies!$A$2:$A$31,0))</f>
        <v>Tier 1</v>
      </c>
      <c r="N3056" s="34" t="n">
        <f aca="false">MATCH(F3056,Assumptions!$K$4:$K$8,0)</f>
        <v>1</v>
      </c>
      <c r="O3056" s="21" t="str">
        <f aca="false">IF(H3056="Yes",MONTH(I3056),"")</f>
        <v/>
      </c>
      <c r="P3056" s="21" t="str">
        <f aca="false">IF(H3056="Yes",B3056,"")</f>
        <v/>
      </c>
    </row>
    <row r="3057" customFormat="false" ht="15" hidden="false" customHeight="false" outlineLevel="0" collapsed="false">
      <c r="A3057" s="21" t="s">
        <v>4272</v>
      </c>
      <c r="B3057" s="21" t="s">
        <v>1148</v>
      </c>
      <c r="C3057" s="21" t="s">
        <v>1199</v>
      </c>
      <c r="D3057" s="21" t="s">
        <v>1243</v>
      </c>
      <c r="E3057" s="33" t="n">
        <v>46061</v>
      </c>
      <c r="F3057" s="21" t="s">
        <v>1185</v>
      </c>
      <c r="G3057" s="32" t="n">
        <v>12.6</v>
      </c>
      <c r="H3057" s="21" t="s">
        <v>113</v>
      </c>
      <c r="I3057" s="33" t="n">
        <v>46081</v>
      </c>
      <c r="J3057" s="21" t="str">
        <f aca="false">INDEX(Students!$C$2:$C$601,MATCH(B3057,Students!$A$2:$A$601,0))</f>
        <v>Batch 2026</v>
      </c>
      <c r="K3057" s="21" t="str">
        <f aca="false">INDEX(Students!$D$2:$D$601,MATCH(B3057,Students!$A$2:$A$601,0))</f>
        <v>Data Science &amp; ML</v>
      </c>
      <c r="L3057" s="21" t="str">
        <f aca="false">INDEX(Companies!$C$2:$C$31,MATCH(C3057,Companies!$A$2:$A$31,0))</f>
        <v>E-commerce</v>
      </c>
      <c r="M3057" s="21" t="str">
        <f aca="false">INDEX(Companies!$D$2:$D$31,MATCH(C3057,Companies!$A$2:$A$31,0))</f>
        <v>Tier 2</v>
      </c>
      <c r="N3057" s="34" t="n">
        <f aca="false">MATCH(F3057,Assumptions!$K$4:$K$8,0)</f>
        <v>5</v>
      </c>
      <c r="O3057" s="21" t="str">
        <f aca="false">IF(H3057="Yes",MONTH(I3057),"")</f>
        <v/>
      </c>
      <c r="P3057" s="21" t="str">
        <f aca="false">IF(H3057="Yes",B3057,"")</f>
        <v/>
      </c>
    </row>
    <row r="3058" customFormat="false" ht="15" hidden="false" customHeight="false" outlineLevel="0" collapsed="false">
      <c r="A3058" s="21" t="s">
        <v>4273</v>
      </c>
      <c r="B3058" s="21" t="s">
        <v>838</v>
      </c>
      <c r="C3058" s="21" t="s">
        <v>1211</v>
      </c>
      <c r="D3058" s="21" t="s">
        <v>1188</v>
      </c>
      <c r="E3058" s="33" t="n">
        <v>46061</v>
      </c>
      <c r="F3058" s="21" t="s">
        <v>1185</v>
      </c>
      <c r="G3058" s="32" t="n">
        <v>6.2</v>
      </c>
      <c r="H3058" s="21" t="s">
        <v>113</v>
      </c>
      <c r="I3058" s="33" t="n">
        <v>46082</v>
      </c>
      <c r="J3058" s="21" t="str">
        <f aca="false">INDEX(Students!$C$2:$C$601,MATCH(B3058,Students!$A$2:$A$601,0))</f>
        <v>Batch 2026</v>
      </c>
      <c r="K3058" s="21" t="str">
        <f aca="false">INDEX(Students!$D$2:$D$601,MATCH(B3058,Students!$A$2:$A$601,0))</f>
        <v>Data Analytics</v>
      </c>
      <c r="L3058" s="21" t="str">
        <f aca="false">INDEX(Companies!$C$2:$C$31,MATCH(C3058,Companies!$A$2:$A$31,0))</f>
        <v>Analytics &amp; Consulting</v>
      </c>
      <c r="M3058" s="21" t="str">
        <f aca="false">INDEX(Companies!$D$2:$D$31,MATCH(C3058,Companies!$A$2:$A$31,0))</f>
        <v>Tier 3</v>
      </c>
      <c r="N3058" s="34" t="n">
        <f aca="false">MATCH(F3058,Assumptions!$K$4:$K$8,0)</f>
        <v>5</v>
      </c>
      <c r="O3058" s="21" t="str">
        <f aca="false">IF(H3058="Yes",MONTH(I3058),"")</f>
        <v/>
      </c>
      <c r="P3058" s="21" t="str">
        <f aca="false">IF(H3058="Yes",B3058,"")</f>
        <v/>
      </c>
    </row>
    <row r="3059" customFormat="false" ht="15" hidden="false" customHeight="false" outlineLevel="0" collapsed="false">
      <c r="A3059" s="21" t="s">
        <v>4274</v>
      </c>
      <c r="B3059" s="21" t="s">
        <v>972</v>
      </c>
      <c r="C3059" s="21" t="s">
        <v>1183</v>
      </c>
      <c r="D3059" s="21" t="s">
        <v>1188</v>
      </c>
      <c r="E3059" s="33" t="n">
        <v>46061</v>
      </c>
      <c r="F3059" s="21" t="s">
        <v>1218</v>
      </c>
      <c r="G3059" s="32"/>
      <c r="H3059" s="21"/>
      <c r="I3059" s="33"/>
      <c r="J3059" s="21" t="str">
        <f aca="false">INDEX(Students!$C$2:$C$601,MATCH(B3059,Students!$A$2:$A$601,0))</f>
        <v>Batch 2026</v>
      </c>
      <c r="K3059" s="21" t="str">
        <f aca="false">INDEX(Students!$D$2:$D$601,MATCH(B3059,Students!$A$2:$A$601,0))</f>
        <v>Data Analytics</v>
      </c>
      <c r="L3059" s="21" t="str">
        <f aca="false">INDEX(Companies!$C$2:$C$31,MATCH(C3059,Companies!$A$2:$A$31,0))</f>
        <v>E-commerce</v>
      </c>
      <c r="M3059" s="21" t="str">
        <f aca="false">INDEX(Companies!$D$2:$D$31,MATCH(C3059,Companies!$A$2:$A$31,0))</f>
        <v>Tier 2</v>
      </c>
      <c r="N3059" s="34" t="n">
        <f aca="false">MATCH(F3059,Assumptions!$K$4:$K$8,0)</f>
        <v>4</v>
      </c>
      <c r="O3059" s="21" t="str">
        <f aca="false">IF(H3059="Yes",MONTH(I3059),"")</f>
        <v/>
      </c>
      <c r="P3059" s="21" t="str">
        <f aca="false">IF(H3059="Yes",B3059,"")</f>
        <v/>
      </c>
    </row>
    <row r="3060" customFormat="false" ht="15" hidden="false" customHeight="false" outlineLevel="0" collapsed="false">
      <c r="A3060" s="21" t="s">
        <v>4275</v>
      </c>
      <c r="B3060" s="21" t="s">
        <v>822</v>
      </c>
      <c r="C3060" s="21" t="s">
        <v>1187</v>
      </c>
      <c r="D3060" s="21" t="s">
        <v>1188</v>
      </c>
      <c r="E3060" s="33" t="n">
        <v>46062</v>
      </c>
      <c r="F3060" s="21" t="s">
        <v>1175</v>
      </c>
      <c r="G3060" s="32"/>
      <c r="H3060" s="21"/>
      <c r="I3060" s="33"/>
      <c r="J3060" s="21" t="str">
        <f aca="false">INDEX(Students!$C$2:$C$601,MATCH(B3060,Students!$A$2:$A$601,0))</f>
        <v>Batch 2026</v>
      </c>
      <c r="K3060" s="21" t="str">
        <f aca="false">INDEX(Students!$D$2:$D$601,MATCH(B3060,Students!$A$2:$A$601,0))</f>
        <v>Data Analytics</v>
      </c>
      <c r="L3060" s="21" t="str">
        <f aca="false">INDEX(Companies!$C$2:$C$31,MATCH(C3060,Companies!$A$2:$A$31,0))</f>
        <v>Product</v>
      </c>
      <c r="M3060" s="21" t="str">
        <f aca="false">INDEX(Companies!$D$2:$D$31,MATCH(C3060,Companies!$A$2:$A$31,0))</f>
        <v>Tier 1</v>
      </c>
      <c r="N3060" s="34" t="n">
        <f aca="false">MATCH(F3060,Assumptions!$K$4:$K$8,0)</f>
        <v>1</v>
      </c>
      <c r="O3060" s="21" t="str">
        <f aca="false">IF(H3060="Yes",MONTH(I3060),"")</f>
        <v/>
      </c>
      <c r="P3060" s="21" t="str">
        <f aca="false">IF(H3060="Yes",B3060,"")</f>
        <v/>
      </c>
    </row>
    <row r="3061" customFormat="false" ht="15" hidden="false" customHeight="false" outlineLevel="0" collapsed="false">
      <c r="A3061" s="21" t="s">
        <v>4276</v>
      </c>
      <c r="B3061" s="21" t="s">
        <v>979</v>
      </c>
      <c r="C3061" s="21" t="s">
        <v>1183</v>
      </c>
      <c r="D3061" s="21" t="s">
        <v>1191</v>
      </c>
      <c r="E3061" s="33" t="n">
        <v>46062</v>
      </c>
      <c r="F3061" s="21" t="s">
        <v>1178</v>
      </c>
      <c r="G3061" s="32"/>
      <c r="H3061" s="21"/>
      <c r="I3061" s="33"/>
      <c r="J3061" s="21" t="str">
        <f aca="false">INDEX(Students!$C$2:$C$601,MATCH(B3061,Students!$A$2:$A$601,0))</f>
        <v>Batch 2026</v>
      </c>
      <c r="K3061" s="21" t="str">
        <f aca="false">INDEX(Students!$D$2:$D$601,MATCH(B3061,Students!$A$2:$A$601,0))</f>
        <v>DSA with Java</v>
      </c>
      <c r="L3061" s="21" t="str">
        <f aca="false">INDEX(Companies!$C$2:$C$31,MATCH(C3061,Companies!$A$2:$A$31,0))</f>
        <v>E-commerce</v>
      </c>
      <c r="M3061" s="21" t="str">
        <f aca="false">INDEX(Companies!$D$2:$D$31,MATCH(C3061,Companies!$A$2:$A$31,0))</f>
        <v>Tier 2</v>
      </c>
      <c r="N3061" s="34" t="n">
        <f aca="false">MATCH(F3061,Assumptions!$K$4:$K$8,0)</f>
        <v>2</v>
      </c>
      <c r="O3061" s="21" t="str">
        <f aca="false">IF(H3061="Yes",MONTH(I3061),"")</f>
        <v/>
      </c>
      <c r="P3061" s="21" t="str">
        <f aca="false">IF(H3061="Yes",B3061,"")</f>
        <v/>
      </c>
    </row>
    <row r="3062" customFormat="false" ht="15" hidden="false" customHeight="false" outlineLevel="0" collapsed="false">
      <c r="A3062" s="21" t="s">
        <v>4277</v>
      </c>
      <c r="B3062" s="21" t="s">
        <v>1129</v>
      </c>
      <c r="C3062" s="21" t="s">
        <v>1322</v>
      </c>
      <c r="D3062" s="21" t="s">
        <v>1191</v>
      </c>
      <c r="E3062" s="33" t="n">
        <v>46062</v>
      </c>
      <c r="F3062" s="21" t="s">
        <v>1185</v>
      </c>
      <c r="G3062" s="32" t="n">
        <v>12.6</v>
      </c>
      <c r="H3062" s="21" t="s">
        <v>113</v>
      </c>
      <c r="I3062" s="33" t="n">
        <v>46096</v>
      </c>
      <c r="J3062" s="21" t="str">
        <f aca="false">INDEX(Students!$C$2:$C$601,MATCH(B3062,Students!$A$2:$A$601,0))</f>
        <v>Batch 2026</v>
      </c>
      <c r="K3062" s="21" t="str">
        <f aca="false">INDEX(Students!$D$2:$D$601,MATCH(B3062,Students!$A$2:$A$601,0))</f>
        <v>DSA with Java</v>
      </c>
      <c r="L3062" s="21" t="str">
        <f aca="false">INDEX(Companies!$C$2:$C$31,MATCH(C3062,Companies!$A$2:$A$31,0))</f>
        <v>Healthtech</v>
      </c>
      <c r="M3062" s="21" t="str">
        <f aca="false">INDEX(Companies!$D$2:$D$31,MATCH(C3062,Companies!$A$2:$A$31,0))</f>
        <v>Tier 2</v>
      </c>
      <c r="N3062" s="34" t="n">
        <f aca="false">MATCH(F3062,Assumptions!$K$4:$K$8,0)</f>
        <v>5</v>
      </c>
      <c r="O3062" s="21" t="str">
        <f aca="false">IF(H3062="Yes",MONTH(I3062),"")</f>
        <v/>
      </c>
      <c r="P3062" s="21" t="str">
        <f aca="false">IF(H3062="Yes",B3062,"")</f>
        <v/>
      </c>
    </row>
    <row r="3063" customFormat="false" ht="15" hidden="false" customHeight="false" outlineLevel="0" collapsed="false">
      <c r="A3063" s="21" t="s">
        <v>4278</v>
      </c>
      <c r="B3063" s="21" t="s">
        <v>915</v>
      </c>
      <c r="C3063" s="21" t="s">
        <v>1190</v>
      </c>
      <c r="D3063" s="21" t="s">
        <v>1209</v>
      </c>
      <c r="E3063" s="33" t="n">
        <v>46062</v>
      </c>
      <c r="F3063" s="21" t="s">
        <v>1175</v>
      </c>
      <c r="G3063" s="32"/>
      <c r="H3063" s="21"/>
      <c r="I3063" s="33"/>
      <c r="J3063" s="21" t="str">
        <f aca="false">INDEX(Students!$C$2:$C$601,MATCH(B3063,Students!$A$2:$A$601,0))</f>
        <v>Batch 2026</v>
      </c>
      <c r="K3063" s="21" t="str">
        <f aca="false">INDEX(Students!$D$2:$D$601,MATCH(B3063,Students!$A$2:$A$601,0))</f>
        <v>Data Analytics</v>
      </c>
      <c r="L3063" s="21" t="str">
        <f aca="false">INDEX(Companies!$C$2:$C$31,MATCH(C3063,Companies!$A$2:$A$31,0))</f>
        <v>Analytics &amp; Consulting</v>
      </c>
      <c r="M3063" s="21" t="str">
        <f aca="false">INDEX(Companies!$D$2:$D$31,MATCH(C3063,Companies!$A$2:$A$31,0))</f>
        <v>Tier 1</v>
      </c>
      <c r="N3063" s="34" t="n">
        <f aca="false">MATCH(F3063,Assumptions!$K$4:$K$8,0)</f>
        <v>1</v>
      </c>
      <c r="O3063" s="21" t="str">
        <f aca="false">IF(H3063="Yes",MONTH(I3063),"")</f>
        <v/>
      </c>
      <c r="P3063" s="21" t="str">
        <f aca="false">IF(H3063="Yes",B3063,"")</f>
        <v/>
      </c>
    </row>
    <row r="3064" customFormat="false" ht="15" hidden="false" customHeight="false" outlineLevel="0" collapsed="false">
      <c r="A3064" s="21" t="s">
        <v>4279</v>
      </c>
      <c r="B3064" s="21" t="s">
        <v>836</v>
      </c>
      <c r="C3064" s="21" t="s">
        <v>1255</v>
      </c>
      <c r="D3064" s="21" t="s">
        <v>1194</v>
      </c>
      <c r="E3064" s="33" t="n">
        <v>46062</v>
      </c>
      <c r="F3064" s="21" t="s">
        <v>1178</v>
      </c>
      <c r="G3064" s="32"/>
      <c r="H3064" s="21"/>
      <c r="I3064" s="33"/>
      <c r="J3064" s="21" t="str">
        <f aca="false">INDEX(Students!$C$2:$C$601,MATCH(B3064,Students!$A$2:$A$601,0))</f>
        <v>Batch 2026</v>
      </c>
      <c r="K3064" s="21" t="str">
        <f aca="false">INDEX(Students!$D$2:$D$601,MATCH(B3064,Students!$A$2:$A$601,0))</f>
        <v>Data Science &amp; ML</v>
      </c>
      <c r="L3064" s="21" t="str">
        <f aca="false">INDEX(Companies!$C$2:$C$31,MATCH(C3064,Companies!$A$2:$A$31,0))</f>
        <v>IT Services</v>
      </c>
      <c r="M3064" s="21" t="str">
        <f aca="false">INDEX(Companies!$D$2:$D$31,MATCH(C3064,Companies!$A$2:$A$31,0))</f>
        <v>Tier 3</v>
      </c>
      <c r="N3064" s="34" t="n">
        <f aca="false">MATCH(F3064,Assumptions!$K$4:$K$8,0)</f>
        <v>2</v>
      </c>
      <c r="O3064" s="21" t="str">
        <f aca="false">IF(H3064="Yes",MONTH(I3064),"")</f>
        <v/>
      </c>
      <c r="P3064" s="21" t="str">
        <f aca="false">IF(H3064="Yes",B3064,"")</f>
        <v/>
      </c>
    </row>
    <row r="3065" customFormat="false" ht="15" hidden="false" customHeight="false" outlineLevel="0" collapsed="false">
      <c r="A3065" s="21" t="s">
        <v>4280</v>
      </c>
      <c r="B3065" s="21" t="s">
        <v>1018</v>
      </c>
      <c r="C3065" s="21" t="s">
        <v>1266</v>
      </c>
      <c r="D3065" s="21" t="s">
        <v>1191</v>
      </c>
      <c r="E3065" s="33" t="n">
        <v>46062</v>
      </c>
      <c r="F3065" s="21" t="s">
        <v>1185</v>
      </c>
      <c r="G3065" s="32" t="n">
        <v>7.5</v>
      </c>
      <c r="H3065" s="21" t="s">
        <v>120</v>
      </c>
      <c r="I3065" s="33" t="n">
        <v>46109</v>
      </c>
      <c r="J3065" s="21" t="str">
        <f aca="false">INDEX(Students!$C$2:$C$601,MATCH(B3065,Students!$A$2:$A$601,0))</f>
        <v>Batch 2026</v>
      </c>
      <c r="K3065" s="21" t="str">
        <f aca="false">INDEX(Students!$D$2:$D$601,MATCH(B3065,Students!$A$2:$A$601,0))</f>
        <v>DSA with Java</v>
      </c>
      <c r="L3065" s="21" t="str">
        <f aca="false">INDEX(Companies!$C$2:$C$31,MATCH(C3065,Companies!$A$2:$A$31,0))</f>
        <v>IT Services</v>
      </c>
      <c r="M3065" s="21" t="str">
        <f aca="false">INDEX(Companies!$D$2:$D$31,MATCH(C3065,Companies!$A$2:$A$31,0))</f>
        <v>Tier 3</v>
      </c>
      <c r="N3065" s="34" t="n">
        <f aca="false">MATCH(F3065,Assumptions!$K$4:$K$8,0)</f>
        <v>5</v>
      </c>
      <c r="O3065" s="21" t="n">
        <f aca="false">IF(H3065="Yes",MONTH(I3065),"")</f>
        <v>3</v>
      </c>
      <c r="P3065" s="21" t="str">
        <f aca="false">IF(H3065="Yes",B3065,"")</f>
        <v>S0511</v>
      </c>
    </row>
    <row r="3066" customFormat="false" ht="15" hidden="false" customHeight="false" outlineLevel="0" collapsed="false">
      <c r="A3066" s="21" t="s">
        <v>4281</v>
      </c>
      <c r="B3066" s="21" t="s">
        <v>824</v>
      </c>
      <c r="C3066" s="21" t="s">
        <v>1234</v>
      </c>
      <c r="D3066" s="21" t="s">
        <v>1184</v>
      </c>
      <c r="E3066" s="33" t="n">
        <v>46063</v>
      </c>
      <c r="F3066" s="21" t="s">
        <v>1185</v>
      </c>
      <c r="G3066" s="32" t="n">
        <v>5.6</v>
      </c>
      <c r="H3066" s="21" t="s">
        <v>113</v>
      </c>
      <c r="I3066" s="33" t="n">
        <v>46102</v>
      </c>
      <c r="J3066" s="21" t="str">
        <f aca="false">INDEX(Students!$C$2:$C$601,MATCH(B3066,Students!$A$2:$A$601,0))</f>
        <v>Batch 2026</v>
      </c>
      <c r="K3066" s="21" t="str">
        <f aca="false">INDEX(Students!$D$2:$D$601,MATCH(B3066,Students!$A$2:$A$601,0))</f>
        <v>DSA with Java</v>
      </c>
      <c r="L3066" s="21" t="str">
        <f aca="false">INDEX(Companies!$C$2:$C$31,MATCH(C3066,Companies!$A$2:$A$31,0))</f>
        <v>EdTech</v>
      </c>
      <c r="M3066" s="21" t="str">
        <f aca="false">INDEX(Companies!$D$2:$D$31,MATCH(C3066,Companies!$A$2:$A$31,0))</f>
        <v>Tier 3</v>
      </c>
      <c r="N3066" s="34" t="n">
        <f aca="false">MATCH(F3066,Assumptions!$K$4:$K$8,0)</f>
        <v>5</v>
      </c>
      <c r="O3066" s="21" t="str">
        <f aca="false">IF(H3066="Yes",MONTH(I3066),"")</f>
        <v/>
      </c>
      <c r="P3066" s="21" t="str">
        <f aca="false">IF(H3066="Yes",B3066,"")</f>
        <v/>
      </c>
    </row>
    <row r="3067" customFormat="false" ht="15" hidden="false" customHeight="false" outlineLevel="0" collapsed="false">
      <c r="A3067" s="21" t="s">
        <v>4282</v>
      </c>
      <c r="B3067" s="21" t="s">
        <v>995</v>
      </c>
      <c r="C3067" s="21" t="s">
        <v>1230</v>
      </c>
      <c r="D3067" s="21" t="s">
        <v>1174</v>
      </c>
      <c r="E3067" s="33" t="n">
        <v>46063</v>
      </c>
      <c r="F3067" s="21" t="s">
        <v>1218</v>
      </c>
      <c r="G3067" s="32"/>
      <c r="H3067" s="21"/>
      <c r="I3067" s="33"/>
      <c r="J3067" s="21" t="str">
        <f aca="false">INDEX(Students!$C$2:$C$601,MATCH(B3067,Students!$A$2:$A$601,0))</f>
        <v>Batch 2026</v>
      </c>
      <c r="K3067" s="21" t="str">
        <f aca="false">INDEX(Students!$D$2:$D$601,MATCH(B3067,Students!$A$2:$A$601,0))</f>
        <v>Full Stack Development</v>
      </c>
      <c r="L3067" s="21" t="str">
        <f aca="false">INDEX(Companies!$C$2:$C$31,MATCH(C3067,Companies!$A$2:$A$31,0))</f>
        <v>IT Services</v>
      </c>
      <c r="M3067" s="21" t="str">
        <f aca="false">INDEX(Companies!$D$2:$D$31,MATCH(C3067,Companies!$A$2:$A$31,0))</f>
        <v>Tier 3</v>
      </c>
      <c r="N3067" s="34" t="n">
        <f aca="false">MATCH(F3067,Assumptions!$K$4:$K$8,0)</f>
        <v>4</v>
      </c>
      <c r="O3067" s="21" t="str">
        <f aca="false">IF(H3067="Yes",MONTH(I3067),"")</f>
        <v/>
      </c>
      <c r="P3067" s="21" t="str">
        <f aca="false">IF(H3067="Yes",B3067,"")</f>
        <v/>
      </c>
    </row>
    <row r="3068" customFormat="false" ht="15" hidden="false" customHeight="false" outlineLevel="0" collapsed="false">
      <c r="A3068" s="21" t="s">
        <v>4283</v>
      </c>
      <c r="B3068" s="21" t="s">
        <v>957</v>
      </c>
      <c r="C3068" s="21" t="s">
        <v>1201</v>
      </c>
      <c r="D3068" s="21" t="s">
        <v>1191</v>
      </c>
      <c r="E3068" s="33" t="n">
        <v>46063</v>
      </c>
      <c r="F3068" s="21" t="s">
        <v>1185</v>
      </c>
      <c r="G3068" s="32" t="n">
        <v>5.6</v>
      </c>
      <c r="H3068" s="21" t="s">
        <v>120</v>
      </c>
      <c r="I3068" s="33" t="n">
        <v>46098</v>
      </c>
      <c r="J3068" s="21" t="str">
        <f aca="false">INDEX(Students!$C$2:$C$601,MATCH(B3068,Students!$A$2:$A$601,0))</f>
        <v>Batch 2026</v>
      </c>
      <c r="K3068" s="21" t="str">
        <f aca="false">INDEX(Students!$D$2:$D$601,MATCH(B3068,Students!$A$2:$A$601,0))</f>
        <v>DSA with Java</v>
      </c>
      <c r="L3068" s="21" t="str">
        <f aca="false">INDEX(Companies!$C$2:$C$31,MATCH(C3068,Companies!$A$2:$A$31,0))</f>
        <v>IT Services</v>
      </c>
      <c r="M3068" s="21" t="str">
        <f aca="false">INDEX(Companies!$D$2:$D$31,MATCH(C3068,Companies!$A$2:$A$31,0))</f>
        <v>Tier 3</v>
      </c>
      <c r="N3068" s="34" t="n">
        <f aca="false">MATCH(F3068,Assumptions!$K$4:$K$8,0)</f>
        <v>5</v>
      </c>
      <c r="O3068" s="21" t="n">
        <f aca="false">IF(H3068="Yes",MONTH(I3068),"")</f>
        <v>3</v>
      </c>
      <c r="P3068" s="21" t="str">
        <f aca="false">IF(H3068="Yes",B3068,"")</f>
        <v>S0474</v>
      </c>
    </row>
    <row r="3069" customFormat="false" ht="15" hidden="false" customHeight="false" outlineLevel="0" collapsed="false">
      <c r="A3069" s="21" t="s">
        <v>4284</v>
      </c>
      <c r="B3069" s="21" t="s">
        <v>900</v>
      </c>
      <c r="C3069" s="21" t="s">
        <v>1322</v>
      </c>
      <c r="D3069" s="21" t="s">
        <v>1184</v>
      </c>
      <c r="E3069" s="33" t="n">
        <v>46063</v>
      </c>
      <c r="F3069" s="21" t="s">
        <v>1178</v>
      </c>
      <c r="G3069" s="32"/>
      <c r="H3069" s="21"/>
      <c r="I3069" s="33"/>
      <c r="J3069" s="21" t="str">
        <f aca="false">INDEX(Students!$C$2:$C$601,MATCH(B3069,Students!$A$2:$A$601,0))</f>
        <v>Batch 2026</v>
      </c>
      <c r="K3069" s="21" t="str">
        <f aca="false">INDEX(Students!$D$2:$D$601,MATCH(B3069,Students!$A$2:$A$601,0))</f>
        <v>DSA with Java</v>
      </c>
      <c r="L3069" s="21" t="str">
        <f aca="false">INDEX(Companies!$C$2:$C$31,MATCH(C3069,Companies!$A$2:$A$31,0))</f>
        <v>Healthtech</v>
      </c>
      <c r="M3069" s="21" t="str">
        <f aca="false">INDEX(Companies!$D$2:$D$31,MATCH(C3069,Companies!$A$2:$A$31,0))</f>
        <v>Tier 2</v>
      </c>
      <c r="N3069" s="34" t="n">
        <f aca="false">MATCH(F3069,Assumptions!$K$4:$K$8,0)</f>
        <v>2</v>
      </c>
      <c r="O3069" s="21" t="str">
        <f aca="false">IF(H3069="Yes",MONTH(I3069),"")</f>
        <v/>
      </c>
      <c r="P3069" s="21" t="str">
        <f aca="false">IF(H3069="Yes",B3069,"")</f>
        <v/>
      </c>
    </row>
    <row r="3070" customFormat="false" ht="15" hidden="false" customHeight="false" outlineLevel="0" collapsed="false">
      <c r="A3070" s="21" t="s">
        <v>4285</v>
      </c>
      <c r="B3070" s="21" t="s">
        <v>880</v>
      </c>
      <c r="C3070" s="21" t="s">
        <v>1203</v>
      </c>
      <c r="D3070" s="21" t="s">
        <v>1184</v>
      </c>
      <c r="E3070" s="33" t="n">
        <v>46064</v>
      </c>
      <c r="F3070" s="21" t="s">
        <v>1175</v>
      </c>
      <c r="G3070" s="32"/>
      <c r="H3070" s="21"/>
      <c r="I3070" s="33"/>
      <c r="J3070" s="21" t="str">
        <f aca="false">INDEX(Students!$C$2:$C$601,MATCH(B3070,Students!$A$2:$A$601,0))</f>
        <v>Batch 2026</v>
      </c>
      <c r="K3070" s="21" t="str">
        <f aca="false">INDEX(Students!$D$2:$D$601,MATCH(B3070,Students!$A$2:$A$601,0))</f>
        <v>DSA with Java</v>
      </c>
      <c r="L3070" s="21" t="str">
        <f aca="false">INDEX(Companies!$C$2:$C$31,MATCH(C3070,Companies!$A$2:$A$31,0))</f>
        <v>Healthtech</v>
      </c>
      <c r="M3070" s="21" t="str">
        <f aca="false">INDEX(Companies!$D$2:$D$31,MATCH(C3070,Companies!$A$2:$A$31,0))</f>
        <v>Tier 2</v>
      </c>
      <c r="N3070" s="34" t="n">
        <f aca="false">MATCH(F3070,Assumptions!$K$4:$K$8,0)</f>
        <v>1</v>
      </c>
      <c r="O3070" s="21" t="str">
        <f aca="false">IF(H3070="Yes",MONTH(I3070),"")</f>
        <v/>
      </c>
      <c r="P3070" s="21" t="str">
        <f aca="false">IF(H3070="Yes",B3070,"")</f>
        <v/>
      </c>
    </row>
    <row r="3071" customFormat="false" ht="15" hidden="false" customHeight="false" outlineLevel="0" collapsed="false">
      <c r="A3071" s="21" t="s">
        <v>4286</v>
      </c>
      <c r="B3071" s="21" t="s">
        <v>1046</v>
      </c>
      <c r="C3071" s="21" t="s">
        <v>1322</v>
      </c>
      <c r="D3071" s="21" t="s">
        <v>1181</v>
      </c>
      <c r="E3071" s="33" t="n">
        <v>46064</v>
      </c>
      <c r="F3071" s="21" t="s">
        <v>1178</v>
      </c>
      <c r="G3071" s="32"/>
      <c r="H3071" s="21"/>
      <c r="I3071" s="33"/>
      <c r="J3071" s="21" t="str">
        <f aca="false">INDEX(Students!$C$2:$C$601,MATCH(B3071,Students!$A$2:$A$601,0))</f>
        <v>Batch 2026</v>
      </c>
      <c r="K3071" s="21" t="str">
        <f aca="false">INDEX(Students!$D$2:$D$601,MATCH(B3071,Students!$A$2:$A$601,0))</f>
        <v>Full Stack Development</v>
      </c>
      <c r="L3071" s="21" t="str">
        <f aca="false">INDEX(Companies!$C$2:$C$31,MATCH(C3071,Companies!$A$2:$A$31,0))</f>
        <v>Healthtech</v>
      </c>
      <c r="M3071" s="21" t="str">
        <f aca="false">INDEX(Companies!$D$2:$D$31,MATCH(C3071,Companies!$A$2:$A$31,0))</f>
        <v>Tier 2</v>
      </c>
      <c r="N3071" s="34" t="n">
        <f aca="false">MATCH(F3071,Assumptions!$K$4:$K$8,0)</f>
        <v>2</v>
      </c>
      <c r="O3071" s="21" t="str">
        <f aca="false">IF(H3071="Yes",MONTH(I3071),"")</f>
        <v/>
      </c>
      <c r="P3071" s="21" t="str">
        <f aca="false">IF(H3071="Yes",B3071,"")</f>
        <v/>
      </c>
    </row>
    <row r="3072" customFormat="false" ht="15" hidden="false" customHeight="false" outlineLevel="0" collapsed="false">
      <c r="A3072" s="21" t="s">
        <v>4287</v>
      </c>
      <c r="B3072" s="21" t="s">
        <v>1004</v>
      </c>
      <c r="C3072" s="21" t="s">
        <v>1205</v>
      </c>
      <c r="D3072" s="21" t="s">
        <v>1181</v>
      </c>
      <c r="E3072" s="33" t="n">
        <v>46064</v>
      </c>
      <c r="F3072" s="21" t="s">
        <v>1175</v>
      </c>
      <c r="G3072" s="32"/>
      <c r="H3072" s="21"/>
      <c r="I3072" s="33"/>
      <c r="J3072" s="21" t="str">
        <f aca="false">INDEX(Students!$C$2:$C$601,MATCH(B3072,Students!$A$2:$A$601,0))</f>
        <v>Batch 2026</v>
      </c>
      <c r="K3072" s="21" t="str">
        <f aca="false">INDEX(Students!$D$2:$D$601,MATCH(B3072,Students!$A$2:$A$601,0))</f>
        <v>Full Stack Development</v>
      </c>
      <c r="L3072" s="21" t="str">
        <f aca="false">INDEX(Companies!$C$2:$C$31,MATCH(C3072,Companies!$A$2:$A$31,0))</f>
        <v>Healthtech</v>
      </c>
      <c r="M3072" s="21" t="str">
        <f aca="false">INDEX(Companies!$D$2:$D$31,MATCH(C3072,Companies!$A$2:$A$31,0))</f>
        <v>Tier 3</v>
      </c>
      <c r="N3072" s="34" t="n">
        <f aca="false">MATCH(F3072,Assumptions!$K$4:$K$8,0)</f>
        <v>1</v>
      </c>
      <c r="O3072" s="21" t="str">
        <f aca="false">IF(H3072="Yes",MONTH(I3072),"")</f>
        <v/>
      </c>
      <c r="P3072" s="21" t="str">
        <f aca="false">IF(H3072="Yes",B3072,"")</f>
        <v/>
      </c>
    </row>
    <row r="3073" customFormat="false" ht="15" hidden="false" customHeight="false" outlineLevel="0" collapsed="false">
      <c r="A3073" s="21" t="s">
        <v>4288</v>
      </c>
      <c r="B3073" s="21" t="s">
        <v>1125</v>
      </c>
      <c r="C3073" s="21" t="s">
        <v>1290</v>
      </c>
      <c r="D3073" s="21" t="s">
        <v>1209</v>
      </c>
      <c r="E3073" s="33" t="n">
        <v>46064</v>
      </c>
      <c r="F3073" s="21" t="s">
        <v>1175</v>
      </c>
      <c r="G3073" s="32"/>
      <c r="H3073" s="21"/>
      <c r="I3073" s="33"/>
      <c r="J3073" s="21" t="str">
        <f aca="false">INDEX(Students!$C$2:$C$601,MATCH(B3073,Students!$A$2:$A$601,0))</f>
        <v>Batch 2026</v>
      </c>
      <c r="K3073" s="21" t="str">
        <f aca="false">INDEX(Students!$D$2:$D$601,MATCH(B3073,Students!$A$2:$A$601,0))</f>
        <v>Data Analytics</v>
      </c>
      <c r="L3073" s="21" t="str">
        <f aca="false">INDEX(Companies!$C$2:$C$31,MATCH(C3073,Companies!$A$2:$A$31,0))</f>
        <v>Fintech</v>
      </c>
      <c r="M3073" s="21" t="str">
        <f aca="false">INDEX(Companies!$D$2:$D$31,MATCH(C3073,Companies!$A$2:$A$31,0))</f>
        <v>Tier 2</v>
      </c>
      <c r="N3073" s="34" t="n">
        <f aca="false">MATCH(F3073,Assumptions!$K$4:$K$8,0)</f>
        <v>1</v>
      </c>
      <c r="O3073" s="21" t="str">
        <f aca="false">IF(H3073="Yes",MONTH(I3073),"")</f>
        <v/>
      </c>
      <c r="P3073" s="21" t="str">
        <f aca="false">IF(H3073="Yes",B3073,"")</f>
        <v/>
      </c>
    </row>
    <row r="3074" customFormat="false" ht="15" hidden="false" customHeight="false" outlineLevel="0" collapsed="false">
      <c r="A3074" s="21" t="s">
        <v>4289</v>
      </c>
      <c r="B3074" s="21" t="s">
        <v>1157</v>
      </c>
      <c r="C3074" s="21" t="s">
        <v>1225</v>
      </c>
      <c r="D3074" s="21" t="s">
        <v>1226</v>
      </c>
      <c r="E3074" s="33" t="n">
        <v>46065</v>
      </c>
      <c r="F3074" s="21" t="s">
        <v>1197</v>
      </c>
      <c r="G3074" s="32"/>
      <c r="H3074" s="21"/>
      <c r="I3074" s="33"/>
      <c r="J3074" s="21" t="str">
        <f aca="false">INDEX(Students!$C$2:$C$601,MATCH(B3074,Students!$A$2:$A$601,0))</f>
        <v>Batch 2026</v>
      </c>
      <c r="K3074" s="21" t="str">
        <f aca="false">INDEX(Students!$D$2:$D$601,MATCH(B3074,Students!$A$2:$A$601,0))</f>
        <v>Cybersecurity</v>
      </c>
      <c r="L3074" s="21" t="str">
        <f aca="false">INDEX(Companies!$C$2:$C$31,MATCH(C3074,Companies!$A$2:$A$31,0))</f>
        <v>EdTech</v>
      </c>
      <c r="M3074" s="21" t="str">
        <f aca="false">INDEX(Companies!$D$2:$D$31,MATCH(C3074,Companies!$A$2:$A$31,0))</f>
        <v>Tier 2</v>
      </c>
      <c r="N3074" s="34" t="n">
        <f aca="false">MATCH(F3074,Assumptions!$K$4:$K$8,0)</f>
        <v>3</v>
      </c>
      <c r="O3074" s="21" t="str">
        <f aca="false">IF(H3074="Yes",MONTH(I3074),"")</f>
        <v/>
      </c>
      <c r="P3074" s="21" t="str">
        <f aca="false">IF(H3074="Yes",B3074,"")</f>
        <v/>
      </c>
    </row>
    <row r="3075" customFormat="false" ht="15" hidden="false" customHeight="false" outlineLevel="0" collapsed="false">
      <c r="A3075" s="21" t="s">
        <v>4290</v>
      </c>
      <c r="B3075" s="21" t="s">
        <v>1157</v>
      </c>
      <c r="C3075" s="21" t="s">
        <v>1203</v>
      </c>
      <c r="D3075" s="21" t="s">
        <v>1240</v>
      </c>
      <c r="E3075" s="33" t="n">
        <v>46065</v>
      </c>
      <c r="F3075" s="21" t="s">
        <v>1175</v>
      </c>
      <c r="G3075" s="32"/>
      <c r="H3075" s="21"/>
      <c r="I3075" s="33"/>
      <c r="J3075" s="21" t="str">
        <f aca="false">INDEX(Students!$C$2:$C$601,MATCH(B3075,Students!$A$2:$A$601,0))</f>
        <v>Batch 2026</v>
      </c>
      <c r="K3075" s="21" t="str">
        <f aca="false">INDEX(Students!$D$2:$D$601,MATCH(B3075,Students!$A$2:$A$601,0))</f>
        <v>Cybersecurity</v>
      </c>
      <c r="L3075" s="21" t="str">
        <f aca="false">INDEX(Companies!$C$2:$C$31,MATCH(C3075,Companies!$A$2:$A$31,0))</f>
        <v>Healthtech</v>
      </c>
      <c r="M3075" s="21" t="str">
        <f aca="false">INDEX(Companies!$D$2:$D$31,MATCH(C3075,Companies!$A$2:$A$31,0))</f>
        <v>Tier 2</v>
      </c>
      <c r="N3075" s="34" t="n">
        <f aca="false">MATCH(F3075,Assumptions!$K$4:$K$8,0)</f>
        <v>1</v>
      </c>
      <c r="O3075" s="21" t="str">
        <f aca="false">IF(H3075="Yes",MONTH(I3075),"")</f>
        <v/>
      </c>
      <c r="P3075" s="21" t="str">
        <f aca="false">IF(H3075="Yes",B3075,"")</f>
        <v/>
      </c>
    </row>
    <row r="3076" customFormat="false" ht="15" hidden="false" customHeight="false" outlineLevel="0" collapsed="false">
      <c r="A3076" s="21" t="s">
        <v>4291</v>
      </c>
      <c r="B3076" s="21" t="s">
        <v>847</v>
      </c>
      <c r="C3076" s="21" t="s">
        <v>1228</v>
      </c>
      <c r="D3076" s="21" t="s">
        <v>1209</v>
      </c>
      <c r="E3076" s="33" t="n">
        <v>46065</v>
      </c>
      <c r="F3076" s="21" t="s">
        <v>1178</v>
      </c>
      <c r="G3076" s="32"/>
      <c r="H3076" s="21"/>
      <c r="I3076" s="33"/>
      <c r="J3076" s="21" t="str">
        <f aca="false">INDEX(Students!$C$2:$C$601,MATCH(B3076,Students!$A$2:$A$601,0))</f>
        <v>Batch 2026</v>
      </c>
      <c r="K3076" s="21" t="str">
        <f aca="false">INDEX(Students!$D$2:$D$601,MATCH(B3076,Students!$A$2:$A$601,0))</f>
        <v>Data Analytics</v>
      </c>
      <c r="L3076" s="21" t="str">
        <f aca="false">INDEX(Companies!$C$2:$C$31,MATCH(C3076,Companies!$A$2:$A$31,0))</f>
        <v>Fintech</v>
      </c>
      <c r="M3076" s="21" t="str">
        <f aca="false">INDEX(Companies!$D$2:$D$31,MATCH(C3076,Companies!$A$2:$A$31,0))</f>
        <v>Tier 1</v>
      </c>
      <c r="N3076" s="34" t="n">
        <f aca="false">MATCH(F3076,Assumptions!$K$4:$K$8,0)</f>
        <v>2</v>
      </c>
      <c r="O3076" s="21" t="str">
        <f aca="false">IF(H3076="Yes",MONTH(I3076),"")</f>
        <v/>
      </c>
      <c r="P3076" s="21" t="str">
        <f aca="false">IF(H3076="Yes",B3076,"")</f>
        <v/>
      </c>
    </row>
    <row r="3077" customFormat="false" ht="15" hidden="false" customHeight="false" outlineLevel="0" collapsed="false">
      <c r="A3077" s="21" t="s">
        <v>4292</v>
      </c>
      <c r="B3077" s="21" t="s">
        <v>813</v>
      </c>
      <c r="C3077" s="21" t="s">
        <v>1193</v>
      </c>
      <c r="D3077" s="21" t="s">
        <v>1184</v>
      </c>
      <c r="E3077" s="33" t="n">
        <v>46065</v>
      </c>
      <c r="F3077" s="21" t="s">
        <v>1185</v>
      </c>
      <c r="G3077" s="32" t="n">
        <v>12.4</v>
      </c>
      <c r="H3077" s="21" t="s">
        <v>113</v>
      </c>
      <c r="I3077" s="33" t="n">
        <v>46102</v>
      </c>
      <c r="J3077" s="21" t="str">
        <f aca="false">INDEX(Students!$C$2:$C$601,MATCH(B3077,Students!$A$2:$A$601,0))</f>
        <v>Batch 2026</v>
      </c>
      <c r="K3077" s="21" t="str">
        <f aca="false">INDEX(Students!$D$2:$D$601,MATCH(B3077,Students!$A$2:$A$601,0))</f>
        <v>DSA with Java</v>
      </c>
      <c r="L3077" s="21" t="str">
        <f aca="false">INDEX(Companies!$C$2:$C$31,MATCH(C3077,Companies!$A$2:$A$31,0))</f>
        <v>Analytics &amp; Consulting</v>
      </c>
      <c r="M3077" s="21" t="str">
        <f aca="false">INDEX(Companies!$D$2:$D$31,MATCH(C3077,Companies!$A$2:$A$31,0))</f>
        <v>Tier 2</v>
      </c>
      <c r="N3077" s="34" t="n">
        <f aca="false">MATCH(F3077,Assumptions!$K$4:$K$8,0)</f>
        <v>5</v>
      </c>
      <c r="O3077" s="21" t="str">
        <f aca="false">IF(H3077="Yes",MONTH(I3077),"")</f>
        <v/>
      </c>
      <c r="P3077" s="21" t="str">
        <f aca="false">IF(H3077="Yes",B3077,"")</f>
        <v/>
      </c>
    </row>
    <row r="3078" customFormat="false" ht="15" hidden="false" customHeight="false" outlineLevel="0" collapsed="false">
      <c r="A3078" s="21" t="s">
        <v>4293</v>
      </c>
      <c r="B3078" s="21" t="s">
        <v>813</v>
      </c>
      <c r="C3078" s="21" t="s">
        <v>1234</v>
      </c>
      <c r="D3078" s="21" t="s">
        <v>1191</v>
      </c>
      <c r="E3078" s="33" t="n">
        <v>46065</v>
      </c>
      <c r="F3078" s="21" t="s">
        <v>1178</v>
      </c>
      <c r="G3078" s="32"/>
      <c r="H3078" s="21"/>
      <c r="I3078" s="33"/>
      <c r="J3078" s="21" t="str">
        <f aca="false">INDEX(Students!$C$2:$C$601,MATCH(B3078,Students!$A$2:$A$601,0))</f>
        <v>Batch 2026</v>
      </c>
      <c r="K3078" s="21" t="str">
        <f aca="false">INDEX(Students!$D$2:$D$601,MATCH(B3078,Students!$A$2:$A$601,0))</f>
        <v>DSA with Java</v>
      </c>
      <c r="L3078" s="21" t="str">
        <f aca="false">INDEX(Companies!$C$2:$C$31,MATCH(C3078,Companies!$A$2:$A$31,0))</f>
        <v>EdTech</v>
      </c>
      <c r="M3078" s="21" t="str">
        <f aca="false">INDEX(Companies!$D$2:$D$31,MATCH(C3078,Companies!$A$2:$A$31,0))</f>
        <v>Tier 3</v>
      </c>
      <c r="N3078" s="34" t="n">
        <f aca="false">MATCH(F3078,Assumptions!$K$4:$K$8,0)</f>
        <v>2</v>
      </c>
      <c r="O3078" s="21" t="str">
        <f aca="false">IF(H3078="Yes",MONTH(I3078),"")</f>
        <v/>
      </c>
      <c r="P3078" s="21" t="str">
        <f aca="false">IF(H3078="Yes",B3078,"")</f>
        <v/>
      </c>
    </row>
    <row r="3079" customFormat="false" ht="15" hidden="false" customHeight="false" outlineLevel="0" collapsed="false">
      <c r="A3079" s="21" t="s">
        <v>4294</v>
      </c>
      <c r="B3079" s="21" t="s">
        <v>1103</v>
      </c>
      <c r="C3079" s="21" t="s">
        <v>1173</v>
      </c>
      <c r="D3079" s="21" t="s">
        <v>1181</v>
      </c>
      <c r="E3079" s="33" t="n">
        <v>46065</v>
      </c>
      <c r="F3079" s="21" t="s">
        <v>1175</v>
      </c>
      <c r="G3079" s="32"/>
      <c r="H3079" s="21"/>
      <c r="I3079" s="33"/>
      <c r="J3079" s="21" t="str">
        <f aca="false">INDEX(Students!$C$2:$C$601,MATCH(B3079,Students!$A$2:$A$601,0))</f>
        <v>Batch 2026</v>
      </c>
      <c r="K3079" s="21" t="str">
        <f aca="false">INDEX(Students!$D$2:$D$601,MATCH(B3079,Students!$A$2:$A$601,0))</f>
        <v>Full Stack Development</v>
      </c>
      <c r="L3079" s="21" t="str">
        <f aca="false">INDEX(Companies!$C$2:$C$31,MATCH(C3079,Companies!$A$2:$A$31,0))</f>
        <v>Cybersecurity</v>
      </c>
      <c r="M3079" s="21" t="str">
        <f aca="false">INDEX(Companies!$D$2:$D$31,MATCH(C3079,Companies!$A$2:$A$31,0))</f>
        <v>Tier 1</v>
      </c>
      <c r="N3079" s="34" t="n">
        <f aca="false">MATCH(F3079,Assumptions!$K$4:$K$8,0)</f>
        <v>1</v>
      </c>
      <c r="O3079" s="21" t="str">
        <f aca="false">IF(H3079="Yes",MONTH(I3079),"")</f>
        <v/>
      </c>
      <c r="P3079" s="21" t="str">
        <f aca="false">IF(H3079="Yes",B3079,"")</f>
        <v/>
      </c>
    </row>
    <row r="3080" customFormat="false" ht="15" hidden="false" customHeight="false" outlineLevel="0" collapsed="false">
      <c r="A3080" s="21" t="s">
        <v>4295</v>
      </c>
      <c r="B3080" s="21" t="s">
        <v>956</v>
      </c>
      <c r="C3080" s="21" t="s">
        <v>1225</v>
      </c>
      <c r="D3080" s="21" t="s">
        <v>1188</v>
      </c>
      <c r="E3080" s="33" t="n">
        <v>46065</v>
      </c>
      <c r="F3080" s="21" t="s">
        <v>1218</v>
      </c>
      <c r="G3080" s="32"/>
      <c r="H3080" s="21"/>
      <c r="I3080" s="33"/>
      <c r="J3080" s="21" t="str">
        <f aca="false">INDEX(Students!$C$2:$C$601,MATCH(B3080,Students!$A$2:$A$601,0))</f>
        <v>Batch 2026</v>
      </c>
      <c r="K3080" s="21" t="str">
        <f aca="false">INDEX(Students!$D$2:$D$601,MATCH(B3080,Students!$A$2:$A$601,0))</f>
        <v>Data Analytics</v>
      </c>
      <c r="L3080" s="21" t="str">
        <f aca="false">INDEX(Companies!$C$2:$C$31,MATCH(C3080,Companies!$A$2:$A$31,0))</f>
        <v>EdTech</v>
      </c>
      <c r="M3080" s="21" t="str">
        <f aca="false">INDEX(Companies!$D$2:$D$31,MATCH(C3080,Companies!$A$2:$A$31,0))</f>
        <v>Tier 2</v>
      </c>
      <c r="N3080" s="34" t="n">
        <f aca="false">MATCH(F3080,Assumptions!$K$4:$K$8,0)</f>
        <v>4</v>
      </c>
      <c r="O3080" s="21" t="str">
        <f aca="false">IF(H3080="Yes",MONTH(I3080),"")</f>
        <v/>
      </c>
      <c r="P3080" s="21" t="str">
        <f aca="false">IF(H3080="Yes",B3080,"")</f>
        <v/>
      </c>
    </row>
    <row r="3081" customFormat="false" ht="15" hidden="false" customHeight="false" outlineLevel="0" collapsed="false">
      <c r="A3081" s="21" t="s">
        <v>4296</v>
      </c>
      <c r="B3081" s="21" t="s">
        <v>999</v>
      </c>
      <c r="C3081" s="21" t="s">
        <v>1214</v>
      </c>
      <c r="D3081" s="21" t="s">
        <v>1184</v>
      </c>
      <c r="E3081" s="33" t="n">
        <v>46066</v>
      </c>
      <c r="F3081" s="21" t="s">
        <v>1175</v>
      </c>
      <c r="G3081" s="32"/>
      <c r="H3081" s="21"/>
      <c r="I3081" s="33"/>
      <c r="J3081" s="21" t="str">
        <f aca="false">INDEX(Students!$C$2:$C$601,MATCH(B3081,Students!$A$2:$A$601,0))</f>
        <v>Batch 2026</v>
      </c>
      <c r="K3081" s="21" t="str">
        <f aca="false">INDEX(Students!$D$2:$D$601,MATCH(B3081,Students!$A$2:$A$601,0))</f>
        <v>DSA with Java</v>
      </c>
      <c r="L3081" s="21" t="str">
        <f aca="false">INDEX(Companies!$C$2:$C$31,MATCH(C3081,Companies!$A$2:$A$31,0))</f>
        <v>Product</v>
      </c>
      <c r="M3081" s="21" t="str">
        <f aca="false">INDEX(Companies!$D$2:$D$31,MATCH(C3081,Companies!$A$2:$A$31,0))</f>
        <v>Tier 1</v>
      </c>
      <c r="N3081" s="34" t="n">
        <f aca="false">MATCH(F3081,Assumptions!$K$4:$K$8,0)</f>
        <v>1</v>
      </c>
      <c r="O3081" s="21" t="str">
        <f aca="false">IF(H3081="Yes",MONTH(I3081),"")</f>
        <v/>
      </c>
      <c r="P3081" s="21" t="str">
        <f aca="false">IF(H3081="Yes",B3081,"")</f>
        <v/>
      </c>
    </row>
    <row r="3082" customFormat="false" ht="15" hidden="false" customHeight="false" outlineLevel="0" collapsed="false">
      <c r="A3082" s="21" t="s">
        <v>4297</v>
      </c>
      <c r="B3082" s="21" t="s">
        <v>1147</v>
      </c>
      <c r="C3082" s="21" t="s">
        <v>1214</v>
      </c>
      <c r="D3082" s="21" t="s">
        <v>1184</v>
      </c>
      <c r="E3082" s="33" t="n">
        <v>46066</v>
      </c>
      <c r="F3082" s="21" t="s">
        <v>1175</v>
      </c>
      <c r="G3082" s="32"/>
      <c r="H3082" s="21"/>
      <c r="I3082" s="33"/>
      <c r="J3082" s="21" t="str">
        <f aca="false">INDEX(Students!$C$2:$C$601,MATCH(B3082,Students!$A$2:$A$601,0))</f>
        <v>Batch 2026</v>
      </c>
      <c r="K3082" s="21" t="str">
        <f aca="false">INDEX(Students!$D$2:$D$601,MATCH(B3082,Students!$A$2:$A$601,0))</f>
        <v>DSA with Java</v>
      </c>
      <c r="L3082" s="21" t="str">
        <f aca="false">INDEX(Companies!$C$2:$C$31,MATCH(C3082,Companies!$A$2:$A$31,0))</f>
        <v>Product</v>
      </c>
      <c r="M3082" s="21" t="str">
        <f aca="false">INDEX(Companies!$D$2:$D$31,MATCH(C3082,Companies!$A$2:$A$31,0))</f>
        <v>Tier 1</v>
      </c>
      <c r="N3082" s="34" t="n">
        <f aca="false">MATCH(F3082,Assumptions!$K$4:$K$8,0)</f>
        <v>1</v>
      </c>
      <c r="O3082" s="21" t="str">
        <f aca="false">IF(H3082="Yes",MONTH(I3082),"")</f>
        <v/>
      </c>
      <c r="P3082" s="21" t="str">
        <f aca="false">IF(H3082="Yes",B3082,"")</f>
        <v/>
      </c>
    </row>
    <row r="3083" customFormat="false" ht="15" hidden="false" customHeight="false" outlineLevel="0" collapsed="false">
      <c r="A3083" s="21" t="s">
        <v>4298</v>
      </c>
      <c r="B3083" s="21" t="s">
        <v>952</v>
      </c>
      <c r="C3083" s="21" t="s">
        <v>1199</v>
      </c>
      <c r="D3083" s="21" t="s">
        <v>1184</v>
      </c>
      <c r="E3083" s="33" t="n">
        <v>46066</v>
      </c>
      <c r="F3083" s="21" t="s">
        <v>1185</v>
      </c>
      <c r="G3083" s="32" t="n">
        <v>11.4</v>
      </c>
      <c r="H3083" s="21" t="s">
        <v>120</v>
      </c>
      <c r="I3083" s="33" t="n">
        <v>46111</v>
      </c>
      <c r="J3083" s="21" t="str">
        <f aca="false">INDEX(Students!$C$2:$C$601,MATCH(B3083,Students!$A$2:$A$601,0))</f>
        <v>Batch 2026</v>
      </c>
      <c r="K3083" s="21" t="str">
        <f aca="false">INDEX(Students!$D$2:$D$601,MATCH(B3083,Students!$A$2:$A$601,0))</f>
        <v>DSA with Java</v>
      </c>
      <c r="L3083" s="21" t="str">
        <f aca="false">INDEX(Companies!$C$2:$C$31,MATCH(C3083,Companies!$A$2:$A$31,0))</f>
        <v>E-commerce</v>
      </c>
      <c r="M3083" s="21" t="str">
        <f aca="false">INDEX(Companies!$D$2:$D$31,MATCH(C3083,Companies!$A$2:$A$31,0))</f>
        <v>Tier 2</v>
      </c>
      <c r="N3083" s="34" t="n">
        <f aca="false">MATCH(F3083,Assumptions!$K$4:$K$8,0)</f>
        <v>5</v>
      </c>
      <c r="O3083" s="21" t="n">
        <f aca="false">IF(H3083="Yes",MONTH(I3083),"")</f>
        <v>3</v>
      </c>
      <c r="P3083" s="21" t="str">
        <f aca="false">IF(H3083="Yes",B3083,"")</f>
        <v>S0471</v>
      </c>
    </row>
    <row r="3084" customFormat="false" ht="15" hidden="false" customHeight="false" outlineLevel="0" collapsed="false">
      <c r="A3084" s="21" t="s">
        <v>4299</v>
      </c>
      <c r="B3084" s="21" t="s">
        <v>1040</v>
      </c>
      <c r="C3084" s="21" t="s">
        <v>1290</v>
      </c>
      <c r="D3084" s="21" t="s">
        <v>1184</v>
      </c>
      <c r="E3084" s="33" t="n">
        <v>46066</v>
      </c>
      <c r="F3084" s="21" t="s">
        <v>1175</v>
      </c>
      <c r="G3084" s="32"/>
      <c r="H3084" s="21"/>
      <c r="I3084" s="33"/>
      <c r="J3084" s="21" t="str">
        <f aca="false">INDEX(Students!$C$2:$C$601,MATCH(B3084,Students!$A$2:$A$601,0))</f>
        <v>Batch 2026</v>
      </c>
      <c r="K3084" s="21" t="str">
        <f aca="false">INDEX(Students!$D$2:$D$601,MATCH(B3084,Students!$A$2:$A$601,0))</f>
        <v>DSA with Java</v>
      </c>
      <c r="L3084" s="21" t="str">
        <f aca="false">INDEX(Companies!$C$2:$C$31,MATCH(C3084,Companies!$A$2:$A$31,0))</f>
        <v>Fintech</v>
      </c>
      <c r="M3084" s="21" t="str">
        <f aca="false">INDEX(Companies!$D$2:$D$31,MATCH(C3084,Companies!$A$2:$A$31,0))</f>
        <v>Tier 2</v>
      </c>
      <c r="N3084" s="34" t="n">
        <f aca="false">MATCH(F3084,Assumptions!$K$4:$K$8,0)</f>
        <v>1</v>
      </c>
      <c r="O3084" s="21" t="str">
        <f aca="false">IF(H3084="Yes",MONTH(I3084),"")</f>
        <v/>
      </c>
      <c r="P3084" s="21" t="str">
        <f aca="false">IF(H3084="Yes",B3084,"")</f>
        <v/>
      </c>
    </row>
    <row r="3085" customFormat="false" ht="15" hidden="false" customHeight="false" outlineLevel="0" collapsed="false">
      <c r="A3085" s="21" t="s">
        <v>4300</v>
      </c>
      <c r="B3085" s="21" t="s">
        <v>1039</v>
      </c>
      <c r="C3085" s="21" t="s">
        <v>1255</v>
      </c>
      <c r="D3085" s="21" t="s">
        <v>1184</v>
      </c>
      <c r="E3085" s="33" t="n">
        <v>46066</v>
      </c>
      <c r="F3085" s="21" t="s">
        <v>1185</v>
      </c>
      <c r="G3085" s="32" t="n">
        <v>6.4</v>
      </c>
      <c r="H3085" s="21" t="s">
        <v>113</v>
      </c>
      <c r="I3085" s="33" t="n">
        <v>46096</v>
      </c>
      <c r="J3085" s="21" t="str">
        <f aca="false">INDEX(Students!$C$2:$C$601,MATCH(B3085,Students!$A$2:$A$601,0))</f>
        <v>Batch 2026</v>
      </c>
      <c r="K3085" s="21" t="str">
        <f aca="false">INDEX(Students!$D$2:$D$601,MATCH(B3085,Students!$A$2:$A$601,0))</f>
        <v>DSA with Java</v>
      </c>
      <c r="L3085" s="21" t="str">
        <f aca="false">INDEX(Companies!$C$2:$C$31,MATCH(C3085,Companies!$A$2:$A$31,0))</f>
        <v>IT Services</v>
      </c>
      <c r="M3085" s="21" t="str">
        <f aca="false">INDEX(Companies!$D$2:$D$31,MATCH(C3085,Companies!$A$2:$A$31,0))</f>
        <v>Tier 3</v>
      </c>
      <c r="N3085" s="34" t="n">
        <f aca="false">MATCH(F3085,Assumptions!$K$4:$K$8,0)</f>
        <v>5</v>
      </c>
      <c r="O3085" s="21" t="str">
        <f aca="false">IF(H3085="Yes",MONTH(I3085),"")</f>
        <v/>
      </c>
      <c r="P3085" s="21" t="str">
        <f aca="false">IF(H3085="Yes",B3085,"")</f>
        <v/>
      </c>
    </row>
    <row r="3086" customFormat="false" ht="15" hidden="false" customHeight="false" outlineLevel="0" collapsed="false">
      <c r="A3086" s="21" t="s">
        <v>4301</v>
      </c>
      <c r="B3086" s="21" t="s">
        <v>998</v>
      </c>
      <c r="C3086" s="21" t="s">
        <v>1201</v>
      </c>
      <c r="D3086" s="21" t="s">
        <v>1226</v>
      </c>
      <c r="E3086" s="33" t="n">
        <v>46067</v>
      </c>
      <c r="F3086" s="21" t="s">
        <v>1178</v>
      </c>
      <c r="G3086" s="32"/>
      <c r="H3086" s="21"/>
      <c r="I3086" s="33"/>
      <c r="J3086" s="21" t="str">
        <f aca="false">INDEX(Students!$C$2:$C$601,MATCH(B3086,Students!$A$2:$A$601,0))</f>
        <v>Batch 2026</v>
      </c>
      <c r="K3086" s="21" t="str">
        <f aca="false">INDEX(Students!$D$2:$D$601,MATCH(B3086,Students!$A$2:$A$601,0))</f>
        <v>Cybersecurity</v>
      </c>
      <c r="L3086" s="21" t="str">
        <f aca="false">INDEX(Companies!$C$2:$C$31,MATCH(C3086,Companies!$A$2:$A$31,0))</f>
        <v>IT Services</v>
      </c>
      <c r="M3086" s="21" t="str">
        <f aca="false">INDEX(Companies!$D$2:$D$31,MATCH(C3086,Companies!$A$2:$A$31,0))</f>
        <v>Tier 3</v>
      </c>
      <c r="N3086" s="34" t="n">
        <f aca="false">MATCH(F3086,Assumptions!$K$4:$K$8,0)</f>
        <v>2</v>
      </c>
      <c r="O3086" s="21" t="str">
        <f aca="false">IF(H3086="Yes",MONTH(I3086),"")</f>
        <v/>
      </c>
      <c r="P3086" s="21" t="str">
        <f aca="false">IF(H3086="Yes",B3086,"")</f>
        <v/>
      </c>
    </row>
    <row r="3087" customFormat="false" ht="15" hidden="false" customHeight="false" outlineLevel="0" collapsed="false">
      <c r="A3087" s="21" t="s">
        <v>4302</v>
      </c>
      <c r="B3087" s="21" t="s">
        <v>861</v>
      </c>
      <c r="C3087" s="21" t="s">
        <v>1255</v>
      </c>
      <c r="D3087" s="21" t="s">
        <v>1184</v>
      </c>
      <c r="E3087" s="33" t="n">
        <v>46067</v>
      </c>
      <c r="F3087" s="21" t="s">
        <v>1178</v>
      </c>
      <c r="G3087" s="32"/>
      <c r="H3087" s="21"/>
      <c r="I3087" s="33"/>
      <c r="J3087" s="21" t="str">
        <f aca="false">INDEX(Students!$C$2:$C$601,MATCH(B3087,Students!$A$2:$A$601,0))</f>
        <v>Batch 2026</v>
      </c>
      <c r="K3087" s="21" t="str">
        <f aca="false">INDEX(Students!$D$2:$D$601,MATCH(B3087,Students!$A$2:$A$601,0))</f>
        <v>DSA with Java</v>
      </c>
      <c r="L3087" s="21" t="str">
        <f aca="false">INDEX(Companies!$C$2:$C$31,MATCH(C3087,Companies!$A$2:$A$31,0))</f>
        <v>IT Services</v>
      </c>
      <c r="M3087" s="21" t="str">
        <f aca="false">INDEX(Companies!$D$2:$D$31,MATCH(C3087,Companies!$A$2:$A$31,0))</f>
        <v>Tier 3</v>
      </c>
      <c r="N3087" s="34" t="n">
        <f aca="false">MATCH(F3087,Assumptions!$K$4:$K$8,0)</f>
        <v>2</v>
      </c>
      <c r="O3087" s="21" t="str">
        <f aca="false">IF(H3087="Yes",MONTH(I3087),"")</f>
        <v/>
      </c>
      <c r="P3087" s="21" t="str">
        <f aca="false">IF(H3087="Yes",B3087,"")</f>
        <v/>
      </c>
    </row>
    <row r="3088" customFormat="false" ht="15" hidden="false" customHeight="false" outlineLevel="0" collapsed="false">
      <c r="A3088" s="21" t="s">
        <v>4303</v>
      </c>
      <c r="B3088" s="21" t="s">
        <v>861</v>
      </c>
      <c r="C3088" s="21" t="s">
        <v>1203</v>
      </c>
      <c r="D3088" s="21" t="s">
        <v>1184</v>
      </c>
      <c r="E3088" s="33" t="n">
        <v>46067</v>
      </c>
      <c r="F3088" s="21" t="s">
        <v>1178</v>
      </c>
      <c r="G3088" s="32"/>
      <c r="H3088" s="21"/>
      <c r="I3088" s="33"/>
      <c r="J3088" s="21" t="str">
        <f aca="false">INDEX(Students!$C$2:$C$601,MATCH(B3088,Students!$A$2:$A$601,0))</f>
        <v>Batch 2026</v>
      </c>
      <c r="K3088" s="21" t="str">
        <f aca="false">INDEX(Students!$D$2:$D$601,MATCH(B3088,Students!$A$2:$A$601,0))</f>
        <v>DSA with Java</v>
      </c>
      <c r="L3088" s="21" t="str">
        <f aca="false">INDEX(Companies!$C$2:$C$31,MATCH(C3088,Companies!$A$2:$A$31,0))</f>
        <v>Healthtech</v>
      </c>
      <c r="M3088" s="21" t="str">
        <f aca="false">INDEX(Companies!$D$2:$D$31,MATCH(C3088,Companies!$A$2:$A$31,0))</f>
        <v>Tier 2</v>
      </c>
      <c r="N3088" s="34" t="n">
        <f aca="false">MATCH(F3088,Assumptions!$K$4:$K$8,0)</f>
        <v>2</v>
      </c>
      <c r="O3088" s="21" t="str">
        <f aca="false">IF(H3088="Yes",MONTH(I3088),"")</f>
        <v/>
      </c>
      <c r="P3088" s="21" t="str">
        <f aca="false">IF(H3088="Yes",B3088,"")</f>
        <v/>
      </c>
    </row>
    <row r="3089" customFormat="false" ht="15" hidden="false" customHeight="false" outlineLevel="0" collapsed="false">
      <c r="A3089" s="21" t="s">
        <v>4304</v>
      </c>
      <c r="B3089" s="21" t="s">
        <v>1061</v>
      </c>
      <c r="C3089" s="21" t="s">
        <v>1211</v>
      </c>
      <c r="D3089" s="21" t="s">
        <v>1181</v>
      </c>
      <c r="E3089" s="33" t="n">
        <v>46067</v>
      </c>
      <c r="F3089" s="21" t="s">
        <v>1185</v>
      </c>
      <c r="G3089" s="32" t="n">
        <v>6.9</v>
      </c>
      <c r="H3089" s="21" t="s">
        <v>113</v>
      </c>
      <c r="I3089" s="33" t="n">
        <v>46116</v>
      </c>
      <c r="J3089" s="21" t="str">
        <f aca="false">INDEX(Students!$C$2:$C$601,MATCH(B3089,Students!$A$2:$A$601,0))</f>
        <v>Batch 2026</v>
      </c>
      <c r="K3089" s="21" t="str">
        <f aca="false">INDEX(Students!$D$2:$D$601,MATCH(B3089,Students!$A$2:$A$601,0))</f>
        <v>Full Stack Development</v>
      </c>
      <c r="L3089" s="21" t="str">
        <f aca="false">INDEX(Companies!$C$2:$C$31,MATCH(C3089,Companies!$A$2:$A$31,0))</f>
        <v>Analytics &amp; Consulting</v>
      </c>
      <c r="M3089" s="21" t="str">
        <f aca="false">INDEX(Companies!$D$2:$D$31,MATCH(C3089,Companies!$A$2:$A$31,0))</f>
        <v>Tier 3</v>
      </c>
      <c r="N3089" s="34" t="n">
        <f aca="false">MATCH(F3089,Assumptions!$K$4:$K$8,0)</f>
        <v>5</v>
      </c>
      <c r="O3089" s="21" t="str">
        <f aca="false">IF(H3089="Yes",MONTH(I3089),"")</f>
        <v/>
      </c>
      <c r="P3089" s="21" t="str">
        <f aca="false">IF(H3089="Yes",B3089,"")</f>
        <v/>
      </c>
    </row>
    <row r="3090" customFormat="false" ht="15" hidden="false" customHeight="false" outlineLevel="0" collapsed="false">
      <c r="A3090" s="21" t="s">
        <v>4305</v>
      </c>
      <c r="B3090" s="21" t="s">
        <v>1121</v>
      </c>
      <c r="C3090" s="21" t="s">
        <v>1234</v>
      </c>
      <c r="D3090" s="21" t="s">
        <v>1191</v>
      </c>
      <c r="E3090" s="33" t="n">
        <v>46067</v>
      </c>
      <c r="F3090" s="21" t="s">
        <v>1185</v>
      </c>
      <c r="G3090" s="32" t="n">
        <v>5.5</v>
      </c>
      <c r="H3090" s="21" t="s">
        <v>113</v>
      </c>
      <c r="I3090" s="33" t="n">
        <v>46107</v>
      </c>
      <c r="J3090" s="21" t="str">
        <f aca="false">INDEX(Students!$C$2:$C$601,MATCH(B3090,Students!$A$2:$A$601,0))</f>
        <v>Batch 2026</v>
      </c>
      <c r="K3090" s="21" t="str">
        <f aca="false">INDEX(Students!$D$2:$D$601,MATCH(B3090,Students!$A$2:$A$601,0))</f>
        <v>DSA with Java</v>
      </c>
      <c r="L3090" s="21" t="str">
        <f aca="false">INDEX(Companies!$C$2:$C$31,MATCH(C3090,Companies!$A$2:$A$31,0))</f>
        <v>EdTech</v>
      </c>
      <c r="M3090" s="21" t="str">
        <f aca="false">INDEX(Companies!$D$2:$D$31,MATCH(C3090,Companies!$A$2:$A$31,0))</f>
        <v>Tier 3</v>
      </c>
      <c r="N3090" s="34" t="n">
        <f aca="false">MATCH(F3090,Assumptions!$K$4:$K$8,0)</f>
        <v>5</v>
      </c>
      <c r="O3090" s="21" t="str">
        <f aca="false">IF(H3090="Yes",MONTH(I3090),"")</f>
        <v/>
      </c>
      <c r="P3090" s="21" t="str">
        <f aca="false">IF(H3090="Yes",B3090,"")</f>
        <v/>
      </c>
    </row>
    <row r="3091" customFormat="false" ht="15" hidden="false" customHeight="false" outlineLevel="0" collapsed="false">
      <c r="A3091" s="21" t="s">
        <v>4306</v>
      </c>
      <c r="B3091" s="21" t="s">
        <v>937</v>
      </c>
      <c r="C3091" s="21" t="s">
        <v>1222</v>
      </c>
      <c r="D3091" s="21" t="s">
        <v>1191</v>
      </c>
      <c r="E3091" s="33" t="n">
        <v>46067</v>
      </c>
      <c r="F3091" s="21" t="s">
        <v>1178</v>
      </c>
      <c r="G3091" s="32"/>
      <c r="H3091" s="21"/>
      <c r="I3091" s="33"/>
      <c r="J3091" s="21" t="str">
        <f aca="false">INDEX(Students!$C$2:$C$601,MATCH(B3091,Students!$A$2:$A$601,0))</f>
        <v>Batch 2026</v>
      </c>
      <c r="K3091" s="21" t="str">
        <f aca="false">INDEX(Students!$D$2:$D$601,MATCH(B3091,Students!$A$2:$A$601,0))</f>
        <v>DSA with Java</v>
      </c>
      <c r="L3091" s="21" t="str">
        <f aca="false">INDEX(Companies!$C$2:$C$31,MATCH(C3091,Companies!$A$2:$A$31,0))</f>
        <v>Product</v>
      </c>
      <c r="M3091" s="21" t="str">
        <f aca="false">INDEX(Companies!$D$2:$D$31,MATCH(C3091,Companies!$A$2:$A$31,0))</f>
        <v>Tier 2</v>
      </c>
      <c r="N3091" s="34" t="n">
        <f aca="false">MATCH(F3091,Assumptions!$K$4:$K$8,0)</f>
        <v>2</v>
      </c>
      <c r="O3091" s="21" t="str">
        <f aca="false">IF(H3091="Yes",MONTH(I3091),"")</f>
        <v/>
      </c>
      <c r="P3091" s="21" t="str">
        <f aca="false">IF(H3091="Yes",B3091,"")</f>
        <v/>
      </c>
    </row>
    <row r="3092" customFormat="false" ht="15" hidden="false" customHeight="false" outlineLevel="0" collapsed="false">
      <c r="A3092" s="21" t="s">
        <v>4307</v>
      </c>
      <c r="B3092" s="21" t="s">
        <v>1097</v>
      </c>
      <c r="C3092" s="21" t="s">
        <v>1177</v>
      </c>
      <c r="D3092" s="21" t="s">
        <v>1184</v>
      </c>
      <c r="E3092" s="33" t="n">
        <v>46067</v>
      </c>
      <c r="F3092" s="21" t="s">
        <v>1218</v>
      </c>
      <c r="G3092" s="32"/>
      <c r="H3092" s="21"/>
      <c r="I3092" s="33"/>
      <c r="J3092" s="21" t="str">
        <f aca="false">INDEX(Students!$C$2:$C$601,MATCH(B3092,Students!$A$2:$A$601,0))</f>
        <v>Batch 2026</v>
      </c>
      <c r="K3092" s="21" t="str">
        <f aca="false">INDEX(Students!$D$2:$D$601,MATCH(B3092,Students!$A$2:$A$601,0))</f>
        <v>DSA with Java</v>
      </c>
      <c r="L3092" s="21" t="str">
        <f aca="false">INDEX(Companies!$C$2:$C$31,MATCH(C3092,Companies!$A$2:$A$31,0))</f>
        <v>IT Services</v>
      </c>
      <c r="M3092" s="21" t="str">
        <f aca="false">INDEX(Companies!$D$2:$D$31,MATCH(C3092,Companies!$A$2:$A$31,0))</f>
        <v>Tier 3</v>
      </c>
      <c r="N3092" s="34" t="n">
        <f aca="false">MATCH(F3092,Assumptions!$K$4:$K$8,0)</f>
        <v>4</v>
      </c>
      <c r="O3092" s="21" t="str">
        <f aca="false">IF(H3092="Yes",MONTH(I3092),"")</f>
        <v/>
      </c>
      <c r="P3092" s="21" t="str">
        <f aca="false">IF(H3092="Yes",B3092,"")</f>
        <v/>
      </c>
    </row>
    <row r="3093" customFormat="false" ht="15" hidden="false" customHeight="false" outlineLevel="0" collapsed="false">
      <c r="A3093" s="21" t="s">
        <v>4308</v>
      </c>
      <c r="B3093" s="21" t="s">
        <v>863</v>
      </c>
      <c r="C3093" s="21" t="s">
        <v>1275</v>
      </c>
      <c r="D3093" s="21" t="s">
        <v>1174</v>
      </c>
      <c r="E3093" s="33" t="n">
        <v>46068</v>
      </c>
      <c r="F3093" s="21" t="s">
        <v>1175</v>
      </c>
      <c r="G3093" s="32"/>
      <c r="H3093" s="21"/>
      <c r="I3093" s="33"/>
      <c r="J3093" s="21" t="str">
        <f aca="false">INDEX(Students!$C$2:$C$601,MATCH(B3093,Students!$A$2:$A$601,0))</f>
        <v>Batch 2026</v>
      </c>
      <c r="K3093" s="21" t="str">
        <f aca="false">INDEX(Students!$D$2:$D$601,MATCH(B3093,Students!$A$2:$A$601,0))</f>
        <v>Full Stack Development</v>
      </c>
      <c r="L3093" s="21" t="str">
        <f aca="false">INDEX(Companies!$C$2:$C$31,MATCH(C3093,Companies!$A$2:$A$31,0))</f>
        <v>Cybersecurity</v>
      </c>
      <c r="M3093" s="21" t="str">
        <f aca="false">INDEX(Companies!$D$2:$D$31,MATCH(C3093,Companies!$A$2:$A$31,0))</f>
        <v>Tier 2</v>
      </c>
      <c r="N3093" s="34" t="n">
        <f aca="false">MATCH(F3093,Assumptions!$K$4:$K$8,0)</f>
        <v>1</v>
      </c>
      <c r="O3093" s="21" t="str">
        <f aca="false">IF(H3093="Yes",MONTH(I3093),"")</f>
        <v/>
      </c>
      <c r="P3093" s="21" t="str">
        <f aca="false">IF(H3093="Yes",B3093,"")</f>
        <v/>
      </c>
    </row>
    <row r="3094" customFormat="false" ht="15" hidden="false" customHeight="false" outlineLevel="0" collapsed="false">
      <c r="A3094" s="21" t="s">
        <v>4309</v>
      </c>
      <c r="B3094" s="21" t="s">
        <v>921</v>
      </c>
      <c r="C3094" s="21" t="s">
        <v>1298</v>
      </c>
      <c r="D3094" s="21" t="s">
        <v>1191</v>
      </c>
      <c r="E3094" s="33" t="n">
        <v>46068</v>
      </c>
      <c r="F3094" s="21" t="s">
        <v>1185</v>
      </c>
      <c r="G3094" s="32" t="n">
        <v>14.9</v>
      </c>
      <c r="H3094" s="21" t="s">
        <v>120</v>
      </c>
      <c r="I3094" s="33" t="n">
        <v>46109</v>
      </c>
      <c r="J3094" s="21" t="str">
        <f aca="false">INDEX(Students!$C$2:$C$601,MATCH(B3094,Students!$A$2:$A$601,0))</f>
        <v>Batch 2026</v>
      </c>
      <c r="K3094" s="21" t="str">
        <f aca="false">INDEX(Students!$D$2:$D$601,MATCH(B3094,Students!$A$2:$A$601,0))</f>
        <v>DSA with Java</v>
      </c>
      <c r="L3094" s="21" t="str">
        <f aca="false">INDEX(Companies!$C$2:$C$31,MATCH(C3094,Companies!$A$2:$A$31,0))</f>
        <v>Fintech</v>
      </c>
      <c r="M3094" s="21" t="str">
        <f aca="false">INDEX(Companies!$D$2:$D$31,MATCH(C3094,Companies!$A$2:$A$31,0))</f>
        <v>Tier 2</v>
      </c>
      <c r="N3094" s="34" t="n">
        <f aca="false">MATCH(F3094,Assumptions!$K$4:$K$8,0)</f>
        <v>5</v>
      </c>
      <c r="O3094" s="21" t="n">
        <f aca="false">IF(H3094="Yes",MONTH(I3094),"")</f>
        <v>3</v>
      </c>
      <c r="P3094" s="21" t="str">
        <f aca="false">IF(H3094="Yes",B3094,"")</f>
        <v>S0452</v>
      </c>
    </row>
    <row r="3095" customFormat="false" ht="15" hidden="false" customHeight="false" outlineLevel="0" collapsed="false">
      <c r="A3095" s="21" t="s">
        <v>4310</v>
      </c>
      <c r="B3095" s="21" t="s">
        <v>890</v>
      </c>
      <c r="C3095" s="21" t="s">
        <v>1199</v>
      </c>
      <c r="D3095" s="21" t="s">
        <v>1191</v>
      </c>
      <c r="E3095" s="33" t="n">
        <v>46069</v>
      </c>
      <c r="F3095" s="21" t="s">
        <v>1185</v>
      </c>
      <c r="G3095" s="32" t="n">
        <v>12.7</v>
      </c>
      <c r="H3095" s="21" t="s">
        <v>113</v>
      </c>
      <c r="I3095" s="33" t="n">
        <v>46111</v>
      </c>
      <c r="J3095" s="21" t="str">
        <f aca="false">INDEX(Students!$C$2:$C$601,MATCH(B3095,Students!$A$2:$A$601,0))</f>
        <v>Batch 2026</v>
      </c>
      <c r="K3095" s="21" t="str">
        <f aca="false">INDEX(Students!$D$2:$D$601,MATCH(B3095,Students!$A$2:$A$601,0))</f>
        <v>DSA with Java</v>
      </c>
      <c r="L3095" s="21" t="str">
        <f aca="false">INDEX(Companies!$C$2:$C$31,MATCH(C3095,Companies!$A$2:$A$31,0))</f>
        <v>E-commerce</v>
      </c>
      <c r="M3095" s="21" t="str">
        <f aca="false">INDEX(Companies!$D$2:$D$31,MATCH(C3095,Companies!$A$2:$A$31,0))</f>
        <v>Tier 2</v>
      </c>
      <c r="N3095" s="34" t="n">
        <f aca="false">MATCH(F3095,Assumptions!$K$4:$K$8,0)</f>
        <v>5</v>
      </c>
      <c r="O3095" s="21" t="str">
        <f aca="false">IF(H3095="Yes",MONTH(I3095),"")</f>
        <v/>
      </c>
      <c r="P3095" s="21" t="str">
        <f aca="false">IF(H3095="Yes",B3095,"")</f>
        <v/>
      </c>
    </row>
    <row r="3096" customFormat="false" ht="15" hidden="false" customHeight="false" outlineLevel="0" collapsed="false">
      <c r="A3096" s="21" t="s">
        <v>4311</v>
      </c>
      <c r="B3096" s="21" t="s">
        <v>1025</v>
      </c>
      <c r="C3096" s="21" t="s">
        <v>1203</v>
      </c>
      <c r="D3096" s="21" t="s">
        <v>1243</v>
      </c>
      <c r="E3096" s="33" t="n">
        <v>46069</v>
      </c>
      <c r="F3096" s="21" t="s">
        <v>1178</v>
      </c>
      <c r="G3096" s="32"/>
      <c r="H3096" s="21"/>
      <c r="I3096" s="33"/>
      <c r="J3096" s="21" t="str">
        <f aca="false">INDEX(Students!$C$2:$C$601,MATCH(B3096,Students!$A$2:$A$601,0))</f>
        <v>Batch 2026</v>
      </c>
      <c r="K3096" s="21" t="str">
        <f aca="false">INDEX(Students!$D$2:$D$601,MATCH(B3096,Students!$A$2:$A$601,0))</f>
        <v>Data Science &amp; ML</v>
      </c>
      <c r="L3096" s="21" t="str">
        <f aca="false">INDEX(Companies!$C$2:$C$31,MATCH(C3096,Companies!$A$2:$A$31,0))</f>
        <v>Healthtech</v>
      </c>
      <c r="M3096" s="21" t="str">
        <f aca="false">INDEX(Companies!$D$2:$D$31,MATCH(C3096,Companies!$A$2:$A$31,0))</f>
        <v>Tier 2</v>
      </c>
      <c r="N3096" s="34" t="n">
        <f aca="false">MATCH(F3096,Assumptions!$K$4:$K$8,0)</f>
        <v>2</v>
      </c>
      <c r="O3096" s="21" t="str">
        <f aca="false">IF(H3096="Yes",MONTH(I3096),"")</f>
        <v/>
      </c>
      <c r="P3096" s="21" t="str">
        <f aca="false">IF(H3096="Yes",B3096,"")</f>
        <v/>
      </c>
    </row>
    <row r="3097" customFormat="false" ht="15" hidden="false" customHeight="false" outlineLevel="0" collapsed="false">
      <c r="A3097" s="21" t="s">
        <v>4312</v>
      </c>
      <c r="B3097" s="21" t="s">
        <v>808</v>
      </c>
      <c r="C3097" s="21" t="s">
        <v>1180</v>
      </c>
      <c r="D3097" s="21" t="s">
        <v>1184</v>
      </c>
      <c r="E3097" s="33" t="n">
        <v>46069</v>
      </c>
      <c r="F3097" s="21" t="s">
        <v>1185</v>
      </c>
      <c r="G3097" s="32" t="n">
        <v>4.4</v>
      </c>
      <c r="H3097" s="21" t="s">
        <v>120</v>
      </c>
      <c r="I3097" s="33" t="n">
        <v>46097</v>
      </c>
      <c r="J3097" s="21" t="str">
        <f aca="false">INDEX(Students!$C$2:$C$601,MATCH(B3097,Students!$A$2:$A$601,0))</f>
        <v>Batch 2026</v>
      </c>
      <c r="K3097" s="21" t="str">
        <f aca="false">INDEX(Students!$D$2:$D$601,MATCH(B3097,Students!$A$2:$A$601,0))</f>
        <v>DSA with Java</v>
      </c>
      <c r="L3097" s="21" t="str">
        <f aca="false">INDEX(Companies!$C$2:$C$31,MATCH(C3097,Companies!$A$2:$A$31,0))</f>
        <v>IT Services</v>
      </c>
      <c r="M3097" s="21" t="str">
        <f aca="false">INDEX(Companies!$D$2:$D$31,MATCH(C3097,Companies!$A$2:$A$31,0))</f>
        <v>Tier 3</v>
      </c>
      <c r="N3097" s="34" t="n">
        <f aca="false">MATCH(F3097,Assumptions!$K$4:$K$8,0)</f>
        <v>5</v>
      </c>
      <c r="O3097" s="21" t="n">
        <f aca="false">IF(H3097="Yes",MONTH(I3097),"")</f>
        <v>3</v>
      </c>
      <c r="P3097" s="21" t="str">
        <f aca="false">IF(H3097="Yes",B3097,"")</f>
        <v>S0381</v>
      </c>
    </row>
    <row r="3098" customFormat="false" ht="15" hidden="false" customHeight="false" outlineLevel="0" collapsed="false">
      <c r="A3098" s="21" t="s">
        <v>4313</v>
      </c>
      <c r="B3098" s="21" t="s">
        <v>815</v>
      </c>
      <c r="C3098" s="21" t="s">
        <v>1266</v>
      </c>
      <c r="D3098" s="21" t="s">
        <v>1226</v>
      </c>
      <c r="E3098" s="33" t="n">
        <v>46069</v>
      </c>
      <c r="F3098" s="21" t="s">
        <v>1185</v>
      </c>
      <c r="G3098" s="32" t="n">
        <v>6.6</v>
      </c>
      <c r="H3098" s="21" t="s">
        <v>120</v>
      </c>
      <c r="I3098" s="33" t="n">
        <v>46101</v>
      </c>
      <c r="J3098" s="21" t="str">
        <f aca="false">INDEX(Students!$C$2:$C$601,MATCH(B3098,Students!$A$2:$A$601,0))</f>
        <v>Batch 2026</v>
      </c>
      <c r="K3098" s="21" t="str">
        <f aca="false">INDEX(Students!$D$2:$D$601,MATCH(B3098,Students!$A$2:$A$601,0))</f>
        <v>Cybersecurity</v>
      </c>
      <c r="L3098" s="21" t="str">
        <f aca="false">INDEX(Companies!$C$2:$C$31,MATCH(C3098,Companies!$A$2:$A$31,0))</f>
        <v>IT Services</v>
      </c>
      <c r="M3098" s="21" t="str">
        <f aca="false">INDEX(Companies!$D$2:$D$31,MATCH(C3098,Companies!$A$2:$A$31,0))</f>
        <v>Tier 3</v>
      </c>
      <c r="N3098" s="34" t="n">
        <f aca="false">MATCH(F3098,Assumptions!$K$4:$K$8,0)</f>
        <v>5</v>
      </c>
      <c r="O3098" s="21" t="n">
        <f aca="false">IF(H3098="Yes",MONTH(I3098),"")</f>
        <v>3</v>
      </c>
      <c r="P3098" s="21" t="str">
        <f aca="false">IF(H3098="Yes",B3098,"")</f>
        <v>S0386</v>
      </c>
    </row>
    <row r="3099" customFormat="false" ht="15" hidden="false" customHeight="false" outlineLevel="0" collapsed="false">
      <c r="A3099" s="21" t="s">
        <v>4314</v>
      </c>
      <c r="B3099" s="21" t="s">
        <v>1159</v>
      </c>
      <c r="C3099" s="21" t="s">
        <v>1239</v>
      </c>
      <c r="D3099" s="21" t="s">
        <v>1194</v>
      </c>
      <c r="E3099" s="33" t="n">
        <v>46069</v>
      </c>
      <c r="F3099" s="21" t="s">
        <v>1175</v>
      </c>
      <c r="G3099" s="32"/>
      <c r="H3099" s="21"/>
      <c r="I3099" s="33"/>
      <c r="J3099" s="21" t="str">
        <f aca="false">INDEX(Students!$C$2:$C$601,MATCH(B3099,Students!$A$2:$A$601,0))</f>
        <v>Batch 2026</v>
      </c>
      <c r="K3099" s="21" t="str">
        <f aca="false">INDEX(Students!$D$2:$D$601,MATCH(B3099,Students!$A$2:$A$601,0))</f>
        <v>Data Science &amp; ML</v>
      </c>
      <c r="L3099" s="21" t="str">
        <f aca="false">INDEX(Companies!$C$2:$C$31,MATCH(C3099,Companies!$A$2:$A$31,0))</f>
        <v>E-commerce</v>
      </c>
      <c r="M3099" s="21" t="str">
        <f aca="false">INDEX(Companies!$D$2:$D$31,MATCH(C3099,Companies!$A$2:$A$31,0))</f>
        <v>Tier 3</v>
      </c>
      <c r="N3099" s="34" t="n">
        <f aca="false">MATCH(F3099,Assumptions!$K$4:$K$8,0)</f>
        <v>1</v>
      </c>
      <c r="O3099" s="21" t="str">
        <f aca="false">IF(H3099="Yes",MONTH(I3099),"")</f>
        <v/>
      </c>
      <c r="P3099" s="21" t="str">
        <f aca="false">IF(H3099="Yes",B3099,"")</f>
        <v/>
      </c>
    </row>
    <row r="3100" customFormat="false" ht="15" hidden="false" customHeight="false" outlineLevel="0" collapsed="false">
      <c r="A3100" s="21" t="s">
        <v>4315</v>
      </c>
      <c r="B3100" s="21" t="s">
        <v>847</v>
      </c>
      <c r="C3100" s="21" t="s">
        <v>1216</v>
      </c>
      <c r="D3100" s="21" t="s">
        <v>1209</v>
      </c>
      <c r="E3100" s="33" t="n">
        <v>46070</v>
      </c>
      <c r="F3100" s="21" t="s">
        <v>1218</v>
      </c>
      <c r="G3100" s="32"/>
      <c r="H3100" s="21"/>
      <c r="I3100" s="33"/>
      <c r="J3100" s="21" t="str">
        <f aca="false">INDEX(Students!$C$2:$C$601,MATCH(B3100,Students!$A$2:$A$601,0))</f>
        <v>Batch 2026</v>
      </c>
      <c r="K3100" s="21" t="str">
        <f aca="false">INDEX(Students!$D$2:$D$601,MATCH(B3100,Students!$A$2:$A$601,0))</f>
        <v>Data Analytics</v>
      </c>
      <c r="L3100" s="21" t="str">
        <f aca="false">INDEX(Companies!$C$2:$C$31,MATCH(C3100,Companies!$A$2:$A$31,0))</f>
        <v>IT Services</v>
      </c>
      <c r="M3100" s="21" t="str">
        <f aca="false">INDEX(Companies!$D$2:$D$31,MATCH(C3100,Companies!$A$2:$A$31,0))</f>
        <v>Tier 3</v>
      </c>
      <c r="N3100" s="34" t="n">
        <f aca="false">MATCH(F3100,Assumptions!$K$4:$K$8,0)</f>
        <v>4</v>
      </c>
      <c r="O3100" s="21" t="str">
        <f aca="false">IF(H3100="Yes",MONTH(I3100),"")</f>
        <v/>
      </c>
      <c r="P3100" s="21" t="str">
        <f aca="false">IF(H3100="Yes",B3100,"")</f>
        <v/>
      </c>
    </row>
    <row r="3101" customFormat="false" ht="15" hidden="false" customHeight="false" outlineLevel="0" collapsed="false">
      <c r="A3101" s="21" t="s">
        <v>4316</v>
      </c>
      <c r="B3101" s="21" t="s">
        <v>921</v>
      </c>
      <c r="C3101" s="21" t="s">
        <v>1225</v>
      </c>
      <c r="D3101" s="21" t="s">
        <v>1191</v>
      </c>
      <c r="E3101" s="33" t="n">
        <v>46070</v>
      </c>
      <c r="F3101" s="21" t="s">
        <v>1175</v>
      </c>
      <c r="G3101" s="32"/>
      <c r="H3101" s="21"/>
      <c r="I3101" s="33"/>
      <c r="J3101" s="21" t="str">
        <f aca="false">INDEX(Students!$C$2:$C$601,MATCH(B3101,Students!$A$2:$A$601,0))</f>
        <v>Batch 2026</v>
      </c>
      <c r="K3101" s="21" t="str">
        <f aca="false">INDEX(Students!$D$2:$D$601,MATCH(B3101,Students!$A$2:$A$601,0))</f>
        <v>DSA with Java</v>
      </c>
      <c r="L3101" s="21" t="str">
        <f aca="false">INDEX(Companies!$C$2:$C$31,MATCH(C3101,Companies!$A$2:$A$31,0))</f>
        <v>EdTech</v>
      </c>
      <c r="M3101" s="21" t="str">
        <f aca="false">INDEX(Companies!$D$2:$D$31,MATCH(C3101,Companies!$A$2:$A$31,0))</f>
        <v>Tier 2</v>
      </c>
      <c r="N3101" s="34" t="n">
        <f aca="false">MATCH(F3101,Assumptions!$K$4:$K$8,0)</f>
        <v>1</v>
      </c>
      <c r="O3101" s="21" t="str">
        <f aca="false">IF(H3101="Yes",MONTH(I3101),"")</f>
        <v/>
      </c>
      <c r="P3101" s="21" t="str">
        <f aca="false">IF(H3101="Yes",B3101,"")</f>
        <v/>
      </c>
    </row>
    <row r="3102" customFormat="false" ht="15" hidden="false" customHeight="false" outlineLevel="0" collapsed="false">
      <c r="A3102" s="21" t="s">
        <v>4317</v>
      </c>
      <c r="B3102" s="21" t="s">
        <v>1005</v>
      </c>
      <c r="C3102" s="21" t="s">
        <v>1196</v>
      </c>
      <c r="D3102" s="21" t="s">
        <v>1243</v>
      </c>
      <c r="E3102" s="33" t="n">
        <v>46071</v>
      </c>
      <c r="F3102" s="21" t="s">
        <v>1185</v>
      </c>
      <c r="G3102" s="32" t="n">
        <v>6.7</v>
      </c>
      <c r="H3102" s="21" t="s">
        <v>113</v>
      </c>
      <c r="I3102" s="33" t="n">
        <v>46106</v>
      </c>
      <c r="J3102" s="21" t="str">
        <f aca="false">INDEX(Students!$C$2:$C$601,MATCH(B3102,Students!$A$2:$A$601,0))</f>
        <v>Batch 2026</v>
      </c>
      <c r="K3102" s="21" t="str">
        <f aca="false">INDEX(Students!$D$2:$D$601,MATCH(B3102,Students!$A$2:$A$601,0))</f>
        <v>Data Science &amp; ML</v>
      </c>
      <c r="L3102" s="21" t="str">
        <f aca="false">INDEX(Companies!$C$2:$C$31,MATCH(C3102,Companies!$A$2:$A$31,0))</f>
        <v>IT Services</v>
      </c>
      <c r="M3102" s="21" t="str">
        <f aca="false">INDEX(Companies!$D$2:$D$31,MATCH(C3102,Companies!$A$2:$A$31,0))</f>
        <v>Tier 3</v>
      </c>
      <c r="N3102" s="34" t="n">
        <f aca="false">MATCH(F3102,Assumptions!$K$4:$K$8,0)</f>
        <v>5</v>
      </c>
      <c r="O3102" s="21" t="str">
        <f aca="false">IF(H3102="Yes",MONTH(I3102),"")</f>
        <v/>
      </c>
      <c r="P3102" s="21" t="str">
        <f aca="false">IF(H3102="Yes",B3102,"")</f>
        <v/>
      </c>
    </row>
    <row r="3103" customFormat="false" ht="15" hidden="false" customHeight="false" outlineLevel="0" collapsed="false">
      <c r="A3103" s="21" t="s">
        <v>4318</v>
      </c>
      <c r="B3103" s="21" t="s">
        <v>1058</v>
      </c>
      <c r="C3103" s="21" t="s">
        <v>1214</v>
      </c>
      <c r="D3103" s="21" t="s">
        <v>1174</v>
      </c>
      <c r="E3103" s="33" t="n">
        <v>46071</v>
      </c>
      <c r="F3103" s="21" t="s">
        <v>1178</v>
      </c>
      <c r="G3103" s="32"/>
      <c r="H3103" s="21"/>
      <c r="I3103" s="33"/>
      <c r="J3103" s="21" t="str">
        <f aca="false">INDEX(Students!$C$2:$C$601,MATCH(B3103,Students!$A$2:$A$601,0))</f>
        <v>Batch 2026</v>
      </c>
      <c r="K3103" s="21" t="str">
        <f aca="false">INDEX(Students!$D$2:$D$601,MATCH(B3103,Students!$A$2:$A$601,0))</f>
        <v>Full Stack Development</v>
      </c>
      <c r="L3103" s="21" t="str">
        <f aca="false">INDEX(Companies!$C$2:$C$31,MATCH(C3103,Companies!$A$2:$A$31,0))</f>
        <v>Product</v>
      </c>
      <c r="M3103" s="21" t="str">
        <f aca="false">INDEX(Companies!$D$2:$D$31,MATCH(C3103,Companies!$A$2:$A$31,0))</f>
        <v>Tier 1</v>
      </c>
      <c r="N3103" s="34" t="n">
        <f aca="false">MATCH(F3103,Assumptions!$K$4:$K$8,0)</f>
        <v>2</v>
      </c>
      <c r="O3103" s="21" t="str">
        <f aca="false">IF(H3103="Yes",MONTH(I3103),"")</f>
        <v/>
      </c>
      <c r="P3103" s="21" t="str">
        <f aca="false">IF(H3103="Yes",B3103,"")</f>
        <v/>
      </c>
    </row>
    <row r="3104" customFormat="false" ht="15" hidden="false" customHeight="false" outlineLevel="0" collapsed="false">
      <c r="A3104" s="21" t="s">
        <v>4319</v>
      </c>
      <c r="B3104" s="21" t="s">
        <v>1122</v>
      </c>
      <c r="C3104" s="21" t="s">
        <v>1230</v>
      </c>
      <c r="D3104" s="21" t="s">
        <v>1194</v>
      </c>
      <c r="E3104" s="33" t="n">
        <v>46071</v>
      </c>
      <c r="F3104" s="21" t="s">
        <v>1185</v>
      </c>
      <c r="G3104" s="32" t="n">
        <v>6.1</v>
      </c>
      <c r="H3104" s="21" t="s">
        <v>113</v>
      </c>
      <c r="I3104" s="33" t="n">
        <v>46122</v>
      </c>
      <c r="J3104" s="21" t="str">
        <f aca="false">INDEX(Students!$C$2:$C$601,MATCH(B3104,Students!$A$2:$A$601,0))</f>
        <v>Batch 2026</v>
      </c>
      <c r="K3104" s="21" t="str">
        <f aca="false">INDEX(Students!$D$2:$D$601,MATCH(B3104,Students!$A$2:$A$601,0))</f>
        <v>Data Science &amp; ML</v>
      </c>
      <c r="L3104" s="21" t="str">
        <f aca="false">INDEX(Companies!$C$2:$C$31,MATCH(C3104,Companies!$A$2:$A$31,0))</f>
        <v>IT Services</v>
      </c>
      <c r="M3104" s="21" t="str">
        <f aca="false">INDEX(Companies!$D$2:$D$31,MATCH(C3104,Companies!$A$2:$A$31,0))</f>
        <v>Tier 3</v>
      </c>
      <c r="N3104" s="34" t="n">
        <f aca="false">MATCH(F3104,Assumptions!$K$4:$K$8,0)</f>
        <v>5</v>
      </c>
      <c r="O3104" s="21" t="str">
        <f aca="false">IF(H3104="Yes",MONTH(I3104),"")</f>
        <v/>
      </c>
      <c r="P3104" s="21" t="str">
        <f aca="false">IF(H3104="Yes",B3104,"")</f>
        <v/>
      </c>
    </row>
    <row r="3105" customFormat="false" ht="15" hidden="false" customHeight="false" outlineLevel="0" collapsed="false">
      <c r="A3105" s="21" t="s">
        <v>4320</v>
      </c>
      <c r="B3105" s="21" t="s">
        <v>1054</v>
      </c>
      <c r="C3105" s="21" t="s">
        <v>1203</v>
      </c>
      <c r="D3105" s="21" t="s">
        <v>1181</v>
      </c>
      <c r="E3105" s="33" t="n">
        <v>46071</v>
      </c>
      <c r="F3105" s="21" t="s">
        <v>1218</v>
      </c>
      <c r="G3105" s="32"/>
      <c r="H3105" s="21"/>
      <c r="I3105" s="33"/>
      <c r="J3105" s="21" t="str">
        <f aca="false">INDEX(Students!$C$2:$C$601,MATCH(B3105,Students!$A$2:$A$601,0))</f>
        <v>Batch 2026</v>
      </c>
      <c r="K3105" s="21" t="str">
        <f aca="false">INDEX(Students!$D$2:$D$601,MATCH(B3105,Students!$A$2:$A$601,0))</f>
        <v>Full Stack Development</v>
      </c>
      <c r="L3105" s="21" t="str">
        <f aca="false">INDEX(Companies!$C$2:$C$31,MATCH(C3105,Companies!$A$2:$A$31,0))</f>
        <v>Healthtech</v>
      </c>
      <c r="M3105" s="21" t="str">
        <f aca="false">INDEX(Companies!$D$2:$D$31,MATCH(C3105,Companies!$A$2:$A$31,0))</f>
        <v>Tier 2</v>
      </c>
      <c r="N3105" s="34" t="n">
        <f aca="false">MATCH(F3105,Assumptions!$K$4:$K$8,0)</f>
        <v>4</v>
      </c>
      <c r="O3105" s="21" t="str">
        <f aca="false">IF(H3105="Yes",MONTH(I3105),"")</f>
        <v/>
      </c>
      <c r="P3105" s="21" t="str">
        <f aca="false">IF(H3105="Yes",B3105,"")</f>
        <v/>
      </c>
    </row>
    <row r="3106" customFormat="false" ht="15" hidden="false" customHeight="false" outlineLevel="0" collapsed="false">
      <c r="A3106" s="21" t="s">
        <v>4321</v>
      </c>
      <c r="B3106" s="21" t="s">
        <v>910</v>
      </c>
      <c r="C3106" s="21" t="s">
        <v>1255</v>
      </c>
      <c r="D3106" s="21" t="s">
        <v>1181</v>
      </c>
      <c r="E3106" s="33" t="n">
        <v>46072</v>
      </c>
      <c r="F3106" s="21" t="s">
        <v>1175</v>
      </c>
      <c r="G3106" s="32"/>
      <c r="H3106" s="21"/>
      <c r="I3106" s="33"/>
      <c r="J3106" s="21" t="str">
        <f aca="false">INDEX(Students!$C$2:$C$601,MATCH(B3106,Students!$A$2:$A$601,0))</f>
        <v>Batch 2026</v>
      </c>
      <c r="K3106" s="21" t="str">
        <f aca="false">INDEX(Students!$D$2:$D$601,MATCH(B3106,Students!$A$2:$A$601,0))</f>
        <v>Full Stack Development</v>
      </c>
      <c r="L3106" s="21" t="str">
        <f aca="false">INDEX(Companies!$C$2:$C$31,MATCH(C3106,Companies!$A$2:$A$31,0))</f>
        <v>IT Services</v>
      </c>
      <c r="M3106" s="21" t="str">
        <f aca="false">INDEX(Companies!$D$2:$D$31,MATCH(C3106,Companies!$A$2:$A$31,0))</f>
        <v>Tier 3</v>
      </c>
      <c r="N3106" s="34" t="n">
        <f aca="false">MATCH(F3106,Assumptions!$K$4:$K$8,0)</f>
        <v>1</v>
      </c>
      <c r="O3106" s="21" t="str">
        <f aca="false">IF(H3106="Yes",MONTH(I3106),"")</f>
        <v/>
      </c>
      <c r="P3106" s="21" t="str">
        <f aca="false">IF(H3106="Yes",B3106,"")</f>
        <v/>
      </c>
    </row>
    <row r="3107" customFormat="false" ht="15" hidden="false" customHeight="false" outlineLevel="0" collapsed="false">
      <c r="A3107" s="21" t="s">
        <v>4322</v>
      </c>
      <c r="B3107" s="21" t="s">
        <v>1143</v>
      </c>
      <c r="C3107" s="21" t="s">
        <v>1266</v>
      </c>
      <c r="D3107" s="21" t="s">
        <v>1243</v>
      </c>
      <c r="E3107" s="33" t="n">
        <v>46072</v>
      </c>
      <c r="F3107" s="21" t="s">
        <v>1185</v>
      </c>
      <c r="G3107" s="32" t="n">
        <v>5.8</v>
      </c>
      <c r="H3107" s="21" t="s">
        <v>113</v>
      </c>
      <c r="I3107" s="33" t="n">
        <v>46126</v>
      </c>
      <c r="J3107" s="21" t="str">
        <f aca="false">INDEX(Students!$C$2:$C$601,MATCH(B3107,Students!$A$2:$A$601,0))</f>
        <v>Batch 2026</v>
      </c>
      <c r="K3107" s="21" t="str">
        <f aca="false">INDEX(Students!$D$2:$D$601,MATCH(B3107,Students!$A$2:$A$601,0))</f>
        <v>Data Science &amp; ML</v>
      </c>
      <c r="L3107" s="21" t="str">
        <f aca="false">INDEX(Companies!$C$2:$C$31,MATCH(C3107,Companies!$A$2:$A$31,0))</f>
        <v>IT Services</v>
      </c>
      <c r="M3107" s="21" t="str">
        <f aca="false">INDEX(Companies!$D$2:$D$31,MATCH(C3107,Companies!$A$2:$A$31,0))</f>
        <v>Tier 3</v>
      </c>
      <c r="N3107" s="34" t="n">
        <f aca="false">MATCH(F3107,Assumptions!$K$4:$K$8,0)</f>
        <v>5</v>
      </c>
      <c r="O3107" s="21" t="str">
        <f aca="false">IF(H3107="Yes",MONTH(I3107),"")</f>
        <v/>
      </c>
      <c r="P3107" s="21" t="str">
        <f aca="false">IF(H3107="Yes",B3107,"")</f>
        <v/>
      </c>
    </row>
    <row r="3108" customFormat="false" ht="15" hidden="false" customHeight="false" outlineLevel="0" collapsed="false">
      <c r="A3108" s="21" t="s">
        <v>4323</v>
      </c>
      <c r="B3108" s="21" t="s">
        <v>1147</v>
      </c>
      <c r="C3108" s="21" t="s">
        <v>1193</v>
      </c>
      <c r="D3108" s="21" t="s">
        <v>1191</v>
      </c>
      <c r="E3108" s="33" t="n">
        <v>46072</v>
      </c>
      <c r="F3108" s="21" t="s">
        <v>1185</v>
      </c>
      <c r="G3108" s="32" t="n">
        <v>11.9</v>
      </c>
      <c r="H3108" s="21" t="s">
        <v>113</v>
      </c>
      <c r="I3108" s="33" t="n">
        <v>46122</v>
      </c>
      <c r="J3108" s="21" t="str">
        <f aca="false">INDEX(Students!$C$2:$C$601,MATCH(B3108,Students!$A$2:$A$601,0))</f>
        <v>Batch 2026</v>
      </c>
      <c r="K3108" s="21" t="str">
        <f aca="false">INDEX(Students!$D$2:$D$601,MATCH(B3108,Students!$A$2:$A$601,0))</f>
        <v>DSA with Java</v>
      </c>
      <c r="L3108" s="21" t="str">
        <f aca="false">INDEX(Companies!$C$2:$C$31,MATCH(C3108,Companies!$A$2:$A$31,0))</f>
        <v>Analytics &amp; Consulting</v>
      </c>
      <c r="M3108" s="21" t="str">
        <f aca="false">INDEX(Companies!$D$2:$D$31,MATCH(C3108,Companies!$A$2:$A$31,0))</f>
        <v>Tier 2</v>
      </c>
      <c r="N3108" s="34" t="n">
        <f aca="false">MATCH(F3108,Assumptions!$K$4:$K$8,0)</f>
        <v>5</v>
      </c>
      <c r="O3108" s="21" t="str">
        <f aca="false">IF(H3108="Yes",MONTH(I3108),"")</f>
        <v/>
      </c>
      <c r="P3108" s="21" t="str">
        <f aca="false">IF(H3108="Yes",B3108,"")</f>
        <v/>
      </c>
    </row>
    <row r="3109" customFormat="false" ht="15" hidden="false" customHeight="false" outlineLevel="0" collapsed="false">
      <c r="A3109" s="21" t="s">
        <v>4324</v>
      </c>
      <c r="B3109" s="21" t="s">
        <v>860</v>
      </c>
      <c r="C3109" s="21" t="s">
        <v>1180</v>
      </c>
      <c r="D3109" s="21" t="s">
        <v>1174</v>
      </c>
      <c r="E3109" s="33" t="n">
        <v>46072</v>
      </c>
      <c r="F3109" s="21" t="s">
        <v>1175</v>
      </c>
      <c r="G3109" s="32"/>
      <c r="H3109" s="21"/>
      <c r="I3109" s="33"/>
      <c r="J3109" s="21" t="str">
        <f aca="false">INDEX(Students!$C$2:$C$601,MATCH(B3109,Students!$A$2:$A$601,0))</f>
        <v>Batch 2026</v>
      </c>
      <c r="K3109" s="21" t="str">
        <f aca="false">INDEX(Students!$D$2:$D$601,MATCH(B3109,Students!$A$2:$A$601,0))</f>
        <v>Full Stack Development</v>
      </c>
      <c r="L3109" s="21" t="str">
        <f aca="false">INDEX(Companies!$C$2:$C$31,MATCH(C3109,Companies!$A$2:$A$31,0))</f>
        <v>IT Services</v>
      </c>
      <c r="M3109" s="21" t="str">
        <f aca="false">INDEX(Companies!$D$2:$D$31,MATCH(C3109,Companies!$A$2:$A$31,0))</f>
        <v>Tier 3</v>
      </c>
      <c r="N3109" s="34" t="n">
        <f aca="false">MATCH(F3109,Assumptions!$K$4:$K$8,0)</f>
        <v>1</v>
      </c>
      <c r="O3109" s="21" t="str">
        <f aca="false">IF(H3109="Yes",MONTH(I3109),"")</f>
        <v/>
      </c>
      <c r="P3109" s="21" t="str">
        <f aca="false">IF(H3109="Yes",B3109,"")</f>
        <v/>
      </c>
    </row>
    <row r="3110" customFormat="false" ht="15" hidden="false" customHeight="false" outlineLevel="0" collapsed="false">
      <c r="A3110" s="21" t="s">
        <v>4325</v>
      </c>
      <c r="B3110" s="21" t="s">
        <v>1143</v>
      </c>
      <c r="C3110" s="21" t="s">
        <v>1201</v>
      </c>
      <c r="D3110" s="21" t="s">
        <v>1243</v>
      </c>
      <c r="E3110" s="33" t="n">
        <v>46072</v>
      </c>
      <c r="F3110" s="21" t="s">
        <v>1185</v>
      </c>
      <c r="G3110" s="32" t="n">
        <v>6.4</v>
      </c>
      <c r="H3110" s="21" t="s">
        <v>113</v>
      </c>
      <c r="I3110" s="33" t="n">
        <v>46095</v>
      </c>
      <c r="J3110" s="21" t="str">
        <f aca="false">INDEX(Students!$C$2:$C$601,MATCH(B3110,Students!$A$2:$A$601,0))</f>
        <v>Batch 2026</v>
      </c>
      <c r="K3110" s="21" t="str">
        <f aca="false">INDEX(Students!$D$2:$D$601,MATCH(B3110,Students!$A$2:$A$601,0))</f>
        <v>Data Science &amp; ML</v>
      </c>
      <c r="L3110" s="21" t="str">
        <f aca="false">INDEX(Companies!$C$2:$C$31,MATCH(C3110,Companies!$A$2:$A$31,0))</f>
        <v>IT Services</v>
      </c>
      <c r="M3110" s="21" t="str">
        <f aca="false">INDEX(Companies!$D$2:$D$31,MATCH(C3110,Companies!$A$2:$A$31,0))</f>
        <v>Tier 3</v>
      </c>
      <c r="N3110" s="34" t="n">
        <f aca="false">MATCH(F3110,Assumptions!$K$4:$K$8,0)</f>
        <v>5</v>
      </c>
      <c r="O3110" s="21" t="str">
        <f aca="false">IF(H3110="Yes",MONTH(I3110),"")</f>
        <v/>
      </c>
      <c r="P3110" s="21" t="str">
        <f aca="false">IF(H3110="Yes",B3110,"")</f>
        <v/>
      </c>
    </row>
    <row r="3111" customFormat="false" ht="15" hidden="false" customHeight="false" outlineLevel="0" collapsed="false">
      <c r="A3111" s="21" t="s">
        <v>4326</v>
      </c>
      <c r="B3111" s="21" t="s">
        <v>921</v>
      </c>
      <c r="C3111" s="21" t="s">
        <v>1309</v>
      </c>
      <c r="D3111" s="21" t="s">
        <v>1191</v>
      </c>
      <c r="E3111" s="33" t="n">
        <v>46072</v>
      </c>
      <c r="F3111" s="21" t="s">
        <v>1218</v>
      </c>
      <c r="G3111" s="32"/>
      <c r="H3111" s="21"/>
      <c r="I3111" s="33"/>
      <c r="J3111" s="21" t="str">
        <f aca="false">INDEX(Students!$C$2:$C$601,MATCH(B3111,Students!$A$2:$A$601,0))</f>
        <v>Batch 2026</v>
      </c>
      <c r="K3111" s="21" t="str">
        <f aca="false">INDEX(Students!$D$2:$D$601,MATCH(B3111,Students!$A$2:$A$601,0))</f>
        <v>DSA with Java</v>
      </c>
      <c r="L3111" s="21" t="str">
        <f aca="false">INDEX(Companies!$C$2:$C$31,MATCH(C3111,Companies!$A$2:$A$31,0))</f>
        <v>EdTech</v>
      </c>
      <c r="M3111" s="21" t="str">
        <f aca="false">INDEX(Companies!$D$2:$D$31,MATCH(C3111,Companies!$A$2:$A$31,0))</f>
        <v>Tier 2</v>
      </c>
      <c r="N3111" s="34" t="n">
        <f aca="false">MATCH(F3111,Assumptions!$K$4:$K$8,0)</f>
        <v>4</v>
      </c>
      <c r="O3111" s="21" t="str">
        <f aca="false">IF(H3111="Yes",MONTH(I3111),"")</f>
        <v/>
      </c>
      <c r="P3111" s="21" t="str">
        <f aca="false">IF(H3111="Yes",B3111,"")</f>
        <v/>
      </c>
    </row>
    <row r="3112" customFormat="false" ht="15" hidden="false" customHeight="false" outlineLevel="0" collapsed="false">
      <c r="A3112" s="21" t="s">
        <v>4327</v>
      </c>
      <c r="B3112" s="21" t="s">
        <v>907</v>
      </c>
      <c r="C3112" s="21" t="s">
        <v>1199</v>
      </c>
      <c r="D3112" s="21" t="s">
        <v>1243</v>
      </c>
      <c r="E3112" s="33" t="n">
        <v>46073</v>
      </c>
      <c r="F3112" s="21" t="s">
        <v>1178</v>
      </c>
      <c r="G3112" s="32"/>
      <c r="H3112" s="21"/>
      <c r="I3112" s="33"/>
      <c r="J3112" s="21" t="str">
        <f aca="false">INDEX(Students!$C$2:$C$601,MATCH(B3112,Students!$A$2:$A$601,0))</f>
        <v>Batch 2026</v>
      </c>
      <c r="K3112" s="21" t="str">
        <f aca="false">INDEX(Students!$D$2:$D$601,MATCH(B3112,Students!$A$2:$A$601,0))</f>
        <v>Data Science &amp; ML</v>
      </c>
      <c r="L3112" s="21" t="str">
        <f aca="false">INDEX(Companies!$C$2:$C$31,MATCH(C3112,Companies!$A$2:$A$31,0))</f>
        <v>E-commerce</v>
      </c>
      <c r="M3112" s="21" t="str">
        <f aca="false">INDEX(Companies!$D$2:$D$31,MATCH(C3112,Companies!$A$2:$A$31,0))</f>
        <v>Tier 2</v>
      </c>
      <c r="N3112" s="34" t="n">
        <f aca="false">MATCH(F3112,Assumptions!$K$4:$K$8,0)</f>
        <v>2</v>
      </c>
      <c r="O3112" s="21" t="str">
        <f aca="false">IF(H3112="Yes",MONTH(I3112),"")</f>
        <v/>
      </c>
      <c r="P3112" s="21" t="str">
        <f aca="false">IF(H3112="Yes",B3112,"")</f>
        <v/>
      </c>
    </row>
    <row r="3113" customFormat="false" ht="15" hidden="false" customHeight="false" outlineLevel="0" collapsed="false">
      <c r="A3113" s="21" t="s">
        <v>4328</v>
      </c>
      <c r="B3113" s="21" t="s">
        <v>1125</v>
      </c>
      <c r="C3113" s="21" t="s">
        <v>1183</v>
      </c>
      <c r="D3113" s="21" t="s">
        <v>1209</v>
      </c>
      <c r="E3113" s="33" t="n">
        <v>46073</v>
      </c>
      <c r="F3113" s="21" t="s">
        <v>1175</v>
      </c>
      <c r="G3113" s="32"/>
      <c r="H3113" s="21"/>
      <c r="I3113" s="33"/>
      <c r="J3113" s="21" t="str">
        <f aca="false">INDEX(Students!$C$2:$C$601,MATCH(B3113,Students!$A$2:$A$601,0))</f>
        <v>Batch 2026</v>
      </c>
      <c r="K3113" s="21" t="str">
        <f aca="false">INDEX(Students!$D$2:$D$601,MATCH(B3113,Students!$A$2:$A$601,0))</f>
        <v>Data Analytics</v>
      </c>
      <c r="L3113" s="21" t="str">
        <f aca="false">INDEX(Companies!$C$2:$C$31,MATCH(C3113,Companies!$A$2:$A$31,0))</f>
        <v>E-commerce</v>
      </c>
      <c r="M3113" s="21" t="str">
        <f aca="false">INDEX(Companies!$D$2:$D$31,MATCH(C3113,Companies!$A$2:$A$31,0))</f>
        <v>Tier 2</v>
      </c>
      <c r="N3113" s="34" t="n">
        <f aca="false">MATCH(F3113,Assumptions!$K$4:$K$8,0)</f>
        <v>1</v>
      </c>
      <c r="O3113" s="21" t="str">
        <f aca="false">IF(H3113="Yes",MONTH(I3113),"")</f>
        <v/>
      </c>
      <c r="P3113" s="21" t="str">
        <f aca="false">IF(H3113="Yes",B3113,"")</f>
        <v/>
      </c>
    </row>
    <row r="3114" customFormat="false" ht="15" hidden="false" customHeight="false" outlineLevel="0" collapsed="false">
      <c r="A3114" s="21" t="s">
        <v>4329</v>
      </c>
      <c r="B3114" s="21" t="s">
        <v>1042</v>
      </c>
      <c r="C3114" s="21" t="s">
        <v>1275</v>
      </c>
      <c r="D3114" s="21" t="s">
        <v>1243</v>
      </c>
      <c r="E3114" s="33" t="n">
        <v>46073</v>
      </c>
      <c r="F3114" s="21" t="s">
        <v>1175</v>
      </c>
      <c r="G3114" s="32"/>
      <c r="H3114" s="21"/>
      <c r="I3114" s="33"/>
      <c r="J3114" s="21" t="str">
        <f aca="false">INDEX(Students!$C$2:$C$601,MATCH(B3114,Students!$A$2:$A$601,0))</f>
        <v>Batch 2026</v>
      </c>
      <c r="K3114" s="21" t="str">
        <f aca="false">INDEX(Students!$D$2:$D$601,MATCH(B3114,Students!$A$2:$A$601,0))</f>
        <v>Data Science &amp; ML</v>
      </c>
      <c r="L3114" s="21" t="str">
        <f aca="false">INDEX(Companies!$C$2:$C$31,MATCH(C3114,Companies!$A$2:$A$31,0))</f>
        <v>Cybersecurity</v>
      </c>
      <c r="M3114" s="21" t="str">
        <f aca="false">INDEX(Companies!$D$2:$D$31,MATCH(C3114,Companies!$A$2:$A$31,0))</f>
        <v>Tier 2</v>
      </c>
      <c r="N3114" s="34" t="n">
        <f aca="false">MATCH(F3114,Assumptions!$K$4:$K$8,0)</f>
        <v>1</v>
      </c>
      <c r="O3114" s="21" t="str">
        <f aca="false">IF(H3114="Yes",MONTH(I3114),"")</f>
        <v/>
      </c>
      <c r="P3114" s="21" t="str">
        <f aca="false">IF(H3114="Yes",B3114,"")</f>
        <v/>
      </c>
    </row>
    <row r="3115" customFormat="false" ht="15" hidden="false" customHeight="false" outlineLevel="0" collapsed="false">
      <c r="A3115" s="21" t="s">
        <v>4330</v>
      </c>
      <c r="B3115" s="21" t="s">
        <v>1145</v>
      </c>
      <c r="C3115" s="21" t="s">
        <v>1275</v>
      </c>
      <c r="D3115" s="21" t="s">
        <v>1243</v>
      </c>
      <c r="E3115" s="33" t="n">
        <v>46073</v>
      </c>
      <c r="F3115" s="21" t="s">
        <v>1197</v>
      </c>
      <c r="G3115" s="32"/>
      <c r="H3115" s="21"/>
      <c r="I3115" s="33"/>
      <c r="J3115" s="21" t="str">
        <f aca="false">INDEX(Students!$C$2:$C$601,MATCH(B3115,Students!$A$2:$A$601,0))</f>
        <v>Batch 2026</v>
      </c>
      <c r="K3115" s="21" t="str">
        <f aca="false">INDEX(Students!$D$2:$D$601,MATCH(B3115,Students!$A$2:$A$601,0))</f>
        <v>Data Science &amp; ML</v>
      </c>
      <c r="L3115" s="21" t="str">
        <f aca="false">INDEX(Companies!$C$2:$C$31,MATCH(C3115,Companies!$A$2:$A$31,0))</f>
        <v>Cybersecurity</v>
      </c>
      <c r="M3115" s="21" t="str">
        <f aca="false">INDEX(Companies!$D$2:$D$31,MATCH(C3115,Companies!$A$2:$A$31,0))</f>
        <v>Tier 2</v>
      </c>
      <c r="N3115" s="34" t="n">
        <f aca="false">MATCH(F3115,Assumptions!$K$4:$K$8,0)</f>
        <v>3</v>
      </c>
      <c r="O3115" s="21" t="str">
        <f aca="false">IF(H3115="Yes",MONTH(I3115),"")</f>
        <v/>
      </c>
      <c r="P3115" s="21" t="str">
        <f aca="false">IF(H3115="Yes",B3115,"")</f>
        <v/>
      </c>
    </row>
    <row r="3116" customFormat="false" ht="15" hidden="false" customHeight="false" outlineLevel="0" collapsed="false">
      <c r="A3116" s="21" t="s">
        <v>4331</v>
      </c>
      <c r="B3116" s="21" t="s">
        <v>923</v>
      </c>
      <c r="C3116" s="21" t="s">
        <v>1196</v>
      </c>
      <c r="D3116" s="21" t="s">
        <v>1188</v>
      </c>
      <c r="E3116" s="33" t="n">
        <v>46073</v>
      </c>
      <c r="F3116" s="21" t="s">
        <v>1175</v>
      </c>
      <c r="G3116" s="32"/>
      <c r="H3116" s="21"/>
      <c r="I3116" s="33"/>
      <c r="J3116" s="21" t="str">
        <f aca="false">INDEX(Students!$C$2:$C$601,MATCH(B3116,Students!$A$2:$A$601,0))</f>
        <v>Batch 2026</v>
      </c>
      <c r="K3116" s="21" t="str">
        <f aca="false">INDEX(Students!$D$2:$D$601,MATCH(B3116,Students!$A$2:$A$601,0))</f>
        <v>Data Analytics</v>
      </c>
      <c r="L3116" s="21" t="str">
        <f aca="false">INDEX(Companies!$C$2:$C$31,MATCH(C3116,Companies!$A$2:$A$31,0))</f>
        <v>IT Services</v>
      </c>
      <c r="M3116" s="21" t="str">
        <f aca="false">INDEX(Companies!$D$2:$D$31,MATCH(C3116,Companies!$A$2:$A$31,0))</f>
        <v>Tier 3</v>
      </c>
      <c r="N3116" s="34" t="n">
        <f aca="false">MATCH(F3116,Assumptions!$K$4:$K$8,0)</f>
        <v>1</v>
      </c>
      <c r="O3116" s="21" t="str">
        <f aca="false">IF(H3116="Yes",MONTH(I3116),"")</f>
        <v/>
      </c>
      <c r="P3116" s="21" t="str">
        <f aca="false">IF(H3116="Yes",B3116,"")</f>
        <v/>
      </c>
    </row>
    <row r="3117" customFormat="false" ht="15" hidden="false" customHeight="false" outlineLevel="0" collapsed="false">
      <c r="A3117" s="21" t="s">
        <v>4332</v>
      </c>
      <c r="B3117" s="21" t="s">
        <v>1069</v>
      </c>
      <c r="C3117" s="21" t="s">
        <v>1275</v>
      </c>
      <c r="D3117" s="21" t="s">
        <v>1194</v>
      </c>
      <c r="E3117" s="33" t="n">
        <v>46074</v>
      </c>
      <c r="F3117" s="21" t="s">
        <v>1175</v>
      </c>
      <c r="G3117" s="32"/>
      <c r="H3117" s="21"/>
      <c r="I3117" s="33"/>
      <c r="J3117" s="21" t="str">
        <f aca="false">INDEX(Students!$C$2:$C$601,MATCH(B3117,Students!$A$2:$A$601,0))</f>
        <v>Batch 2026</v>
      </c>
      <c r="K3117" s="21" t="str">
        <f aca="false">INDEX(Students!$D$2:$D$601,MATCH(B3117,Students!$A$2:$A$601,0))</f>
        <v>Data Science &amp; ML</v>
      </c>
      <c r="L3117" s="21" t="str">
        <f aca="false">INDEX(Companies!$C$2:$C$31,MATCH(C3117,Companies!$A$2:$A$31,0))</f>
        <v>Cybersecurity</v>
      </c>
      <c r="M3117" s="21" t="str">
        <f aca="false">INDEX(Companies!$D$2:$D$31,MATCH(C3117,Companies!$A$2:$A$31,0))</f>
        <v>Tier 2</v>
      </c>
      <c r="N3117" s="34" t="n">
        <f aca="false">MATCH(F3117,Assumptions!$K$4:$K$8,0)</f>
        <v>1</v>
      </c>
      <c r="O3117" s="21" t="str">
        <f aca="false">IF(H3117="Yes",MONTH(I3117),"")</f>
        <v/>
      </c>
      <c r="P3117" s="21" t="str">
        <f aca="false">IF(H3117="Yes",B3117,"")</f>
        <v/>
      </c>
    </row>
    <row r="3118" customFormat="false" ht="15" hidden="false" customHeight="false" outlineLevel="0" collapsed="false">
      <c r="A3118" s="21" t="s">
        <v>4333</v>
      </c>
      <c r="B3118" s="21" t="s">
        <v>1003</v>
      </c>
      <c r="C3118" s="21" t="s">
        <v>1275</v>
      </c>
      <c r="D3118" s="21" t="s">
        <v>1243</v>
      </c>
      <c r="E3118" s="33" t="n">
        <v>46074</v>
      </c>
      <c r="F3118" s="21" t="s">
        <v>1178</v>
      </c>
      <c r="G3118" s="32"/>
      <c r="H3118" s="21"/>
      <c r="I3118" s="33"/>
      <c r="J3118" s="21" t="str">
        <f aca="false">INDEX(Students!$C$2:$C$601,MATCH(B3118,Students!$A$2:$A$601,0))</f>
        <v>Batch 2026</v>
      </c>
      <c r="K3118" s="21" t="str">
        <f aca="false">INDEX(Students!$D$2:$D$601,MATCH(B3118,Students!$A$2:$A$601,0))</f>
        <v>Data Science &amp; ML</v>
      </c>
      <c r="L3118" s="21" t="str">
        <f aca="false">INDEX(Companies!$C$2:$C$31,MATCH(C3118,Companies!$A$2:$A$31,0))</f>
        <v>Cybersecurity</v>
      </c>
      <c r="M3118" s="21" t="str">
        <f aca="false">INDEX(Companies!$D$2:$D$31,MATCH(C3118,Companies!$A$2:$A$31,0))</f>
        <v>Tier 2</v>
      </c>
      <c r="N3118" s="34" t="n">
        <f aca="false">MATCH(F3118,Assumptions!$K$4:$K$8,0)</f>
        <v>2</v>
      </c>
      <c r="O3118" s="21" t="str">
        <f aca="false">IF(H3118="Yes",MONTH(I3118),"")</f>
        <v/>
      </c>
      <c r="P3118" s="21" t="str">
        <f aca="false">IF(H3118="Yes",B3118,"")</f>
        <v/>
      </c>
    </row>
    <row r="3119" customFormat="false" ht="15" hidden="false" customHeight="false" outlineLevel="0" collapsed="false">
      <c r="A3119" s="21" t="s">
        <v>4334</v>
      </c>
      <c r="B3119" s="21" t="s">
        <v>878</v>
      </c>
      <c r="C3119" s="21" t="s">
        <v>1196</v>
      </c>
      <c r="D3119" s="21" t="s">
        <v>1243</v>
      </c>
      <c r="E3119" s="33" t="n">
        <v>46074</v>
      </c>
      <c r="F3119" s="21" t="s">
        <v>1178</v>
      </c>
      <c r="G3119" s="32"/>
      <c r="H3119" s="21"/>
      <c r="I3119" s="33"/>
      <c r="J3119" s="21" t="str">
        <f aca="false">INDEX(Students!$C$2:$C$601,MATCH(B3119,Students!$A$2:$A$601,0))</f>
        <v>Batch 2026</v>
      </c>
      <c r="K3119" s="21" t="str">
        <f aca="false">INDEX(Students!$D$2:$D$601,MATCH(B3119,Students!$A$2:$A$601,0))</f>
        <v>Data Science &amp; ML</v>
      </c>
      <c r="L3119" s="21" t="str">
        <f aca="false">INDEX(Companies!$C$2:$C$31,MATCH(C3119,Companies!$A$2:$A$31,0))</f>
        <v>IT Services</v>
      </c>
      <c r="M3119" s="21" t="str">
        <f aca="false">INDEX(Companies!$D$2:$D$31,MATCH(C3119,Companies!$A$2:$A$31,0))</f>
        <v>Tier 3</v>
      </c>
      <c r="N3119" s="34" t="n">
        <f aca="false">MATCH(F3119,Assumptions!$K$4:$K$8,0)</f>
        <v>2</v>
      </c>
      <c r="O3119" s="21" t="str">
        <f aca="false">IF(H3119="Yes",MONTH(I3119),"")</f>
        <v/>
      </c>
      <c r="P3119" s="21" t="str">
        <f aca="false">IF(H3119="Yes",B3119,"")</f>
        <v/>
      </c>
    </row>
    <row r="3120" customFormat="false" ht="15" hidden="false" customHeight="false" outlineLevel="0" collapsed="false">
      <c r="A3120" s="21" t="s">
        <v>4335</v>
      </c>
      <c r="B3120" s="21" t="s">
        <v>937</v>
      </c>
      <c r="C3120" s="21" t="s">
        <v>1180</v>
      </c>
      <c r="D3120" s="21" t="s">
        <v>1191</v>
      </c>
      <c r="E3120" s="33" t="n">
        <v>46074</v>
      </c>
      <c r="F3120" s="21" t="s">
        <v>1175</v>
      </c>
      <c r="G3120" s="32"/>
      <c r="H3120" s="21"/>
      <c r="I3120" s="33"/>
      <c r="J3120" s="21" t="str">
        <f aca="false">INDEX(Students!$C$2:$C$601,MATCH(B3120,Students!$A$2:$A$601,0))</f>
        <v>Batch 2026</v>
      </c>
      <c r="K3120" s="21" t="str">
        <f aca="false">INDEX(Students!$D$2:$D$601,MATCH(B3120,Students!$A$2:$A$601,0))</f>
        <v>DSA with Java</v>
      </c>
      <c r="L3120" s="21" t="str">
        <f aca="false">INDEX(Companies!$C$2:$C$31,MATCH(C3120,Companies!$A$2:$A$31,0))</f>
        <v>IT Services</v>
      </c>
      <c r="M3120" s="21" t="str">
        <f aca="false">INDEX(Companies!$D$2:$D$31,MATCH(C3120,Companies!$A$2:$A$31,0))</f>
        <v>Tier 3</v>
      </c>
      <c r="N3120" s="34" t="n">
        <f aca="false">MATCH(F3120,Assumptions!$K$4:$K$8,0)</f>
        <v>1</v>
      </c>
      <c r="O3120" s="21" t="str">
        <f aca="false">IF(H3120="Yes",MONTH(I3120),"")</f>
        <v/>
      </c>
      <c r="P3120" s="21" t="str">
        <f aca="false">IF(H3120="Yes",B3120,"")</f>
        <v/>
      </c>
    </row>
    <row r="3121" customFormat="false" ht="15" hidden="false" customHeight="false" outlineLevel="0" collapsed="false">
      <c r="A3121" s="21" t="s">
        <v>4336</v>
      </c>
      <c r="B3121" s="21" t="s">
        <v>1054</v>
      </c>
      <c r="C3121" s="21" t="s">
        <v>1214</v>
      </c>
      <c r="D3121" s="21" t="s">
        <v>1181</v>
      </c>
      <c r="E3121" s="33" t="n">
        <v>46074</v>
      </c>
      <c r="F3121" s="21" t="s">
        <v>1197</v>
      </c>
      <c r="G3121" s="32"/>
      <c r="H3121" s="21"/>
      <c r="I3121" s="33"/>
      <c r="J3121" s="21" t="str">
        <f aca="false">INDEX(Students!$C$2:$C$601,MATCH(B3121,Students!$A$2:$A$601,0))</f>
        <v>Batch 2026</v>
      </c>
      <c r="K3121" s="21" t="str">
        <f aca="false">INDEX(Students!$D$2:$D$601,MATCH(B3121,Students!$A$2:$A$601,0))</f>
        <v>Full Stack Development</v>
      </c>
      <c r="L3121" s="21" t="str">
        <f aca="false">INDEX(Companies!$C$2:$C$31,MATCH(C3121,Companies!$A$2:$A$31,0))</f>
        <v>Product</v>
      </c>
      <c r="M3121" s="21" t="str">
        <f aca="false">INDEX(Companies!$D$2:$D$31,MATCH(C3121,Companies!$A$2:$A$31,0))</f>
        <v>Tier 1</v>
      </c>
      <c r="N3121" s="34" t="n">
        <f aca="false">MATCH(F3121,Assumptions!$K$4:$K$8,0)</f>
        <v>3</v>
      </c>
      <c r="O3121" s="21" t="str">
        <f aca="false">IF(H3121="Yes",MONTH(I3121),"")</f>
        <v/>
      </c>
      <c r="P3121" s="21" t="str">
        <f aca="false">IF(H3121="Yes",B3121,"")</f>
        <v/>
      </c>
    </row>
    <row r="3122" customFormat="false" ht="15" hidden="false" customHeight="false" outlineLevel="0" collapsed="false">
      <c r="A3122" s="21" t="s">
        <v>4337</v>
      </c>
      <c r="B3122" s="21" t="s">
        <v>886</v>
      </c>
      <c r="C3122" s="21" t="s">
        <v>1322</v>
      </c>
      <c r="D3122" s="21" t="s">
        <v>1209</v>
      </c>
      <c r="E3122" s="33" t="n">
        <v>46075</v>
      </c>
      <c r="F3122" s="21" t="s">
        <v>1178</v>
      </c>
      <c r="G3122" s="32"/>
      <c r="H3122" s="21"/>
      <c r="I3122" s="33"/>
      <c r="J3122" s="21" t="str">
        <f aca="false">INDEX(Students!$C$2:$C$601,MATCH(B3122,Students!$A$2:$A$601,0))</f>
        <v>Batch 2026</v>
      </c>
      <c r="K3122" s="21" t="str">
        <f aca="false">INDEX(Students!$D$2:$D$601,MATCH(B3122,Students!$A$2:$A$601,0))</f>
        <v>Data Analytics</v>
      </c>
      <c r="L3122" s="21" t="str">
        <f aca="false">INDEX(Companies!$C$2:$C$31,MATCH(C3122,Companies!$A$2:$A$31,0))</f>
        <v>Healthtech</v>
      </c>
      <c r="M3122" s="21" t="str">
        <f aca="false">INDEX(Companies!$D$2:$D$31,MATCH(C3122,Companies!$A$2:$A$31,0))</f>
        <v>Tier 2</v>
      </c>
      <c r="N3122" s="34" t="n">
        <f aca="false">MATCH(F3122,Assumptions!$K$4:$K$8,0)</f>
        <v>2</v>
      </c>
      <c r="O3122" s="21" t="str">
        <f aca="false">IF(H3122="Yes",MONTH(I3122),"")</f>
        <v/>
      </c>
      <c r="P3122" s="21" t="str">
        <f aca="false">IF(H3122="Yes",B3122,"")</f>
        <v/>
      </c>
    </row>
    <row r="3123" customFormat="false" ht="15" hidden="false" customHeight="false" outlineLevel="0" collapsed="false">
      <c r="A3123" s="21" t="s">
        <v>4338</v>
      </c>
      <c r="B3123" s="21" t="s">
        <v>1095</v>
      </c>
      <c r="C3123" s="21" t="s">
        <v>1266</v>
      </c>
      <c r="D3123" s="21" t="s">
        <v>1191</v>
      </c>
      <c r="E3123" s="33" t="n">
        <v>46075</v>
      </c>
      <c r="F3123" s="21" t="s">
        <v>1175</v>
      </c>
      <c r="G3123" s="32"/>
      <c r="H3123" s="21"/>
      <c r="I3123" s="33"/>
      <c r="J3123" s="21" t="str">
        <f aca="false">INDEX(Students!$C$2:$C$601,MATCH(B3123,Students!$A$2:$A$601,0))</f>
        <v>Batch 2026</v>
      </c>
      <c r="K3123" s="21" t="str">
        <f aca="false">INDEX(Students!$D$2:$D$601,MATCH(B3123,Students!$A$2:$A$601,0))</f>
        <v>DSA with Java</v>
      </c>
      <c r="L3123" s="21" t="str">
        <f aca="false">INDEX(Companies!$C$2:$C$31,MATCH(C3123,Companies!$A$2:$A$31,0))</f>
        <v>IT Services</v>
      </c>
      <c r="M3123" s="21" t="str">
        <f aca="false">INDEX(Companies!$D$2:$D$31,MATCH(C3123,Companies!$A$2:$A$31,0))</f>
        <v>Tier 3</v>
      </c>
      <c r="N3123" s="34" t="n">
        <f aca="false">MATCH(F3123,Assumptions!$K$4:$K$8,0)</f>
        <v>1</v>
      </c>
      <c r="O3123" s="21" t="str">
        <f aca="false">IF(H3123="Yes",MONTH(I3123),"")</f>
        <v/>
      </c>
      <c r="P3123" s="21" t="str">
        <f aca="false">IF(H3123="Yes",B3123,"")</f>
        <v/>
      </c>
    </row>
    <row r="3124" customFormat="false" ht="15" hidden="false" customHeight="false" outlineLevel="0" collapsed="false">
      <c r="A3124" s="21" t="s">
        <v>4339</v>
      </c>
      <c r="B3124" s="21" t="s">
        <v>1061</v>
      </c>
      <c r="C3124" s="21" t="s">
        <v>1205</v>
      </c>
      <c r="D3124" s="21" t="s">
        <v>1181</v>
      </c>
      <c r="E3124" s="33" t="n">
        <v>46075</v>
      </c>
      <c r="F3124" s="21" t="s">
        <v>1185</v>
      </c>
      <c r="G3124" s="32" t="n">
        <v>5.9</v>
      </c>
      <c r="H3124" s="21" t="s">
        <v>113</v>
      </c>
      <c r="I3124" s="33" t="n">
        <v>46118</v>
      </c>
      <c r="J3124" s="21" t="str">
        <f aca="false">INDEX(Students!$C$2:$C$601,MATCH(B3124,Students!$A$2:$A$601,0))</f>
        <v>Batch 2026</v>
      </c>
      <c r="K3124" s="21" t="str">
        <f aca="false">INDEX(Students!$D$2:$D$601,MATCH(B3124,Students!$A$2:$A$601,0))</f>
        <v>Full Stack Development</v>
      </c>
      <c r="L3124" s="21" t="str">
        <f aca="false">INDEX(Companies!$C$2:$C$31,MATCH(C3124,Companies!$A$2:$A$31,0))</f>
        <v>Healthtech</v>
      </c>
      <c r="M3124" s="21" t="str">
        <f aca="false">INDEX(Companies!$D$2:$D$31,MATCH(C3124,Companies!$A$2:$A$31,0))</f>
        <v>Tier 3</v>
      </c>
      <c r="N3124" s="34" t="n">
        <f aca="false">MATCH(F3124,Assumptions!$K$4:$K$8,0)</f>
        <v>5</v>
      </c>
      <c r="O3124" s="21" t="str">
        <f aca="false">IF(H3124="Yes",MONTH(I3124),"")</f>
        <v/>
      </c>
      <c r="P3124" s="21" t="str">
        <f aca="false">IF(H3124="Yes",B3124,"")</f>
        <v/>
      </c>
    </row>
    <row r="3125" customFormat="false" ht="15" hidden="false" customHeight="false" outlineLevel="0" collapsed="false">
      <c r="A3125" s="21" t="s">
        <v>4340</v>
      </c>
      <c r="B3125" s="21" t="s">
        <v>915</v>
      </c>
      <c r="C3125" s="21" t="s">
        <v>1208</v>
      </c>
      <c r="D3125" s="21" t="s">
        <v>1188</v>
      </c>
      <c r="E3125" s="33" t="n">
        <v>46076</v>
      </c>
      <c r="F3125" s="21" t="s">
        <v>1185</v>
      </c>
      <c r="G3125" s="32" t="n">
        <v>28.7</v>
      </c>
      <c r="H3125" s="21" t="s">
        <v>120</v>
      </c>
      <c r="I3125" s="33" t="n">
        <v>46130</v>
      </c>
      <c r="J3125" s="21" t="str">
        <f aca="false">INDEX(Students!$C$2:$C$601,MATCH(B3125,Students!$A$2:$A$601,0))</f>
        <v>Batch 2026</v>
      </c>
      <c r="K3125" s="21" t="str">
        <f aca="false">INDEX(Students!$D$2:$D$601,MATCH(B3125,Students!$A$2:$A$601,0))</f>
        <v>Data Analytics</v>
      </c>
      <c r="L3125" s="21" t="str">
        <f aca="false">INDEX(Companies!$C$2:$C$31,MATCH(C3125,Companies!$A$2:$A$31,0))</f>
        <v>E-commerce</v>
      </c>
      <c r="M3125" s="21" t="str">
        <f aca="false">INDEX(Companies!$D$2:$D$31,MATCH(C3125,Companies!$A$2:$A$31,0))</f>
        <v>Tier 1</v>
      </c>
      <c r="N3125" s="34" t="n">
        <f aca="false">MATCH(F3125,Assumptions!$K$4:$K$8,0)</f>
        <v>5</v>
      </c>
      <c r="O3125" s="21" t="n">
        <f aca="false">IF(H3125="Yes",MONTH(I3125),"")</f>
        <v>4</v>
      </c>
      <c r="P3125" s="21" t="str">
        <f aca="false">IF(H3125="Yes",B3125,"")</f>
        <v>S0446</v>
      </c>
    </row>
    <row r="3126" customFormat="false" ht="15" hidden="false" customHeight="false" outlineLevel="0" collapsed="false">
      <c r="A3126" s="21" t="s">
        <v>4341</v>
      </c>
      <c r="B3126" s="21" t="s">
        <v>1007</v>
      </c>
      <c r="C3126" s="21" t="s">
        <v>1275</v>
      </c>
      <c r="D3126" s="21" t="s">
        <v>1181</v>
      </c>
      <c r="E3126" s="33" t="n">
        <v>46076</v>
      </c>
      <c r="F3126" s="21" t="s">
        <v>1178</v>
      </c>
      <c r="G3126" s="32"/>
      <c r="H3126" s="21"/>
      <c r="I3126" s="33"/>
      <c r="J3126" s="21" t="str">
        <f aca="false">INDEX(Students!$C$2:$C$601,MATCH(B3126,Students!$A$2:$A$601,0))</f>
        <v>Batch 2026</v>
      </c>
      <c r="K3126" s="21" t="str">
        <f aca="false">INDEX(Students!$D$2:$D$601,MATCH(B3126,Students!$A$2:$A$601,0))</f>
        <v>Full Stack Development</v>
      </c>
      <c r="L3126" s="21" t="str">
        <f aca="false">INDEX(Companies!$C$2:$C$31,MATCH(C3126,Companies!$A$2:$A$31,0))</f>
        <v>Cybersecurity</v>
      </c>
      <c r="M3126" s="21" t="str">
        <f aca="false">INDEX(Companies!$D$2:$D$31,MATCH(C3126,Companies!$A$2:$A$31,0))</f>
        <v>Tier 2</v>
      </c>
      <c r="N3126" s="34" t="n">
        <f aca="false">MATCH(F3126,Assumptions!$K$4:$K$8,0)</f>
        <v>2</v>
      </c>
      <c r="O3126" s="21" t="str">
        <f aca="false">IF(H3126="Yes",MONTH(I3126),"")</f>
        <v/>
      </c>
      <c r="P3126" s="21" t="str">
        <f aca="false">IF(H3126="Yes",B3126,"")</f>
        <v/>
      </c>
    </row>
    <row r="3127" customFormat="false" ht="15" hidden="false" customHeight="false" outlineLevel="0" collapsed="false">
      <c r="A3127" s="21" t="s">
        <v>4342</v>
      </c>
      <c r="B3127" s="21" t="s">
        <v>886</v>
      </c>
      <c r="C3127" s="21" t="s">
        <v>1298</v>
      </c>
      <c r="D3127" s="21" t="s">
        <v>1188</v>
      </c>
      <c r="E3127" s="33" t="n">
        <v>46076</v>
      </c>
      <c r="F3127" s="21" t="s">
        <v>1175</v>
      </c>
      <c r="G3127" s="32"/>
      <c r="H3127" s="21"/>
      <c r="I3127" s="33"/>
      <c r="J3127" s="21" t="str">
        <f aca="false">INDEX(Students!$C$2:$C$601,MATCH(B3127,Students!$A$2:$A$601,0))</f>
        <v>Batch 2026</v>
      </c>
      <c r="K3127" s="21" t="str">
        <f aca="false">INDEX(Students!$D$2:$D$601,MATCH(B3127,Students!$A$2:$A$601,0))</f>
        <v>Data Analytics</v>
      </c>
      <c r="L3127" s="21" t="str">
        <f aca="false">INDEX(Companies!$C$2:$C$31,MATCH(C3127,Companies!$A$2:$A$31,0))</f>
        <v>Fintech</v>
      </c>
      <c r="M3127" s="21" t="str">
        <f aca="false">INDEX(Companies!$D$2:$D$31,MATCH(C3127,Companies!$A$2:$A$31,0))</f>
        <v>Tier 2</v>
      </c>
      <c r="N3127" s="34" t="n">
        <f aca="false">MATCH(F3127,Assumptions!$K$4:$K$8,0)</f>
        <v>1</v>
      </c>
      <c r="O3127" s="21" t="str">
        <f aca="false">IF(H3127="Yes",MONTH(I3127),"")</f>
        <v/>
      </c>
      <c r="P3127" s="21" t="str">
        <f aca="false">IF(H3127="Yes",B3127,"")</f>
        <v/>
      </c>
    </row>
    <row r="3128" customFormat="false" ht="15" hidden="false" customHeight="false" outlineLevel="0" collapsed="false">
      <c r="A3128" s="21" t="s">
        <v>4343</v>
      </c>
      <c r="B3128" s="21" t="s">
        <v>1110</v>
      </c>
      <c r="C3128" s="21" t="s">
        <v>1183</v>
      </c>
      <c r="D3128" s="21" t="s">
        <v>1191</v>
      </c>
      <c r="E3128" s="33" t="n">
        <v>46076</v>
      </c>
      <c r="F3128" s="21" t="s">
        <v>1185</v>
      </c>
      <c r="G3128" s="32" t="n">
        <v>12</v>
      </c>
      <c r="H3128" s="21" t="s">
        <v>120</v>
      </c>
      <c r="I3128" s="33" t="n">
        <v>46123</v>
      </c>
      <c r="J3128" s="21" t="str">
        <f aca="false">INDEX(Students!$C$2:$C$601,MATCH(B3128,Students!$A$2:$A$601,0))</f>
        <v>Batch 2026</v>
      </c>
      <c r="K3128" s="21" t="str">
        <f aca="false">INDEX(Students!$D$2:$D$601,MATCH(B3128,Students!$A$2:$A$601,0))</f>
        <v>DSA with Java</v>
      </c>
      <c r="L3128" s="21" t="str">
        <f aca="false">INDEX(Companies!$C$2:$C$31,MATCH(C3128,Companies!$A$2:$A$31,0))</f>
        <v>E-commerce</v>
      </c>
      <c r="M3128" s="21" t="str">
        <f aca="false">INDEX(Companies!$D$2:$D$31,MATCH(C3128,Companies!$A$2:$A$31,0))</f>
        <v>Tier 2</v>
      </c>
      <c r="N3128" s="34" t="n">
        <f aca="false">MATCH(F3128,Assumptions!$K$4:$K$8,0)</f>
        <v>5</v>
      </c>
      <c r="O3128" s="21" t="n">
        <f aca="false">IF(H3128="Yes",MONTH(I3128),"")</f>
        <v>4</v>
      </c>
      <c r="P3128" s="21" t="str">
        <f aca="false">IF(H3128="Yes",B3128,"")</f>
        <v>S0568</v>
      </c>
    </row>
    <row r="3129" customFormat="false" ht="15" hidden="false" customHeight="false" outlineLevel="0" collapsed="false">
      <c r="A3129" s="21" t="s">
        <v>4344</v>
      </c>
      <c r="B3129" s="21" t="s">
        <v>884</v>
      </c>
      <c r="C3129" s="21" t="s">
        <v>1183</v>
      </c>
      <c r="D3129" s="21" t="s">
        <v>1181</v>
      </c>
      <c r="E3129" s="33" t="n">
        <v>46076</v>
      </c>
      <c r="F3129" s="21" t="s">
        <v>1178</v>
      </c>
      <c r="G3129" s="32"/>
      <c r="H3129" s="21"/>
      <c r="I3129" s="33"/>
      <c r="J3129" s="21" t="str">
        <f aca="false">INDEX(Students!$C$2:$C$601,MATCH(B3129,Students!$A$2:$A$601,0))</f>
        <v>Batch 2026</v>
      </c>
      <c r="K3129" s="21" t="str">
        <f aca="false">INDEX(Students!$D$2:$D$601,MATCH(B3129,Students!$A$2:$A$601,0))</f>
        <v>Full Stack Development</v>
      </c>
      <c r="L3129" s="21" t="str">
        <f aca="false">INDEX(Companies!$C$2:$C$31,MATCH(C3129,Companies!$A$2:$A$31,0))</f>
        <v>E-commerce</v>
      </c>
      <c r="M3129" s="21" t="str">
        <f aca="false">INDEX(Companies!$D$2:$D$31,MATCH(C3129,Companies!$A$2:$A$31,0))</f>
        <v>Tier 2</v>
      </c>
      <c r="N3129" s="34" t="n">
        <f aca="false">MATCH(F3129,Assumptions!$K$4:$K$8,0)</f>
        <v>2</v>
      </c>
      <c r="O3129" s="21" t="str">
        <f aca="false">IF(H3129="Yes",MONTH(I3129),"")</f>
        <v/>
      </c>
      <c r="P3129" s="21" t="str">
        <f aca="false">IF(H3129="Yes",B3129,"")</f>
        <v/>
      </c>
    </row>
    <row r="3130" customFormat="false" ht="15" hidden="false" customHeight="false" outlineLevel="0" collapsed="false">
      <c r="A3130" s="21" t="s">
        <v>4345</v>
      </c>
      <c r="B3130" s="21" t="s">
        <v>1011</v>
      </c>
      <c r="C3130" s="21" t="s">
        <v>1230</v>
      </c>
      <c r="D3130" s="21" t="s">
        <v>1181</v>
      </c>
      <c r="E3130" s="33" t="n">
        <v>46077</v>
      </c>
      <c r="F3130" s="21" t="s">
        <v>1178</v>
      </c>
      <c r="G3130" s="32"/>
      <c r="H3130" s="21"/>
      <c r="I3130" s="33"/>
      <c r="J3130" s="21" t="str">
        <f aca="false">INDEX(Students!$C$2:$C$601,MATCH(B3130,Students!$A$2:$A$601,0))</f>
        <v>Batch 2026</v>
      </c>
      <c r="K3130" s="21" t="str">
        <f aca="false">INDEX(Students!$D$2:$D$601,MATCH(B3130,Students!$A$2:$A$601,0))</f>
        <v>Full Stack Development</v>
      </c>
      <c r="L3130" s="21" t="str">
        <f aca="false">INDEX(Companies!$C$2:$C$31,MATCH(C3130,Companies!$A$2:$A$31,0))</f>
        <v>IT Services</v>
      </c>
      <c r="M3130" s="21" t="str">
        <f aca="false">INDEX(Companies!$D$2:$D$31,MATCH(C3130,Companies!$A$2:$A$31,0))</f>
        <v>Tier 3</v>
      </c>
      <c r="N3130" s="34" t="n">
        <f aca="false">MATCH(F3130,Assumptions!$K$4:$K$8,0)</f>
        <v>2</v>
      </c>
      <c r="O3130" s="21" t="str">
        <f aca="false">IF(H3130="Yes",MONTH(I3130),"")</f>
        <v/>
      </c>
      <c r="P3130" s="21" t="str">
        <f aca="false">IF(H3130="Yes",B3130,"")</f>
        <v/>
      </c>
    </row>
    <row r="3131" customFormat="false" ht="15" hidden="false" customHeight="false" outlineLevel="0" collapsed="false">
      <c r="A3131" s="21" t="s">
        <v>4346</v>
      </c>
      <c r="B3131" s="21" t="s">
        <v>1007</v>
      </c>
      <c r="C3131" s="21" t="s">
        <v>1190</v>
      </c>
      <c r="D3131" s="21" t="s">
        <v>1181</v>
      </c>
      <c r="E3131" s="33" t="n">
        <v>46077</v>
      </c>
      <c r="F3131" s="21" t="s">
        <v>1218</v>
      </c>
      <c r="G3131" s="32"/>
      <c r="H3131" s="21"/>
      <c r="I3131" s="33"/>
      <c r="J3131" s="21" t="str">
        <f aca="false">INDEX(Students!$C$2:$C$601,MATCH(B3131,Students!$A$2:$A$601,0))</f>
        <v>Batch 2026</v>
      </c>
      <c r="K3131" s="21" t="str">
        <f aca="false">INDEX(Students!$D$2:$D$601,MATCH(B3131,Students!$A$2:$A$601,0))</f>
        <v>Full Stack Development</v>
      </c>
      <c r="L3131" s="21" t="str">
        <f aca="false">INDEX(Companies!$C$2:$C$31,MATCH(C3131,Companies!$A$2:$A$31,0))</f>
        <v>Analytics &amp; Consulting</v>
      </c>
      <c r="M3131" s="21" t="str">
        <f aca="false">INDEX(Companies!$D$2:$D$31,MATCH(C3131,Companies!$A$2:$A$31,0))</f>
        <v>Tier 1</v>
      </c>
      <c r="N3131" s="34" t="n">
        <f aca="false">MATCH(F3131,Assumptions!$K$4:$K$8,0)</f>
        <v>4</v>
      </c>
      <c r="O3131" s="21" t="str">
        <f aca="false">IF(H3131="Yes",MONTH(I3131),"")</f>
        <v/>
      </c>
      <c r="P3131" s="21" t="str">
        <f aca="false">IF(H3131="Yes",B3131,"")</f>
        <v/>
      </c>
    </row>
    <row r="3132" customFormat="false" ht="15" hidden="false" customHeight="false" outlineLevel="0" collapsed="false">
      <c r="A3132" s="21" t="s">
        <v>4347</v>
      </c>
      <c r="B3132" s="21" t="s">
        <v>815</v>
      </c>
      <c r="C3132" s="21" t="s">
        <v>1177</v>
      </c>
      <c r="D3132" s="21" t="s">
        <v>1226</v>
      </c>
      <c r="E3132" s="33" t="n">
        <v>46077</v>
      </c>
      <c r="F3132" s="21" t="s">
        <v>1178</v>
      </c>
      <c r="G3132" s="32"/>
      <c r="H3132" s="21"/>
      <c r="I3132" s="33"/>
      <c r="J3132" s="21" t="str">
        <f aca="false">INDEX(Students!$C$2:$C$601,MATCH(B3132,Students!$A$2:$A$601,0))</f>
        <v>Batch 2026</v>
      </c>
      <c r="K3132" s="21" t="str">
        <f aca="false">INDEX(Students!$D$2:$D$601,MATCH(B3132,Students!$A$2:$A$601,0))</f>
        <v>Cybersecurity</v>
      </c>
      <c r="L3132" s="21" t="str">
        <f aca="false">INDEX(Companies!$C$2:$C$31,MATCH(C3132,Companies!$A$2:$A$31,0))</f>
        <v>IT Services</v>
      </c>
      <c r="M3132" s="21" t="str">
        <f aca="false">INDEX(Companies!$D$2:$D$31,MATCH(C3132,Companies!$A$2:$A$31,0))</f>
        <v>Tier 3</v>
      </c>
      <c r="N3132" s="34" t="n">
        <f aca="false">MATCH(F3132,Assumptions!$K$4:$K$8,0)</f>
        <v>2</v>
      </c>
      <c r="O3132" s="21" t="str">
        <f aca="false">IF(H3132="Yes",MONTH(I3132),"")</f>
        <v/>
      </c>
      <c r="P3132" s="21" t="str">
        <f aca="false">IF(H3132="Yes",B3132,"")</f>
        <v/>
      </c>
    </row>
    <row r="3133" customFormat="false" ht="15" hidden="false" customHeight="false" outlineLevel="0" collapsed="false">
      <c r="A3133" s="21" t="s">
        <v>4348</v>
      </c>
      <c r="B3133" s="21" t="s">
        <v>957</v>
      </c>
      <c r="C3133" s="21" t="s">
        <v>1177</v>
      </c>
      <c r="D3133" s="21" t="s">
        <v>1184</v>
      </c>
      <c r="E3133" s="33" t="n">
        <v>46077</v>
      </c>
      <c r="F3133" s="21" t="s">
        <v>1197</v>
      </c>
      <c r="G3133" s="32"/>
      <c r="H3133" s="21"/>
      <c r="I3133" s="33"/>
      <c r="J3133" s="21" t="str">
        <f aca="false">INDEX(Students!$C$2:$C$601,MATCH(B3133,Students!$A$2:$A$601,0))</f>
        <v>Batch 2026</v>
      </c>
      <c r="K3133" s="21" t="str">
        <f aca="false">INDEX(Students!$D$2:$D$601,MATCH(B3133,Students!$A$2:$A$601,0))</f>
        <v>DSA with Java</v>
      </c>
      <c r="L3133" s="21" t="str">
        <f aca="false">INDEX(Companies!$C$2:$C$31,MATCH(C3133,Companies!$A$2:$A$31,0))</f>
        <v>IT Services</v>
      </c>
      <c r="M3133" s="21" t="str">
        <f aca="false">INDEX(Companies!$D$2:$D$31,MATCH(C3133,Companies!$A$2:$A$31,0))</f>
        <v>Tier 3</v>
      </c>
      <c r="N3133" s="34" t="n">
        <f aca="false">MATCH(F3133,Assumptions!$K$4:$K$8,0)</f>
        <v>3</v>
      </c>
      <c r="O3133" s="21" t="str">
        <f aca="false">IF(H3133="Yes",MONTH(I3133),"")</f>
        <v/>
      </c>
      <c r="P3133" s="21" t="str">
        <f aca="false">IF(H3133="Yes",B3133,"")</f>
        <v/>
      </c>
    </row>
    <row r="3134" customFormat="false" ht="15" hidden="false" customHeight="false" outlineLevel="0" collapsed="false">
      <c r="A3134" s="21" t="s">
        <v>4349</v>
      </c>
      <c r="B3134" s="21" t="s">
        <v>1025</v>
      </c>
      <c r="C3134" s="21" t="s">
        <v>1322</v>
      </c>
      <c r="D3134" s="21" t="s">
        <v>1243</v>
      </c>
      <c r="E3134" s="33" t="n">
        <v>46077</v>
      </c>
      <c r="F3134" s="21" t="s">
        <v>1178</v>
      </c>
      <c r="G3134" s="32"/>
      <c r="H3134" s="21"/>
      <c r="I3134" s="33"/>
      <c r="J3134" s="21" t="str">
        <f aca="false">INDEX(Students!$C$2:$C$601,MATCH(B3134,Students!$A$2:$A$601,0))</f>
        <v>Batch 2026</v>
      </c>
      <c r="K3134" s="21" t="str">
        <f aca="false">INDEX(Students!$D$2:$D$601,MATCH(B3134,Students!$A$2:$A$601,0))</f>
        <v>Data Science &amp; ML</v>
      </c>
      <c r="L3134" s="21" t="str">
        <f aca="false">INDEX(Companies!$C$2:$C$31,MATCH(C3134,Companies!$A$2:$A$31,0))</f>
        <v>Healthtech</v>
      </c>
      <c r="M3134" s="21" t="str">
        <f aca="false">INDEX(Companies!$D$2:$D$31,MATCH(C3134,Companies!$A$2:$A$31,0))</f>
        <v>Tier 2</v>
      </c>
      <c r="N3134" s="34" t="n">
        <f aca="false">MATCH(F3134,Assumptions!$K$4:$K$8,0)</f>
        <v>2</v>
      </c>
      <c r="O3134" s="21" t="str">
        <f aca="false">IF(H3134="Yes",MONTH(I3134),"")</f>
        <v/>
      </c>
      <c r="P3134" s="21" t="str">
        <f aca="false">IF(H3134="Yes",B3134,"")</f>
        <v/>
      </c>
    </row>
    <row r="3135" customFormat="false" ht="15" hidden="false" customHeight="false" outlineLevel="0" collapsed="false">
      <c r="A3135" s="21" t="s">
        <v>4350</v>
      </c>
      <c r="B3135" s="21" t="s">
        <v>1114</v>
      </c>
      <c r="C3135" s="21" t="s">
        <v>1216</v>
      </c>
      <c r="D3135" s="21" t="s">
        <v>1194</v>
      </c>
      <c r="E3135" s="33" t="n">
        <v>46078</v>
      </c>
      <c r="F3135" s="21" t="s">
        <v>1197</v>
      </c>
      <c r="G3135" s="32"/>
      <c r="H3135" s="21"/>
      <c r="I3135" s="33"/>
      <c r="J3135" s="21" t="str">
        <f aca="false">INDEX(Students!$C$2:$C$601,MATCH(B3135,Students!$A$2:$A$601,0))</f>
        <v>Batch 2026</v>
      </c>
      <c r="K3135" s="21" t="str">
        <f aca="false">INDEX(Students!$D$2:$D$601,MATCH(B3135,Students!$A$2:$A$601,0))</f>
        <v>Data Science &amp; ML</v>
      </c>
      <c r="L3135" s="21" t="str">
        <f aca="false">INDEX(Companies!$C$2:$C$31,MATCH(C3135,Companies!$A$2:$A$31,0))</f>
        <v>IT Services</v>
      </c>
      <c r="M3135" s="21" t="str">
        <f aca="false">INDEX(Companies!$D$2:$D$31,MATCH(C3135,Companies!$A$2:$A$31,0))</f>
        <v>Tier 3</v>
      </c>
      <c r="N3135" s="34" t="n">
        <f aca="false">MATCH(F3135,Assumptions!$K$4:$K$8,0)</f>
        <v>3</v>
      </c>
      <c r="O3135" s="21" t="str">
        <f aca="false">IF(H3135="Yes",MONTH(I3135),"")</f>
        <v/>
      </c>
      <c r="P3135" s="21" t="str">
        <f aca="false">IF(H3135="Yes",B3135,"")</f>
        <v/>
      </c>
    </row>
    <row r="3136" customFormat="false" ht="15" hidden="false" customHeight="false" outlineLevel="0" collapsed="false">
      <c r="A3136" s="21" t="s">
        <v>4351</v>
      </c>
      <c r="B3136" s="21" t="s">
        <v>933</v>
      </c>
      <c r="C3136" s="21" t="s">
        <v>1263</v>
      </c>
      <c r="D3136" s="21" t="s">
        <v>1174</v>
      </c>
      <c r="E3136" s="33" t="n">
        <v>46078</v>
      </c>
      <c r="F3136" s="21" t="s">
        <v>1178</v>
      </c>
      <c r="G3136" s="32"/>
      <c r="H3136" s="21"/>
      <c r="I3136" s="33"/>
      <c r="J3136" s="21" t="str">
        <f aca="false">INDEX(Students!$C$2:$C$601,MATCH(B3136,Students!$A$2:$A$601,0))</f>
        <v>Batch 2026</v>
      </c>
      <c r="K3136" s="21" t="str">
        <f aca="false">INDEX(Students!$D$2:$D$601,MATCH(B3136,Students!$A$2:$A$601,0))</f>
        <v>Full Stack Development</v>
      </c>
      <c r="L3136" s="21" t="str">
        <f aca="false">INDEX(Companies!$C$2:$C$31,MATCH(C3136,Companies!$A$2:$A$31,0))</f>
        <v>Analytics &amp; Consulting</v>
      </c>
      <c r="M3136" s="21" t="str">
        <f aca="false">INDEX(Companies!$D$2:$D$31,MATCH(C3136,Companies!$A$2:$A$31,0))</f>
        <v>Tier 2</v>
      </c>
      <c r="N3136" s="34" t="n">
        <f aca="false">MATCH(F3136,Assumptions!$K$4:$K$8,0)</f>
        <v>2</v>
      </c>
      <c r="O3136" s="21" t="str">
        <f aca="false">IF(H3136="Yes",MONTH(I3136),"")</f>
        <v/>
      </c>
      <c r="P3136" s="21" t="str">
        <f aca="false">IF(H3136="Yes",B3136,"")</f>
        <v/>
      </c>
    </row>
    <row r="3137" customFormat="false" ht="15" hidden="false" customHeight="false" outlineLevel="0" collapsed="false">
      <c r="A3137" s="21" t="s">
        <v>4352</v>
      </c>
      <c r="B3137" s="21" t="s">
        <v>1034</v>
      </c>
      <c r="C3137" s="21" t="s">
        <v>1208</v>
      </c>
      <c r="D3137" s="21" t="s">
        <v>1191</v>
      </c>
      <c r="E3137" s="33" t="n">
        <v>46078</v>
      </c>
      <c r="F3137" s="21" t="s">
        <v>1218</v>
      </c>
      <c r="G3137" s="32"/>
      <c r="H3137" s="21"/>
      <c r="I3137" s="33"/>
      <c r="J3137" s="21" t="str">
        <f aca="false">INDEX(Students!$C$2:$C$601,MATCH(B3137,Students!$A$2:$A$601,0))</f>
        <v>Batch 2026</v>
      </c>
      <c r="K3137" s="21" t="str">
        <f aca="false">INDEX(Students!$D$2:$D$601,MATCH(B3137,Students!$A$2:$A$601,0))</f>
        <v>DSA with Java</v>
      </c>
      <c r="L3137" s="21" t="str">
        <f aca="false">INDEX(Companies!$C$2:$C$31,MATCH(C3137,Companies!$A$2:$A$31,0))</f>
        <v>E-commerce</v>
      </c>
      <c r="M3137" s="21" t="str">
        <f aca="false">INDEX(Companies!$D$2:$D$31,MATCH(C3137,Companies!$A$2:$A$31,0))</f>
        <v>Tier 1</v>
      </c>
      <c r="N3137" s="34" t="n">
        <f aca="false">MATCH(F3137,Assumptions!$K$4:$K$8,0)</f>
        <v>4</v>
      </c>
      <c r="O3137" s="21" t="str">
        <f aca="false">IF(H3137="Yes",MONTH(I3137),"")</f>
        <v/>
      </c>
      <c r="P3137" s="21" t="str">
        <f aca="false">IF(H3137="Yes",B3137,"")</f>
        <v/>
      </c>
    </row>
    <row r="3138" customFormat="false" ht="15" hidden="false" customHeight="false" outlineLevel="0" collapsed="false">
      <c r="A3138" s="21" t="s">
        <v>4353</v>
      </c>
      <c r="B3138" s="21" t="s">
        <v>1054</v>
      </c>
      <c r="C3138" s="21" t="s">
        <v>1234</v>
      </c>
      <c r="D3138" s="21" t="s">
        <v>1181</v>
      </c>
      <c r="E3138" s="33" t="n">
        <v>46078</v>
      </c>
      <c r="F3138" s="21" t="s">
        <v>1185</v>
      </c>
      <c r="G3138" s="32" t="n">
        <v>5.7</v>
      </c>
      <c r="H3138" s="21" t="s">
        <v>113</v>
      </c>
      <c r="I3138" s="33" t="n">
        <v>46126</v>
      </c>
      <c r="J3138" s="21" t="str">
        <f aca="false">INDEX(Students!$C$2:$C$601,MATCH(B3138,Students!$A$2:$A$601,0))</f>
        <v>Batch 2026</v>
      </c>
      <c r="K3138" s="21" t="str">
        <f aca="false">INDEX(Students!$D$2:$D$601,MATCH(B3138,Students!$A$2:$A$601,0))</f>
        <v>Full Stack Development</v>
      </c>
      <c r="L3138" s="21" t="str">
        <f aca="false">INDEX(Companies!$C$2:$C$31,MATCH(C3138,Companies!$A$2:$A$31,0))</f>
        <v>EdTech</v>
      </c>
      <c r="M3138" s="21" t="str">
        <f aca="false">INDEX(Companies!$D$2:$D$31,MATCH(C3138,Companies!$A$2:$A$31,0))</f>
        <v>Tier 3</v>
      </c>
      <c r="N3138" s="34" t="n">
        <f aca="false">MATCH(F3138,Assumptions!$K$4:$K$8,0)</f>
        <v>5</v>
      </c>
      <c r="O3138" s="21" t="str">
        <f aca="false">IF(H3138="Yes",MONTH(I3138),"")</f>
        <v/>
      </c>
      <c r="P3138" s="21" t="str">
        <f aca="false">IF(H3138="Yes",B3138,"")</f>
        <v/>
      </c>
    </row>
    <row r="3139" customFormat="false" ht="15" hidden="false" customHeight="false" outlineLevel="0" collapsed="false">
      <c r="A3139" s="21" t="s">
        <v>4354</v>
      </c>
      <c r="B3139" s="21" t="s">
        <v>967</v>
      </c>
      <c r="C3139" s="21" t="s">
        <v>1263</v>
      </c>
      <c r="D3139" s="21" t="s">
        <v>1181</v>
      </c>
      <c r="E3139" s="33" t="n">
        <v>46079</v>
      </c>
      <c r="F3139" s="21" t="s">
        <v>1175</v>
      </c>
      <c r="G3139" s="32"/>
      <c r="H3139" s="21"/>
      <c r="I3139" s="33"/>
      <c r="J3139" s="21" t="str">
        <f aca="false">INDEX(Students!$C$2:$C$601,MATCH(B3139,Students!$A$2:$A$601,0))</f>
        <v>Batch 2026</v>
      </c>
      <c r="K3139" s="21" t="str">
        <f aca="false">INDEX(Students!$D$2:$D$601,MATCH(B3139,Students!$A$2:$A$601,0))</f>
        <v>Full Stack Development</v>
      </c>
      <c r="L3139" s="21" t="str">
        <f aca="false">INDEX(Companies!$C$2:$C$31,MATCH(C3139,Companies!$A$2:$A$31,0))</f>
        <v>Analytics &amp; Consulting</v>
      </c>
      <c r="M3139" s="21" t="str">
        <f aca="false">INDEX(Companies!$D$2:$D$31,MATCH(C3139,Companies!$A$2:$A$31,0))</f>
        <v>Tier 2</v>
      </c>
      <c r="N3139" s="34" t="n">
        <f aca="false">MATCH(F3139,Assumptions!$K$4:$K$8,0)</f>
        <v>1</v>
      </c>
      <c r="O3139" s="21" t="str">
        <f aca="false">IF(H3139="Yes",MONTH(I3139),"")</f>
        <v/>
      </c>
      <c r="P3139" s="21" t="str">
        <f aca="false">IF(H3139="Yes",B3139,"")</f>
        <v/>
      </c>
    </row>
    <row r="3140" customFormat="false" ht="15" hidden="false" customHeight="false" outlineLevel="0" collapsed="false">
      <c r="A3140" s="21" t="s">
        <v>4355</v>
      </c>
      <c r="B3140" s="21" t="s">
        <v>969</v>
      </c>
      <c r="C3140" s="21" t="s">
        <v>1255</v>
      </c>
      <c r="D3140" s="21" t="s">
        <v>1243</v>
      </c>
      <c r="E3140" s="33" t="n">
        <v>46079</v>
      </c>
      <c r="F3140" s="21" t="s">
        <v>1178</v>
      </c>
      <c r="G3140" s="32"/>
      <c r="H3140" s="21"/>
      <c r="I3140" s="33"/>
      <c r="J3140" s="21" t="str">
        <f aca="false">INDEX(Students!$C$2:$C$601,MATCH(B3140,Students!$A$2:$A$601,0))</f>
        <v>Batch 2026</v>
      </c>
      <c r="K3140" s="21" t="str">
        <f aca="false">INDEX(Students!$D$2:$D$601,MATCH(B3140,Students!$A$2:$A$601,0))</f>
        <v>Data Science &amp; ML</v>
      </c>
      <c r="L3140" s="21" t="str">
        <f aca="false">INDEX(Companies!$C$2:$C$31,MATCH(C3140,Companies!$A$2:$A$31,0))</f>
        <v>IT Services</v>
      </c>
      <c r="M3140" s="21" t="str">
        <f aca="false">INDEX(Companies!$D$2:$D$31,MATCH(C3140,Companies!$A$2:$A$31,0))</f>
        <v>Tier 3</v>
      </c>
      <c r="N3140" s="34" t="n">
        <f aca="false">MATCH(F3140,Assumptions!$K$4:$K$8,0)</f>
        <v>2</v>
      </c>
      <c r="O3140" s="21" t="str">
        <f aca="false">IF(H3140="Yes",MONTH(I3140),"")</f>
        <v/>
      </c>
      <c r="P3140" s="21" t="str">
        <f aca="false">IF(H3140="Yes",B3140,"")</f>
        <v/>
      </c>
    </row>
    <row r="3141" customFormat="false" ht="15" hidden="false" customHeight="false" outlineLevel="0" collapsed="false">
      <c r="A3141" s="21" t="s">
        <v>4356</v>
      </c>
      <c r="B3141" s="21" t="s">
        <v>950</v>
      </c>
      <c r="C3141" s="21" t="s">
        <v>1275</v>
      </c>
      <c r="D3141" s="21" t="s">
        <v>1184</v>
      </c>
      <c r="E3141" s="33" t="n">
        <v>46079</v>
      </c>
      <c r="F3141" s="21" t="s">
        <v>1185</v>
      </c>
      <c r="G3141" s="32" t="n">
        <v>12.4</v>
      </c>
      <c r="H3141" s="21" t="s">
        <v>120</v>
      </c>
      <c r="I3141" s="33" t="n">
        <v>46119</v>
      </c>
      <c r="J3141" s="21" t="str">
        <f aca="false">INDEX(Students!$C$2:$C$601,MATCH(B3141,Students!$A$2:$A$601,0))</f>
        <v>Batch 2026</v>
      </c>
      <c r="K3141" s="21" t="str">
        <f aca="false">INDEX(Students!$D$2:$D$601,MATCH(B3141,Students!$A$2:$A$601,0))</f>
        <v>DSA with Java</v>
      </c>
      <c r="L3141" s="21" t="str">
        <f aca="false">INDEX(Companies!$C$2:$C$31,MATCH(C3141,Companies!$A$2:$A$31,0))</f>
        <v>Cybersecurity</v>
      </c>
      <c r="M3141" s="21" t="str">
        <f aca="false">INDEX(Companies!$D$2:$D$31,MATCH(C3141,Companies!$A$2:$A$31,0))</f>
        <v>Tier 2</v>
      </c>
      <c r="N3141" s="34" t="n">
        <f aca="false">MATCH(F3141,Assumptions!$K$4:$K$8,0)</f>
        <v>5</v>
      </c>
      <c r="O3141" s="21" t="n">
        <f aca="false">IF(H3141="Yes",MONTH(I3141),"")</f>
        <v>4</v>
      </c>
      <c r="P3141" s="21" t="str">
        <f aca="false">IF(H3141="Yes",B3141,"")</f>
        <v>S0470</v>
      </c>
    </row>
    <row r="3142" customFormat="false" ht="15" hidden="false" customHeight="false" outlineLevel="0" collapsed="false">
      <c r="A3142" s="21" t="s">
        <v>4357</v>
      </c>
      <c r="B3142" s="21" t="s">
        <v>970</v>
      </c>
      <c r="C3142" s="21" t="s">
        <v>1199</v>
      </c>
      <c r="D3142" s="21" t="s">
        <v>1191</v>
      </c>
      <c r="E3142" s="33" t="n">
        <v>46079</v>
      </c>
      <c r="F3142" s="21" t="s">
        <v>1197</v>
      </c>
      <c r="G3142" s="32"/>
      <c r="H3142" s="21"/>
      <c r="I3142" s="33"/>
      <c r="J3142" s="21" t="str">
        <f aca="false">INDEX(Students!$C$2:$C$601,MATCH(B3142,Students!$A$2:$A$601,0))</f>
        <v>Batch 2026</v>
      </c>
      <c r="K3142" s="21" t="str">
        <f aca="false">INDEX(Students!$D$2:$D$601,MATCH(B3142,Students!$A$2:$A$601,0))</f>
        <v>DSA with Java</v>
      </c>
      <c r="L3142" s="21" t="str">
        <f aca="false">INDEX(Companies!$C$2:$C$31,MATCH(C3142,Companies!$A$2:$A$31,0))</f>
        <v>E-commerce</v>
      </c>
      <c r="M3142" s="21" t="str">
        <f aca="false">INDEX(Companies!$D$2:$D$31,MATCH(C3142,Companies!$A$2:$A$31,0))</f>
        <v>Tier 2</v>
      </c>
      <c r="N3142" s="34" t="n">
        <f aca="false">MATCH(F3142,Assumptions!$K$4:$K$8,0)</f>
        <v>3</v>
      </c>
      <c r="O3142" s="21" t="str">
        <f aca="false">IF(H3142="Yes",MONTH(I3142),"")</f>
        <v/>
      </c>
      <c r="P3142" s="21" t="str">
        <f aca="false">IF(H3142="Yes",B3142,"")</f>
        <v/>
      </c>
    </row>
    <row r="3143" customFormat="false" ht="15" hidden="false" customHeight="false" outlineLevel="0" collapsed="false">
      <c r="A3143" s="21" t="s">
        <v>4358</v>
      </c>
      <c r="B3143" s="21" t="s">
        <v>1083</v>
      </c>
      <c r="C3143" s="21" t="s">
        <v>1203</v>
      </c>
      <c r="D3143" s="21" t="s">
        <v>1181</v>
      </c>
      <c r="E3143" s="33" t="n">
        <v>46079</v>
      </c>
      <c r="F3143" s="21" t="s">
        <v>1185</v>
      </c>
      <c r="G3143" s="32" t="n">
        <v>11.6</v>
      </c>
      <c r="H3143" s="21" t="s">
        <v>120</v>
      </c>
      <c r="I3143" s="33" t="n">
        <v>46119</v>
      </c>
      <c r="J3143" s="21" t="str">
        <f aca="false">INDEX(Students!$C$2:$C$601,MATCH(B3143,Students!$A$2:$A$601,0))</f>
        <v>Batch 2026</v>
      </c>
      <c r="K3143" s="21" t="str">
        <f aca="false">INDEX(Students!$D$2:$D$601,MATCH(B3143,Students!$A$2:$A$601,0))</f>
        <v>Full Stack Development</v>
      </c>
      <c r="L3143" s="21" t="str">
        <f aca="false">INDEX(Companies!$C$2:$C$31,MATCH(C3143,Companies!$A$2:$A$31,0))</f>
        <v>Healthtech</v>
      </c>
      <c r="M3143" s="21" t="str">
        <f aca="false">INDEX(Companies!$D$2:$D$31,MATCH(C3143,Companies!$A$2:$A$31,0))</f>
        <v>Tier 2</v>
      </c>
      <c r="N3143" s="34" t="n">
        <f aca="false">MATCH(F3143,Assumptions!$K$4:$K$8,0)</f>
        <v>5</v>
      </c>
      <c r="O3143" s="21" t="n">
        <f aca="false">IF(H3143="Yes",MONTH(I3143),"")</f>
        <v>4</v>
      </c>
      <c r="P3143" s="21" t="str">
        <f aca="false">IF(H3143="Yes",B3143,"")</f>
        <v>S0551</v>
      </c>
    </row>
    <row r="3144" customFormat="false" ht="15" hidden="false" customHeight="false" outlineLevel="0" collapsed="false">
      <c r="A3144" s="21" t="s">
        <v>4359</v>
      </c>
      <c r="B3144" s="21" t="s">
        <v>977</v>
      </c>
      <c r="C3144" s="21" t="s">
        <v>1201</v>
      </c>
      <c r="D3144" s="21" t="s">
        <v>1181</v>
      </c>
      <c r="E3144" s="33" t="n">
        <v>46079</v>
      </c>
      <c r="F3144" s="21" t="s">
        <v>1185</v>
      </c>
      <c r="G3144" s="32" t="n">
        <v>5.7</v>
      </c>
      <c r="H3144" s="21" t="s">
        <v>113</v>
      </c>
      <c r="I3144" s="33" t="n">
        <v>46134</v>
      </c>
      <c r="J3144" s="21" t="str">
        <f aca="false">INDEX(Students!$C$2:$C$601,MATCH(B3144,Students!$A$2:$A$601,0))</f>
        <v>Batch 2026</v>
      </c>
      <c r="K3144" s="21" t="str">
        <f aca="false">INDEX(Students!$D$2:$D$601,MATCH(B3144,Students!$A$2:$A$601,0))</f>
        <v>Full Stack Development</v>
      </c>
      <c r="L3144" s="21" t="str">
        <f aca="false">INDEX(Companies!$C$2:$C$31,MATCH(C3144,Companies!$A$2:$A$31,0))</f>
        <v>IT Services</v>
      </c>
      <c r="M3144" s="21" t="str">
        <f aca="false">INDEX(Companies!$D$2:$D$31,MATCH(C3144,Companies!$A$2:$A$31,0))</f>
        <v>Tier 3</v>
      </c>
      <c r="N3144" s="34" t="n">
        <f aca="false">MATCH(F3144,Assumptions!$K$4:$K$8,0)</f>
        <v>5</v>
      </c>
      <c r="O3144" s="21" t="str">
        <f aca="false">IF(H3144="Yes",MONTH(I3144),"")</f>
        <v/>
      </c>
      <c r="P3144" s="21" t="str">
        <f aca="false">IF(H3144="Yes",B3144,"")</f>
        <v/>
      </c>
    </row>
  </sheetData>
  <conditionalFormatting sqref="N2:N3144">
    <cfRule type="iconSet" priority="2">
      <iconSet iconSet="5Quarters">
        <cfvo type="num" val="1"/>
        <cfvo type="num" val="2"/>
        <cfvo type="num" val="3"/>
        <cfvo type="num" val="4"/>
        <cfvo type="num" val="5"/>
      </iconSet>
    </cfRule>
  </conditionalFormatting>
  <conditionalFormatting sqref="H2:H3144">
    <cfRule type="cellIs" priority="3" operator="equal" aboveAverage="0" equalAverage="0" bottom="0" percent="0" rank="0" text="" dxfId="149">
      <formula>"Yes"</formula>
    </cfRule>
  </conditionalFormatting>
  <conditionalFormatting sqref="G2:G3144">
    <cfRule type="colorScale" priority="4">
      <colorScale>
        <cfvo type="min" val="0"/>
        <cfvo type="max" val="0"/>
        <color rgb="FFFFFFFF"/>
        <color rgb="FFFDBA7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28" t="s">
        <v>1162</v>
      </c>
      <c r="B1" s="28" t="s">
        <v>4360</v>
      </c>
      <c r="C1" s="28" t="s">
        <v>80</v>
      </c>
      <c r="D1" s="28" t="s">
        <v>96</v>
      </c>
      <c r="E1" s="28" t="s">
        <v>4361</v>
      </c>
      <c r="F1" s="28" t="s">
        <v>22</v>
      </c>
      <c r="G1" s="28" t="s">
        <v>55</v>
      </c>
      <c r="H1" s="28" t="s">
        <v>78</v>
      </c>
      <c r="I1" s="28" t="s">
        <v>4362</v>
      </c>
      <c r="J1" s="28" t="s">
        <v>62</v>
      </c>
      <c r="K1" s="28" t="s">
        <v>4363</v>
      </c>
      <c r="M1" s="4" t="s">
        <v>4364</v>
      </c>
    </row>
    <row r="2" customFormat="false" ht="15" hidden="false" customHeight="false" outlineLevel="0" collapsed="false">
      <c r="A2" s="21" t="s">
        <v>1187</v>
      </c>
      <c r="B2" s="21" t="s">
        <v>4365</v>
      </c>
      <c r="C2" s="21" t="s">
        <v>87</v>
      </c>
      <c r="D2" s="21" t="s">
        <v>90</v>
      </c>
      <c r="E2" s="21" t="s">
        <v>4366</v>
      </c>
      <c r="F2" s="21" t="n">
        <f aca="false">COUNTIFS(Applications!$C$2:$C$3144,A2,Applications!$J$2:$J$3144,Analysis!$B$2)</f>
        <v>80</v>
      </c>
      <c r="G2" s="21" t="n">
        <f aca="false">COUNTIFS(Applications!$C$2:$C$3144,A2,Applications!$F$2:$F$3144,"Offered",Applications!$J$2:$J$3144,Analysis!$B$2)</f>
        <v>10</v>
      </c>
      <c r="H2" s="34" t="n">
        <f aca="false">COUNTIFS(Applications!$C$2:$C$3144,A2,Applications!$H$2:$H$3144,"Yes",Applications!$J$2:$J$3144,Analysis!$B$2)</f>
        <v>8</v>
      </c>
      <c r="I2" s="35" t="n">
        <f aca="false">IF(G2=0,0,H2/G2)</f>
        <v>0.8</v>
      </c>
      <c r="J2" s="32" t="n">
        <f aca="false">IFERROR(AVERAGEIFS(Applications!$G$2:$G$3144,Applications!$C$2:$C$3144,A2,Applications!$H$2:$H$3144,"Yes",Applications!$J$2:$J$3144,Analysis!$B$2),0)</f>
        <v>25.6375</v>
      </c>
      <c r="K2" s="36" t="n">
        <f aca="false">H2-ROW()/100000</f>
        <v>7.99998</v>
      </c>
    </row>
    <row r="3" customFormat="false" ht="15" hidden="false" customHeight="false" outlineLevel="0" collapsed="false">
      <c r="A3" s="21" t="s">
        <v>1214</v>
      </c>
      <c r="B3" s="21" t="s">
        <v>4367</v>
      </c>
      <c r="C3" s="21" t="s">
        <v>87</v>
      </c>
      <c r="D3" s="21" t="s">
        <v>90</v>
      </c>
      <c r="E3" s="21" t="s">
        <v>4368</v>
      </c>
      <c r="F3" s="21" t="n">
        <f aca="false">COUNTIFS(Applications!$C$2:$C$3144,A3,Applications!$J$2:$J$3144,Analysis!$B$2)</f>
        <v>86</v>
      </c>
      <c r="G3" s="21" t="n">
        <f aca="false">COUNTIFS(Applications!$C$2:$C$3144,A3,Applications!$F$2:$F$3144,"Offered",Applications!$J$2:$J$3144,Analysis!$B$2)</f>
        <v>6</v>
      </c>
      <c r="H3" s="34" t="n">
        <f aca="false">COUNTIFS(Applications!$C$2:$C$3144,A3,Applications!$H$2:$H$3144,"Yes",Applications!$J$2:$J$3144,Analysis!$B$2)</f>
        <v>5</v>
      </c>
      <c r="I3" s="35" t="n">
        <f aca="false">IF(G3=0,0,H3/G3)</f>
        <v>0.833333333333333</v>
      </c>
      <c r="J3" s="32" t="n">
        <f aca="false">IFERROR(AVERAGEIFS(Applications!$G$2:$G$3144,Applications!$C$2:$C$3144,A3,Applications!$H$2:$H$3144,"Yes",Applications!$J$2:$J$3144,Analysis!$B$2),0)</f>
        <v>20.96</v>
      </c>
      <c r="K3" s="36" t="n">
        <f aca="false">H3-ROW()/100000</f>
        <v>4.99997</v>
      </c>
    </row>
    <row r="4" customFormat="false" ht="15" hidden="false" customHeight="false" outlineLevel="0" collapsed="false">
      <c r="A4" s="21" t="s">
        <v>1228</v>
      </c>
      <c r="B4" s="21" t="s">
        <v>4369</v>
      </c>
      <c r="C4" s="21" t="s">
        <v>84</v>
      </c>
      <c r="D4" s="21" t="s">
        <v>90</v>
      </c>
      <c r="E4" s="21" t="s">
        <v>4370</v>
      </c>
      <c r="F4" s="21" t="n">
        <f aca="false">COUNTIFS(Applications!$C$2:$C$3144,A4,Applications!$J$2:$J$3144,Analysis!$B$2)</f>
        <v>70</v>
      </c>
      <c r="G4" s="21" t="n">
        <f aca="false">COUNTIFS(Applications!$C$2:$C$3144,A4,Applications!$F$2:$F$3144,"Offered",Applications!$J$2:$J$3144,Analysis!$B$2)</f>
        <v>13</v>
      </c>
      <c r="H4" s="34" t="n">
        <f aca="false">COUNTIFS(Applications!$C$2:$C$3144,A4,Applications!$H$2:$H$3144,"Yes",Applications!$J$2:$J$3144,Analysis!$B$2)</f>
        <v>13</v>
      </c>
      <c r="I4" s="35" t="n">
        <f aca="false">IF(G4=0,0,H4/G4)</f>
        <v>1</v>
      </c>
      <c r="J4" s="32" t="n">
        <f aca="false">IFERROR(AVERAGEIFS(Applications!$G$2:$G$3144,Applications!$C$2:$C$3144,A4,Applications!$H$2:$H$3144,"Yes",Applications!$J$2:$J$3144,Analysis!$B$2),0)</f>
        <v>24.2153846153846</v>
      </c>
      <c r="K4" s="36" t="n">
        <f aca="false">H4-ROW()/100000</f>
        <v>12.99996</v>
      </c>
    </row>
    <row r="5" customFormat="false" ht="15" hidden="false" customHeight="false" outlineLevel="0" collapsed="false">
      <c r="A5" s="21" t="s">
        <v>1208</v>
      </c>
      <c r="B5" s="21" t="s">
        <v>4371</v>
      </c>
      <c r="C5" s="21" t="s">
        <v>82</v>
      </c>
      <c r="D5" s="21" t="s">
        <v>90</v>
      </c>
      <c r="E5" s="21" t="s">
        <v>4366</v>
      </c>
      <c r="F5" s="21" t="n">
        <f aca="false">COUNTIFS(Applications!$C$2:$C$3144,A5,Applications!$J$2:$J$3144,Analysis!$B$2)</f>
        <v>67</v>
      </c>
      <c r="G5" s="21" t="n">
        <f aca="false">COUNTIFS(Applications!$C$2:$C$3144,A5,Applications!$F$2:$F$3144,"Offered",Applications!$J$2:$J$3144,Analysis!$B$2)</f>
        <v>9</v>
      </c>
      <c r="H5" s="34" t="n">
        <f aca="false">COUNTIFS(Applications!$C$2:$C$3144,A5,Applications!$H$2:$H$3144,"Yes",Applications!$J$2:$J$3144,Analysis!$B$2)</f>
        <v>7</v>
      </c>
      <c r="I5" s="35" t="n">
        <f aca="false">IF(G5=0,0,H5/G5)</f>
        <v>0.777777777777778</v>
      </c>
      <c r="J5" s="32" t="n">
        <f aca="false">IFERROR(AVERAGEIFS(Applications!$G$2:$G$3144,Applications!$C$2:$C$3144,A5,Applications!$H$2:$H$3144,"Yes",Applications!$J$2:$J$3144,Analysis!$B$2),0)</f>
        <v>24.3</v>
      </c>
      <c r="K5" s="36" t="n">
        <f aca="false">H5-ROW()/100000</f>
        <v>6.99995</v>
      </c>
    </row>
    <row r="6" customFormat="false" ht="15" hidden="false" customHeight="false" outlineLevel="0" collapsed="false">
      <c r="A6" s="21" t="s">
        <v>1190</v>
      </c>
      <c r="B6" s="21" t="s">
        <v>4372</v>
      </c>
      <c r="C6" s="21" t="s">
        <v>81</v>
      </c>
      <c r="D6" s="21" t="s">
        <v>90</v>
      </c>
      <c r="E6" s="21" t="s">
        <v>4366</v>
      </c>
      <c r="F6" s="21" t="n">
        <f aca="false">COUNTIFS(Applications!$C$2:$C$3144,A6,Applications!$J$2:$J$3144,Analysis!$B$2)</f>
        <v>73</v>
      </c>
      <c r="G6" s="21" t="n">
        <f aca="false">COUNTIFS(Applications!$C$2:$C$3144,A6,Applications!$F$2:$F$3144,"Offered",Applications!$J$2:$J$3144,Analysis!$B$2)</f>
        <v>4</v>
      </c>
      <c r="H6" s="34" t="n">
        <f aca="false">COUNTIFS(Applications!$C$2:$C$3144,A6,Applications!$H$2:$H$3144,"Yes",Applications!$J$2:$J$3144,Analysis!$B$2)</f>
        <v>4</v>
      </c>
      <c r="I6" s="35" t="n">
        <f aca="false">IF(G6=0,0,H6/G6)</f>
        <v>1</v>
      </c>
      <c r="J6" s="32" t="n">
        <f aca="false">IFERROR(AVERAGEIFS(Applications!$G$2:$G$3144,Applications!$C$2:$C$3144,A6,Applications!$H$2:$H$3144,"Yes",Applications!$J$2:$J$3144,Analysis!$B$2),0)</f>
        <v>21.3</v>
      </c>
      <c r="K6" s="36" t="n">
        <f aca="false">H6-ROW()/100000</f>
        <v>3.99994</v>
      </c>
    </row>
    <row r="7" customFormat="false" ht="15" hidden="false" customHeight="false" outlineLevel="0" collapsed="false">
      <c r="A7" s="21" t="s">
        <v>1173</v>
      </c>
      <c r="B7" s="21" t="s">
        <v>4373</v>
      </c>
      <c r="C7" s="21" t="s">
        <v>63</v>
      </c>
      <c r="D7" s="21" t="s">
        <v>90</v>
      </c>
      <c r="E7" s="21" t="s">
        <v>4374</v>
      </c>
      <c r="F7" s="21" t="n">
        <f aca="false">COUNTIFS(Applications!$C$2:$C$3144,A7,Applications!$J$2:$J$3144,Analysis!$B$2)</f>
        <v>67</v>
      </c>
      <c r="G7" s="21" t="n">
        <f aca="false">COUNTIFS(Applications!$C$2:$C$3144,A7,Applications!$F$2:$F$3144,"Offered",Applications!$J$2:$J$3144,Analysis!$B$2)</f>
        <v>2</v>
      </c>
      <c r="H7" s="34" t="n">
        <f aca="false">COUNTIFS(Applications!$C$2:$C$3144,A7,Applications!$H$2:$H$3144,"Yes",Applications!$J$2:$J$3144,Analysis!$B$2)</f>
        <v>2</v>
      </c>
      <c r="I7" s="35" t="n">
        <f aca="false">IF(G7=0,0,H7/G7)</f>
        <v>1</v>
      </c>
      <c r="J7" s="32" t="n">
        <f aca="false">IFERROR(AVERAGEIFS(Applications!$G$2:$G$3144,Applications!$C$2:$C$3144,A7,Applications!$H$2:$H$3144,"Yes",Applications!$J$2:$J$3144,Analysis!$B$2),0)</f>
        <v>24.3</v>
      </c>
      <c r="K7" s="36" t="n">
        <f aca="false">H7-ROW()/100000</f>
        <v>1.99993</v>
      </c>
    </row>
    <row r="8" customFormat="false" ht="15" hidden="false" customHeight="false" outlineLevel="0" collapsed="false">
      <c r="A8" s="21" t="s">
        <v>1199</v>
      </c>
      <c r="B8" s="21" t="s">
        <v>4375</v>
      </c>
      <c r="C8" s="21" t="s">
        <v>82</v>
      </c>
      <c r="D8" s="21" t="s">
        <v>91</v>
      </c>
      <c r="E8" s="21" t="s">
        <v>4376</v>
      </c>
      <c r="F8" s="21" t="n">
        <f aca="false">COUNTIFS(Applications!$C$2:$C$3144,A8,Applications!$J$2:$J$3144,Analysis!$B$2)</f>
        <v>93</v>
      </c>
      <c r="G8" s="21" t="n">
        <f aca="false">COUNTIFS(Applications!$C$2:$C$3144,A8,Applications!$F$2:$F$3144,"Offered",Applications!$J$2:$J$3144,Analysis!$B$2)</f>
        <v>26</v>
      </c>
      <c r="H8" s="34" t="n">
        <f aca="false">COUNTIFS(Applications!$C$2:$C$3144,A8,Applications!$H$2:$H$3144,"Yes",Applications!$J$2:$J$3144,Analysis!$B$2)</f>
        <v>12</v>
      </c>
      <c r="I8" s="35" t="n">
        <f aca="false">IF(G8=0,0,H8/G8)</f>
        <v>0.461538461538462</v>
      </c>
      <c r="J8" s="32" t="n">
        <f aca="false">IFERROR(AVERAGEIFS(Applications!$G$2:$G$3144,Applications!$C$2:$C$3144,A8,Applications!$H$2:$H$3144,"Yes",Applications!$J$2:$J$3144,Analysis!$B$2),0)</f>
        <v>11.8916666666667</v>
      </c>
      <c r="K8" s="36" t="n">
        <f aca="false">H8-ROW()/100000</f>
        <v>11.99992</v>
      </c>
    </row>
    <row r="9" customFormat="false" ht="15" hidden="false" customHeight="false" outlineLevel="0" collapsed="false">
      <c r="A9" s="21" t="s">
        <v>1225</v>
      </c>
      <c r="B9" s="21" t="s">
        <v>4377</v>
      </c>
      <c r="C9" s="21" t="s">
        <v>83</v>
      </c>
      <c r="D9" s="21" t="s">
        <v>91</v>
      </c>
      <c r="E9" s="21" t="s">
        <v>4378</v>
      </c>
      <c r="F9" s="21" t="n">
        <f aca="false">COUNTIFS(Applications!$C$2:$C$3144,A9,Applications!$J$2:$J$3144,Analysis!$B$2)</f>
        <v>92</v>
      </c>
      <c r="G9" s="21" t="n">
        <f aca="false">COUNTIFS(Applications!$C$2:$C$3144,A9,Applications!$F$2:$F$3144,"Offered",Applications!$J$2:$J$3144,Analysis!$B$2)</f>
        <v>17</v>
      </c>
      <c r="H9" s="34" t="n">
        <f aca="false">COUNTIFS(Applications!$C$2:$C$3144,A9,Applications!$H$2:$H$3144,"Yes",Applications!$J$2:$J$3144,Analysis!$B$2)</f>
        <v>11</v>
      </c>
      <c r="I9" s="35" t="n">
        <f aca="false">IF(G9=0,0,H9/G9)</f>
        <v>0.647058823529412</v>
      </c>
      <c r="J9" s="32" t="n">
        <f aca="false">IFERROR(AVERAGEIFS(Applications!$G$2:$G$3144,Applications!$C$2:$C$3144,A9,Applications!$H$2:$H$3144,"Yes",Applications!$J$2:$J$3144,Analysis!$B$2),0)</f>
        <v>11.9</v>
      </c>
      <c r="K9" s="36" t="n">
        <f aca="false">H9-ROW()/100000</f>
        <v>10.99991</v>
      </c>
    </row>
    <row r="10" customFormat="false" ht="15" hidden="false" customHeight="false" outlineLevel="0" collapsed="false">
      <c r="A10" s="21" t="s">
        <v>1203</v>
      </c>
      <c r="B10" s="21" t="s">
        <v>4379</v>
      </c>
      <c r="C10" s="21" t="s">
        <v>85</v>
      </c>
      <c r="D10" s="21" t="s">
        <v>91</v>
      </c>
      <c r="E10" s="21" t="s">
        <v>4366</v>
      </c>
      <c r="F10" s="21" t="n">
        <f aca="false">COUNTIFS(Applications!$C$2:$C$3144,A10,Applications!$J$2:$J$3144,Analysis!$B$2)</f>
        <v>98</v>
      </c>
      <c r="G10" s="21" t="n">
        <f aca="false">COUNTIFS(Applications!$C$2:$C$3144,A10,Applications!$F$2:$F$3144,"Offered",Applications!$J$2:$J$3144,Analysis!$B$2)</f>
        <v>19</v>
      </c>
      <c r="H10" s="34" t="n">
        <f aca="false">COUNTIFS(Applications!$C$2:$C$3144,A10,Applications!$H$2:$H$3144,"Yes",Applications!$J$2:$J$3144,Analysis!$B$2)</f>
        <v>15</v>
      </c>
      <c r="I10" s="35" t="n">
        <f aca="false">IF(G10=0,0,H10/G10)</f>
        <v>0.789473684210526</v>
      </c>
      <c r="J10" s="32" t="n">
        <f aca="false">IFERROR(AVERAGEIFS(Applications!$G$2:$G$3144,Applications!$C$2:$C$3144,A10,Applications!$H$2:$H$3144,"Yes",Applications!$J$2:$J$3144,Analysis!$B$2),0)</f>
        <v>12.3266666666667</v>
      </c>
      <c r="K10" s="36" t="n">
        <f aca="false">H10-ROW()/100000</f>
        <v>14.9999</v>
      </c>
    </row>
    <row r="11" customFormat="false" ht="15" hidden="false" customHeight="false" outlineLevel="0" collapsed="false">
      <c r="A11" s="21" t="s">
        <v>1290</v>
      </c>
      <c r="B11" s="21" t="s">
        <v>4380</v>
      </c>
      <c r="C11" s="21" t="s">
        <v>84</v>
      </c>
      <c r="D11" s="21" t="s">
        <v>91</v>
      </c>
      <c r="E11" s="21" t="s">
        <v>4374</v>
      </c>
      <c r="F11" s="21" t="n">
        <f aca="false">COUNTIFS(Applications!$C$2:$C$3144,A11,Applications!$J$2:$J$3144,Analysis!$B$2)</f>
        <v>114</v>
      </c>
      <c r="G11" s="21" t="n">
        <f aca="false">COUNTIFS(Applications!$C$2:$C$3144,A11,Applications!$F$2:$F$3144,"Offered",Applications!$J$2:$J$3144,Analysis!$B$2)</f>
        <v>30</v>
      </c>
      <c r="H11" s="34" t="n">
        <f aca="false">COUNTIFS(Applications!$C$2:$C$3144,A11,Applications!$H$2:$H$3144,"Yes",Applications!$J$2:$J$3144,Analysis!$B$2)</f>
        <v>19</v>
      </c>
      <c r="I11" s="35" t="n">
        <f aca="false">IF(G11=0,0,H11/G11)</f>
        <v>0.633333333333333</v>
      </c>
      <c r="J11" s="32" t="n">
        <f aca="false">IFERROR(AVERAGEIFS(Applications!$G$2:$G$3144,Applications!$C$2:$C$3144,A11,Applications!$H$2:$H$3144,"Yes",Applications!$J$2:$J$3144,Analysis!$B$2),0)</f>
        <v>12.5368421052632</v>
      </c>
      <c r="K11" s="36" t="n">
        <f aca="false">H11-ROW()/100000</f>
        <v>18.99989</v>
      </c>
    </row>
    <row r="12" customFormat="false" ht="15" hidden="false" customHeight="false" outlineLevel="0" collapsed="false">
      <c r="A12" s="21" t="s">
        <v>1263</v>
      </c>
      <c r="B12" s="21" t="s">
        <v>4381</v>
      </c>
      <c r="C12" s="21" t="s">
        <v>81</v>
      </c>
      <c r="D12" s="21" t="s">
        <v>91</v>
      </c>
      <c r="E12" s="21" t="s">
        <v>4368</v>
      </c>
      <c r="F12" s="21" t="n">
        <f aca="false">COUNTIFS(Applications!$C$2:$C$3144,A12,Applications!$J$2:$J$3144,Analysis!$B$2)</f>
        <v>96</v>
      </c>
      <c r="G12" s="21" t="n">
        <f aca="false">COUNTIFS(Applications!$C$2:$C$3144,A12,Applications!$F$2:$F$3144,"Offered",Applications!$J$2:$J$3144,Analysis!$B$2)</f>
        <v>20</v>
      </c>
      <c r="H12" s="34" t="n">
        <f aca="false">COUNTIFS(Applications!$C$2:$C$3144,A12,Applications!$H$2:$H$3144,"Yes",Applications!$J$2:$J$3144,Analysis!$B$2)</f>
        <v>13</v>
      </c>
      <c r="I12" s="35" t="n">
        <f aca="false">IF(G12=0,0,H12/G12)</f>
        <v>0.65</v>
      </c>
      <c r="J12" s="32" t="n">
        <f aca="false">IFERROR(AVERAGEIFS(Applications!$G$2:$G$3144,Applications!$C$2:$C$3144,A12,Applications!$H$2:$H$3144,"Yes",Applications!$J$2:$J$3144,Analysis!$B$2),0)</f>
        <v>11.7307692307692</v>
      </c>
      <c r="K12" s="36" t="n">
        <f aca="false">H12-ROW()/100000</f>
        <v>12.99988</v>
      </c>
    </row>
    <row r="13" customFormat="false" ht="15" hidden="false" customHeight="false" outlineLevel="0" collapsed="false">
      <c r="A13" s="21" t="s">
        <v>1222</v>
      </c>
      <c r="B13" s="21" t="s">
        <v>4382</v>
      </c>
      <c r="C13" s="21" t="s">
        <v>87</v>
      </c>
      <c r="D13" s="21" t="s">
        <v>91</v>
      </c>
      <c r="E13" s="21" t="s">
        <v>4383</v>
      </c>
      <c r="F13" s="21" t="n">
        <f aca="false">COUNTIFS(Applications!$C$2:$C$3144,A13,Applications!$J$2:$J$3144,Analysis!$B$2)</f>
        <v>105</v>
      </c>
      <c r="G13" s="21" t="n">
        <f aca="false">COUNTIFS(Applications!$C$2:$C$3144,A13,Applications!$F$2:$F$3144,"Offered",Applications!$J$2:$J$3144,Analysis!$B$2)</f>
        <v>19</v>
      </c>
      <c r="H13" s="34" t="n">
        <f aca="false">COUNTIFS(Applications!$C$2:$C$3144,A13,Applications!$H$2:$H$3144,"Yes",Applications!$J$2:$J$3144,Analysis!$B$2)</f>
        <v>15</v>
      </c>
      <c r="I13" s="35" t="n">
        <f aca="false">IF(G13=0,0,H13/G13)</f>
        <v>0.789473684210526</v>
      </c>
      <c r="J13" s="32" t="n">
        <f aca="false">IFERROR(AVERAGEIFS(Applications!$G$2:$G$3144,Applications!$C$2:$C$3144,A13,Applications!$H$2:$H$3144,"Yes",Applications!$J$2:$J$3144,Analysis!$B$2),0)</f>
        <v>11.7933333333333</v>
      </c>
      <c r="K13" s="36" t="n">
        <f aca="false">H13-ROW()/100000</f>
        <v>14.99987</v>
      </c>
    </row>
    <row r="14" customFormat="false" ht="15" hidden="false" customHeight="false" outlineLevel="0" collapsed="false">
      <c r="A14" s="21" t="s">
        <v>1298</v>
      </c>
      <c r="B14" s="21" t="s">
        <v>4384</v>
      </c>
      <c r="C14" s="21" t="s">
        <v>84</v>
      </c>
      <c r="D14" s="21" t="s">
        <v>91</v>
      </c>
      <c r="E14" s="21" t="s">
        <v>4370</v>
      </c>
      <c r="F14" s="21" t="n">
        <f aca="false">COUNTIFS(Applications!$C$2:$C$3144,A14,Applications!$J$2:$J$3144,Analysis!$B$2)</f>
        <v>98</v>
      </c>
      <c r="G14" s="21" t="n">
        <f aca="false">COUNTIFS(Applications!$C$2:$C$3144,A14,Applications!$F$2:$F$3144,"Offered",Applications!$J$2:$J$3144,Analysis!$B$2)</f>
        <v>17</v>
      </c>
      <c r="H14" s="34" t="n">
        <f aca="false">COUNTIFS(Applications!$C$2:$C$3144,A14,Applications!$H$2:$H$3144,"Yes",Applications!$J$2:$J$3144,Analysis!$B$2)</f>
        <v>14</v>
      </c>
      <c r="I14" s="35" t="n">
        <f aca="false">IF(G14=0,0,H14/G14)</f>
        <v>0.823529411764706</v>
      </c>
      <c r="J14" s="32" t="n">
        <f aca="false">IFERROR(AVERAGEIFS(Applications!$G$2:$G$3144,Applications!$C$2:$C$3144,A14,Applications!$H$2:$H$3144,"Yes",Applications!$J$2:$J$3144,Analysis!$B$2),0)</f>
        <v>11.9357142857143</v>
      </c>
      <c r="K14" s="36" t="n">
        <f aca="false">H14-ROW()/100000</f>
        <v>13.99986</v>
      </c>
    </row>
    <row r="15" customFormat="false" ht="15" hidden="false" customHeight="false" outlineLevel="0" collapsed="false">
      <c r="A15" s="21" t="s">
        <v>1183</v>
      </c>
      <c r="B15" s="21" t="s">
        <v>4385</v>
      </c>
      <c r="C15" s="21" t="s">
        <v>82</v>
      </c>
      <c r="D15" s="21" t="s">
        <v>91</v>
      </c>
      <c r="E15" s="21" t="s">
        <v>4366</v>
      </c>
      <c r="F15" s="21" t="n">
        <f aca="false">COUNTIFS(Applications!$C$2:$C$3144,A15,Applications!$J$2:$J$3144,Analysis!$B$2)</f>
        <v>106</v>
      </c>
      <c r="G15" s="21" t="n">
        <f aca="false">COUNTIFS(Applications!$C$2:$C$3144,A15,Applications!$F$2:$F$3144,"Offered",Applications!$J$2:$J$3144,Analysis!$B$2)</f>
        <v>25</v>
      </c>
      <c r="H15" s="34" t="n">
        <f aca="false">COUNTIFS(Applications!$C$2:$C$3144,A15,Applications!$H$2:$H$3144,"Yes",Applications!$J$2:$J$3144,Analysis!$B$2)</f>
        <v>18</v>
      </c>
      <c r="I15" s="35" t="n">
        <f aca="false">IF(G15=0,0,H15/G15)</f>
        <v>0.72</v>
      </c>
      <c r="J15" s="32" t="n">
        <f aca="false">IFERROR(AVERAGEIFS(Applications!$G$2:$G$3144,Applications!$C$2:$C$3144,A15,Applications!$H$2:$H$3144,"Yes",Applications!$J$2:$J$3144,Analysis!$B$2),0)</f>
        <v>11.4944444444444</v>
      </c>
      <c r="K15" s="36" t="n">
        <f aca="false">H15-ROW()/100000</f>
        <v>17.99985</v>
      </c>
    </row>
    <row r="16" customFormat="false" ht="15" hidden="false" customHeight="false" outlineLevel="0" collapsed="false">
      <c r="A16" s="21" t="s">
        <v>1309</v>
      </c>
      <c r="B16" s="21" t="s">
        <v>4386</v>
      </c>
      <c r="C16" s="21" t="s">
        <v>83</v>
      </c>
      <c r="D16" s="21" t="s">
        <v>91</v>
      </c>
      <c r="E16" s="21" t="s">
        <v>4378</v>
      </c>
      <c r="F16" s="21" t="n">
        <f aca="false">COUNTIFS(Applications!$C$2:$C$3144,A16,Applications!$J$2:$J$3144,Analysis!$B$2)</f>
        <v>81</v>
      </c>
      <c r="G16" s="21" t="n">
        <f aca="false">COUNTIFS(Applications!$C$2:$C$3144,A16,Applications!$F$2:$F$3144,"Offered",Applications!$J$2:$J$3144,Analysis!$B$2)</f>
        <v>15</v>
      </c>
      <c r="H16" s="34" t="n">
        <f aca="false">COUNTIFS(Applications!$C$2:$C$3144,A16,Applications!$H$2:$H$3144,"Yes",Applications!$J$2:$J$3144,Analysis!$B$2)</f>
        <v>11</v>
      </c>
      <c r="I16" s="35" t="n">
        <f aca="false">IF(G16=0,0,H16/G16)</f>
        <v>0.733333333333333</v>
      </c>
      <c r="J16" s="32" t="n">
        <f aca="false">IFERROR(AVERAGEIFS(Applications!$G$2:$G$3144,Applications!$C$2:$C$3144,A16,Applications!$H$2:$H$3144,"Yes",Applications!$J$2:$J$3144,Analysis!$B$2),0)</f>
        <v>11.1818181818182</v>
      </c>
      <c r="K16" s="36" t="n">
        <f aca="false">H16-ROW()/100000</f>
        <v>10.99984</v>
      </c>
    </row>
    <row r="17" customFormat="false" ht="15" hidden="false" customHeight="false" outlineLevel="0" collapsed="false">
      <c r="A17" s="21" t="s">
        <v>1275</v>
      </c>
      <c r="B17" s="21" t="s">
        <v>4387</v>
      </c>
      <c r="C17" s="21" t="s">
        <v>63</v>
      </c>
      <c r="D17" s="21" t="s">
        <v>91</v>
      </c>
      <c r="E17" s="21" t="s">
        <v>4368</v>
      </c>
      <c r="F17" s="21" t="n">
        <f aca="false">COUNTIFS(Applications!$C$2:$C$3144,A17,Applications!$J$2:$J$3144,Analysis!$B$2)</f>
        <v>111</v>
      </c>
      <c r="G17" s="21" t="n">
        <f aca="false">COUNTIFS(Applications!$C$2:$C$3144,A17,Applications!$F$2:$F$3144,"Offered",Applications!$J$2:$J$3144,Analysis!$B$2)</f>
        <v>13</v>
      </c>
      <c r="H17" s="34" t="n">
        <f aca="false">COUNTIFS(Applications!$C$2:$C$3144,A17,Applications!$H$2:$H$3144,"Yes",Applications!$J$2:$J$3144,Analysis!$B$2)</f>
        <v>12</v>
      </c>
      <c r="I17" s="35" t="n">
        <f aca="false">IF(G17=0,0,H17/G17)</f>
        <v>0.923076923076923</v>
      </c>
      <c r="J17" s="32" t="n">
        <f aca="false">IFERROR(AVERAGEIFS(Applications!$G$2:$G$3144,Applications!$C$2:$C$3144,A17,Applications!$H$2:$H$3144,"Yes",Applications!$J$2:$J$3144,Analysis!$B$2),0)</f>
        <v>12.7666666666667</v>
      </c>
      <c r="K17" s="36" t="n">
        <f aca="false">H17-ROW()/100000</f>
        <v>11.99983</v>
      </c>
    </row>
    <row r="18" customFormat="false" ht="15" hidden="false" customHeight="false" outlineLevel="0" collapsed="false">
      <c r="A18" s="21" t="s">
        <v>1322</v>
      </c>
      <c r="B18" s="21" t="s">
        <v>4388</v>
      </c>
      <c r="C18" s="21" t="s">
        <v>85</v>
      </c>
      <c r="D18" s="21" t="s">
        <v>91</v>
      </c>
      <c r="E18" s="21" t="s">
        <v>4374</v>
      </c>
      <c r="F18" s="21" t="n">
        <f aca="false">COUNTIFS(Applications!$C$2:$C$3144,A18,Applications!$J$2:$J$3144,Analysis!$B$2)</f>
        <v>91</v>
      </c>
      <c r="G18" s="21" t="n">
        <f aca="false">COUNTIFS(Applications!$C$2:$C$3144,A18,Applications!$F$2:$F$3144,"Offered",Applications!$J$2:$J$3144,Analysis!$B$2)</f>
        <v>18</v>
      </c>
      <c r="H18" s="34" t="n">
        <f aca="false">COUNTIFS(Applications!$C$2:$C$3144,A18,Applications!$H$2:$H$3144,"Yes",Applications!$J$2:$J$3144,Analysis!$B$2)</f>
        <v>11</v>
      </c>
      <c r="I18" s="35" t="n">
        <f aca="false">IF(G18=0,0,H18/G18)</f>
        <v>0.611111111111111</v>
      </c>
      <c r="J18" s="32" t="n">
        <f aca="false">IFERROR(AVERAGEIFS(Applications!$G$2:$G$3144,Applications!$C$2:$C$3144,A18,Applications!$H$2:$H$3144,"Yes",Applications!$J$2:$J$3144,Analysis!$B$2),0)</f>
        <v>11.8909090909091</v>
      </c>
      <c r="K18" s="36" t="n">
        <f aca="false">H18-ROW()/100000</f>
        <v>10.99982</v>
      </c>
    </row>
    <row r="19" customFormat="false" ht="15" hidden="false" customHeight="false" outlineLevel="0" collapsed="false">
      <c r="A19" s="21" t="s">
        <v>1193</v>
      </c>
      <c r="B19" s="21" t="s">
        <v>4389</v>
      </c>
      <c r="C19" s="21" t="s">
        <v>81</v>
      </c>
      <c r="D19" s="21" t="s">
        <v>91</v>
      </c>
      <c r="E19" s="21" t="s">
        <v>4376</v>
      </c>
      <c r="F19" s="21" t="n">
        <f aca="false">COUNTIFS(Applications!$C$2:$C$3144,A19,Applications!$J$2:$J$3144,Analysis!$B$2)</f>
        <v>107</v>
      </c>
      <c r="G19" s="21" t="n">
        <f aca="false">COUNTIFS(Applications!$C$2:$C$3144,A19,Applications!$F$2:$F$3144,"Offered",Applications!$J$2:$J$3144,Analysis!$B$2)</f>
        <v>21</v>
      </c>
      <c r="H19" s="34" t="n">
        <f aca="false">COUNTIFS(Applications!$C$2:$C$3144,A19,Applications!$H$2:$H$3144,"Yes",Applications!$J$2:$J$3144,Analysis!$B$2)</f>
        <v>10</v>
      </c>
      <c r="I19" s="35" t="n">
        <f aca="false">IF(G19=0,0,H19/G19)</f>
        <v>0.476190476190476</v>
      </c>
      <c r="J19" s="32" t="n">
        <f aca="false">IFERROR(AVERAGEIFS(Applications!$G$2:$G$3144,Applications!$C$2:$C$3144,A19,Applications!$H$2:$H$3144,"Yes",Applications!$J$2:$J$3144,Analysis!$B$2),0)</f>
        <v>12.42</v>
      </c>
      <c r="K19" s="36" t="n">
        <f aca="false">H19-ROW()/100000</f>
        <v>9.99981</v>
      </c>
    </row>
    <row r="20" customFormat="false" ht="15" hidden="false" customHeight="false" outlineLevel="0" collapsed="false">
      <c r="A20" s="21" t="s">
        <v>1216</v>
      </c>
      <c r="B20" s="21" t="s">
        <v>4390</v>
      </c>
      <c r="C20" s="21" t="s">
        <v>86</v>
      </c>
      <c r="D20" s="21" t="s">
        <v>92</v>
      </c>
      <c r="E20" s="21" t="s">
        <v>4374</v>
      </c>
      <c r="F20" s="21" t="n">
        <f aca="false">COUNTIFS(Applications!$C$2:$C$3144,A20,Applications!$J$2:$J$3144,Analysis!$B$2)</f>
        <v>128</v>
      </c>
      <c r="G20" s="21" t="n">
        <f aca="false">COUNTIFS(Applications!$C$2:$C$3144,A20,Applications!$F$2:$F$3144,"Offered",Applications!$J$2:$J$3144,Analysis!$B$2)</f>
        <v>40</v>
      </c>
      <c r="H20" s="34" t="n">
        <f aca="false">COUNTIFS(Applications!$C$2:$C$3144,A20,Applications!$H$2:$H$3144,"Yes",Applications!$J$2:$J$3144,Analysis!$B$2)</f>
        <v>14</v>
      </c>
      <c r="I20" s="35" t="n">
        <f aca="false">IF(G20=0,0,H20/G20)</f>
        <v>0.35</v>
      </c>
      <c r="J20" s="32" t="n">
        <f aca="false">IFERROR(AVERAGEIFS(Applications!$G$2:$G$3144,Applications!$C$2:$C$3144,A20,Applications!$H$2:$H$3144,"Yes",Applications!$J$2:$J$3144,Analysis!$B$2),0)</f>
        <v>5.92142857142857</v>
      </c>
      <c r="K20" s="36" t="n">
        <f aca="false">H20-ROW()/100000</f>
        <v>13.9998</v>
      </c>
    </row>
    <row r="21" customFormat="false" ht="15" hidden="false" customHeight="false" outlineLevel="0" collapsed="false">
      <c r="A21" s="21" t="s">
        <v>1177</v>
      </c>
      <c r="B21" s="21" t="s">
        <v>4391</v>
      </c>
      <c r="C21" s="21" t="s">
        <v>86</v>
      </c>
      <c r="D21" s="21" t="s">
        <v>92</v>
      </c>
      <c r="E21" s="21" t="s">
        <v>4383</v>
      </c>
      <c r="F21" s="21" t="n">
        <f aca="false">COUNTIFS(Applications!$C$2:$C$3144,A21,Applications!$J$2:$J$3144,Analysis!$B$2)</f>
        <v>125</v>
      </c>
      <c r="G21" s="21" t="n">
        <f aca="false">COUNTIFS(Applications!$C$2:$C$3144,A21,Applications!$F$2:$F$3144,"Offered",Applications!$J$2:$J$3144,Analysis!$B$2)</f>
        <v>55</v>
      </c>
      <c r="H21" s="34" t="n">
        <f aca="false">COUNTIFS(Applications!$C$2:$C$3144,A21,Applications!$H$2:$H$3144,"Yes",Applications!$J$2:$J$3144,Analysis!$B$2)</f>
        <v>17</v>
      </c>
      <c r="I21" s="35" t="n">
        <f aca="false">IF(G21=0,0,H21/G21)</f>
        <v>0.309090909090909</v>
      </c>
      <c r="J21" s="32" t="n">
        <f aca="false">IFERROR(AVERAGEIFS(Applications!$G$2:$G$3144,Applications!$C$2:$C$3144,A21,Applications!$H$2:$H$3144,"Yes",Applications!$J$2:$J$3144,Analysis!$B$2),0)</f>
        <v>6.07058823529412</v>
      </c>
      <c r="K21" s="36" t="n">
        <f aca="false">H21-ROW()/100000</f>
        <v>16.99979</v>
      </c>
    </row>
    <row r="22" customFormat="false" ht="15" hidden="false" customHeight="false" outlineLevel="0" collapsed="false">
      <c r="A22" s="21" t="s">
        <v>1266</v>
      </c>
      <c r="B22" s="21" t="s">
        <v>4392</v>
      </c>
      <c r="C22" s="21" t="s">
        <v>86</v>
      </c>
      <c r="D22" s="21" t="s">
        <v>92</v>
      </c>
      <c r="E22" s="21" t="s">
        <v>4393</v>
      </c>
      <c r="F22" s="21" t="n">
        <f aca="false">COUNTIFS(Applications!$C$2:$C$3144,A22,Applications!$J$2:$J$3144,Analysis!$B$2)</f>
        <v>132</v>
      </c>
      <c r="G22" s="21" t="n">
        <f aca="false">COUNTIFS(Applications!$C$2:$C$3144,A22,Applications!$F$2:$F$3144,"Offered",Applications!$J$2:$J$3144,Analysis!$B$2)</f>
        <v>49</v>
      </c>
      <c r="H22" s="34" t="n">
        <f aca="false">COUNTIFS(Applications!$C$2:$C$3144,A22,Applications!$H$2:$H$3144,"Yes",Applications!$J$2:$J$3144,Analysis!$B$2)</f>
        <v>17</v>
      </c>
      <c r="I22" s="35" t="n">
        <f aca="false">IF(G22=0,0,H22/G22)</f>
        <v>0.346938775510204</v>
      </c>
      <c r="J22" s="32" t="n">
        <f aca="false">IFERROR(AVERAGEIFS(Applications!$G$2:$G$3144,Applications!$C$2:$C$3144,A22,Applications!$H$2:$H$3144,"Yes",Applications!$J$2:$J$3144,Analysis!$B$2),0)</f>
        <v>6.05882352941176</v>
      </c>
      <c r="K22" s="36" t="n">
        <f aca="false">H22-ROW()/100000</f>
        <v>16.99978</v>
      </c>
    </row>
    <row r="23" customFormat="false" ht="15" hidden="false" customHeight="false" outlineLevel="0" collapsed="false">
      <c r="A23" s="21" t="s">
        <v>1196</v>
      </c>
      <c r="B23" s="21" t="s">
        <v>4394</v>
      </c>
      <c r="C23" s="21" t="s">
        <v>86</v>
      </c>
      <c r="D23" s="21" t="s">
        <v>92</v>
      </c>
      <c r="E23" s="21" t="s">
        <v>4395</v>
      </c>
      <c r="F23" s="21" t="n">
        <f aca="false">COUNTIFS(Applications!$C$2:$C$3144,A23,Applications!$J$2:$J$3144,Analysis!$B$2)</f>
        <v>110</v>
      </c>
      <c r="G23" s="21" t="n">
        <f aca="false">COUNTIFS(Applications!$C$2:$C$3144,A23,Applications!$F$2:$F$3144,"Offered",Applications!$J$2:$J$3144,Analysis!$B$2)</f>
        <v>48</v>
      </c>
      <c r="H23" s="34" t="n">
        <f aca="false">COUNTIFS(Applications!$C$2:$C$3144,A23,Applications!$H$2:$H$3144,"Yes",Applications!$J$2:$J$3144,Analysis!$B$2)</f>
        <v>12</v>
      </c>
      <c r="I23" s="35" t="n">
        <f aca="false">IF(G23=0,0,H23/G23)</f>
        <v>0.25</v>
      </c>
      <c r="J23" s="32" t="n">
        <f aca="false">IFERROR(AVERAGEIFS(Applications!$G$2:$G$3144,Applications!$C$2:$C$3144,A23,Applications!$H$2:$H$3144,"Yes",Applications!$J$2:$J$3144,Analysis!$B$2),0)</f>
        <v>5.73333333333333</v>
      </c>
      <c r="K23" s="36" t="n">
        <f aca="false">H23-ROW()/100000</f>
        <v>11.99977</v>
      </c>
    </row>
    <row r="24" customFormat="false" ht="15" hidden="false" customHeight="false" outlineLevel="0" collapsed="false">
      <c r="A24" s="21" t="s">
        <v>1201</v>
      </c>
      <c r="B24" s="21" t="s">
        <v>4396</v>
      </c>
      <c r="C24" s="21" t="s">
        <v>86</v>
      </c>
      <c r="D24" s="21" t="s">
        <v>92</v>
      </c>
      <c r="E24" s="21" t="s">
        <v>4378</v>
      </c>
      <c r="F24" s="21" t="n">
        <f aca="false">COUNTIFS(Applications!$C$2:$C$3144,A24,Applications!$J$2:$J$3144,Analysis!$B$2)</f>
        <v>135</v>
      </c>
      <c r="G24" s="21" t="n">
        <f aca="false">COUNTIFS(Applications!$C$2:$C$3144,A24,Applications!$F$2:$F$3144,"Offered",Applications!$J$2:$J$3144,Analysis!$B$2)</f>
        <v>61</v>
      </c>
      <c r="H24" s="34" t="n">
        <f aca="false">COUNTIFS(Applications!$C$2:$C$3144,A24,Applications!$H$2:$H$3144,"Yes",Applications!$J$2:$J$3144,Analysis!$B$2)</f>
        <v>20</v>
      </c>
      <c r="I24" s="35" t="n">
        <f aca="false">IF(G24=0,0,H24/G24)</f>
        <v>0.327868852459016</v>
      </c>
      <c r="J24" s="32" t="n">
        <f aca="false">IFERROR(AVERAGEIFS(Applications!$G$2:$G$3144,Applications!$C$2:$C$3144,A24,Applications!$H$2:$H$3144,"Yes",Applications!$J$2:$J$3144,Analysis!$B$2),0)</f>
        <v>5.775</v>
      </c>
      <c r="K24" s="36" t="n">
        <f aca="false">H24-ROW()/100000</f>
        <v>19.99976</v>
      </c>
    </row>
    <row r="25" customFormat="false" ht="15" hidden="false" customHeight="false" outlineLevel="0" collapsed="false">
      <c r="A25" s="21" t="s">
        <v>1255</v>
      </c>
      <c r="B25" s="21" t="s">
        <v>4397</v>
      </c>
      <c r="C25" s="21" t="s">
        <v>86</v>
      </c>
      <c r="D25" s="21" t="s">
        <v>92</v>
      </c>
      <c r="E25" s="21" t="s">
        <v>4398</v>
      </c>
      <c r="F25" s="21" t="n">
        <f aca="false">COUNTIFS(Applications!$C$2:$C$3144,A25,Applications!$J$2:$J$3144,Analysis!$B$2)</f>
        <v>134</v>
      </c>
      <c r="G25" s="21" t="n">
        <f aca="false">COUNTIFS(Applications!$C$2:$C$3144,A25,Applications!$F$2:$F$3144,"Offered",Applications!$J$2:$J$3144,Analysis!$B$2)</f>
        <v>46</v>
      </c>
      <c r="H25" s="34" t="n">
        <f aca="false">COUNTIFS(Applications!$C$2:$C$3144,A25,Applications!$H$2:$H$3144,"Yes",Applications!$J$2:$J$3144,Analysis!$B$2)</f>
        <v>12</v>
      </c>
      <c r="I25" s="35" t="n">
        <f aca="false">IF(G25=0,0,H25/G25)</f>
        <v>0.260869565217391</v>
      </c>
      <c r="J25" s="32" t="n">
        <f aca="false">IFERROR(AVERAGEIFS(Applications!$G$2:$G$3144,Applications!$C$2:$C$3144,A25,Applications!$H$2:$H$3144,"Yes",Applications!$J$2:$J$3144,Analysis!$B$2),0)</f>
        <v>5.325</v>
      </c>
      <c r="K25" s="36" t="n">
        <f aca="false">H25-ROW()/100000</f>
        <v>11.99975</v>
      </c>
    </row>
    <row r="26" customFormat="false" ht="15" hidden="false" customHeight="false" outlineLevel="0" collapsed="false">
      <c r="A26" s="21" t="s">
        <v>1180</v>
      </c>
      <c r="B26" s="21" t="s">
        <v>4399</v>
      </c>
      <c r="C26" s="21" t="s">
        <v>86</v>
      </c>
      <c r="D26" s="21" t="s">
        <v>92</v>
      </c>
      <c r="E26" s="21" t="s">
        <v>4400</v>
      </c>
      <c r="F26" s="21" t="n">
        <f aca="false">COUNTIFS(Applications!$C$2:$C$3144,A26,Applications!$J$2:$J$3144,Analysis!$B$2)</f>
        <v>129</v>
      </c>
      <c r="G26" s="21" t="n">
        <f aca="false">COUNTIFS(Applications!$C$2:$C$3144,A26,Applications!$F$2:$F$3144,"Offered",Applications!$J$2:$J$3144,Analysis!$B$2)</f>
        <v>50</v>
      </c>
      <c r="H26" s="34" t="n">
        <f aca="false">COUNTIFS(Applications!$C$2:$C$3144,A26,Applications!$H$2:$H$3144,"Yes",Applications!$J$2:$J$3144,Analysis!$B$2)</f>
        <v>13</v>
      </c>
      <c r="I26" s="35" t="n">
        <f aca="false">IF(G26=0,0,H26/G26)</f>
        <v>0.26</v>
      </c>
      <c r="J26" s="32" t="n">
        <f aca="false">IFERROR(AVERAGEIFS(Applications!$G$2:$G$3144,Applications!$C$2:$C$3144,A26,Applications!$H$2:$H$3144,"Yes",Applications!$J$2:$J$3144,Analysis!$B$2),0)</f>
        <v>5.59230769230769</v>
      </c>
      <c r="K26" s="36" t="n">
        <f aca="false">H26-ROW()/100000</f>
        <v>12.99974</v>
      </c>
    </row>
    <row r="27" customFormat="false" ht="15" hidden="false" customHeight="false" outlineLevel="0" collapsed="false">
      <c r="A27" s="21" t="s">
        <v>1230</v>
      </c>
      <c r="B27" s="21" t="s">
        <v>4401</v>
      </c>
      <c r="C27" s="21" t="s">
        <v>86</v>
      </c>
      <c r="D27" s="21" t="s">
        <v>92</v>
      </c>
      <c r="E27" s="21" t="s">
        <v>4368</v>
      </c>
      <c r="F27" s="21" t="n">
        <f aca="false">COUNTIFS(Applications!$C$2:$C$3144,A27,Applications!$J$2:$J$3144,Analysis!$B$2)</f>
        <v>141</v>
      </c>
      <c r="G27" s="21" t="n">
        <f aca="false">COUNTIFS(Applications!$C$2:$C$3144,A27,Applications!$F$2:$F$3144,"Offered",Applications!$J$2:$J$3144,Analysis!$B$2)</f>
        <v>55</v>
      </c>
      <c r="H27" s="34" t="n">
        <f aca="false">COUNTIFS(Applications!$C$2:$C$3144,A27,Applications!$H$2:$H$3144,"Yes",Applications!$J$2:$J$3144,Analysis!$B$2)</f>
        <v>19</v>
      </c>
      <c r="I27" s="35" t="n">
        <f aca="false">IF(G27=0,0,H27/G27)</f>
        <v>0.345454545454545</v>
      </c>
      <c r="J27" s="32" t="n">
        <f aca="false">IFERROR(AVERAGEIFS(Applications!$G$2:$G$3144,Applications!$C$2:$C$3144,A27,Applications!$H$2:$H$3144,"Yes",Applications!$J$2:$J$3144,Analysis!$B$2),0)</f>
        <v>6.05263157894737</v>
      </c>
      <c r="K27" s="36" t="n">
        <f aca="false">H27-ROW()/100000</f>
        <v>18.99973</v>
      </c>
    </row>
    <row r="28" customFormat="false" ht="15" hidden="false" customHeight="false" outlineLevel="0" collapsed="false">
      <c r="A28" s="21" t="s">
        <v>1234</v>
      </c>
      <c r="B28" s="21" t="s">
        <v>4402</v>
      </c>
      <c r="C28" s="21" t="s">
        <v>83</v>
      </c>
      <c r="D28" s="21" t="s">
        <v>92</v>
      </c>
      <c r="E28" s="21" t="s">
        <v>4403</v>
      </c>
      <c r="F28" s="21" t="n">
        <f aca="false">COUNTIFS(Applications!$C$2:$C$3144,A28,Applications!$J$2:$J$3144,Analysis!$B$2)</f>
        <v>127</v>
      </c>
      <c r="G28" s="21" t="n">
        <f aca="false">COUNTIFS(Applications!$C$2:$C$3144,A28,Applications!$F$2:$F$3144,"Offered",Applications!$J$2:$J$3144,Analysis!$B$2)</f>
        <v>53</v>
      </c>
      <c r="H28" s="34" t="n">
        <f aca="false">COUNTIFS(Applications!$C$2:$C$3144,A28,Applications!$H$2:$H$3144,"Yes",Applications!$J$2:$J$3144,Analysis!$B$2)</f>
        <v>15</v>
      </c>
      <c r="I28" s="35" t="n">
        <f aca="false">IF(G28=0,0,H28/G28)</f>
        <v>0.283018867924528</v>
      </c>
      <c r="J28" s="32" t="n">
        <f aca="false">IFERROR(AVERAGEIFS(Applications!$G$2:$G$3144,Applications!$C$2:$C$3144,A28,Applications!$H$2:$H$3144,"Yes",Applications!$J$2:$J$3144,Analysis!$B$2),0)</f>
        <v>5.99333333333333</v>
      </c>
      <c r="K28" s="36" t="n">
        <f aca="false">H28-ROW()/100000</f>
        <v>14.99972</v>
      </c>
    </row>
    <row r="29" customFormat="false" ht="15" hidden="false" customHeight="false" outlineLevel="0" collapsed="false">
      <c r="A29" s="21" t="s">
        <v>1205</v>
      </c>
      <c r="B29" s="21" t="s">
        <v>4404</v>
      </c>
      <c r="C29" s="21" t="s">
        <v>85</v>
      </c>
      <c r="D29" s="21" t="s">
        <v>92</v>
      </c>
      <c r="E29" s="21" t="s">
        <v>4366</v>
      </c>
      <c r="F29" s="21" t="n">
        <f aca="false">COUNTIFS(Applications!$C$2:$C$3144,A29,Applications!$J$2:$J$3144,Analysis!$B$2)</f>
        <v>119</v>
      </c>
      <c r="G29" s="21" t="n">
        <f aca="false">COUNTIFS(Applications!$C$2:$C$3144,A29,Applications!$F$2:$F$3144,"Offered",Applications!$J$2:$J$3144,Analysis!$B$2)</f>
        <v>46</v>
      </c>
      <c r="H29" s="34" t="n">
        <f aca="false">COUNTIFS(Applications!$C$2:$C$3144,A29,Applications!$H$2:$H$3144,"Yes",Applications!$J$2:$J$3144,Analysis!$B$2)</f>
        <v>17</v>
      </c>
      <c r="I29" s="35" t="n">
        <f aca="false">IF(G29=0,0,H29/G29)</f>
        <v>0.369565217391304</v>
      </c>
      <c r="J29" s="32" t="n">
        <f aca="false">IFERROR(AVERAGEIFS(Applications!$G$2:$G$3144,Applications!$C$2:$C$3144,A29,Applications!$H$2:$H$3144,"Yes",Applications!$J$2:$J$3144,Analysis!$B$2),0)</f>
        <v>5.8764705882353</v>
      </c>
      <c r="K29" s="36" t="n">
        <f aca="false">H29-ROW()/100000</f>
        <v>16.99971</v>
      </c>
    </row>
    <row r="30" customFormat="false" ht="15" hidden="false" customHeight="false" outlineLevel="0" collapsed="false">
      <c r="A30" s="21" t="s">
        <v>1239</v>
      </c>
      <c r="B30" s="21" t="s">
        <v>4405</v>
      </c>
      <c r="C30" s="21" t="s">
        <v>82</v>
      </c>
      <c r="D30" s="21" t="s">
        <v>92</v>
      </c>
      <c r="E30" s="21" t="s">
        <v>4370</v>
      </c>
      <c r="F30" s="21" t="n">
        <f aca="false">COUNTIFS(Applications!$C$2:$C$3144,A30,Applications!$J$2:$J$3144,Analysis!$B$2)</f>
        <v>117</v>
      </c>
      <c r="G30" s="21" t="n">
        <f aca="false">COUNTIFS(Applications!$C$2:$C$3144,A30,Applications!$F$2:$F$3144,"Offered",Applications!$J$2:$J$3144,Analysis!$B$2)</f>
        <v>41</v>
      </c>
      <c r="H30" s="34" t="n">
        <f aca="false">COUNTIFS(Applications!$C$2:$C$3144,A30,Applications!$H$2:$H$3144,"Yes",Applications!$J$2:$J$3144,Analysis!$B$2)</f>
        <v>16</v>
      </c>
      <c r="I30" s="35" t="n">
        <f aca="false">IF(G30=0,0,H30/G30)</f>
        <v>0.390243902439024</v>
      </c>
      <c r="J30" s="32" t="n">
        <f aca="false">IFERROR(AVERAGEIFS(Applications!$G$2:$G$3144,Applications!$C$2:$C$3144,A30,Applications!$H$2:$H$3144,"Yes",Applications!$J$2:$J$3144,Analysis!$B$2),0)</f>
        <v>6.09375</v>
      </c>
      <c r="K30" s="36" t="n">
        <f aca="false">H30-ROW()/100000</f>
        <v>15.9997</v>
      </c>
    </row>
    <row r="31" customFormat="false" ht="15" hidden="false" customHeight="false" outlineLevel="0" collapsed="false">
      <c r="A31" s="21" t="s">
        <v>1211</v>
      </c>
      <c r="B31" s="21" t="s">
        <v>4406</v>
      </c>
      <c r="C31" s="21" t="s">
        <v>81</v>
      </c>
      <c r="D31" s="21" t="s">
        <v>92</v>
      </c>
      <c r="E31" s="21" t="s">
        <v>4374</v>
      </c>
      <c r="F31" s="21" t="n">
        <f aca="false">COUNTIFS(Applications!$C$2:$C$3144,A31,Applications!$J$2:$J$3144,Analysis!$B$2)</f>
        <v>111</v>
      </c>
      <c r="G31" s="21" t="n">
        <f aca="false">COUNTIFS(Applications!$C$2:$C$3144,A31,Applications!$F$2:$F$3144,"Offered",Applications!$J$2:$J$3144,Analysis!$B$2)</f>
        <v>48</v>
      </c>
      <c r="H31" s="34" t="n">
        <f aca="false">COUNTIFS(Applications!$C$2:$C$3144,A31,Applications!$H$2:$H$3144,"Yes",Applications!$J$2:$J$3144,Analysis!$B$2)</f>
        <v>16</v>
      </c>
      <c r="I31" s="35" t="n">
        <f aca="false">IF(G31=0,0,H31/G31)</f>
        <v>0.333333333333333</v>
      </c>
      <c r="J31" s="32" t="n">
        <f aca="false">IFERROR(AVERAGEIFS(Applications!$G$2:$G$3144,Applications!$C$2:$C$3144,A31,Applications!$H$2:$H$3144,"Yes",Applications!$J$2:$J$3144,Analysis!$B$2),0)</f>
        <v>6.33125</v>
      </c>
      <c r="K31" s="36" t="n">
        <f aca="false">H31-ROW()/100000</f>
        <v>15.99969</v>
      </c>
    </row>
  </sheetData>
  <conditionalFormatting sqref="H2:H31">
    <cfRule type="dataBar" priority="2">
      <dataBar showValue="1" minLength="10" maxLength="90">
        <cfvo type="num" val="0"/>
        <cfvo type="max" val="0"/>
        <color rgb="FFF26B21"/>
      </dataBar>
      <extLst>
        <ext xmlns:x14="http://schemas.microsoft.com/office/spreadsheetml/2009/9/main" uri="{B025F937-C7B1-47D3-B67F-A62EFF666E3E}">
          <x14:id>{6BD375B2-937D-40FB-8379-96FABD90D6A0}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D375B2-937D-40FB-8379-96FABD90D6A0}">
            <x14:dataBar minLength="10" maxLength="90" axisPosition="none" gradient="true">
              <x14:cfvo type="num">
                <xm:f>0</xm:f>
              </x14:cfvo>
              <x14:cfvo type="max"/>
              <x14:negativeFillColor rgb="FFF26B21"/>
              <x14:axisColor rgb="FF000000"/>
            </x14:dataBar>
          </x14:cfRule>
          <xm:sqref>H2:H31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C15"/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3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3"/>
    <col collapsed="false" customWidth="true" hidden="false" outlineLevel="0" max="11" min="11" style="0" width="22"/>
    <col collapsed="false" customWidth="true" hidden="false" outlineLevel="0" max="12" min="12" style="0" width="3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3"/>
    <col collapsed="false" customWidth="true" hidden="false" outlineLevel="0" max="16" min="16" style="0" width="18"/>
  </cols>
  <sheetData>
    <row r="1" customFormat="false" ht="17.35" hidden="false" customHeight="false" outlineLevel="0" collapsed="false">
      <c r="A1" s="15" t="s">
        <v>4407</v>
      </c>
    </row>
    <row r="2" customFormat="false" ht="15" hidden="false" customHeight="false" outlineLevel="0" collapsed="false">
      <c r="A2" s="4" t="s">
        <v>4408</v>
      </c>
    </row>
    <row r="3" customFormat="false" ht="15" hidden="false" customHeight="false" outlineLevel="0" collapsed="false">
      <c r="A3" s="28" t="s">
        <v>4409</v>
      </c>
      <c r="B3" s="28" t="s">
        <v>4410</v>
      </c>
      <c r="D3" s="28" t="s">
        <v>4411</v>
      </c>
      <c r="E3" s="28" t="s">
        <v>75</v>
      </c>
      <c r="G3" s="28" t="s">
        <v>72</v>
      </c>
      <c r="H3" s="28" t="s">
        <v>4412</v>
      </c>
      <c r="I3" s="28" t="s">
        <v>4413</v>
      </c>
      <c r="K3" s="28" t="s">
        <v>4414</v>
      </c>
      <c r="M3" s="28" t="s">
        <v>4415</v>
      </c>
      <c r="N3" s="28" t="s">
        <v>4416</v>
      </c>
      <c r="P3" s="28" t="s">
        <v>4417</v>
      </c>
    </row>
    <row r="4" customFormat="false" ht="15" hidden="false" customHeight="false" outlineLevel="0" collapsed="false">
      <c r="A4" s="21" t="s">
        <v>4418</v>
      </c>
      <c r="B4" s="37" t="n">
        <v>0.3</v>
      </c>
      <c r="D4" s="38" t="n">
        <v>0</v>
      </c>
      <c r="E4" s="21" t="s">
        <v>4419</v>
      </c>
      <c r="G4" s="21" t="s">
        <v>4420</v>
      </c>
      <c r="H4" s="38" t="n">
        <v>0</v>
      </c>
      <c r="I4" s="38" t="n">
        <v>5</v>
      </c>
      <c r="K4" s="21" t="s">
        <v>1175</v>
      </c>
      <c r="M4" s="21" t="s">
        <v>4421</v>
      </c>
      <c r="N4" s="21" t="n">
        <v>7</v>
      </c>
      <c r="P4" s="21" t="s">
        <v>2</v>
      </c>
    </row>
    <row r="5" customFormat="false" ht="15" hidden="false" customHeight="false" outlineLevel="0" collapsed="false">
      <c r="A5" s="21" t="s">
        <v>101</v>
      </c>
      <c r="B5" s="37" t="n">
        <v>0.2</v>
      </c>
      <c r="D5" s="38" t="n">
        <v>50</v>
      </c>
      <c r="E5" s="21" t="s">
        <v>4422</v>
      </c>
      <c r="G5" s="21" t="s">
        <v>4423</v>
      </c>
      <c r="H5" s="38" t="n">
        <v>5</v>
      </c>
      <c r="I5" s="38" t="n">
        <v>8</v>
      </c>
      <c r="K5" s="21" t="s">
        <v>1178</v>
      </c>
      <c r="M5" s="21" t="s">
        <v>4424</v>
      </c>
      <c r="N5" s="21" t="n">
        <v>8</v>
      </c>
      <c r="P5" s="21" t="s">
        <v>112</v>
      </c>
    </row>
    <row r="6" customFormat="false" ht="15" hidden="false" customHeight="false" outlineLevel="0" collapsed="false">
      <c r="A6" s="21" t="s">
        <v>103</v>
      </c>
      <c r="B6" s="37" t="n">
        <v>0.2</v>
      </c>
      <c r="D6" s="38" t="n">
        <v>65</v>
      </c>
      <c r="E6" s="21" t="s">
        <v>4425</v>
      </c>
      <c r="G6" s="21" t="s">
        <v>4426</v>
      </c>
      <c r="H6" s="38" t="n">
        <v>8</v>
      </c>
      <c r="I6" s="38" t="n">
        <v>12</v>
      </c>
      <c r="K6" s="21" t="s">
        <v>1197</v>
      </c>
      <c r="M6" s="21" t="s">
        <v>4427</v>
      </c>
      <c r="N6" s="21" t="n">
        <v>9</v>
      </c>
      <c r="P6" s="21" t="s">
        <v>458</v>
      </c>
    </row>
    <row r="7" customFormat="false" ht="15" hidden="false" customHeight="false" outlineLevel="0" collapsed="false">
      <c r="A7" s="21" t="s">
        <v>4428</v>
      </c>
      <c r="B7" s="37" t="n">
        <v>0.2</v>
      </c>
      <c r="D7" s="38" t="n">
        <v>80</v>
      </c>
      <c r="E7" s="21" t="s">
        <v>4429</v>
      </c>
      <c r="G7" s="21" t="s">
        <v>4430</v>
      </c>
      <c r="H7" s="38" t="n">
        <v>12</v>
      </c>
      <c r="I7" s="38" t="n">
        <v>18</v>
      </c>
      <c r="K7" s="21" t="s">
        <v>1218</v>
      </c>
      <c r="M7" s="21" t="s">
        <v>4431</v>
      </c>
      <c r="N7" s="21" t="n">
        <v>10</v>
      </c>
      <c r="P7" s="21" t="s">
        <v>810</v>
      </c>
    </row>
    <row r="8" customFormat="false" ht="15" hidden="false" customHeight="false" outlineLevel="0" collapsed="false">
      <c r="A8" s="21" t="s">
        <v>4432</v>
      </c>
      <c r="B8" s="37" t="n">
        <v>0.1</v>
      </c>
      <c r="G8" s="21" t="s">
        <v>4433</v>
      </c>
      <c r="H8" s="38" t="n">
        <v>18</v>
      </c>
      <c r="I8" s="38" t="n">
        <v>999</v>
      </c>
      <c r="K8" s="21" t="s">
        <v>1185</v>
      </c>
      <c r="M8" s="21" t="s">
        <v>4434</v>
      </c>
      <c r="N8" s="21" t="n">
        <v>11</v>
      </c>
    </row>
    <row r="9" customFormat="false" ht="15" hidden="false" customHeight="false" outlineLevel="0" collapsed="false">
      <c r="A9" s="39" t="s">
        <v>4435</v>
      </c>
      <c r="B9" s="40" t="n">
        <f aca="false">SUM(B4:B8)</f>
        <v>1</v>
      </c>
      <c r="C9" s="41" t="str">
        <f aca="false">IF(ROUND(B9,4)=1,"OK","Weights must sum to 100%")</f>
        <v>OK</v>
      </c>
      <c r="M9" s="21" t="s">
        <v>4436</v>
      </c>
      <c r="N9" s="21" t="n">
        <v>12</v>
      </c>
    </row>
    <row r="10" customFormat="false" ht="15" hidden="false" customHeight="false" outlineLevel="0" collapsed="false">
      <c r="A10" s="28" t="s">
        <v>4437</v>
      </c>
      <c r="B10" s="28" t="s">
        <v>4438</v>
      </c>
      <c r="M10" s="21" t="s">
        <v>4439</v>
      </c>
      <c r="N10" s="21" t="n">
        <v>1</v>
      </c>
    </row>
    <row r="11" customFormat="false" ht="15" hidden="false" customHeight="false" outlineLevel="0" collapsed="false">
      <c r="A11" s="21" t="s">
        <v>4440</v>
      </c>
      <c r="B11" s="38" t="n">
        <v>500</v>
      </c>
      <c r="M11" s="21" t="s">
        <v>4441</v>
      </c>
      <c r="N11" s="21" t="n">
        <v>2</v>
      </c>
    </row>
    <row r="12" customFormat="false" ht="15" hidden="false" customHeight="false" outlineLevel="0" collapsed="false">
      <c r="A12" s="21" t="s">
        <v>4442</v>
      </c>
      <c r="B12" s="38" t="n">
        <v>5</v>
      </c>
      <c r="M12" s="21" t="s">
        <v>4443</v>
      </c>
      <c r="N12" s="21" t="n">
        <v>3</v>
      </c>
    </row>
    <row r="13" customFormat="false" ht="15" hidden="false" customHeight="false" outlineLevel="0" collapsed="false">
      <c r="M13" s="21" t="s">
        <v>4444</v>
      </c>
      <c r="N13" s="21" t="n">
        <v>4</v>
      </c>
    </row>
    <row r="14" customFormat="false" ht="15" hidden="false" customHeight="false" outlineLevel="0" collapsed="false">
      <c r="M14" s="21" t="s">
        <v>4445</v>
      </c>
      <c r="N14" s="21" t="n">
        <v>5</v>
      </c>
    </row>
    <row r="15" customFormat="false" ht="15" hidden="false" customHeight="false" outlineLevel="0" collapsed="false">
      <c r="M15" s="21" t="s">
        <v>4446</v>
      </c>
      <c r="N15" s="21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2026-10-10T16:02:08Z</dcterms:created>
  <dc:creator>openpyxl</dc:creator>
  <dc:description/>
  <dc:language>en-US</dc:language>
  <cp:lastModifiedBy/>
  <dcterms:modified xsi:type="dcterms:W3CDTF">2026-10-10T16:02:15Z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